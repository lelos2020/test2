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Orders_Template" sheetId="4" state="visible" r:id="rId4"/>
    <sheet xmlns:r="http://schemas.openxmlformats.org/officeDocument/2006/relationships" name="ShortTerm_Planner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ISA_Total (current, overwrite to use manual total)</t>
        </is>
      </c>
      <c r="B2" t="inlineStr">
        <is>
          <t>65436.24</t>
        </is>
      </c>
      <c r="C2" t="inlineStr">
        <is>
          <t>If blank, Holdings sum will be used</t>
        </is>
      </c>
    </row>
    <row r="3">
      <c r="A3" t="inlineStr">
        <is>
          <t>Apr_Contribution (£)</t>
        </is>
      </c>
      <c r="B3" t="inlineStr">
        <is>
          <t>20000</t>
        </is>
      </c>
      <c r="C3" t="inlineStr">
        <is>
          <t>Planned April VWRA top-up</t>
        </is>
      </c>
    </row>
    <row r="4">
      <c r="A4" t="inlineStr">
        <is>
          <t>Add_DFNS_Today (£)</t>
        </is>
      </c>
      <c r="B4" t="inlineStr">
        <is>
          <t>400</t>
        </is>
      </c>
      <c r="C4" t="inlineStr">
        <is>
          <t>Amount to add to DFNS today</t>
        </is>
      </c>
    </row>
    <row r="5">
      <c r="A5" t="inlineStr">
        <is>
          <t>DFNS_reported_value (£)</t>
        </is>
      </c>
      <c r="B5" t="inlineStr">
        <is>
          <t>747</t>
        </is>
      </c>
      <c r="C5" t="inlineStr">
        <is>
          <t>Current DFNS market value from statement</t>
        </is>
      </c>
    </row>
    <row r="6">
      <c r="A6" t="inlineStr">
        <is>
          <t>DFNS_reported_return_pct (decimal)</t>
        </is>
      </c>
      <c r="B6" t="inlineStr">
        <is>
          <t>1.04</t>
        </is>
      </c>
      <c r="C6" t="inlineStr">
        <is>
          <t>Your reported DFNS return (e.g., 104% -&gt; 1.04)</t>
        </is>
      </c>
    </row>
    <row r="7">
      <c r="A7" t="inlineStr">
        <is>
          <t>Trailing_Stop_pct (decimal)</t>
        </is>
      </c>
      <c r="B7" t="inlineStr">
        <is>
          <t>0.25</t>
        </is>
      </c>
      <c r="C7" t="inlineStr">
        <is>
          <t>25% trailing stop</t>
        </is>
      </c>
    </row>
    <row r="8">
      <c r="A8" t="inlineStr">
        <is>
          <t>DFNS_Target_pct_of_ISA (decimal)</t>
        </is>
      </c>
      <c r="B8" t="inlineStr">
        <is>
          <t>0.04</t>
        </is>
      </c>
      <c r="C8" t="inlineStr">
        <is>
          <t>Target DFNS weight of ISA</t>
        </is>
      </c>
    </row>
    <row r="9">
      <c r="A9" t="inlineStr">
        <is>
          <t>M&amp;G_Target_pct_of_ISA (decimal)</t>
        </is>
      </c>
      <c r="B9" t="inlineStr">
        <is>
          <t>0.05</t>
        </is>
      </c>
      <c r="C9" t="inlineStr">
        <is>
          <t>Target M&amp;G weight of ISA after trimming</t>
        </is>
      </c>
    </row>
    <row r="10">
      <c r="A10" t="inlineStr">
        <is>
          <t>ShortTerm_Capital (£)</t>
        </is>
      </c>
      <c r="B10" t="inlineStr">
        <is>
          <t>3000</t>
        </is>
      </c>
      <c r="C10" t="inlineStr">
        <is>
          <t>Short-term pot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MarketValue</t>
        </is>
      </c>
      <c r="D1" t="inlineStr">
        <is>
          <t>Price</t>
        </is>
      </c>
      <c r="E1" t="inlineStr">
        <is>
          <t>Shares</t>
        </is>
      </c>
    </row>
    <row r="2">
      <c r="A2" t="inlineStr">
        <is>
          <t>CASH_ISA</t>
        </is>
      </c>
      <c r="B2" t="inlineStr">
        <is>
          <t>ISA Cash</t>
        </is>
      </c>
      <c r="C2" t="n">
        <v>424.57</v>
      </c>
      <c r="D2" t="inlineStr"/>
      <c r="E2" t="inlineStr"/>
    </row>
    <row r="3">
      <c r="A3" t="inlineStr">
        <is>
          <t>RLSTMKT</t>
        </is>
      </c>
      <c r="B3" t="inlineStr">
        <is>
          <t>Royal London Money Market</t>
        </is>
      </c>
      <c r="C3" t="n">
        <v>48503.71</v>
      </c>
      <c r="D3" t="inlineStr"/>
      <c r="E3" t="inlineStr"/>
    </row>
    <row r="4">
      <c r="A4" t="inlineStr">
        <is>
          <t>MGDIV</t>
        </is>
      </c>
      <c r="B4" t="inlineStr">
        <is>
          <t>M&amp;G Global Dividend</t>
        </is>
      </c>
      <c r="C4" t="n">
        <v>7927.75</v>
      </c>
      <c r="D4" t="inlineStr"/>
      <c r="E4" t="inlineStr"/>
    </row>
    <row r="5">
      <c r="A5" t="inlineStr">
        <is>
          <t>HSPX</t>
        </is>
      </c>
      <c r="B5" t="inlineStr">
        <is>
          <t>HSBC S&amp;P 500 ETF</t>
        </is>
      </c>
      <c r="C5" t="n">
        <v>6037.57</v>
      </c>
      <c r="D5" t="inlineStr"/>
      <c r="E5" t="inlineStr"/>
    </row>
    <row r="6">
      <c r="A6" t="inlineStr">
        <is>
          <t>IWQU</t>
        </is>
      </c>
      <c r="B6" t="inlineStr">
        <is>
          <t>iShares MSCI World Quality</t>
        </is>
      </c>
      <c r="C6" t="n">
        <v>663.46</v>
      </c>
      <c r="D6" t="inlineStr"/>
      <c r="E6" t="inlineStr"/>
    </row>
    <row r="7">
      <c r="A7" t="inlineStr">
        <is>
          <t>BCHS</t>
        </is>
      </c>
      <c r="B7" t="inlineStr">
        <is>
          <t>Invesco Blockchain (BCHS)</t>
        </is>
      </c>
      <c r="C7" t="n">
        <v>619.8</v>
      </c>
      <c r="D7" t="inlineStr"/>
      <c r="E7" t="inlineStr"/>
    </row>
    <row r="8">
      <c r="A8" t="inlineStr">
        <is>
          <t>DFNS</t>
        </is>
      </c>
      <c r="B8" t="inlineStr">
        <is>
          <t>VanEck Defence ETF</t>
        </is>
      </c>
      <c r="C8" t="n">
        <v>747.28</v>
      </c>
      <c r="D8" t="inlineStr"/>
      <c r="E8" t="inlineStr"/>
    </row>
    <row r="9">
      <c r="A9" t="inlineStr">
        <is>
          <t>IGLN</t>
        </is>
      </c>
      <c r="B9" t="inlineStr">
        <is>
          <t>iShares Physical Gold ETC</t>
        </is>
      </c>
      <c r="C9" t="n">
        <v>512.1</v>
      </c>
      <c r="D9" t="inlineStr"/>
      <c r="E9" t="inlineStr"/>
    </row>
    <row r="10">
      <c r="A10" t="inlineStr">
        <is>
          <t>VWRA</t>
        </is>
      </c>
      <c r="B10" t="inlineStr">
        <is>
          <t>VWRA placeholder (current holding)</t>
        </is>
      </c>
      <c r="C10" t="n">
        <v>0</v>
      </c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Value (calculated)</t>
        </is>
      </c>
    </row>
    <row r="2">
      <c r="A2" t="inlineStr">
        <is>
          <t>ISA_Total_calc</t>
        </is>
      </c>
      <c r="B2">
        <f>IF(Inputs!B1="",SUM(Holdings!C2:C10),Inputs!B1)</f>
        <v/>
      </c>
      <c r="C2" t="inlineStr"/>
    </row>
    <row r="3">
      <c r="A3" t="inlineStr">
        <is>
          <t>M&amp;G_target_value</t>
        </is>
      </c>
      <c r="B3">
        <f>Inputs!B9 * B2</f>
        <v/>
      </c>
      <c r="C3" t="inlineStr"/>
    </row>
    <row r="4">
      <c r="A4" t="inlineStr">
        <is>
          <t>M&amp;G_sell_amount</t>
        </is>
      </c>
      <c r="B4">
        <f>MAX(0, VLOOKUP("MGDIV",Holdings!A:C,3,FALSE) - B3)</f>
        <v/>
      </c>
    </row>
    <row r="5">
      <c r="A5" t="inlineStr">
        <is>
          <t>Cash_available_to_buy_VWRA</t>
        </is>
      </c>
      <c r="B5">
        <f>B4 + VLOOKUP("CASH_ISA",Holdings!A:C,3,FALSE)</f>
        <v/>
      </c>
    </row>
    <row r="6">
      <c r="A6" t="inlineStr">
        <is>
          <t>VWRA_buy_amount_today</t>
        </is>
      </c>
      <c r="B6">
        <f>B5</f>
        <v/>
      </c>
    </row>
    <row r="7">
      <c r="A7" t="inlineStr">
        <is>
          <t>DFNS_original_cost</t>
        </is>
      </c>
      <c r="B7">
        <f>VLOOKUP("DFNS",Holdings!A:C,3,FALSE) / (1 + Inputs!B6)</f>
        <v/>
      </c>
    </row>
    <row r="8">
      <c r="A8" t="inlineStr">
        <is>
          <t>DFNS_post_add_value</t>
        </is>
      </c>
      <c r="B8">
        <f>VLOOKUP("DFNS",Holdings!A:C,3,FALSE) + Inputs!B4</f>
        <v/>
      </c>
    </row>
    <row r="9">
      <c r="A9" t="inlineStr">
        <is>
          <t>DFNS_aggregate_cost_basis</t>
        </is>
      </c>
      <c r="B9">
        <f>B7 + Inputs!B4</f>
        <v/>
      </c>
    </row>
    <row r="10">
      <c r="A10" t="inlineStr">
        <is>
          <t>DFNS_unrealised_gain_after_add</t>
        </is>
      </c>
      <c r="B10">
        <f>B8 - B9</f>
        <v/>
      </c>
    </row>
    <row r="11">
      <c r="A11" t="inlineStr">
        <is>
          <t>Sell_amount_to_recover_original_cost</t>
        </is>
      </c>
      <c r="B11">
        <f>B7</f>
        <v/>
      </c>
    </row>
    <row r="12">
      <c r="A12" t="inlineStr">
        <is>
          <t>Sell_percent_of_post_position</t>
        </is>
      </c>
      <c r="B12">
        <f>IF(B8&gt;0, B11 / B8, 0)</f>
        <v/>
      </c>
    </row>
    <row r="13">
      <c r="A13" t="inlineStr">
        <is>
          <t>DFNS_trailing_stop_price</t>
        </is>
      </c>
      <c r="B13">
        <f>IFERROR(VLOOKUP("DFNS",Holdings!A:E,4,FALSE) * (1 - Inputs!B7), "Price missing")</f>
        <v/>
      </c>
    </row>
    <row r="14">
      <c r="A14" t="inlineStr">
        <is>
          <t>DFNS_target_value_for_pct</t>
        </is>
      </c>
      <c r="B14">
        <f>Inputs!B8 * B2</f>
        <v/>
      </c>
    </row>
    <row r="15">
      <c r="A15" t="inlineStr">
        <is>
          <t>DFNS_additional_needed_for_target</t>
        </is>
      </c>
      <c r="B15">
        <f>MAX(0, B14 - B8)</f>
        <v/>
      </c>
    </row>
    <row r="16">
      <c r="A16" t="inlineStr">
        <is>
          <t>Funds_remaining_after_DFNS_funding_for_VWRA</t>
        </is>
      </c>
      <c r="B16">
        <f>MAX(0, B6 - B15)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Action</t>
        </is>
      </c>
      <c r="C1" t="inlineStr">
        <is>
          <t>Ticker</t>
        </is>
      </c>
      <c r="D1" t="inlineStr">
        <is>
          <t>Amount_GBP (formula)</t>
        </is>
      </c>
      <c r="E1" t="inlineStr">
        <is>
          <t>Qty (formula)</t>
        </is>
      </c>
      <c r="F1" t="inlineStr">
        <is>
          <t>LimitPrice (use Holdings price)</t>
        </is>
      </c>
      <c r="G1" t="inlineStr">
        <is>
          <t>Notes</t>
        </is>
      </c>
    </row>
    <row r="2">
      <c r="A2" t="inlineStr">
        <is>
          <t>ISA</t>
        </is>
      </c>
      <c r="B2" t="inlineStr">
        <is>
          <t>SELL</t>
        </is>
      </c>
      <c r="C2" t="inlineStr">
        <is>
          <t>MGDIV</t>
        </is>
      </c>
      <c r="D2">
        <f>Calculations!B4</f>
        <v/>
      </c>
      <c r="E2">
        <f>IFERROR(Calculations!B4 / VLOOKUP("MGDIV",Holdings!A:D,4,FALSE),"Price missing")</f>
        <v/>
      </c>
      <c r="F2">
        <f>VLOOKUP("MGDIV",Holdings!A:D,4,FALSE)</f>
        <v/>
      </c>
      <c r="G2" t="inlineStr">
        <is>
          <t>Trim to target %</t>
        </is>
      </c>
    </row>
    <row r="3">
      <c r="A3" t="inlineStr">
        <is>
          <t>ISA</t>
        </is>
      </c>
      <c r="B3" t="inlineStr">
        <is>
          <t>BUY</t>
        </is>
      </c>
      <c r="C3" t="inlineStr">
        <is>
          <t>VWRA</t>
        </is>
      </c>
      <c r="D3">
        <f>Calculations!B6</f>
        <v/>
      </c>
      <c r="E3">
        <f>IFERROR(Calculations!B6 / VLOOKUP("VWRA",Holdings!A:D,4,FALSE),"Price missing")</f>
        <v/>
      </c>
      <c r="F3">
        <f>VLOOKUP("VWRA",Holdings!A:D,4,FALSE)</f>
        <v/>
      </c>
      <c r="G3" t="inlineStr">
        <is>
          <t>Buy VWRA with proceeds + cash</t>
        </is>
      </c>
    </row>
    <row r="4">
      <c r="A4" t="inlineStr">
        <is>
          <t>ISA</t>
        </is>
      </c>
      <c r="B4" t="inlineStr">
        <is>
          <t>BUY</t>
        </is>
      </c>
      <c r="C4" t="inlineStr">
        <is>
          <t>DFNS</t>
        </is>
      </c>
      <c r="D4">
        <f>Calculations!B15</f>
        <v/>
      </c>
      <c r="E4">
        <f>IFERROR(Calculations!B15 / VLOOKUP("DFNS",Holdings!A:D,4,FALSE),"Price missing")</f>
        <v/>
      </c>
      <c r="F4">
        <f>VLOOKUP("DFNS",Holdings!A:D,4,FALSE)</f>
        <v/>
      </c>
      <c r="G4" t="inlineStr">
        <is>
          <t>Top DFNS to target 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Target%</t>
        </is>
      </c>
      <c r="D1" t="inlineStr">
        <is>
          <t>ShortTermCapital (link)</t>
        </is>
      </c>
      <c r="E1" t="inlineStr">
        <is>
          <t>£ Alloc (formula)</t>
        </is>
      </c>
      <c r="F1" t="inlineStr">
        <is>
          <t>Price (link to Holdings)</t>
        </is>
      </c>
      <c r="G1" t="inlineStr">
        <is>
          <t>Qty formula</t>
        </is>
      </c>
    </row>
    <row r="2">
      <c r="A2" t="inlineStr">
        <is>
          <t>3QQQ.L</t>
        </is>
      </c>
      <c r="B2" t="inlineStr">
        <is>
          <t>3x Nasdaq Levered</t>
        </is>
      </c>
      <c r="C2" t="n">
        <v>0.4</v>
      </c>
      <c r="D2">
        <f>Inputs!B10</f>
        <v/>
      </c>
      <c r="E2">
        <f>C2 * D2</f>
        <v/>
      </c>
      <c r="F2">
        <f>VLOOKUP("3QQQ.L",Holdings!A:D,4,FALSE)</f>
        <v/>
      </c>
      <c r="G2">
        <f>IFERROR(E2 / F2, "Price missing")</f>
        <v/>
      </c>
    </row>
    <row r="3">
      <c r="A3" t="inlineStr">
        <is>
          <t>SMGB.L</t>
        </is>
      </c>
      <c r="B3" t="inlineStr">
        <is>
          <t>VanEck Semiconductors</t>
        </is>
      </c>
      <c r="C3" t="n">
        <v>0.3</v>
      </c>
      <c r="D3">
        <f>Inputs!B10</f>
        <v/>
      </c>
      <c r="E3">
        <f>C3 * D3</f>
        <v/>
      </c>
      <c r="F3">
        <f>VLOOKUP("SMGB.L",Holdings!A:D,4,FALSE)</f>
        <v/>
      </c>
      <c r="G3">
        <f>IFERROR(E3 / F3, "Price missing")</f>
        <v/>
      </c>
    </row>
    <row r="4">
      <c r="A4" t="inlineStr">
        <is>
          <t>AIAI.L</t>
        </is>
      </c>
      <c r="B4" t="inlineStr">
        <is>
          <t>L&amp;G AI ETF</t>
        </is>
      </c>
      <c r="C4" t="n">
        <v>0.2</v>
      </c>
      <c r="D4">
        <f>Inputs!B10</f>
        <v/>
      </c>
      <c r="E4">
        <f>C4 * D4</f>
        <v/>
      </c>
      <c r="F4">
        <f>VLOOKUP("AIAI.L",Holdings!A:D,4,FALSE)</f>
        <v/>
      </c>
      <c r="G4">
        <f>IFERROR(E4 / F4, "Price missing")</f>
        <v/>
      </c>
    </row>
    <row r="5">
      <c r="A5" t="inlineStr">
        <is>
          <t>CASH_ST</t>
        </is>
      </c>
      <c r="B5" t="inlineStr">
        <is>
          <t>Cash buffer</t>
        </is>
      </c>
      <c r="C5" t="n">
        <v>0.1</v>
      </c>
      <c r="D5">
        <f>Inputs!B10</f>
        <v/>
      </c>
      <c r="E5">
        <f>C5 * D5</f>
        <v/>
      </c>
      <c r="F5" t="inlineStr"/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2026-01-07 15:37</t>
        </is>
      </c>
    </row>
    <row r="3">
      <c r="A3" t="inlineStr">
        <is>
          <t>Key metric</t>
        </is>
      </c>
      <c r="B3" t="inlineStr">
        <is>
          <t>Formula/Value</t>
        </is>
      </c>
    </row>
    <row r="4">
      <c r="A4" t="inlineStr">
        <is>
          <t>ISA total (calc)</t>
        </is>
      </c>
      <c r="B4">
        <f>Calculations!B2</f>
        <v/>
      </c>
    </row>
    <row r="5">
      <c r="A5" t="inlineStr">
        <is>
          <t>M&amp;G sell amount (to trim to target)</t>
        </is>
      </c>
      <c r="B5">
        <f>Calculations!B4</f>
        <v/>
      </c>
    </row>
    <row r="6">
      <c r="A6" t="inlineStr">
        <is>
          <t>VWRA buy amount today (from proceeds + cash)</t>
        </is>
      </c>
      <c r="B6">
        <f>Calculations!B6</f>
        <v/>
      </c>
    </row>
    <row r="7">
      <c r="A7" t="inlineStr">
        <is>
          <t>DFNS original cost</t>
        </is>
      </c>
      <c r="B7">
        <f>Calculations!B7</f>
        <v/>
      </c>
    </row>
    <row r="8">
      <c r="A8" t="inlineStr">
        <is>
          <t>DFNS post-add value</t>
        </is>
      </c>
      <c r="B8">
        <f>Calculations!B8</f>
        <v/>
      </c>
    </row>
    <row r="9">
      <c r="A9" t="inlineStr">
        <is>
          <t>DFNS aggregate cost basis</t>
        </is>
      </c>
      <c r="B9">
        <f>Calculations!B9</f>
        <v/>
      </c>
    </row>
    <row r="10">
      <c r="A10" t="inlineStr">
        <is>
          <t>Sell percent of post DFNS position to recover original cost</t>
        </is>
      </c>
      <c r="B10">
        <f>Calculations!B12</f>
        <v/>
      </c>
    </row>
    <row r="11">
      <c r="A11" t="inlineStr">
        <is>
          <t>DFNS trailing stop price (based on Holdings Price)</t>
        </is>
      </c>
      <c r="B11">
        <f>Calculations!B13</f>
        <v/>
      </c>
    </row>
    <row r="12">
      <c r="A12" t="inlineStr">
        <is>
          <t>DFNS additional needed for target pct</t>
        </is>
      </c>
      <c r="B12">
        <f>Calculations!B15</f>
        <v/>
      </c>
    </row>
    <row r="13">
      <c r="A13" t="inlineStr">
        <is>
          <t>Funds remaining after DFNS funding for VWRA</t>
        </is>
      </c>
      <c r="B13">
        <f>Calculations!B16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2026-01-07T15:37:48Z</dcterms:created>
  <dcterms:modified xmlns:dcterms="http://purl.org/dc/terms/" xmlns:xsi="http://www.w3.org/2001/XMLSchema-instance" xsi:type="dcterms:W3CDTF">2026-01-07T15:37:48Z</dcterms:modified>
</cp:coreProperties>
</file>