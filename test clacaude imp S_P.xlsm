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0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imi/Downloads/"/>
    </mc:Choice>
  </mc:AlternateContent>
  <xr:revisionPtr revIDLastSave="0" documentId="13_ncr:1_{4027295D-F49D-B049-93DA-8BBBF342449D}" xr6:coauthVersionLast="47" xr6:coauthVersionMax="47" xr10:uidLastSave="{00000000-0000-0000-0000-000000000000}"/>
  <bookViews>
    <workbookView xWindow="0" yWindow="760" windowWidth="29400" windowHeight="18360" firstSheet="8" activeTab="19" xr2:uid="{30F047D6-6F3A-4E44-8EC4-452F869239D3}"/>
  </bookViews>
  <sheets>
    <sheet name="01_Cover" sheetId="1" r:id="rId1"/>
    <sheet name="02_Config" sheetId="2" r:id="rId2"/>
    <sheet name="03_MMA_Parameters" sheetId="3" r:id="rId3"/>
    <sheet name="04_Archetypal_Params" sheetId="4" r:id="rId4"/>
    <sheet name="05_Validation_Rules" sheetId="5" r:id="rId5"/>
    <sheet name="10_LTV_Curves" sheetId="6" r:id="rId6"/>
    <sheet name="11_DTI_Adjustments" sheetId="7" r:id="rId7"/>
    <sheet name="12_Seasoning_Adj" sheetId="8" r:id="rId8"/>
    <sheet name="13_Employment_Adj" sheetId="9" r:id="rId9"/>
    <sheet name="14_Security_Adj" sheetId="10" r:id="rId10"/>
    <sheet name="15_Occupancy_Adj" sheetId="11" r:id="rId11"/>
    <sheet name="16_Purpose_Adj" sheetId="12" r:id="rId12"/>
    <sheet name="17_Product_Adj" sheetId="13" r:id="rId13"/>
    <sheet name="18_Arrears_Adj" sheetId="14" r:id="rId14"/>
    <sheet name="19_Credit_History_Adj" sheetId="15" r:id="rId15"/>
    <sheet name="20_Other_Adj" sheetId="16" r:id="rId16"/>
    <sheet name="21_MVD_Parameters" sheetId="17" r:id="rId17"/>
    <sheet name="22_Foreclosure_Params" sheetId="18" r:id="rId18"/>
    <sheet name="23_Jurisdiction_Master" sheetId="19" r:id="rId19"/>
    <sheet name="30_Loan_Tape" sheetId="20" r:id="rId20"/>
    <sheet name="31_Property_Data" sheetId="21" r:id="rId21"/>
    <sheet name="32_Borrower_Data" sheetId="22" r:id="rId22"/>
    <sheet name="33_Performance_Data" sheetId="23" r:id="rId23"/>
    <sheet name="34_Market_Data" sheetId="24" r:id="rId24"/>
    <sheet name="40_LTV_Calculation" sheetId="25" r:id="rId25"/>
    <sheet name="41_FF_Adjustments" sheetId="26" r:id="rId26"/>
    <sheet name="42_Loan_FF" sheetId="27" r:id="rId27"/>
    <sheet name="43_Pool_Adjustments" sheetId="28" r:id="rId28"/>
    <sheet name="44_MVD_Calculation" sheetId="29" r:id="rId29"/>
    <sheet name="45_Loss_Severity" sheetId="30" r:id="rId30"/>
    <sheet name="46_Expected_Loss" sheetId="31" r:id="rId31"/>
    <sheet name="47_CE_Calculation" sheetId="32" r:id="rId32"/>
    <sheet name="50_Pool_Summary" sheetId="33" r:id="rId33"/>
    <sheet name="51_WAFF_WALS_Summary" sheetId="34" r:id="rId34"/>
    <sheet name="52_Stratification" sheetId="35" r:id="rId35"/>
    <sheet name="53_CE_Requirements" sheetId="36" r:id="rId36"/>
    <sheet name="54_Sensitivity" sheetId="37" r:id="rId37"/>
    <sheet name="55_Audit_Trail" sheetId="38" r:id="rId38"/>
    <sheet name="56_Dashboard" sheetId="39" r:id="rId39"/>
  </sheets>
  <definedNames>
    <definedName name="cfg_AnalysisDate">'01_Cover'!$B$12</definedName>
    <definedName name="cfg_CLTV_Weight">'10_LTV_Curves'!$B$9</definedName>
    <definedName name="cfg_CutoffDate">'01_Cover'!$B$13</definedName>
    <definedName name="cfg_Jurisdiction">'01_Cover'!$B$14</definedName>
    <definedName name="cfg_OLTV_Weight">'10_LTV_Curves'!$B$8</definedName>
    <definedName name="mvd_fixed_A">'21_MVD_Parameters'!$B$12</definedName>
    <definedName name="mvd_fixed_AA">'21_MVD_Parameters'!$B$11</definedName>
    <definedName name="mvd_fixed_AAA">'21_MVD_Parameters'!$B$10</definedName>
    <definedName name="mvd_fixed_B">'21_MVD_Parameters'!$B$15</definedName>
    <definedName name="mvd_fixed_BB">'21_MVD_Parameters'!$B$14</definedName>
    <definedName name="mvd_fixed_BBB">'21_MVD_Parameters'!$B$13</definedName>
    <definedName name="mvd_fsd_A">'21_MVD_Parameters'!$E$12</definedName>
    <definedName name="mvd_fsd_AA">'21_MVD_Parameters'!$E$11</definedName>
    <definedName name="mvd_fsd_AAA">'21_MVD_Parameters'!$E$10</definedName>
    <definedName name="mvd_fsd_B">'21_MVD_Parameters'!$E$15</definedName>
    <definedName name="mvd_fsd_BB">'21_MVD_Parameters'!$E$14</definedName>
    <definedName name="mvd_fsd_BBB">'21_MVD_Parameters'!$E$13</definedName>
    <definedName name="_xlnm.Print_Area" localSheetId="2">'03_MMA_Parameters'!$A$1:$D$28</definedName>
    <definedName name="_xlnm.Print_Area" localSheetId="5">'10_LTV_Curves'!$A$1:$C$33</definedName>
    <definedName name="_xlnm.Print_Area" localSheetId="6">'11_DTI_Adjustments'!$A$1:$C$20</definedName>
    <definedName name="_xlnm.Print_Area" localSheetId="7">'12_Seasoning_Adj'!$A$1:$C$27</definedName>
    <definedName name="_xlnm.Print_Area" localSheetId="8">'13_Employment_Adj'!$A$1:$C$15</definedName>
    <definedName name="_xlnm.Print_Area" localSheetId="10">'15_Occupancy_Adj'!$A$1:$C$22</definedName>
    <definedName name="_xlnm.Print_Area" localSheetId="14">'19_Credit_History_Adj'!$A$1:$D$30</definedName>
    <definedName name="_xlnm.Print_Area" localSheetId="16">'21_MVD_Parameters'!$A$1:$F$28</definedName>
    <definedName name="_xlnm.Print_Area" localSheetId="17">'22_Foreclosure_Params'!$A$1:$D$24</definedName>
    <definedName name="_xlnm.Print_Area" localSheetId="19">'30_Loan_Tape'!$A$1:$BE$2</definedName>
    <definedName name="_xlnm.Print_Area" localSheetId="25">'41_FF_Adjustments'!$A$1:$Q$4</definedName>
    <definedName name="_xlnm.Print_Area" localSheetId="26">'42_Loan_FF'!$A$1:$I$3</definedName>
    <definedName name="_xlnm.Print_Area" localSheetId="29">'45_Loss_Severity'!$A$1:$S$3</definedName>
    <definedName name="_xlnm.Print_Area" localSheetId="30">'46_Expected_Loss'!$A$1:$F$31</definedName>
    <definedName name="_xlnm.Print_Area" localSheetId="32">'50_Pool_Summary'!$A$1:$F$25</definedName>
    <definedName name="uk_AAA_Anchor">'03_MMA_Parameters'!$B$15</definedName>
    <definedName name="uk_B_Minimum">'03_MMA_Parameters'!$B$16</definedName>
    <definedName name="uk_current_OU">'21_MVD_Parameters'!$B$19</definedName>
    <definedName name="uk_FF_A">'03_MMA_Parameters'!$C$26</definedName>
    <definedName name="uk_FF_AA">'03_MMA_Parameters'!$C$27</definedName>
    <definedName name="uk_FF_AAA">'03_MMA_Parameters'!$C$28</definedName>
    <definedName name="uk_FF_B">'03_MMA_Parameters'!$C$23</definedName>
    <definedName name="uk_FF_BB">'03_MMA_Parameters'!$C$24</definedName>
    <definedName name="uk_FF_BBB">'03_MMA_Parameters'!$C$25</definedName>
    <definedName name="uk_foreclosure_fixed_cost">'22_Foreclosure_Params'!$B$6</definedName>
    <definedName name="uk_foreclosure_period_months">'22_Foreclosure_Params'!$B$12</definedName>
    <definedName name="uk_foreclosure_var_pct">'22_Foreclosure_Params'!$B$7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33" l="1"/>
  <c r="B6" i="33"/>
  <c r="B5" i="33"/>
  <c r="B4" i="33"/>
  <c r="F15" i="17"/>
  <c r="F14" i="17"/>
  <c r="F13" i="17"/>
  <c r="F12" i="17"/>
  <c r="F11" i="17"/>
  <c r="F10" i="17"/>
  <c r="C27" i="3"/>
  <c r="C26" i="3"/>
  <c r="C25" i="3"/>
  <c r="C24" i="3"/>
</calcChain>
</file>

<file path=xl/sharedStrings.xml><?xml version="1.0" encoding="utf-8"?>
<sst xmlns="http://schemas.openxmlformats.org/spreadsheetml/2006/main" count="2605" uniqueCount="604">
  <si>
    <t>MORTGAGE MARKET ASSESSMENT (MMA) PARAMETERS</t>
  </si>
  <si>
    <t>MMA FRAMEWORK BY RISK CATEGORY</t>
  </si>
  <si>
    <t>MMA Category</t>
  </si>
  <si>
    <t>AAA Min</t>
  </si>
  <si>
    <t>AAA Max</t>
  </si>
  <si>
    <t>B Minimum</t>
  </si>
  <si>
    <t>Very Low Risk</t>
  </si>
  <si>
    <t>Low Risk</t>
  </si>
  <si>
    <t>Intermediate</t>
  </si>
  <si>
    <t>Moderate Risk</t>
  </si>
  <si>
    <t>High Risk</t>
  </si>
  <si>
    <t>Very High Risk</t>
  </si>
  <si>
    <t>UK-SPECIFIC MMA PARAMETERS</t>
  </si>
  <si>
    <t>MMA Category:</t>
  </si>
  <si>
    <t>AAA Anchor:</t>
  </si>
  <si>
    <t>B Minimum:</t>
  </si>
  <si>
    <t>LTV Curve Type:</t>
  </si>
  <si>
    <t>Type 2</t>
  </si>
  <si>
    <t>Full Recourse:</t>
  </si>
  <si>
    <t>Yes</t>
  </si>
  <si>
    <t>INTERPOLATED FF BY RATING</t>
  </si>
  <si>
    <t>Rating</t>
  </si>
  <si>
    <t>Rating Factor</t>
  </si>
  <si>
    <t>Foreclosure Frequency</t>
  </si>
  <si>
    <t>B</t>
  </si>
  <si>
    <t>BB</t>
  </si>
  <si>
    <t>BBB</t>
  </si>
  <si>
    <t>A</t>
  </si>
  <si>
    <t>AA</t>
  </si>
  <si>
    <t>AAA</t>
  </si>
  <si>
    <t>LTV ADJUSTMENT CURVES</t>
  </si>
  <si>
    <t>Source: Global Methodology Pages 10-13; Europe Supplement Pages 7636-7671</t>
  </si>
  <si>
    <t>UK LTV Curve Type:</t>
  </si>
  <si>
    <t>Type 2 (Full Recourse)</t>
  </si>
  <si>
    <t>COMBINED LTV FORMULA</t>
  </si>
  <si>
    <t>Combined LTV = (OLTV Weight ? OLTV) + (CLTV Weight ? CLTV)</t>
  </si>
  <si>
    <t>OLTV Weight:</t>
  </si>
  <si>
    <t>CLTV Weight:</t>
  </si>
  <si>
    <t>UK TYPE 2 LTV ADJUSTMENT CURVE</t>
  </si>
  <si>
    <t>Combined LTV</t>
  </si>
  <si>
    <t>Adjustment Factor</t>
  </si>
  <si>
    <t>Notes</t>
  </si>
  <si>
    <t>Floor</t>
  </si>
  <si>
    <t>NEUTRAL</t>
  </si>
  <si>
    <t>Cap</t>
  </si>
  <si>
    <t>Cap continues</t>
  </si>
  <si>
    <t>AFFORDABILITY (DTI) ADJUSTMENT FACTORS</t>
  </si>
  <si>
    <t>Source: Global Methodology Pages 13-14; Europe Supplement Pages 7733-7810</t>
  </si>
  <si>
    <t>Neutral Point (UK):</t>
  </si>
  <si>
    <t>DTI = 35%</t>
  </si>
  <si>
    <t>DTI</t>
  </si>
  <si>
    <t>NOTE: For BTL loans underwritten on DSCR only, DTI adjustment does NOT apply.</t>
  </si>
  <si>
    <t>SEASONING ADJUSTMENT FACTORS</t>
  </si>
  <si>
    <t>Source: Global Methodology Pages 14-15; Europe Supplement Pages 7890-7972</t>
  </si>
  <si>
    <t>KEY RULE: Seasoning credit ONLY applies to CURRENTLY PERFORMING loans</t>
  </si>
  <si>
    <t>Loan Age (Years)</t>
  </si>
  <si>
    <t>No credit &lt;5 years</t>
  </si>
  <si>
    <t>Credit starts</t>
  </si>
  <si>
    <t>APPLICATION CONDITIONS:</t>
  </si>
  <si>
    <t>1. Loan must be currently performing (0 days past due)</t>
  </si>
  <si>
    <t>2. If loan in arrears, factor = 1.00 (no credit)</t>
  </si>
  <si>
    <t>3. If loan was modified, seasoning resets to modification date</t>
  </si>
  <si>
    <t>4. Minimum floor: 0.65 (12+ years)</t>
  </si>
  <si>
    <t>EMPLOYMENT STATUS ADJUSTMENT FACTORS</t>
  </si>
  <si>
    <t>Source: Global Methodology Page 15; Europe Supplement Pages 7972-8000</t>
  </si>
  <si>
    <t>Employment Status</t>
  </si>
  <si>
    <t>Employed (PAYE)</t>
  </si>
  <si>
    <t>Archetypal</t>
  </si>
  <si>
    <t>Self-Employed (Good Doc)</t>
  </si>
  <si>
    <t>Full accounts/SA302</t>
  </si>
  <si>
    <t>Self-Employed (Ltd Doc)</t>
  </si>
  <si>
    <t>Limited verification</t>
  </si>
  <si>
    <t>Contractor (Regular)</t>
  </si>
  <si>
    <t>Contract history</t>
  </si>
  <si>
    <t>Pensioner</t>
  </si>
  <si>
    <t>If &gt;10% concentration</t>
  </si>
  <si>
    <t>Unemployed at Orig</t>
  </si>
  <si>
    <t>If &gt;5% concentration</t>
  </si>
  <si>
    <t>Unknown/Not Stated</t>
  </si>
  <si>
    <t>Data quality issue</t>
  </si>
  <si>
    <t>NOTE: For BTL loans underwritten on DSCR only, employment adjustment does NOT apply.</t>
  </si>
  <si>
    <t>OCCUPANCY STATUS ADJUSTMENT FACTORS</t>
  </si>
  <si>
    <t>Source: Global Methodology Page 15, Paragraphs 64-66; Europe Supplement</t>
  </si>
  <si>
    <t>STANDARD OCCUPANCY ADJUSTMENTS</t>
  </si>
  <si>
    <t>Occupancy Type</t>
  </si>
  <si>
    <t>Owner-Occupied</t>
  </si>
  <si>
    <t>Second Home</t>
  </si>
  <si>
    <t>BTL - Full Recourse</t>
  </si>
  <si>
    <t>Income underwritten</t>
  </si>
  <si>
    <t>BTL DSCR-ONLY ADJUSTMENTS</t>
  </si>
  <si>
    <t>DSCR Range</t>
  </si>
  <si>
    <t>Risk Assessment</t>
  </si>
  <si>
    <t>≥145%</t>
  </si>
  <si>
    <t>Adequate coverage</t>
  </si>
  <si>
    <t>125% - &lt;145%</t>
  </si>
  <si>
    <t>Moderate coverage</t>
  </si>
  <si>
    <t>110% - &lt;125%</t>
  </si>
  <si>
    <t>Weak coverage</t>
  </si>
  <si>
    <t>&lt;110%</t>
  </si>
  <si>
    <t>Very weak coverage</t>
  </si>
  <si>
    <t>CRITICAL: For BTL DSCR-only loans, the following adjustments do NOT apply:</t>
  </si>
  <si>
    <t>• DTI adjustment</t>
  </si>
  <si>
    <t>• Employment status adjustment</t>
  </si>
  <si>
    <t>CREDIT HISTORY ADJUSTMENT FACTORS (UK CCJ-BASED)</t>
  </si>
  <si>
    <t>Source: Europe Supplement Pages 8080-8106</t>
  </si>
  <si>
    <t>CCJ BASE FACTOR TABLE</t>
  </si>
  <si>
    <t>CCJ Count</t>
  </si>
  <si>
    <t>&lt;24 Months</t>
  </si>
  <si>
    <t>24-48 Months</t>
  </si>
  <si>
    <t>&gt;48 Months</t>
  </si>
  <si>
    <t>0 (Clean)</t>
  </si>
  <si>
    <t>3+</t>
  </si>
  <si>
    <t>SATISFIED CCJ DISCOUNT</t>
  </si>
  <si>
    <t>If CCJ satisfied, multiply base factor by:</t>
  </si>
  <si>
    <t>CCJ VALUE LOADING</t>
  </si>
  <si>
    <t>CCJ Value Range</t>
  </si>
  <si>
    <t>Additional Loading</t>
  </si>
  <si>
    <t>&lt;£1,000</t>
  </si>
  <si>
    <t>£1,000 - £5,000</t>
  </si>
  <si>
    <t>£5,000 - £10,000</t>
  </si>
  <si>
    <t>&gt;£10,000</t>
  </si>
  <si>
    <t>BANKRUPTCY/IVA HISTORY</t>
  </si>
  <si>
    <t>Status</t>
  </si>
  <si>
    <t>Factor</t>
  </si>
  <si>
    <t>Discharged &lt;3 years</t>
  </si>
  <si>
    <t>Discharged 3-5 years</t>
  </si>
  <si>
    <t>Discharged &gt;5 years</t>
  </si>
  <si>
    <t>Current/Undischarged</t>
  </si>
  <si>
    <t>MARKET VALUE DECLINE (MVD) PARAMETERS</t>
  </si>
  <si>
    <t>Source: Global Methodology Pages 20-22; Europe Supplement Pages 8106-8154</t>
  </si>
  <si>
    <t>REPO MVD FORMULA:</t>
  </si>
  <si>
    <t>Repo_MVD = 1 - [1 - (Fixed_MVD ± %O/U ? O/U)] ? (1 - FSD)</t>
  </si>
  <si>
    <t>UK MVD PARAMETERS BY RATING</t>
  </si>
  <si>
    <t>Fixed MVD</t>
  </si>
  <si>
    <t>%O/U (Over)</t>
  </si>
  <si>
    <t>%O/U (Under)</t>
  </si>
  <si>
    <t>FSD</t>
  </si>
  <si>
    <t>Repo MVD (Neutral)</t>
  </si>
  <si>
    <t>CURRENT UK OVER/UNDERVALUATION ASSESSMENT</t>
  </si>
  <si>
    <t>Current O/U (%):</t>
  </si>
  <si>
    <t>Assessment Date:</t>
  </si>
  <si>
    <t>Source:</t>
  </si>
  <si>
    <t>ONS/Halifax/Nationwide</t>
  </si>
  <si>
    <t>UK JUMBO PROPERTY THRESHOLDS</t>
  </si>
  <si>
    <t>Region</t>
  </si>
  <si>
    <t>Threshold</t>
  </si>
  <si>
    <t>London</t>
  </si>
  <si>
    <t>South East</t>
  </si>
  <si>
    <t>Other UK</t>
  </si>
  <si>
    <t>FORECLOSURE COSTS AND TIMELINE PARAMETERS</t>
  </si>
  <si>
    <t>Source: Global Methodology Pages 22-23; Europe Supplement</t>
  </si>
  <si>
    <t>UK FORECLOSURE COST STRUCTURE</t>
  </si>
  <si>
    <t>Fixed Costs:</t>
  </si>
  <si>
    <t>Variable Rate:</t>
  </si>
  <si>
    <t>Formula:</t>
  </si>
  <si>
    <t>Costs = £3,000 + (5% ? Distressed Property Value)</t>
  </si>
  <si>
    <t>UK FORECLOSURE TIMELINE</t>
  </si>
  <si>
    <t>Standard Period:</t>
  </si>
  <si>
    <t>months</t>
  </si>
  <si>
    <t>REGIONAL VARIATIONS</t>
  </si>
  <si>
    <t>Fixed Cost</t>
  </si>
  <si>
    <t>Variable %</t>
  </si>
  <si>
    <t>Period (months)</t>
  </si>
  <si>
    <t>England/Wales</t>
  </si>
  <si>
    <t>Scotland</t>
  </si>
  <si>
    <t>Northern Ireland</t>
  </si>
  <si>
    <t>ACCRUED INTEREST</t>
  </si>
  <si>
    <t>Accrued Interest = Loan Balance ? Rate ? (Period/12)</t>
  </si>
  <si>
    <t>Include Accrued Interest:</t>
  </si>
  <si>
    <t>Loan_ID</t>
  </si>
  <si>
    <t>Cut_Off_Date</t>
  </si>
  <si>
    <t>Origination_Date</t>
  </si>
  <si>
    <t>Original_Balance</t>
  </si>
  <si>
    <t>Current_Balance</t>
  </si>
  <si>
    <t>Original_Property_Value</t>
  </si>
  <si>
    <t>Current_Property_Value</t>
  </si>
  <si>
    <t>Valuation_Date</t>
  </si>
  <si>
    <t>Original_LTV</t>
  </si>
  <si>
    <t>Current_LTV</t>
  </si>
  <si>
    <t>Interest_Rate_Type</t>
  </si>
  <si>
    <t>Current_Interest_Rate</t>
  </si>
  <si>
    <t>Interest_Rate_Margin</t>
  </si>
  <si>
    <t>Rate_Index</t>
  </si>
  <si>
    <t>Rate_Reset_Date</t>
  </si>
  <si>
    <t>Repayment_Type</t>
  </si>
  <si>
    <t>IO_End_Date</t>
  </si>
  <si>
    <t>Original_Term_Months</t>
  </si>
  <si>
    <t>Remaining_Term_Months</t>
  </si>
  <si>
    <t>Maturity_Date</t>
  </si>
  <si>
    <t>Loan_Purpose</t>
  </si>
  <si>
    <t>Property_Type</t>
  </si>
  <si>
    <t>Occupancy_Type</t>
  </si>
  <si>
    <t>Postcode</t>
  </si>
  <si>
    <t>Borrower_Count</t>
  </si>
  <si>
    <t>Employment_Type</t>
  </si>
  <si>
    <t>Income_Verification</t>
  </si>
  <si>
    <t>Annual_Income</t>
  </si>
  <si>
    <t>DTI_Ratio</t>
  </si>
  <si>
    <t>First_Time_Buyer</t>
  </si>
  <si>
    <t>CCJ_Count</t>
  </si>
  <si>
    <t>CCJ_Most_Recent_Months</t>
  </si>
  <si>
    <t>CCJ_Satisfied</t>
  </si>
  <si>
    <t>CCJ_Total_Value</t>
  </si>
  <si>
    <t>Bankruptcy_Flag</t>
  </si>
  <si>
    <t>Bankruptcy_Discharge_Years</t>
  </si>
  <si>
    <t>Arrears_Status</t>
  </si>
  <si>
    <t>Days_Past_Due</t>
  </si>
  <si>
    <t>Months_In_Arrears</t>
  </si>
  <si>
    <t>Was_Modified</t>
  </si>
  <si>
    <t>Modification_Date</t>
  </si>
  <si>
    <t>Modification_Type</t>
  </si>
  <si>
    <t>Originator</t>
  </si>
  <si>
    <t>Servicer</t>
  </si>
  <si>
    <t>Lien_Position</t>
  </si>
  <si>
    <t>Is_BTL_DSCR_Only</t>
  </si>
  <si>
    <t>DSCR</t>
  </si>
  <si>
    <t>Is_New_Build</t>
  </si>
  <si>
    <t>Remaining_Lease_Years</t>
  </si>
  <si>
    <t>Is_Right_To_Buy</t>
  </si>
  <si>
    <t>Help_To_Buy_Flag</t>
  </si>
  <si>
    <t>Loan_Age_Years</t>
  </si>
  <si>
    <t>Indexed_Property_Value</t>
  </si>
  <si>
    <t>Indexed_LTV</t>
  </si>
  <si>
    <t>Combined_LTV</t>
  </si>
  <si>
    <t>Analysis_LTV</t>
  </si>
  <si>
    <t>SAMPLE001</t>
  </si>
  <si>
    <t>Fixed</t>
  </si>
  <si>
    <t>Repayment</t>
  </si>
  <si>
    <t>Purchase</t>
  </si>
  <si>
    <t>House - Semi-Detached</t>
  </si>
  <si>
    <t>Employed</t>
  </si>
  <si>
    <t>Full</t>
  </si>
  <si>
    <t>No</t>
  </si>
  <si>
    <t>Current</t>
  </si>
  <si>
    <t>First</t>
  </si>
  <si>
    <t>FORECLOSURE FREQUENCY ADJUSTMENT FACTORS</t>
  </si>
  <si>
    <t>LTV_Adj</t>
  </si>
  <si>
    <t>DTI_Adj</t>
  </si>
  <si>
    <t>Seasoning_Adj</t>
  </si>
  <si>
    <t>Employment_Adj</t>
  </si>
  <si>
    <t>Security_Adj</t>
  </si>
  <si>
    <t>Occupancy_Adj</t>
  </si>
  <si>
    <t>Purpose_Adj</t>
  </si>
  <si>
    <t>Product_Adj</t>
  </si>
  <si>
    <t>Arrears_Adj</t>
  </si>
  <si>
    <t>Credit_History_Adj</t>
  </si>
  <si>
    <t>Geographic_Adj</t>
  </si>
  <si>
    <t>Term_Adj</t>
  </si>
  <si>
    <t>Residency_Adj</t>
  </si>
  <si>
    <t>Other_Adj</t>
  </si>
  <si>
    <t>Combined_Adj</t>
  </si>
  <si>
    <t>Capped_Adj</t>
  </si>
  <si>
    <t>LOAN-LEVEL FORECLOSURE FREQUENCY BY RATING</t>
  </si>
  <si>
    <t>FF_AAA</t>
  </si>
  <si>
    <t>FF_AA</t>
  </si>
  <si>
    <t>FF_A</t>
  </si>
  <si>
    <t>FF_BBB</t>
  </si>
  <si>
    <t>FF_BB</t>
  </si>
  <si>
    <t>FF_B</t>
  </si>
  <si>
    <t>LOAN-LEVEL LOSS SEVERITY BY RATING</t>
  </si>
  <si>
    <t>MVD_AAA</t>
  </si>
  <si>
    <t>MVD_AA</t>
  </si>
  <si>
    <t>MVD_A</t>
  </si>
  <si>
    <t>MVD_BBB</t>
  </si>
  <si>
    <t>MVD_BB</t>
  </si>
  <si>
    <t>MVD_B</t>
  </si>
  <si>
    <t>Distressed_Value_AAA</t>
  </si>
  <si>
    <t>Foreclosure_Costs</t>
  </si>
  <si>
    <t>Accrued_Interest</t>
  </si>
  <si>
    <t>LS_AAA</t>
  </si>
  <si>
    <t>LS_AA</t>
  </si>
  <si>
    <t>LS_A</t>
  </si>
  <si>
    <t>LS_BBB</t>
  </si>
  <si>
    <t>LS_BB</t>
  </si>
  <si>
    <t>LS_B</t>
  </si>
  <si>
    <t>EXPECTED LOSS CALCULATION</t>
  </si>
  <si>
    <t>POOL WAFF BY RATING</t>
  </si>
  <si>
    <t>Archetypal FF</t>
  </si>
  <si>
    <t>Sum(FF?Bal)</t>
  </si>
  <si>
    <t>Total Bal</t>
  </si>
  <si>
    <t>WAFF</t>
  </si>
  <si>
    <t>POOL WALS BY RATING</t>
  </si>
  <si>
    <t>Sum(LS?Bal)</t>
  </si>
  <si>
    <t>WALS</t>
  </si>
  <si>
    <t>Final WALS</t>
  </si>
  <si>
    <t>EXPECTED LOSS BY RATING</t>
  </si>
  <si>
    <t>Expected Loss</t>
  </si>
  <si>
    <t>Pool Balance</t>
  </si>
  <si>
    <t>EL Amount</t>
  </si>
  <si>
    <t>POOL SUMMARY</t>
  </si>
  <si>
    <t>POOL OVERVIEW</t>
  </si>
  <si>
    <t>Number of Loans:</t>
  </si>
  <si>
    <t>Total Current Balance:</t>
  </si>
  <si>
    <t>Average Loan Size:</t>
  </si>
  <si>
    <t>Largest Loan:</t>
  </si>
  <si>
    <t>WEIGHTED AVERAGE CHARACTERISTICS</t>
  </si>
  <si>
    <t>WA Original LTV:</t>
  </si>
  <si>
    <t>-</t>
  </si>
  <si>
    <t>WA Current LTV:</t>
  </si>
  <si>
    <t>WA DTI:</t>
  </si>
  <si>
    <t>WA Seasoning (months):</t>
  </si>
  <si>
    <t>WA Interest Rate:</t>
  </si>
  <si>
    <t>CREDIT METRICS BY RATING</t>
  </si>
  <si>
    <t>Required CE</t>
  </si>
  <si>
    <t>S&amp;P RMBS CREDIT ANALYSIS MODEL</t>
  </si>
  <si>
    <t>UK Implementation - Version 3.0</t>
  </si>
  <si>
    <t>MODEL INFORMATION</t>
  </si>
  <si>
    <t>Model Version:</t>
  </si>
  <si>
    <t>Build Date:</t>
  </si>
  <si>
    <t>Methodology:</t>
  </si>
  <si>
    <t>S&amp;P Global (Jan 2019 + Apr 2024 Supplement)</t>
  </si>
  <si>
    <t>TRANSACTION DETAILS</t>
  </si>
  <si>
    <t>Transaction Name:</t>
  </si>
  <si>
    <t>Analysis Date:</t>
  </si>
  <si>
    <t>Cut-off Date:</t>
  </si>
  <si>
    <t>Jurisdiction:</t>
  </si>
  <si>
    <t>UK</t>
  </si>
  <si>
    <t>Currency:</t>
  </si>
  <si>
    <t>GBP</t>
  </si>
  <si>
    <t>Analyst:</t>
  </si>
  <si>
    <t>MODEL STATUS</t>
  </si>
  <si>
    <t>Configuration:</t>
  </si>
  <si>
    <t>Ready</t>
  </si>
  <si>
    <t>Data Loaded:</t>
  </si>
  <si>
    <t>Pending</t>
  </si>
  <si>
    <t>Validation:</t>
  </si>
  <si>
    <t>Last Run:</t>
  </si>
  <si>
    <t>N/A</t>
  </si>
  <si>
    <t>KEY RESULTS (AAA STRESS)</t>
  </si>
  <si>
    <t>Pool WAFF:</t>
  </si>
  <si>
    <t>Pool WALS:</t>
  </si>
  <si>
    <t>Expected Loss:</t>
  </si>
  <si>
    <t>Required CE:</t>
  </si>
  <si>
    <t>Click button to run analysis:</t>
  </si>
  <si>
    <t>DATA VALIDATION RESULTS</t>
  </si>
  <si>
    <t>Loans in tape: 1</t>
  </si>
  <si>
    <t>Raw pool balance: £180,000</t>
  </si>
  <si>
    <t>Validation Errors Found: 0</t>
  </si>
  <si>
    <t>Critical Errors: 0</t>
  </si>
  <si>
    <t>CALCULATION SUMMARY</t>
  </si>
  <si>
    <t>AAA Archetypal FF:</t>
  </si>
  <si>
    <t>Calculated WAFF (AAA):</t>
  </si>
  <si>
    <t>Calculated WALS (AAA):</t>
  </si>
  <si>
    <t>Expected Loss (AAA):</t>
  </si>
  <si>
    <t>Required CE (AAA):</t>
  </si>
  <si>
    <t>Report Generated:</t>
  </si>
  <si>
    <t>CREDIT ENHANCEMENT REQUIREMENTS</t>
  </si>
  <si>
    <t>Stress Buffer</t>
  </si>
  <si>
    <t>Base CE</t>
  </si>
  <si>
    <t>Minimum Floor</t>
  </si>
  <si>
    <t>POOL-LEVEL ADJUSTMENTS</t>
  </si>
  <si>
    <t>GEOGRAPHIC CONCENTRATION ANALYSIS</t>
  </si>
  <si>
    <t>Balance</t>
  </si>
  <si>
    <t>% of Pool</t>
  </si>
  <si>
    <t>Excess</t>
  </si>
  <si>
    <t>Adjustment</t>
  </si>
  <si>
    <t>ERROR</t>
  </si>
  <si>
    <t>RunFullAnalysis</t>
  </si>
  <si>
    <t>429: ActiveX component can't create object</t>
  </si>
  <si>
    <t>Run Date: 19-Jan-2026 23:28:47</t>
  </si>
  <si>
    <t>UK00001</t>
  </si>
  <si>
    <t>Tracker</t>
  </si>
  <si>
    <t>SONIA</t>
  </si>
  <si>
    <t>Interest-Only</t>
  </si>
  <si>
    <t>Home Improvement</t>
  </si>
  <si>
    <t>Buy-to-Let</t>
  </si>
  <si>
    <t>DE3 3RQ</t>
  </si>
  <si>
    <t>Self-Employed</t>
  </si>
  <si>
    <t>Building Society C</t>
  </si>
  <si>
    <t>Servicer X</t>
  </si>
  <si>
    <t>UK00002</t>
  </si>
  <si>
    <t>Remortgage</t>
  </si>
  <si>
    <t>House - Terraced</t>
  </si>
  <si>
    <t>West Midlands</t>
  </si>
  <si>
    <t>SS3 5IE</t>
  </si>
  <si>
    <t>90+ Days</t>
  </si>
  <si>
    <t>Bank A</t>
  </si>
  <si>
    <t>UK00003</t>
  </si>
  <si>
    <t>Further Advance</t>
  </si>
  <si>
    <t>Flat/Maisonette</t>
  </si>
  <si>
    <t>Yorkshire and Humber</t>
  </si>
  <si>
    <t>KW15 7BE</t>
  </si>
  <si>
    <t>Unemployed</t>
  </si>
  <si>
    <t>UK00004</t>
  </si>
  <si>
    <t>SVR</t>
  </si>
  <si>
    <t>YO17 7RI</t>
  </si>
  <si>
    <t>Servicer Z</t>
  </si>
  <si>
    <t>UK00005</t>
  </si>
  <si>
    <t>East of England</t>
  </si>
  <si>
    <t>SS7 5BP</t>
  </si>
  <si>
    <t>UK00006</t>
  </si>
  <si>
    <t>House - Detached</t>
  </si>
  <si>
    <t>North West</t>
  </si>
  <si>
    <t>DY10 5MB</t>
  </si>
  <si>
    <t>Specialist Lender D</t>
  </si>
  <si>
    <t>UK00007</t>
  </si>
  <si>
    <t>Floating</t>
  </si>
  <si>
    <t>Part &amp; Part</t>
  </si>
  <si>
    <t>BD20 6YR</t>
  </si>
  <si>
    <t>Bank B</t>
  </si>
  <si>
    <t>Servicer Y</t>
  </si>
  <si>
    <t>UK00008</t>
  </si>
  <si>
    <t>KT20 2TV</t>
  </si>
  <si>
    <t>UK00009</t>
  </si>
  <si>
    <t>NG5 1IK</t>
  </si>
  <si>
    <t>Specialist Lender E</t>
  </si>
  <si>
    <t>UK00010</t>
  </si>
  <si>
    <t>LD8 1NY</t>
  </si>
  <si>
    <t>Limited</t>
  </si>
  <si>
    <t>UK00011</t>
  </si>
  <si>
    <t>Wales</t>
  </si>
  <si>
    <t>DL3 7BC</t>
  </si>
  <si>
    <t>Capitalization</t>
  </si>
  <si>
    <t>UK00012</t>
  </si>
  <si>
    <t>BT14 7HK</t>
  </si>
  <si>
    <t>UK00013</t>
  </si>
  <si>
    <t>HG9 5HZ</t>
  </si>
  <si>
    <t>UK00014</t>
  </si>
  <si>
    <t>BL20 9UJ</t>
  </si>
  <si>
    <t>UK00015</t>
  </si>
  <si>
    <t>SR17 2JP</t>
  </si>
  <si>
    <t>UK00016</t>
  </si>
  <si>
    <t>LA4 8ZE</t>
  </si>
  <si>
    <t>UK00017</t>
  </si>
  <si>
    <t>Cash-Out</t>
  </si>
  <si>
    <t>CR10 9WL</t>
  </si>
  <si>
    <t>UK00018</t>
  </si>
  <si>
    <t>KT10 3EE</t>
  </si>
  <si>
    <t>61-90 Days</t>
  </si>
  <si>
    <t>UK00019</t>
  </si>
  <si>
    <t>YO15 2CZ</t>
  </si>
  <si>
    <t>UK00020</t>
  </si>
  <si>
    <t>LE14 4YB</t>
  </si>
  <si>
    <t>Second</t>
  </si>
  <si>
    <t>UK00021</t>
  </si>
  <si>
    <t>CM7 6UY</t>
  </si>
  <si>
    <t>UK00022</t>
  </si>
  <si>
    <t>Bungalow</t>
  </si>
  <si>
    <t>SG6 6IJ</t>
  </si>
  <si>
    <t>UK00023</t>
  </si>
  <si>
    <t>M11 6VF</t>
  </si>
  <si>
    <t>UK00024</t>
  </si>
  <si>
    <t>DY5 3XY</t>
  </si>
  <si>
    <t>UK00025</t>
  </si>
  <si>
    <t>HA16 8EG</t>
  </si>
  <si>
    <t>UK00026</t>
  </si>
  <si>
    <t>CB5 8ML</t>
  </si>
  <si>
    <t>1-30 Days</t>
  </si>
  <si>
    <t>UK00027</t>
  </si>
  <si>
    <t>LD16 7WG</t>
  </si>
  <si>
    <t>UK00028</t>
  </si>
  <si>
    <t>IV16 4AO</t>
  </si>
  <si>
    <t>UK00029</t>
  </si>
  <si>
    <t>East Midlands</t>
  </si>
  <si>
    <t>S11 2IZ</t>
  </si>
  <si>
    <t>UK00030</t>
  </si>
  <si>
    <t>Debt Consolidation</t>
  </si>
  <si>
    <t>AL7 2TB</t>
  </si>
  <si>
    <t>UK00031</t>
  </si>
  <si>
    <t>SR10 7QU</t>
  </si>
  <si>
    <t>UK00032</t>
  </si>
  <si>
    <t>TD9 5LM</t>
  </si>
  <si>
    <t>UK00033</t>
  </si>
  <si>
    <t>NN4 5OK</t>
  </si>
  <si>
    <t>UK00034</t>
  </si>
  <si>
    <t>EN18 8ZO</t>
  </si>
  <si>
    <t>UK00035</t>
  </si>
  <si>
    <t>BD13 2JZ</t>
  </si>
  <si>
    <t>Contractor</t>
  </si>
  <si>
    <t>UK00036</t>
  </si>
  <si>
    <t>SA18 4WM</t>
  </si>
  <si>
    <t>31-60 Days</t>
  </si>
  <si>
    <t>UK00037</t>
  </si>
  <si>
    <t>BB18 2XQ</t>
  </si>
  <si>
    <t>UK00038</t>
  </si>
  <si>
    <t>AB13 4BQ</t>
  </si>
  <si>
    <t>UK00039</t>
  </si>
  <si>
    <t>DY16 9YJ</t>
  </si>
  <si>
    <t>UK00040</t>
  </si>
  <si>
    <t>NE13 1WQ</t>
  </si>
  <si>
    <t>UK00041</t>
  </si>
  <si>
    <t>WD1 1QL</t>
  </si>
  <si>
    <t>UK00042</t>
  </si>
  <si>
    <t>IV19 6WN</t>
  </si>
  <si>
    <t>UK00043</t>
  </si>
  <si>
    <t>South West</t>
  </si>
  <si>
    <t>FY12 1HJ</t>
  </si>
  <si>
    <t>UK00044</t>
  </si>
  <si>
    <t>LL15 1TI</t>
  </si>
  <si>
    <t>UK00045</t>
  </si>
  <si>
    <t>BB9 4CK</t>
  </si>
  <si>
    <t>Term Extension</t>
  </si>
  <si>
    <t>UK00046</t>
  </si>
  <si>
    <t>PH2 5XK</t>
  </si>
  <si>
    <t>UK00047</t>
  </si>
  <si>
    <t>CB9 6IA</t>
  </si>
  <si>
    <t>UK00048</t>
  </si>
  <si>
    <t>LA10 8FC</t>
  </si>
  <si>
    <t>UK00049</t>
  </si>
  <si>
    <t>LL19 3YX</t>
  </si>
  <si>
    <t>UK00050</t>
  </si>
  <si>
    <t>KW6 7IQ</t>
  </si>
  <si>
    <t>UK00051</t>
  </si>
  <si>
    <t>NW9 6AN</t>
  </si>
  <si>
    <t>UK00052</t>
  </si>
  <si>
    <t>WD15 4RQ</t>
  </si>
  <si>
    <t>UK00053</t>
  </si>
  <si>
    <t>LD13 3XL</t>
  </si>
  <si>
    <t>UK00054</t>
  </si>
  <si>
    <t>BB12 9RE</t>
  </si>
  <si>
    <t>UK00055</t>
  </si>
  <si>
    <t>WN4 1TG</t>
  </si>
  <si>
    <t>UK00056</t>
  </si>
  <si>
    <t>DD5 1RR</t>
  </si>
  <si>
    <t>UK00057</t>
  </si>
  <si>
    <t>S2 8PY</t>
  </si>
  <si>
    <t>UK00058</t>
  </si>
  <si>
    <t>HG20 2CD</t>
  </si>
  <si>
    <t>UK00059</t>
  </si>
  <si>
    <t>W17 6EL</t>
  </si>
  <si>
    <t>UK00060</t>
  </si>
  <si>
    <t>NE19 8FI</t>
  </si>
  <si>
    <t>UK00061</t>
  </si>
  <si>
    <t>PR20 1IH</t>
  </si>
  <si>
    <t>UK00062</t>
  </si>
  <si>
    <t>NG14 6HI</t>
  </si>
  <si>
    <t>UK00063</t>
  </si>
  <si>
    <t>ML18 4VP</t>
  </si>
  <si>
    <t>UK00064</t>
  </si>
  <si>
    <t>PA7 1HM</t>
  </si>
  <si>
    <t>UK00065</t>
  </si>
  <si>
    <t>PH2 4FS</t>
  </si>
  <si>
    <t>UK00066</t>
  </si>
  <si>
    <t>NW16 3PU</t>
  </si>
  <si>
    <t>UK00067</t>
  </si>
  <si>
    <t>CF14 8VE</t>
  </si>
  <si>
    <t>UK00068</t>
  </si>
  <si>
    <t>LS6 8DD</t>
  </si>
  <si>
    <t>UK00069</t>
  </si>
  <si>
    <t>ZE16 6RS</t>
  </si>
  <si>
    <t>UK00070</t>
  </si>
  <si>
    <t>BD20 9MX</t>
  </si>
  <si>
    <t>UK00071</t>
  </si>
  <si>
    <t>TS8 8NA</t>
  </si>
  <si>
    <t>UK00072</t>
  </si>
  <si>
    <t>LS4 8OH</t>
  </si>
  <si>
    <t>UK00073</t>
  </si>
  <si>
    <t>PH7 1MD</t>
  </si>
  <si>
    <t>UK00074</t>
  </si>
  <si>
    <t>BB16 6AZ</t>
  </si>
  <si>
    <t>UK00075</t>
  </si>
  <si>
    <t>FY14 3EP</t>
  </si>
  <si>
    <t>UK00076</t>
  </si>
  <si>
    <t>DG10 6ZZ</t>
  </si>
  <si>
    <t>UK00077</t>
  </si>
  <si>
    <t>WD3 9VP</t>
  </si>
  <si>
    <t>UK00078</t>
  </si>
  <si>
    <t>BB16 1FH</t>
  </si>
  <si>
    <t>UK00079</t>
  </si>
  <si>
    <t>NP20 7RO</t>
  </si>
  <si>
    <t>Retired</t>
  </si>
  <si>
    <t>UK00080</t>
  </si>
  <si>
    <t>DY1 1NZ</t>
  </si>
  <si>
    <t>UK00081</t>
  </si>
  <si>
    <t>UB20 1ZY</t>
  </si>
  <si>
    <t>UK00082</t>
  </si>
  <si>
    <t>NP3 8XK</t>
  </si>
  <si>
    <t>UK00083</t>
  </si>
  <si>
    <t>SA20 2XN</t>
  </si>
  <si>
    <t>UK00084</t>
  </si>
  <si>
    <t>WV19 2DE</t>
  </si>
  <si>
    <t>UK00085</t>
  </si>
  <si>
    <t>North East</t>
  </si>
  <si>
    <t>SK6 5WV</t>
  </si>
  <si>
    <t>UK00086</t>
  </si>
  <si>
    <t>N17 5EY</t>
  </si>
  <si>
    <t>UK00087</t>
  </si>
  <si>
    <t>DD9 2JN</t>
  </si>
  <si>
    <t>UK00088</t>
  </si>
  <si>
    <t>HA18 2VJ</t>
  </si>
  <si>
    <t>UK00089</t>
  </si>
  <si>
    <t>EH16 1BR</t>
  </si>
  <si>
    <t>UK00090</t>
  </si>
  <si>
    <t>FK10 7WT</t>
  </si>
  <si>
    <t>UK00091</t>
  </si>
  <si>
    <t>PH12 2VK</t>
  </si>
  <si>
    <t>UK00092</t>
  </si>
  <si>
    <t>KY10 5HV</t>
  </si>
  <si>
    <t>UK00093</t>
  </si>
  <si>
    <t>KA4 1RZ</t>
  </si>
  <si>
    <t>UK00094</t>
  </si>
  <si>
    <t>HP5 3JW</t>
  </si>
  <si>
    <t>UK00095</t>
  </si>
  <si>
    <t>NG11 8MZ</t>
  </si>
  <si>
    <t>UK00096</t>
  </si>
  <si>
    <t>LL16 3HU</t>
  </si>
  <si>
    <t>UK00097</t>
  </si>
  <si>
    <t>EH8 1EP</t>
  </si>
  <si>
    <t>UK00098</t>
  </si>
  <si>
    <t>HG10 5LP</t>
  </si>
  <si>
    <t>UK00099</t>
  </si>
  <si>
    <t>W6 6RN</t>
  </si>
  <si>
    <t>UK00100</t>
  </si>
  <si>
    <t>UB5 8KB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</si>
</sst>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\£#,##0"/>
    <numFmt numFmtId="166" formatCode="dd\-mmm\-yyyy"/>
    <numFmt numFmtId="167" formatCode="dd\-mmm\-yyyy\ hh:mm:ss"/>
  </numFmts>
  <fonts count="17" x14ac:knownFonts="1">
    <font>
      <sz val="12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4"/>
      <color theme="1"/>
      <name val="Calibri"/>
      <family val="2"/>
    </font>
    <font>
      <b/>
      <sz val="10"/>
      <color theme="1"/>
      <name val="Calibri"/>
      <family val="2"/>
    </font>
    <font>
      <i/>
      <sz val="12"/>
      <color theme="1"/>
      <name val="Calibri"/>
      <family val="2"/>
    </font>
    <font>
      <i/>
      <sz val="10"/>
      <color theme="1"/>
      <name val="Calibri"/>
      <family val="2"/>
    </font>
    <font>
      <i/>
      <sz val="10"/>
      <color rgb="FFC00000"/>
      <name val="Calibri"/>
      <family val="2"/>
    </font>
    <font>
      <b/>
      <sz val="10"/>
      <color rgb="FFC00000"/>
      <name val="Calibri"/>
      <family val="2"/>
    </font>
    <font>
      <b/>
      <sz val="10"/>
      <color theme="1"/>
      <name val="Calibri (Body)"/>
    </font>
    <font>
      <sz val="10"/>
      <color theme="1"/>
      <name val="Calibri (Body)"/>
    </font>
    <font>
      <i/>
      <sz val="10"/>
      <color theme="1"/>
      <name val="Calibri (Body)"/>
    </font>
    <font>
      <b/>
      <sz val="10"/>
      <color rgb="FFFFFFFF"/>
      <name val="Calibri"/>
      <family val="2"/>
    </font>
    <font>
      <b/>
      <sz val="20"/>
      <color rgb="FF003366"/>
      <name val="Calibri"/>
      <family val="2"/>
    </font>
    <font>
      <b/>
      <sz val="11"/>
      <color theme="1"/>
      <name val="Calibri"/>
      <family val="2"/>
    </font>
    <font>
      <b/>
      <sz val="12"/>
      <color rgb="FF000000"/>
      <name val="Calibri"/>
      <family val="2"/>
    </font>
    <font>
      <sz val="10"/>
      <color rgb="FF008000"/>
      <name val="Calibri"/>
      <family val="2"/>
    </font>
    <font>
      <sz val="10"/>
      <color rgb="FFFF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660099"/>
        <bgColor indexed="64"/>
      </patternFill>
    </fill>
    <fill>
      <patternFill patternType="solid">
        <fgColor rgb="FFDDEBF7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003366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2" borderId="0" xfId="0" applyFont="1" applyFill="1"/>
    <xf numFmtId="10" fontId="1" fillId="0" borderId="0" xfId="0" applyNumberFormat="1" applyFont="1"/>
    <xf numFmtId="0" fontId="1" fillId="3" borderId="0" xfId="0" applyFont="1" applyFill="1"/>
    <xf numFmtId="10" fontId="1" fillId="3" borderId="0" xfId="0" applyNumberFormat="1" applyFont="1" applyFill="1"/>
    <xf numFmtId="0" fontId="5" fillId="0" borderId="0" xfId="0" applyFont="1"/>
    <xf numFmtId="9" fontId="1" fillId="0" borderId="0" xfId="0" applyNumberFormat="1" applyFont="1"/>
    <xf numFmtId="2" fontId="1" fillId="0" borderId="0" xfId="0" applyNumberFormat="1" applyFont="1"/>
    <xf numFmtId="9" fontId="1" fillId="3" borderId="0" xfId="0" applyNumberFormat="1" applyFont="1" applyFill="1"/>
    <xf numFmtId="2" fontId="1" fillId="3" borderId="0" xfId="0" applyNumberFormat="1" applyFont="1" applyFill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2" borderId="0" xfId="0" applyFont="1" applyFill="1"/>
    <xf numFmtId="164" fontId="9" fillId="0" borderId="0" xfId="0" applyNumberFormat="1" applyFont="1"/>
    <xf numFmtId="164" fontId="9" fillId="4" borderId="0" xfId="0" applyNumberFormat="1" applyFont="1" applyFill="1"/>
    <xf numFmtId="14" fontId="9" fillId="0" borderId="0" xfId="0" applyNumberFormat="1" applyFont="1"/>
    <xf numFmtId="165" fontId="9" fillId="0" borderId="0" xfId="0" applyNumberFormat="1" applyFont="1"/>
    <xf numFmtId="165" fontId="1" fillId="0" borderId="0" xfId="0" applyNumberFormat="1" applyFont="1"/>
    <xf numFmtId="164" fontId="1" fillId="0" borderId="0" xfId="0" applyNumberFormat="1" applyFont="1"/>
    <xf numFmtId="0" fontId="1" fillId="4" borderId="0" xfId="0" applyFont="1" applyFill="1"/>
    <xf numFmtId="0" fontId="11" fillId="5" borderId="0" xfId="0" applyFont="1" applyFill="1"/>
    <xf numFmtId="165" fontId="11" fillId="5" borderId="0" xfId="0" applyNumberFormat="1" applyFont="1" applyFill="1"/>
    <xf numFmtId="164" fontId="11" fillId="5" borderId="0" xfId="0" applyNumberFormat="1" applyFont="1" applyFill="1"/>
    <xf numFmtId="10" fontId="11" fillId="5" borderId="0" xfId="0" applyNumberFormat="1" applyFont="1" applyFill="1"/>
    <xf numFmtId="0" fontId="11" fillId="6" borderId="0" xfId="0" applyFont="1" applyFill="1"/>
    <xf numFmtId="14" fontId="1" fillId="0" borderId="0" xfId="0" applyNumberFormat="1" applyFont="1"/>
    <xf numFmtId="165" fontId="11" fillId="6" borderId="0" xfId="0" applyNumberFormat="1" applyFont="1" applyFill="1"/>
    <xf numFmtId="2" fontId="11" fillId="6" borderId="0" xfId="0" applyNumberFormat="1" applyFont="1" applyFill="1"/>
    <xf numFmtId="10" fontId="11" fillId="6" borderId="0" xfId="0" applyNumberFormat="1" applyFont="1" applyFill="1"/>
    <xf numFmtId="164" fontId="11" fillId="6" borderId="0" xfId="0" applyNumberFormat="1" applyFont="1" applyFill="1"/>
    <xf numFmtId="165" fontId="3" fillId="2" borderId="0" xfId="0" applyNumberFormat="1" applyFont="1" applyFill="1"/>
    <xf numFmtId="0" fontId="3" fillId="7" borderId="0" xfId="0" applyFont="1" applyFill="1"/>
    <xf numFmtId="0" fontId="1" fillId="7" borderId="0" xfId="0" applyFont="1" applyFill="1"/>
    <xf numFmtId="0" fontId="1" fillId="0" borderId="1" xfId="0" applyFont="1" applyBorder="1"/>
    <xf numFmtId="0" fontId="13" fillId="7" borderId="0" xfId="0" applyFont="1" applyFill="1"/>
    <xf numFmtId="166" fontId="1" fillId="0" borderId="0" xfId="0" applyNumberFormat="1" applyFont="1"/>
    <xf numFmtId="14" fontId="1" fillId="4" borderId="0" xfId="0" applyNumberFormat="1" applyFont="1" applyFill="1"/>
    <xf numFmtId="0" fontId="12" fillId="0" borderId="0" xfId="0" applyFont="1"/>
    <xf numFmtId="0" fontId="1" fillId="0" borderId="0" xfId="0" applyFont="1"/>
    <xf numFmtId="0" fontId="4" fillId="0" borderId="0" xfId="0" applyFont="1"/>
    <xf numFmtId="0" fontId="15" fillId="0" borderId="0" xfId="0" applyFont="1"/>
    <xf numFmtId="19" fontId="1" fillId="0" borderId="0" xfId="0" applyNumberFormat="1" applyFont="1"/>
    <xf numFmtId="167" fontId="1" fillId="0" borderId="0" xfId="0" applyNumberFormat="1" applyFont="1"/>
    <xf numFmtId="0" fontId="16" fillId="0" borderId="0" xfId="0" applyFont="1"/>
    <xf numFmtId="22" fontId="16" fillId="0" borderId="0" xfId="0" applyNumberFormat="1" applyFont="1"/>
  </cellXfs>
  <cellStyles count="1">
    <cellStyle name="Normal" xfId="0" builtinId="0"/>
  </cellStyles>
  <dxfs count="50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4" formatCode="0.0%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5" formatCode="\£#,##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rgb="FFBDD7EE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 (Body)"/>
      </font>
      <numFmt numFmtId="164" formatCode="0.0%"/>
    </dxf>
    <dxf>
      <font>
        <strike val="0"/>
        <outline val="0"/>
        <shadow val="0"/>
        <u val="none"/>
        <vertAlign val="baseline"/>
        <sz val="10"/>
        <color theme="1"/>
        <name val="Calibri (Body)"/>
      </font>
      <numFmt numFmtId="164" formatCode="0.0%"/>
    </dxf>
    <dxf>
      <font>
        <strike val="0"/>
        <outline val="0"/>
        <shadow val="0"/>
        <u val="none"/>
        <vertAlign val="baseline"/>
        <sz val="10"/>
        <color theme="1"/>
        <name val="Calibri (Body)"/>
      </font>
      <numFmt numFmtId="164" formatCode="0.0%"/>
    </dxf>
    <dxf>
      <font>
        <strike val="0"/>
        <outline val="0"/>
        <shadow val="0"/>
        <u val="none"/>
        <vertAlign val="baseline"/>
        <sz val="10"/>
        <color theme="1"/>
        <name val="Calibri (Body)"/>
      </font>
      <numFmt numFmtId="164" formatCode="0.0%"/>
    </dxf>
    <dxf>
      <font>
        <strike val="0"/>
        <outline val="0"/>
        <shadow val="0"/>
        <u val="none"/>
        <vertAlign val="baseline"/>
        <sz val="10"/>
        <color theme="1"/>
        <name val="Calibri (Body)"/>
      </font>
      <numFmt numFmtId="164" formatCode="0.0%"/>
    </dxf>
    <dxf>
      <font>
        <strike val="0"/>
        <outline val="0"/>
        <shadow val="0"/>
        <u val="none"/>
        <vertAlign val="baseline"/>
        <sz val="10"/>
        <color theme="1"/>
        <name val="Calibri (Body)"/>
      </font>
    </dxf>
    <dxf>
      <font>
        <strike val="0"/>
        <outline val="0"/>
        <shadow val="0"/>
        <u val="none"/>
        <vertAlign val="baseline"/>
        <sz val="10"/>
        <color theme="1"/>
        <name val="Calibri (Body)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(Body)"/>
        <scheme val="minor"/>
      </font>
      <fill>
        <patternFill patternType="solid">
          <fgColor indexed="64"/>
          <bgColor rgb="FFBDD7EE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rgb="FFBDD7EE"/>
        </patternFill>
      </fill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rgb="FFBDD7EE"/>
        </patternFill>
      </fill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rgb="FFBDD7EE"/>
        </patternFill>
      </fill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rgb="FFBDD7EE"/>
        </patternFill>
      </fill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rgb="FFBDD7EE"/>
        </patternFill>
      </fill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  <numFmt numFmtId="13" formatCode="0%"/>
    </dxf>
    <dxf>
      <font>
        <strike val="0"/>
        <outline val="0"/>
        <shadow val="0"/>
        <u val="none"/>
        <vertAlign val="baseline"/>
        <sz val="1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rgb="FFBDD7EE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3" formatCode="0%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rgb="FFBDD7E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29</xdr:row>
          <xdr:rowOff>0</xdr:rowOff>
        </xdr:from>
        <xdr:to>
          <xdr:col>1</xdr:col>
          <xdr:colOff>1905000</xdr:colOff>
          <xdr:row>31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Full Analysis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195401-927E-D145-93CE-AA8A866A0D94}" name="tbl_LTV_Type2" displayName="tbl_LTV_Type2" ref="A13:C33" totalsRowShown="0" headerRowDxfId="49" dataDxfId="48">
  <autoFilter ref="A13:C33" xr:uid="{B8195401-927E-D145-93CE-AA8A866A0D94}"/>
  <tableColumns count="3">
    <tableColumn id="1" xr3:uid="{98BF0EFB-66AF-C746-A4A6-3D127F493A87}" name="Combined LTV" dataDxfId="47"/>
    <tableColumn id="2" xr3:uid="{28A33870-01EC-A543-8008-9CDF64A395D7}" name="Adjustment Factor" dataDxfId="46"/>
    <tableColumn id="3" xr3:uid="{951E224E-50D2-B948-B9B4-FED15A4C026C}" name="Notes" dataDxfId="4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A230BE9-314C-5B45-9B3D-8E8FB853A93E}" name="tbl_DTI_Adjustments" displayName="tbl_DTI_Adjustments" ref="A7:C17" totalsRowShown="0" headerRowDxfId="44" dataDxfId="43">
  <autoFilter ref="A7:C17" xr:uid="{BA230BE9-314C-5B45-9B3D-8E8FB853A93E}"/>
  <tableColumns count="3">
    <tableColumn id="1" xr3:uid="{446B3FD3-EAC3-6B4F-B05A-E0512FF05A0A}" name="DTI" dataDxfId="42"/>
    <tableColumn id="2" xr3:uid="{272E73DC-B58B-F44D-B3E6-C0D9510C5D0A}" name="Adjustment Factor" dataDxfId="41"/>
    <tableColumn id="3" xr3:uid="{D816CC2A-FC70-884E-8CCD-D7543DCA811A}" name="Notes" dataDxfId="4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7BC383A-5AFF-0248-8BAF-F36C2A9DB4E4}" name="tbl_Seasoning_Adjustments" displayName="tbl_Seasoning_Adjustments" ref="A7:C20" totalsRowShown="0" headerRowDxfId="39" dataDxfId="38">
  <autoFilter ref="A7:C20" xr:uid="{C7BC383A-5AFF-0248-8BAF-F36C2A9DB4E4}"/>
  <tableColumns count="3">
    <tableColumn id="1" xr3:uid="{382986C0-088D-0645-B8C6-B39D375BC288}" name="Loan Age (Years)" dataDxfId="37"/>
    <tableColumn id="2" xr3:uid="{5124BBFA-77C2-874C-B6D3-9BEC432F406A}" name="Adjustment Factor" dataDxfId="36"/>
    <tableColumn id="3" xr3:uid="{A4158D96-CBB1-7B40-BBB4-42DBF11F6EFB}" name="Notes" dataDxfId="3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DF45B5-CFFB-B641-A03C-F62B5F238E0B}" name="tbl_Employment_Adjustments" displayName="tbl_Employment_Adjustments" ref="A5:C12" totalsRowShown="0" headerRowDxfId="34" dataDxfId="33">
  <autoFilter ref="A5:C12" xr:uid="{5ADF45B5-CFFB-B641-A03C-F62B5F238E0B}"/>
  <tableColumns count="3">
    <tableColumn id="1" xr3:uid="{186ED15C-BF21-0B44-80AD-4FF204FDA39F}" name="Employment Status" dataDxfId="32"/>
    <tableColumn id="2" xr3:uid="{F6031DFF-E2C8-ED41-A5C1-B263F463C7E4}" name="Adjustment Factor" dataDxfId="31"/>
    <tableColumn id="3" xr3:uid="{70C8961A-E377-4A4E-8C61-5E8A437A2C51}" name="Notes" dataDxfId="3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D01D249-0D06-2E4A-B6E7-39B22409D084}" name="tbl_Occupancy_Standard" displayName="tbl_Occupancy_Standard" ref="A6:C9" totalsRowShown="0" headerRowDxfId="29" dataDxfId="28">
  <autoFilter ref="A6:C9" xr:uid="{BD01D249-0D06-2E4A-B6E7-39B22409D084}"/>
  <tableColumns count="3">
    <tableColumn id="1" xr3:uid="{EFC70177-AEF9-1B43-9F0E-F8573A72ABCC}" name="Occupancy Type" dataDxfId="27"/>
    <tableColumn id="2" xr3:uid="{46CC1410-1BE2-AD4C-AEB5-3E3C0437C618}" name="Adjustment Factor" dataDxfId="26"/>
    <tableColumn id="3" xr3:uid="{A36C56B1-AE8D-3F49-A4EB-4A4773D965AA}" name="Notes" dataDxfId="2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D572D26-8B27-8F41-AA14-920B71B7253C}" name="tbl_BTL_DSCR" displayName="tbl_BTL_DSCR" ref="A13:C17" totalsRowShown="0" headerRowDxfId="24" dataDxfId="23">
  <autoFilter ref="A13:C17" xr:uid="{CD572D26-8B27-8F41-AA14-920B71B7253C}"/>
  <tableColumns count="3">
    <tableColumn id="1" xr3:uid="{CBAFBA94-9524-A04E-BCE7-18BED6EC8AB9}" name="DSCR Range" dataDxfId="22"/>
    <tableColumn id="2" xr3:uid="{2C835263-6CE7-3548-9129-FE3796EFCCCE}" name="Adjustment Factor" dataDxfId="21"/>
    <tableColumn id="3" xr3:uid="{FE0E10B4-0B25-1540-92EE-568C7E529361}" name="Risk Assessment" dataDxfId="2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A4F44B7-6823-FD4C-B957-681DA7197697}" name="tbl_CCJ_Base" displayName="tbl_CCJ_Base" ref="A6:D10" totalsRowShown="0" headerRowDxfId="19" dataDxfId="18">
  <autoFilter ref="A6:D10" xr:uid="{0A4F44B7-6823-FD4C-B957-681DA7197697}"/>
  <tableColumns count="4">
    <tableColumn id="1" xr3:uid="{B7F67A1A-F3B0-0945-9D50-AEFE4338BFA6}" name="CCJ Count" dataDxfId="17"/>
    <tableColumn id="2" xr3:uid="{B0AE26F1-DE51-0744-A3E9-7DB05AFA218E}" name="&lt;24 Months" dataDxfId="16"/>
    <tableColumn id="3" xr3:uid="{CDAA8C59-ACAE-1B48-B870-8E47205E2CB0}" name="24-48 Months" dataDxfId="15"/>
    <tableColumn id="4" xr3:uid="{817E47C1-4ED9-DB47-AA5E-88990903377E}" name="&gt;48 Months" dataDxfId="1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4BACDDA-8B6F-3B47-AA82-FB5C81B9C3BC}" name="tbl_MVD_Parameters" displayName="tbl_MVD_Parameters" ref="A9:F15" totalsRowShown="0" headerRowDxfId="13" dataDxfId="12">
  <autoFilter ref="A9:F15" xr:uid="{24BACDDA-8B6F-3B47-AA82-FB5C81B9C3BC}"/>
  <tableColumns count="6">
    <tableColumn id="1" xr3:uid="{EDEF001F-920A-4547-8C2B-1951F1310561}" name="Rating" dataDxfId="11"/>
    <tableColumn id="2" xr3:uid="{4E064953-4D50-F343-B5AB-E65547905960}" name="Fixed MVD" dataDxfId="10"/>
    <tableColumn id="3" xr3:uid="{B11342E1-17C2-9742-BA4F-2B2DC788B1C7}" name="%O/U (Over)" dataDxfId="9"/>
    <tableColumn id="4" xr3:uid="{5A336AA0-B312-4C49-9B5C-54731375B016}" name="%O/U (Under)" dataDxfId="8"/>
    <tableColumn id="5" xr3:uid="{B4C30D61-A31B-7943-86A1-99EF0FF91A24}" name="FSD" dataDxfId="7"/>
    <tableColumn id="6" xr3:uid="{AD217D93-AE1B-B44F-A303-957D82251167}" name="Repo MVD (Neutral)" dataDxfId="6">
      <calculatedColumnFormula>1-(1-B10)*(1-E10)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763E8C6-B3A1-644B-8747-BBDFFD1A44C1}" name="tbl_Foreclosure_Regional" displayName="tbl_Foreclosure_Regional" ref="A16:D19" totalsRowShown="0" headerRowDxfId="5" dataDxfId="4">
  <autoFilter ref="A16:D19" xr:uid="{5763E8C6-B3A1-644B-8747-BBDFFD1A44C1}"/>
  <tableColumns count="4">
    <tableColumn id="1" xr3:uid="{47B1D88C-7F1B-994F-8354-0046BE18310D}" name="Region" dataDxfId="3"/>
    <tableColumn id="2" xr3:uid="{79124866-A0DB-2845-A8D8-F8C4323B9CF9}" name="Fixed Cost" dataDxfId="2"/>
    <tableColumn id="3" xr3:uid="{E7EF417E-67B8-1E40-8041-B76163C023A5}" name="Variable %" dataDxfId="1"/>
    <tableColumn id="4" xr3:uid="{4D45ECE4-4687-2048-A58A-873138F58B7B}" name="Period (months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22969-EB68-0442-879C-DF51028DD663}">
  <sheetPr codeName="Sheet1">
    <tabColor rgb="FF003366"/>
  </sheetPr>
  <dimension ref="A1:E30"/>
  <sheetViews>
    <sheetView workbookViewId="0">
      <selection activeCell="F33" sqref="F33"/>
    </sheetView>
  </sheetViews>
  <sheetFormatPr baseColWidth="10" defaultRowHeight="14" x14ac:dyDescent="0.2"/>
  <cols>
    <col min="1" max="1" width="25.83203125" style="1" customWidth="1"/>
    <col min="2" max="2" width="40.83203125" style="1" customWidth="1"/>
    <col min="3" max="5" width="15.83203125" style="1" customWidth="1"/>
    <col min="6" max="16384" width="10.83203125" style="1"/>
  </cols>
  <sheetData>
    <row r="1" spans="1:5" ht="26" x14ac:dyDescent="0.3">
      <c r="A1" s="43" t="s">
        <v>304</v>
      </c>
      <c r="B1" s="44"/>
      <c r="C1" s="44"/>
      <c r="D1" s="44"/>
      <c r="E1" s="44"/>
    </row>
    <row r="2" spans="1:5" ht="16" x14ac:dyDescent="0.2">
      <c r="A2" s="45" t="s">
        <v>305</v>
      </c>
      <c r="B2" s="44"/>
      <c r="C2" s="44"/>
      <c r="D2" s="44"/>
      <c r="E2" s="44"/>
    </row>
    <row r="3" spans="1:5" ht="15" thickBot="1" x14ac:dyDescent="0.25">
      <c r="A3" s="39"/>
      <c r="B3" s="39"/>
      <c r="C3" s="39"/>
      <c r="D3" s="39"/>
      <c r="E3" s="39"/>
    </row>
    <row r="4" spans="1:5" ht="15" thickTop="1" x14ac:dyDescent="0.2"/>
    <row r="5" spans="1:5" ht="15" x14ac:dyDescent="0.2">
      <c r="A5" s="40" t="s">
        <v>306</v>
      </c>
      <c r="B5" s="38"/>
      <c r="C5" s="38"/>
      <c r="D5" s="38"/>
      <c r="E5" s="38"/>
    </row>
    <row r="6" spans="1:5" x14ac:dyDescent="0.2">
      <c r="A6" s="1" t="s">
        <v>307</v>
      </c>
      <c r="B6" s="1">
        <v>3</v>
      </c>
    </row>
    <row r="7" spans="1:5" x14ac:dyDescent="0.2">
      <c r="A7" s="1" t="s">
        <v>308</v>
      </c>
      <c r="B7" s="41">
        <v>46041</v>
      </c>
    </row>
    <row r="8" spans="1:5" x14ac:dyDescent="0.2">
      <c r="A8" s="1" t="s">
        <v>309</v>
      </c>
      <c r="B8" s="1" t="s">
        <v>310</v>
      </c>
    </row>
    <row r="10" spans="1:5" ht="15" x14ac:dyDescent="0.2">
      <c r="A10" s="40" t="s">
        <v>311</v>
      </c>
      <c r="B10" s="38"/>
      <c r="C10" s="38"/>
      <c r="D10" s="38"/>
      <c r="E10" s="38"/>
    </row>
    <row r="11" spans="1:5" x14ac:dyDescent="0.2">
      <c r="A11" s="1" t="s">
        <v>312</v>
      </c>
      <c r="B11" s="25"/>
    </row>
    <row r="12" spans="1:5" x14ac:dyDescent="0.2">
      <c r="A12" s="1" t="s">
        <v>313</v>
      </c>
      <c r="B12" s="42">
        <v>46041</v>
      </c>
    </row>
    <row r="13" spans="1:5" x14ac:dyDescent="0.2">
      <c r="A13" s="1" t="s">
        <v>314</v>
      </c>
      <c r="B13" s="42">
        <v>46041</v>
      </c>
    </row>
    <row r="14" spans="1:5" x14ac:dyDescent="0.2">
      <c r="A14" s="1" t="s">
        <v>315</v>
      </c>
      <c r="B14" s="1" t="s">
        <v>316</v>
      </c>
    </row>
    <row r="15" spans="1:5" x14ac:dyDescent="0.2">
      <c r="A15" s="1" t="s">
        <v>317</v>
      </c>
      <c r="B15" s="1" t="s">
        <v>318</v>
      </c>
    </row>
    <row r="16" spans="1:5" x14ac:dyDescent="0.2">
      <c r="A16" s="1" t="s">
        <v>319</v>
      </c>
      <c r="B16" s="25"/>
    </row>
    <row r="18" spans="1:5" ht="15" x14ac:dyDescent="0.2">
      <c r="A18" s="40" t="s">
        <v>320</v>
      </c>
      <c r="B18" s="38"/>
      <c r="C18" s="38"/>
      <c r="D18" s="38"/>
      <c r="E18" s="38"/>
    </row>
    <row r="19" spans="1:5" x14ac:dyDescent="0.2">
      <c r="A19" s="1" t="s">
        <v>321</v>
      </c>
      <c r="B19" s="1" t="s">
        <v>322</v>
      </c>
    </row>
    <row r="20" spans="1:5" x14ac:dyDescent="0.2">
      <c r="A20" s="1" t="s">
        <v>323</v>
      </c>
      <c r="B20" s="1" t="s">
        <v>324</v>
      </c>
    </row>
    <row r="21" spans="1:5" x14ac:dyDescent="0.2">
      <c r="A21" s="1" t="s">
        <v>325</v>
      </c>
      <c r="B21" s="1" t="s">
        <v>324</v>
      </c>
    </row>
    <row r="22" spans="1:5" x14ac:dyDescent="0.2">
      <c r="A22" s="1" t="s">
        <v>326</v>
      </c>
      <c r="B22" s="1" t="s">
        <v>327</v>
      </c>
    </row>
    <row r="24" spans="1:5" ht="15" x14ac:dyDescent="0.2">
      <c r="A24" s="40" t="s">
        <v>328</v>
      </c>
      <c r="B24" s="38"/>
      <c r="C24" s="38"/>
      <c r="D24" s="38"/>
      <c r="E24" s="38"/>
    </row>
    <row r="25" spans="1:5" x14ac:dyDescent="0.2">
      <c r="A25" s="1" t="s">
        <v>329</v>
      </c>
      <c r="B25" s="1" t="s">
        <v>297</v>
      </c>
    </row>
    <row r="26" spans="1:5" x14ac:dyDescent="0.2">
      <c r="A26" s="1" t="s">
        <v>330</v>
      </c>
      <c r="B26" s="1" t="s">
        <v>297</v>
      </c>
    </row>
    <row r="27" spans="1:5" x14ac:dyDescent="0.2">
      <c r="A27" s="1" t="s">
        <v>331</v>
      </c>
      <c r="B27" s="1" t="s">
        <v>297</v>
      </c>
    </row>
    <row r="28" spans="1:5" x14ac:dyDescent="0.2">
      <c r="A28" s="1" t="s">
        <v>332</v>
      </c>
      <c r="B28" s="1" t="s">
        <v>297</v>
      </c>
    </row>
    <row r="30" spans="1:5" x14ac:dyDescent="0.2">
      <c r="A30" s="1" t="s">
        <v>333</v>
      </c>
    </row>
  </sheetData>
  <mergeCells count="2">
    <mergeCell ref="A1:E1"/>
    <mergeCell ref="A2:E2"/>
  </mergeCells>
  <pageMargins left="0.7" right="0.7" top="0.75" bottom="0.75" header="0.3" footer="0.3"/>
  <pageSetup paperSize="9" fitToHeight="0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ullAnalysis">
                <anchor moveWithCells="1" siz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1</xdr:col>
                    <xdr:colOff>1905000</xdr:colOff>
                    <xdr:row>31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E552B-900C-B14F-A491-881548D693D2}">
  <sheetPr codeName="Sheet2">
    <tabColor rgb="FF003366"/>
  </sheetPr>
  <dimension ref="A1"/>
  <sheetViews>
    <sheetView workbookViewId="0">
      <selection activeCell="C37" sqref="C37"/>
    </sheetView>
  </sheetViews>
  <sheetFormatPr baseColWidth="10" defaultRowHeight="14" x14ac:dyDescent="0.2"/>
  <cols>
    <col min="1" max="16384" width="10.83203125" style="1"/>
  </cols>
  <sheetData/>
  <pageMargins left="0.7" right="0.7" top="0.75" bottom="0.75" header="0.3" footer="0.3"/>
  <pageSetup paperSize="9" fitToHeight="0" orientation="landscape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34EB5-A792-5840-9F06-CE21A85A0503}">
  <sheetPr codeName="Sheet3">
    <tabColor rgb="FF003366"/>
  </sheetPr>
  <dimension ref="A1:D28"/>
  <sheetViews>
    <sheetView workbookViewId="0"/>
  </sheetViews>
  <sheetFormatPr baseColWidth="10" defaultRowHeight="14" x14ac:dyDescent="0.2"/>
  <cols>
    <col min="1" max="1" width="20.83203125" style="1" customWidth="1"/>
    <col min="2" max="2" width="15.83203125" style="1" customWidth="1"/>
    <col min="3" max="3" width="20.83203125" style="1" customWidth="1"/>
    <col min="4" max="4" width="15.83203125" style="1" customWidth="1"/>
    <col min="5" max="16384" width="10.83203125" style="1"/>
  </cols>
  <sheetData>
    <row r="1" spans="1:4" x14ac:dyDescent="0.2">
      <c r="A1" s="3" t="s">
        <v>0</v>
      </c>
    </row>
    <row r="3" spans="1:4" x14ac:dyDescent="0.2">
      <c r="A3" s="3" t="s">
        <v>1</v>
      </c>
    </row>
    <row r="4" spans="1:4" x14ac:dyDescent="0.2">
      <c r="A4" s="4" t="s">
        <v>2</v>
      </c>
      <c r="B4" s="4" t="s">
        <v>3</v>
      </c>
      <c r="C4" s="4" t="s">
        <v>4</v>
      </c>
      <c r="D4" s="4" t="s">
        <v>5</v>
      </c>
    </row>
    <row r="5" spans="1:4" x14ac:dyDescent="0.2">
      <c r="A5" s="1" t="s">
        <v>6</v>
      </c>
      <c r="B5" s="5">
        <v>0.06</v>
      </c>
      <c r="C5" s="5">
        <v>0.1</v>
      </c>
      <c r="D5" s="5">
        <v>5.0000000000000001E-3</v>
      </c>
    </row>
    <row r="6" spans="1:4" x14ac:dyDescent="0.2">
      <c r="A6" s="6" t="s">
        <v>7</v>
      </c>
      <c r="B6" s="7">
        <v>0.09</v>
      </c>
      <c r="C6" s="7">
        <v>0.13</v>
      </c>
      <c r="D6" s="7">
        <v>0.01</v>
      </c>
    </row>
    <row r="7" spans="1:4" x14ac:dyDescent="0.2">
      <c r="A7" s="1" t="s">
        <v>8</v>
      </c>
      <c r="B7" s="5">
        <v>0.12</v>
      </c>
      <c r="C7" s="5">
        <v>0.16</v>
      </c>
      <c r="D7" s="5">
        <v>1.4999999999999999E-2</v>
      </c>
    </row>
    <row r="8" spans="1:4" x14ac:dyDescent="0.2">
      <c r="A8" s="1" t="s">
        <v>9</v>
      </c>
      <c r="B8" s="5">
        <v>0.15</v>
      </c>
      <c r="C8" s="5">
        <v>0.19</v>
      </c>
      <c r="D8" s="5">
        <v>0.02</v>
      </c>
    </row>
    <row r="9" spans="1:4" x14ac:dyDescent="0.2">
      <c r="A9" s="1" t="s">
        <v>10</v>
      </c>
      <c r="B9" s="5">
        <v>0.18</v>
      </c>
      <c r="C9" s="5">
        <v>0.22</v>
      </c>
      <c r="D9" s="5">
        <v>2.5000000000000001E-2</v>
      </c>
    </row>
    <row r="10" spans="1:4" x14ac:dyDescent="0.2">
      <c r="A10" s="1" t="s">
        <v>11</v>
      </c>
      <c r="B10" s="5">
        <v>0.21</v>
      </c>
      <c r="C10" s="5">
        <v>0.25</v>
      </c>
      <c r="D10" s="5">
        <v>0.03</v>
      </c>
    </row>
    <row r="13" spans="1:4" x14ac:dyDescent="0.2">
      <c r="A13" s="3" t="s">
        <v>12</v>
      </c>
    </row>
    <row r="14" spans="1:4" x14ac:dyDescent="0.2">
      <c r="A14" s="1" t="s">
        <v>13</v>
      </c>
      <c r="B14" s="1" t="s">
        <v>7</v>
      </c>
    </row>
    <row r="15" spans="1:4" x14ac:dyDescent="0.2">
      <c r="A15" s="1" t="s">
        <v>14</v>
      </c>
      <c r="B15" s="5">
        <v>0.12</v>
      </c>
    </row>
    <row r="16" spans="1:4" x14ac:dyDescent="0.2">
      <c r="A16" s="1" t="s">
        <v>15</v>
      </c>
      <c r="B16" s="5">
        <v>0.01</v>
      </c>
    </row>
    <row r="17" spans="1:3" x14ac:dyDescent="0.2">
      <c r="A17" s="1" t="s">
        <v>16</v>
      </c>
      <c r="B17" s="1" t="s">
        <v>17</v>
      </c>
    </row>
    <row r="18" spans="1:3" x14ac:dyDescent="0.2">
      <c r="A18" s="1" t="s">
        <v>18</v>
      </c>
      <c r="B18" s="1" t="s">
        <v>19</v>
      </c>
    </row>
    <row r="21" spans="1:3" x14ac:dyDescent="0.2">
      <c r="A21" s="3" t="s">
        <v>20</v>
      </c>
    </row>
    <row r="22" spans="1:3" x14ac:dyDescent="0.2">
      <c r="A22" s="4" t="s">
        <v>21</v>
      </c>
      <c r="B22" s="4" t="s">
        <v>22</v>
      </c>
      <c r="C22" s="4" t="s">
        <v>23</v>
      </c>
    </row>
    <row r="23" spans="1:3" x14ac:dyDescent="0.2">
      <c r="A23" s="1" t="s">
        <v>24</v>
      </c>
      <c r="B23" s="1">
        <v>0</v>
      </c>
      <c r="C23" s="5">
        <v>0.01</v>
      </c>
    </row>
    <row r="24" spans="1:3" x14ac:dyDescent="0.2">
      <c r="A24" s="1" t="s">
        <v>25</v>
      </c>
      <c r="B24" s="1">
        <v>7.2999999999999995E-2</v>
      </c>
      <c r="C24" s="5">
        <f>$B$16+($B$15-$B$16)*B24</f>
        <v>1.8029999999999997E-2</v>
      </c>
    </row>
    <row r="25" spans="1:3" x14ac:dyDescent="0.2">
      <c r="A25" s="1" t="s">
        <v>26</v>
      </c>
      <c r="B25" s="1">
        <v>0.255</v>
      </c>
      <c r="C25" s="5">
        <f>$B$16+($B$15-$B$16)*B25</f>
        <v>3.805E-2</v>
      </c>
    </row>
    <row r="26" spans="1:3" x14ac:dyDescent="0.2">
      <c r="A26" s="1" t="s">
        <v>27</v>
      </c>
      <c r="B26" s="1">
        <v>0.5</v>
      </c>
      <c r="C26" s="5">
        <f>$B$16+($B$15-$B$16)*B26</f>
        <v>6.5000000000000002E-2</v>
      </c>
    </row>
    <row r="27" spans="1:3" x14ac:dyDescent="0.2">
      <c r="A27" s="1" t="s">
        <v>28</v>
      </c>
      <c r="B27" s="1">
        <v>0.77300000000000002</v>
      </c>
      <c r="C27" s="5">
        <f>$B$16+($B$15-$B$16)*B27</f>
        <v>9.5030000000000003E-2</v>
      </c>
    </row>
    <row r="28" spans="1:3" x14ac:dyDescent="0.2">
      <c r="A28" s="1" t="s">
        <v>29</v>
      </c>
      <c r="B28" s="1">
        <v>1</v>
      </c>
      <c r="C28" s="5">
        <v>0.12</v>
      </c>
    </row>
  </sheetData>
  <pageMargins left="0.7" right="0.7" top="0.75" bottom="0.75" header="0.3" footer="0.3"/>
  <pageSetup paperSize="9" fitToHeight="0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F3E4B-C2FC-FC44-A7AE-CF2F4405A852}">
  <sheetPr codeName="Sheet4">
    <tabColor rgb="FF003366"/>
  </sheetPr>
  <dimension ref="A1"/>
  <sheetViews>
    <sheetView workbookViewId="0"/>
  </sheetViews>
  <sheetFormatPr baseColWidth="10" defaultRowHeight="14" x14ac:dyDescent="0.2"/>
  <cols>
    <col min="1" max="16384" width="10.83203125" style="1"/>
  </cols>
  <sheetData/>
  <pageMargins left="0.7" right="0.7" top="0.75" bottom="0.75" header="0.3" footer="0.3"/>
  <pageSetup paperSize="9" fitToHeight="0" orientation="landscape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E8B74-71AC-5043-9312-2FAAEDDC47FF}">
  <sheetPr codeName="Sheet5">
    <tabColor rgb="FF003366"/>
  </sheetPr>
  <dimension ref="A1:A8"/>
  <sheetViews>
    <sheetView workbookViewId="0"/>
  </sheetViews>
  <sheetFormatPr baseColWidth="10" defaultRowHeight="14" x14ac:dyDescent="0.2"/>
  <cols>
    <col min="1" max="16384" width="10.83203125" style="1"/>
  </cols>
  <sheetData>
    <row r="1" spans="1:1" ht="19" x14ac:dyDescent="0.25">
      <c r="A1" s="2" t="s">
        <v>334</v>
      </c>
    </row>
    <row r="2" spans="1:1" x14ac:dyDescent="0.2">
      <c r="A2" s="1" t="s">
        <v>359</v>
      </c>
    </row>
    <row r="4" spans="1:1" x14ac:dyDescent="0.2">
      <c r="A4" s="1" t="s">
        <v>335</v>
      </c>
    </row>
    <row r="5" spans="1:1" x14ac:dyDescent="0.2">
      <c r="A5" s="1" t="s">
        <v>336</v>
      </c>
    </row>
    <row r="7" spans="1:1" x14ac:dyDescent="0.2">
      <c r="A7" s="46" t="s">
        <v>337</v>
      </c>
    </row>
    <row r="8" spans="1:1" x14ac:dyDescent="0.2">
      <c r="A8" s="1" t="s">
        <v>338</v>
      </c>
    </row>
  </sheetData>
  <pageMargins left="0.7" right="0.7" top="0.75" bottom="0.75" header="0.3" footer="0.3"/>
  <pageSetup paperSize="9" fitToHeight="0" orientation="landscape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C49CD-A1FF-864F-BE03-829501647A14}">
  <sheetPr codeName="Sheet6">
    <tabColor rgb="FF008000"/>
  </sheetPr>
  <dimension ref="A1:C33"/>
  <sheetViews>
    <sheetView workbookViewId="0">
      <selection activeCell="B8" sqref="B8"/>
    </sheetView>
  </sheetViews>
  <sheetFormatPr baseColWidth="10" defaultRowHeight="14" x14ac:dyDescent="0.2"/>
  <cols>
    <col min="1" max="1" width="15.83203125" style="1" customWidth="1"/>
    <col min="2" max="2" width="18.83203125" style="1" customWidth="1"/>
    <col min="3" max="3" width="15.83203125" style="1" customWidth="1"/>
    <col min="4" max="16384" width="10.83203125" style="1"/>
  </cols>
  <sheetData>
    <row r="1" spans="1:3" x14ac:dyDescent="0.2">
      <c r="A1" s="3" t="s">
        <v>30</v>
      </c>
    </row>
    <row r="2" spans="1:3" x14ac:dyDescent="0.2">
      <c r="A2" s="8" t="s">
        <v>31</v>
      </c>
    </row>
    <row r="4" spans="1:3" x14ac:dyDescent="0.2">
      <c r="A4" s="1" t="s">
        <v>32</v>
      </c>
      <c r="B4" s="3" t="s">
        <v>33</v>
      </c>
    </row>
    <row r="6" spans="1:3" x14ac:dyDescent="0.2">
      <c r="A6" s="3" t="s">
        <v>34</v>
      </c>
    </row>
    <row r="7" spans="1:3" x14ac:dyDescent="0.2">
      <c r="A7" s="1" t="s">
        <v>35</v>
      </c>
    </row>
    <row r="8" spans="1:3" x14ac:dyDescent="0.2">
      <c r="A8" s="1" t="s">
        <v>36</v>
      </c>
      <c r="B8" s="9">
        <v>0.65</v>
      </c>
    </row>
    <row r="9" spans="1:3" x14ac:dyDescent="0.2">
      <c r="A9" s="1" t="s">
        <v>37</v>
      </c>
      <c r="B9" s="9">
        <v>0.35</v>
      </c>
    </row>
    <row r="12" spans="1:3" x14ac:dyDescent="0.2">
      <c r="A12" s="3" t="s">
        <v>38</v>
      </c>
    </row>
    <row r="13" spans="1:3" x14ac:dyDescent="0.2">
      <c r="A13" s="4" t="s">
        <v>39</v>
      </c>
      <c r="B13" s="4" t="s">
        <v>40</v>
      </c>
      <c r="C13" s="4" t="s">
        <v>41</v>
      </c>
    </row>
    <row r="14" spans="1:3" x14ac:dyDescent="0.2">
      <c r="A14" s="9">
        <v>0</v>
      </c>
      <c r="B14" s="10">
        <v>0.45</v>
      </c>
      <c r="C14" s="1" t="s">
        <v>42</v>
      </c>
    </row>
    <row r="15" spans="1:3" x14ac:dyDescent="0.2">
      <c r="A15" s="9">
        <v>0.4</v>
      </c>
      <c r="B15" s="10">
        <v>0.45</v>
      </c>
    </row>
    <row r="16" spans="1:3" x14ac:dyDescent="0.2">
      <c r="A16" s="9">
        <v>0.45</v>
      </c>
      <c r="B16" s="10">
        <v>0.52</v>
      </c>
    </row>
    <row r="17" spans="1:3" x14ac:dyDescent="0.2">
      <c r="A17" s="9">
        <v>0.5</v>
      </c>
      <c r="B17" s="10">
        <v>0.6</v>
      </c>
    </row>
    <row r="18" spans="1:3" x14ac:dyDescent="0.2">
      <c r="A18" s="9">
        <v>0.55000000000000004</v>
      </c>
      <c r="B18" s="10">
        <v>0.7</v>
      </c>
    </row>
    <row r="19" spans="1:3" x14ac:dyDescent="0.2">
      <c r="A19" s="9">
        <v>0.6</v>
      </c>
      <c r="B19" s="10">
        <v>0.8</v>
      </c>
    </row>
    <row r="20" spans="1:3" x14ac:dyDescent="0.2">
      <c r="A20" s="9">
        <v>0.65</v>
      </c>
      <c r="B20" s="10">
        <v>0.88</v>
      </c>
    </row>
    <row r="21" spans="1:3" x14ac:dyDescent="0.2">
      <c r="A21" s="9">
        <v>0.7</v>
      </c>
      <c r="B21" s="10">
        <v>0.94</v>
      </c>
    </row>
    <row r="22" spans="1:3" x14ac:dyDescent="0.2">
      <c r="A22" s="11">
        <v>0.75</v>
      </c>
      <c r="B22" s="12">
        <v>1</v>
      </c>
      <c r="C22" s="6" t="s">
        <v>43</v>
      </c>
    </row>
    <row r="23" spans="1:3" x14ac:dyDescent="0.2">
      <c r="A23" s="9">
        <v>0.8</v>
      </c>
      <c r="B23" s="10">
        <v>1.1499999999999999</v>
      </c>
    </row>
    <row r="24" spans="1:3" x14ac:dyDescent="0.2">
      <c r="A24" s="9">
        <v>0.85</v>
      </c>
      <c r="B24" s="10">
        <v>1.4</v>
      </c>
    </row>
    <row r="25" spans="1:3" x14ac:dyDescent="0.2">
      <c r="A25" s="9">
        <v>0.9</v>
      </c>
      <c r="B25" s="10">
        <v>1.8</v>
      </c>
    </row>
    <row r="26" spans="1:3" x14ac:dyDescent="0.2">
      <c r="A26" s="9">
        <v>0.95</v>
      </c>
      <c r="B26" s="10">
        <v>2.4</v>
      </c>
    </row>
    <row r="27" spans="1:3" x14ac:dyDescent="0.2">
      <c r="A27" s="9">
        <v>1</v>
      </c>
      <c r="B27" s="10">
        <v>3.6</v>
      </c>
    </row>
    <row r="28" spans="1:3" x14ac:dyDescent="0.2">
      <c r="A28" s="9">
        <v>1.05</v>
      </c>
      <c r="B28" s="10">
        <v>4.2</v>
      </c>
    </row>
    <row r="29" spans="1:3" x14ac:dyDescent="0.2">
      <c r="A29" s="9">
        <v>1.1000000000000001</v>
      </c>
      <c r="B29" s="10">
        <v>4.4000000000000004</v>
      </c>
    </row>
    <row r="30" spans="1:3" x14ac:dyDescent="0.2">
      <c r="A30" s="9">
        <v>1.2</v>
      </c>
      <c r="B30" s="10">
        <v>4.5999999999999996</v>
      </c>
    </row>
    <row r="31" spans="1:3" x14ac:dyDescent="0.2">
      <c r="A31" s="9">
        <v>1.3</v>
      </c>
      <c r="B31" s="10">
        <v>4.75</v>
      </c>
      <c r="C31" s="1" t="s">
        <v>44</v>
      </c>
    </row>
    <row r="32" spans="1:3" x14ac:dyDescent="0.2">
      <c r="A32" s="9">
        <v>1.5</v>
      </c>
      <c r="B32" s="10">
        <v>4.75</v>
      </c>
      <c r="C32" s="1" t="s">
        <v>45</v>
      </c>
    </row>
    <row r="33" spans="1:3" x14ac:dyDescent="0.2">
      <c r="A33" s="9">
        <v>2</v>
      </c>
      <c r="B33" s="10">
        <v>4.75</v>
      </c>
      <c r="C33" s="1" t="s">
        <v>45</v>
      </c>
    </row>
  </sheetData>
  <pageMargins left="0.7" right="0.7" top="0.75" bottom="0.75" header="0.3" footer="0.3"/>
  <pageSetup paperSize="9" fitToHeight="0" orientation="landscape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BE102-9890-664D-BA4F-C4C37D1DB553}">
  <sheetPr codeName="Sheet7">
    <tabColor rgb="FF008000"/>
  </sheetPr>
  <dimension ref="A1:C20"/>
  <sheetViews>
    <sheetView workbookViewId="0"/>
  </sheetViews>
  <sheetFormatPr baseColWidth="10" defaultRowHeight="14" x14ac:dyDescent="0.2"/>
  <cols>
    <col min="1" max="1" width="15.83203125" style="1" customWidth="1"/>
    <col min="2" max="2" width="18.83203125" style="1" customWidth="1"/>
    <col min="3" max="3" width="15.83203125" style="1" customWidth="1"/>
    <col min="4" max="16384" width="10.83203125" style="1"/>
  </cols>
  <sheetData>
    <row r="1" spans="1:3" x14ac:dyDescent="0.2">
      <c r="A1" s="3" t="s">
        <v>46</v>
      </c>
    </row>
    <row r="2" spans="1:3" x14ac:dyDescent="0.2">
      <c r="A2" s="8" t="s">
        <v>47</v>
      </c>
    </row>
    <row r="4" spans="1:3" x14ac:dyDescent="0.2">
      <c r="A4" s="1" t="s">
        <v>48</v>
      </c>
      <c r="B4" s="3" t="s">
        <v>49</v>
      </c>
    </row>
    <row r="7" spans="1:3" x14ac:dyDescent="0.2">
      <c r="A7" s="4" t="s">
        <v>50</v>
      </c>
      <c r="B7" s="4" t="s">
        <v>40</v>
      </c>
      <c r="C7" s="4" t="s">
        <v>41</v>
      </c>
    </row>
    <row r="8" spans="1:3" x14ac:dyDescent="0.2">
      <c r="A8" s="9">
        <v>0</v>
      </c>
      <c r="B8" s="10">
        <v>0.8</v>
      </c>
      <c r="C8" s="1" t="s">
        <v>42</v>
      </c>
    </row>
    <row r="9" spans="1:3" x14ac:dyDescent="0.2">
      <c r="A9" s="9">
        <v>0.2</v>
      </c>
      <c r="B9" s="10">
        <v>0.8</v>
      </c>
    </row>
    <row r="10" spans="1:3" x14ac:dyDescent="0.2">
      <c r="A10" s="9">
        <v>0.25</v>
      </c>
      <c r="B10" s="10">
        <v>0.9</v>
      </c>
    </row>
    <row r="11" spans="1:3" x14ac:dyDescent="0.2">
      <c r="A11" s="9">
        <v>0.3</v>
      </c>
      <c r="B11" s="10">
        <v>0.95</v>
      </c>
    </row>
    <row r="12" spans="1:3" x14ac:dyDescent="0.2">
      <c r="A12" s="11">
        <v>0.35</v>
      </c>
      <c r="B12" s="12">
        <v>1</v>
      </c>
      <c r="C12" s="6" t="s">
        <v>43</v>
      </c>
    </row>
    <row r="13" spans="1:3" x14ac:dyDescent="0.2">
      <c r="A13" s="9">
        <v>0.4</v>
      </c>
      <c r="B13" s="10">
        <v>1.1000000000000001</v>
      </c>
    </row>
    <row r="14" spans="1:3" x14ac:dyDescent="0.2">
      <c r="A14" s="9">
        <v>0.45</v>
      </c>
      <c r="B14" s="10">
        <v>1.25</v>
      </c>
    </row>
    <row r="15" spans="1:3" x14ac:dyDescent="0.2">
      <c r="A15" s="9">
        <v>0.5</v>
      </c>
      <c r="B15" s="10">
        <v>1.5</v>
      </c>
    </row>
    <row r="16" spans="1:3" x14ac:dyDescent="0.2">
      <c r="A16" s="9">
        <v>0.55000000000000004</v>
      </c>
      <c r="B16" s="10">
        <v>1.7</v>
      </c>
    </row>
    <row r="17" spans="1:3" x14ac:dyDescent="0.2">
      <c r="A17" s="9">
        <v>0.6</v>
      </c>
      <c r="B17" s="10">
        <v>1.8</v>
      </c>
      <c r="C17" s="1" t="s">
        <v>44</v>
      </c>
    </row>
    <row r="20" spans="1:3" x14ac:dyDescent="0.2">
      <c r="A20" s="13" t="s">
        <v>51</v>
      </c>
    </row>
  </sheetData>
  <pageMargins left="0.7" right="0.7" top="0.75" bottom="0.75" header="0.3" footer="0.3"/>
  <pageSetup paperSize="9" fitToHeight="0" orientation="landscape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59E93-BA59-C34F-B912-D74C93C410FF}">
  <sheetPr codeName="Sheet8">
    <tabColor rgb="FF008000"/>
  </sheetPr>
  <dimension ref="A1:C27"/>
  <sheetViews>
    <sheetView workbookViewId="0"/>
  </sheetViews>
  <sheetFormatPr baseColWidth="10" defaultRowHeight="14" x14ac:dyDescent="0.2"/>
  <cols>
    <col min="1" max="2" width="18.83203125" style="1" customWidth="1"/>
    <col min="3" max="3" width="20.83203125" style="1" customWidth="1"/>
    <col min="4" max="16384" width="10.83203125" style="1"/>
  </cols>
  <sheetData>
    <row r="1" spans="1:3" x14ac:dyDescent="0.2">
      <c r="A1" s="3" t="s">
        <v>52</v>
      </c>
    </row>
    <row r="2" spans="1:3" x14ac:dyDescent="0.2">
      <c r="A2" s="8" t="s">
        <v>53</v>
      </c>
    </row>
    <row r="4" spans="1:3" x14ac:dyDescent="0.2">
      <c r="A4" s="14" t="s">
        <v>54</v>
      </c>
    </row>
    <row r="7" spans="1:3" x14ac:dyDescent="0.2">
      <c r="A7" s="4" t="s">
        <v>55</v>
      </c>
      <c r="B7" s="4" t="s">
        <v>40</v>
      </c>
      <c r="C7" s="4" t="s">
        <v>41</v>
      </c>
    </row>
    <row r="8" spans="1:3" x14ac:dyDescent="0.2">
      <c r="A8" s="1">
        <v>0</v>
      </c>
      <c r="B8" s="10">
        <v>1</v>
      </c>
      <c r="C8" s="1" t="s">
        <v>56</v>
      </c>
    </row>
    <row r="9" spans="1:3" x14ac:dyDescent="0.2">
      <c r="A9" s="1">
        <v>1</v>
      </c>
      <c r="B9" s="10">
        <v>1</v>
      </c>
    </row>
    <row r="10" spans="1:3" x14ac:dyDescent="0.2">
      <c r="A10" s="1">
        <v>2</v>
      </c>
      <c r="B10" s="10">
        <v>1</v>
      </c>
    </row>
    <row r="11" spans="1:3" x14ac:dyDescent="0.2">
      <c r="A11" s="1">
        <v>3</v>
      </c>
      <c r="B11" s="10">
        <v>1</v>
      </c>
    </row>
    <row r="12" spans="1:3" x14ac:dyDescent="0.2">
      <c r="A12" s="1">
        <v>4</v>
      </c>
      <c r="B12" s="10">
        <v>1</v>
      </c>
    </row>
    <row r="13" spans="1:3" x14ac:dyDescent="0.2">
      <c r="A13" s="6">
        <v>5</v>
      </c>
      <c r="B13" s="12">
        <v>0.9</v>
      </c>
      <c r="C13" s="6" t="s">
        <v>57</v>
      </c>
    </row>
    <row r="14" spans="1:3" x14ac:dyDescent="0.2">
      <c r="A14" s="1">
        <v>6</v>
      </c>
      <c r="B14" s="10">
        <v>0.85</v>
      </c>
    </row>
    <row r="15" spans="1:3" x14ac:dyDescent="0.2">
      <c r="A15" s="1">
        <v>7</v>
      </c>
      <c r="B15" s="10">
        <v>0.8</v>
      </c>
    </row>
    <row r="16" spans="1:3" x14ac:dyDescent="0.2">
      <c r="A16" s="1">
        <v>8</v>
      </c>
      <c r="B16" s="10">
        <v>0.78</v>
      </c>
    </row>
    <row r="17" spans="1:3" x14ac:dyDescent="0.2">
      <c r="A17" s="1">
        <v>9</v>
      </c>
      <c r="B17" s="10">
        <v>0.75</v>
      </c>
    </row>
    <row r="18" spans="1:3" x14ac:dyDescent="0.2">
      <c r="A18" s="1">
        <v>10</v>
      </c>
      <c r="B18" s="10">
        <v>0.7</v>
      </c>
    </row>
    <row r="19" spans="1:3" x14ac:dyDescent="0.2">
      <c r="A19" s="1">
        <v>11</v>
      </c>
      <c r="B19" s="10">
        <v>0.67</v>
      </c>
    </row>
    <row r="20" spans="1:3" x14ac:dyDescent="0.2">
      <c r="A20" s="1">
        <v>12</v>
      </c>
      <c r="B20" s="10">
        <v>0.65</v>
      </c>
      <c r="C20" s="1" t="s">
        <v>42</v>
      </c>
    </row>
    <row r="23" spans="1:3" x14ac:dyDescent="0.2">
      <c r="A23" s="3" t="s">
        <v>58</v>
      </c>
    </row>
    <row r="24" spans="1:3" x14ac:dyDescent="0.2">
      <c r="A24" s="1" t="s">
        <v>59</v>
      </c>
    </row>
    <row r="25" spans="1:3" x14ac:dyDescent="0.2">
      <c r="A25" s="1" t="s">
        <v>60</v>
      </c>
    </row>
    <row r="26" spans="1:3" x14ac:dyDescent="0.2">
      <c r="A26" s="1" t="s">
        <v>61</v>
      </c>
    </row>
    <row r="27" spans="1:3" x14ac:dyDescent="0.2">
      <c r="A27" s="1" t="s">
        <v>62</v>
      </c>
    </row>
  </sheetData>
  <pageMargins left="0.7" right="0.7" top="0.75" bottom="0.75" header="0.3" footer="0.3"/>
  <pageSetup paperSize="9" fitToHeight="0" orientation="landscape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5AD2E-D363-4149-9617-522F3EA3A98B}">
  <sheetPr codeName="Sheet9">
    <tabColor rgb="FF008000"/>
  </sheetPr>
  <dimension ref="A1:C15"/>
  <sheetViews>
    <sheetView workbookViewId="0"/>
  </sheetViews>
  <sheetFormatPr baseColWidth="10" defaultRowHeight="14" x14ac:dyDescent="0.2"/>
  <cols>
    <col min="1" max="1" width="25.83203125" style="1" customWidth="1"/>
    <col min="2" max="2" width="18.83203125" style="1" customWidth="1"/>
    <col min="3" max="3" width="25.83203125" style="1" customWidth="1"/>
    <col min="4" max="16384" width="10.83203125" style="1"/>
  </cols>
  <sheetData>
    <row r="1" spans="1:3" x14ac:dyDescent="0.2">
      <c r="A1" s="3" t="s">
        <v>63</v>
      </c>
    </row>
    <row r="2" spans="1:3" x14ac:dyDescent="0.2">
      <c r="A2" s="8" t="s">
        <v>64</v>
      </c>
    </row>
    <row r="5" spans="1:3" x14ac:dyDescent="0.2">
      <c r="A5" s="4" t="s">
        <v>65</v>
      </c>
      <c r="B5" s="4" t="s">
        <v>40</v>
      </c>
      <c r="C5" s="4" t="s">
        <v>41</v>
      </c>
    </row>
    <row r="6" spans="1:3" x14ac:dyDescent="0.2">
      <c r="A6" s="6" t="s">
        <v>66</v>
      </c>
      <c r="B6" s="12">
        <v>1</v>
      </c>
      <c r="C6" s="6" t="s">
        <v>67</v>
      </c>
    </row>
    <row r="7" spans="1:3" x14ac:dyDescent="0.2">
      <c r="A7" s="1" t="s">
        <v>68</v>
      </c>
      <c r="B7" s="10">
        <v>1.1499999999999999</v>
      </c>
      <c r="C7" s="1" t="s">
        <v>69</v>
      </c>
    </row>
    <row r="8" spans="1:3" x14ac:dyDescent="0.2">
      <c r="A8" s="1" t="s">
        <v>70</v>
      </c>
      <c r="B8" s="10">
        <v>1.3</v>
      </c>
      <c r="C8" s="1" t="s">
        <v>71</v>
      </c>
    </row>
    <row r="9" spans="1:3" x14ac:dyDescent="0.2">
      <c r="A9" s="1" t="s">
        <v>72</v>
      </c>
      <c r="B9" s="10">
        <v>1.1000000000000001</v>
      </c>
      <c r="C9" s="1" t="s">
        <v>73</v>
      </c>
    </row>
    <row r="10" spans="1:3" x14ac:dyDescent="0.2">
      <c r="A10" s="1" t="s">
        <v>74</v>
      </c>
      <c r="B10" s="10">
        <v>1.1000000000000001</v>
      </c>
      <c r="C10" s="1" t="s">
        <v>75</v>
      </c>
    </row>
    <row r="11" spans="1:3" x14ac:dyDescent="0.2">
      <c r="A11" s="1" t="s">
        <v>76</v>
      </c>
      <c r="B11" s="10">
        <v>2</v>
      </c>
      <c r="C11" s="1" t="s">
        <v>77</v>
      </c>
    </row>
    <row r="12" spans="1:3" x14ac:dyDescent="0.2">
      <c r="A12" s="1" t="s">
        <v>78</v>
      </c>
      <c r="B12" s="10">
        <v>1.25</v>
      </c>
      <c r="C12" s="1" t="s">
        <v>79</v>
      </c>
    </row>
    <row r="15" spans="1:3" x14ac:dyDescent="0.2">
      <c r="A15" s="13" t="s">
        <v>80</v>
      </c>
    </row>
  </sheetData>
  <pageMargins left="0.7" right="0.7" top="0.75" bottom="0.75" header="0.3" footer="0.3"/>
  <pageSetup paperSize="9" fitToHeight="0" orientation="landscape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CC2A2-E2A8-C34F-84C9-8A20C3BB20E4}">
  <sheetPr codeName="Sheet10">
    <tabColor rgb="FF008000"/>
  </sheetPr>
  <dimension ref="A1"/>
  <sheetViews>
    <sheetView workbookViewId="0"/>
  </sheetViews>
  <sheetFormatPr baseColWidth="10" defaultRowHeight="14" x14ac:dyDescent="0.2"/>
  <cols>
    <col min="1" max="16384" width="10.83203125" style="1"/>
  </cols>
  <sheetData/>
  <pageMargins left="0.7" right="0.7" top="0.75" bottom="0.75" header="0.3" footer="0.3"/>
  <pageSetup paperSize="9" fitToHeight="0" orientation="landscape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CF937-19CB-5C41-9029-A9482580AF6E}">
  <sheetPr codeName="Sheet11">
    <tabColor rgb="FF008000"/>
  </sheetPr>
  <dimension ref="A1:C22"/>
  <sheetViews>
    <sheetView workbookViewId="0"/>
  </sheetViews>
  <sheetFormatPr baseColWidth="10" defaultRowHeight="14" x14ac:dyDescent="0.2"/>
  <cols>
    <col min="1" max="1" width="20.83203125" style="1" customWidth="1"/>
    <col min="2" max="2" width="18.83203125" style="1" customWidth="1"/>
    <col min="3" max="3" width="25.83203125" style="1" customWidth="1"/>
    <col min="4" max="16384" width="10.83203125" style="1"/>
  </cols>
  <sheetData>
    <row r="1" spans="1:3" x14ac:dyDescent="0.2">
      <c r="A1" s="3" t="s">
        <v>81</v>
      </c>
    </row>
    <row r="2" spans="1:3" x14ac:dyDescent="0.2">
      <c r="A2" s="8" t="s">
        <v>82</v>
      </c>
    </row>
    <row r="5" spans="1:3" x14ac:dyDescent="0.2">
      <c r="A5" s="3" t="s">
        <v>83</v>
      </c>
    </row>
    <row r="6" spans="1:3" x14ac:dyDescent="0.2">
      <c r="A6" s="4" t="s">
        <v>84</v>
      </c>
      <c r="B6" s="4" t="s">
        <v>40</v>
      </c>
      <c r="C6" s="4" t="s">
        <v>41</v>
      </c>
    </row>
    <row r="7" spans="1:3" x14ac:dyDescent="0.2">
      <c r="A7" s="6" t="s">
        <v>85</v>
      </c>
      <c r="B7" s="12">
        <v>1</v>
      </c>
      <c r="C7" s="6" t="s">
        <v>67</v>
      </c>
    </row>
    <row r="8" spans="1:3" x14ac:dyDescent="0.2">
      <c r="A8" s="1" t="s">
        <v>86</v>
      </c>
      <c r="B8" s="10">
        <v>1.1499999999999999</v>
      </c>
    </row>
    <row r="9" spans="1:3" x14ac:dyDescent="0.2">
      <c r="A9" s="1" t="s">
        <v>87</v>
      </c>
      <c r="B9" s="10">
        <v>1.4</v>
      </c>
      <c r="C9" s="1" t="s">
        <v>88</v>
      </c>
    </row>
    <row r="12" spans="1:3" x14ac:dyDescent="0.2">
      <c r="A12" s="3" t="s">
        <v>89</v>
      </c>
    </row>
    <row r="13" spans="1:3" x14ac:dyDescent="0.2">
      <c r="A13" s="4" t="s">
        <v>90</v>
      </c>
      <c r="B13" s="4" t="s">
        <v>40</v>
      </c>
      <c r="C13" s="4" t="s">
        <v>91</v>
      </c>
    </row>
    <row r="14" spans="1:3" x14ac:dyDescent="0.2">
      <c r="A14" s="1" t="s">
        <v>92</v>
      </c>
      <c r="B14" s="10">
        <v>3</v>
      </c>
      <c r="C14" s="1" t="s">
        <v>93</v>
      </c>
    </row>
    <row r="15" spans="1:3" x14ac:dyDescent="0.2">
      <c r="A15" s="1" t="s">
        <v>94</v>
      </c>
      <c r="B15" s="10">
        <v>4</v>
      </c>
      <c r="C15" s="1" t="s">
        <v>95</v>
      </c>
    </row>
    <row r="16" spans="1:3" x14ac:dyDescent="0.2">
      <c r="A16" s="1" t="s">
        <v>96</v>
      </c>
      <c r="B16" s="10">
        <v>5</v>
      </c>
      <c r="C16" s="1" t="s">
        <v>97</v>
      </c>
    </row>
    <row r="17" spans="1:3" x14ac:dyDescent="0.2">
      <c r="A17" s="1" t="s">
        <v>98</v>
      </c>
      <c r="B17" s="10">
        <v>6</v>
      </c>
      <c r="C17" s="1" t="s">
        <v>99</v>
      </c>
    </row>
    <row r="20" spans="1:3" x14ac:dyDescent="0.2">
      <c r="A20" s="14" t="s">
        <v>100</v>
      </c>
    </row>
    <row r="21" spans="1:3" x14ac:dyDescent="0.2">
      <c r="A21" s="1" t="s">
        <v>101</v>
      </c>
    </row>
    <row r="22" spans="1:3" x14ac:dyDescent="0.2">
      <c r="A22" s="1" t="s">
        <v>102</v>
      </c>
    </row>
  </sheetData>
  <pageMargins left="0.7" right="0.7" top="0.75" bottom="0.75" header="0.3" footer="0.3"/>
  <pageSetup paperSize="9" fitToHeight="0" orientation="landscape" horizontalDpi="0" verticalDpi="0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41AD-8D28-7B44-AD15-78B542FE1F18}">
  <sheetPr codeName="Sheet12">
    <tabColor rgb="FF008000"/>
  </sheetPr>
  <dimension ref="A1"/>
  <sheetViews>
    <sheetView workbookViewId="0"/>
  </sheetViews>
  <sheetFormatPr baseColWidth="10" defaultRowHeight="14" x14ac:dyDescent="0.2"/>
  <cols>
    <col min="1" max="16384" width="10.83203125" style="1"/>
  </cols>
  <sheetData/>
  <pageMargins left="0.7" right="0.7" top="0.75" bottom="0.75" header="0.3" footer="0.3"/>
  <pageSetup paperSize="9" fitToHeight="0" orientation="landscape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4D653-A286-9742-8919-86294ECEA9AF}">
  <sheetPr codeName="Sheet13">
    <tabColor rgb="FF008000"/>
  </sheetPr>
  <dimension ref="A1"/>
  <sheetViews>
    <sheetView workbookViewId="0"/>
  </sheetViews>
  <sheetFormatPr baseColWidth="10" defaultRowHeight="14" x14ac:dyDescent="0.2"/>
  <cols>
    <col min="1" max="16384" width="10.83203125" style="1"/>
  </cols>
  <sheetData/>
  <pageMargins left="0.7" right="0.7" top="0.75" bottom="0.75" header="0.3" footer="0.3"/>
  <pageSetup paperSize="9" fitToHeight="0" orientation="landscape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E6413-BD4E-8746-8A13-2976F13C4DF0}">
  <sheetPr codeName="Sheet14">
    <tabColor rgb="FF008000"/>
  </sheetPr>
  <dimension ref="A1"/>
  <sheetViews>
    <sheetView workbookViewId="0"/>
  </sheetViews>
  <sheetFormatPr baseColWidth="10" defaultRowHeight="14" x14ac:dyDescent="0.2"/>
  <cols>
    <col min="1" max="16384" width="10.83203125" style="1"/>
  </cols>
  <sheetData/>
  <pageMargins left="0.7" right="0.7" top="0.75" bottom="0.75" header="0.3" footer="0.3"/>
  <pageSetup paperSize="9" fitToHeight="0" orientation="landscape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81E54-FB5B-754D-BB63-941BDCA4154A}">
  <sheetPr codeName="Sheet15">
    <tabColor rgb="FF008000"/>
  </sheetPr>
  <dimension ref="A1:D30"/>
  <sheetViews>
    <sheetView workbookViewId="0"/>
  </sheetViews>
  <sheetFormatPr baseColWidth="10" defaultRowHeight="14" x14ac:dyDescent="0.2"/>
  <cols>
    <col min="1" max="1" width="22.83203125" style="1" customWidth="1"/>
    <col min="2" max="2" width="18.83203125" style="1" customWidth="1"/>
    <col min="3" max="4" width="15.83203125" style="1" customWidth="1"/>
    <col min="5" max="16384" width="10.83203125" style="1"/>
  </cols>
  <sheetData>
    <row r="1" spans="1:4" x14ac:dyDescent="0.2">
      <c r="A1" s="3" t="s">
        <v>103</v>
      </c>
    </row>
    <row r="2" spans="1:4" x14ac:dyDescent="0.2">
      <c r="A2" s="8" t="s">
        <v>104</v>
      </c>
    </row>
    <row r="5" spans="1:4" x14ac:dyDescent="0.2">
      <c r="A5" s="3" t="s">
        <v>105</v>
      </c>
    </row>
    <row r="6" spans="1:4" x14ac:dyDescent="0.2">
      <c r="A6" s="4" t="s">
        <v>106</v>
      </c>
      <c r="B6" s="4" t="s">
        <v>107</v>
      </c>
      <c r="C6" s="4" t="s">
        <v>108</v>
      </c>
      <c r="D6" s="4" t="s">
        <v>109</v>
      </c>
    </row>
    <row r="7" spans="1:4" x14ac:dyDescent="0.2">
      <c r="A7" s="6" t="s">
        <v>110</v>
      </c>
      <c r="B7" s="12">
        <v>1</v>
      </c>
      <c r="C7" s="12">
        <v>1</v>
      </c>
      <c r="D7" s="12">
        <v>1</v>
      </c>
    </row>
    <row r="8" spans="1:4" x14ac:dyDescent="0.2">
      <c r="A8" s="1">
        <v>1</v>
      </c>
      <c r="B8" s="10">
        <v>1.4</v>
      </c>
      <c r="C8" s="10">
        <v>1.25</v>
      </c>
      <c r="D8" s="10">
        <v>1.1000000000000001</v>
      </c>
    </row>
    <row r="9" spans="1:4" x14ac:dyDescent="0.2">
      <c r="A9" s="1">
        <v>2</v>
      </c>
      <c r="B9" s="10">
        <v>2</v>
      </c>
      <c r="C9" s="10">
        <v>1.6</v>
      </c>
      <c r="D9" s="10">
        <v>1.3</v>
      </c>
    </row>
    <row r="10" spans="1:4" x14ac:dyDescent="0.2">
      <c r="A10" s="1" t="s">
        <v>111</v>
      </c>
      <c r="B10" s="10">
        <v>3</v>
      </c>
      <c r="C10" s="10">
        <v>2.5</v>
      </c>
      <c r="D10" s="10">
        <v>2</v>
      </c>
    </row>
    <row r="13" spans="1:4" x14ac:dyDescent="0.2">
      <c r="A13" s="3" t="s">
        <v>112</v>
      </c>
    </row>
    <row r="14" spans="1:4" x14ac:dyDescent="0.2">
      <c r="A14" s="1" t="s">
        <v>113</v>
      </c>
      <c r="B14" s="10">
        <v>0.8</v>
      </c>
    </row>
    <row r="17" spans="1:2" x14ac:dyDescent="0.2">
      <c r="A17" s="3" t="s">
        <v>114</v>
      </c>
    </row>
    <row r="18" spans="1:2" x14ac:dyDescent="0.2">
      <c r="A18" s="4" t="s">
        <v>115</v>
      </c>
      <c r="B18" s="4" t="s">
        <v>116</v>
      </c>
    </row>
    <row r="19" spans="1:2" x14ac:dyDescent="0.2">
      <c r="A19" s="1" t="s">
        <v>117</v>
      </c>
      <c r="B19" s="10">
        <v>0</v>
      </c>
    </row>
    <row r="20" spans="1:2" x14ac:dyDescent="0.2">
      <c r="A20" s="1" t="s">
        <v>118</v>
      </c>
      <c r="B20" s="10">
        <v>0.1</v>
      </c>
    </row>
    <row r="21" spans="1:2" x14ac:dyDescent="0.2">
      <c r="A21" s="1" t="s">
        <v>119</v>
      </c>
      <c r="B21" s="10">
        <v>0.2</v>
      </c>
    </row>
    <row r="22" spans="1:2" x14ac:dyDescent="0.2">
      <c r="A22" s="1" t="s">
        <v>120</v>
      </c>
      <c r="B22" s="10">
        <v>0.4</v>
      </c>
    </row>
    <row r="25" spans="1:2" x14ac:dyDescent="0.2">
      <c r="A25" s="3" t="s">
        <v>121</v>
      </c>
    </row>
    <row r="26" spans="1:2" x14ac:dyDescent="0.2">
      <c r="A26" s="4" t="s">
        <v>122</v>
      </c>
      <c r="B26" s="4" t="s">
        <v>123</v>
      </c>
    </row>
    <row r="27" spans="1:2" x14ac:dyDescent="0.2">
      <c r="A27" s="1" t="s">
        <v>124</v>
      </c>
      <c r="B27" s="10">
        <v>4</v>
      </c>
    </row>
    <row r="28" spans="1:2" x14ac:dyDescent="0.2">
      <c r="A28" s="1" t="s">
        <v>125</v>
      </c>
      <c r="B28" s="10">
        <v>3</v>
      </c>
    </row>
    <row r="29" spans="1:2" x14ac:dyDescent="0.2">
      <c r="A29" s="1" t="s">
        <v>126</v>
      </c>
      <c r="B29" s="10">
        <v>2</v>
      </c>
    </row>
    <row r="30" spans="1:2" x14ac:dyDescent="0.2">
      <c r="A30" s="1" t="s">
        <v>127</v>
      </c>
      <c r="B30" s="10">
        <v>6</v>
      </c>
    </row>
  </sheetData>
  <pageMargins left="0.7" right="0.7" top="0.75" bottom="0.75" header="0.3" footer="0.3"/>
  <pageSetup paperSize="9" fitToHeight="0" orientation="landscape" horizontalDpi="0" verticalDpi="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7EC20-79BE-1543-88A4-0CC056464CE3}">
  <sheetPr codeName="Sheet16">
    <tabColor rgb="FF008000"/>
  </sheetPr>
  <dimension ref="A1"/>
  <sheetViews>
    <sheetView workbookViewId="0"/>
  </sheetViews>
  <sheetFormatPr baseColWidth="10" defaultRowHeight="14" x14ac:dyDescent="0.2"/>
  <cols>
    <col min="1" max="16384" width="10.83203125" style="1"/>
  </cols>
  <sheetData/>
  <pageMargins left="0.7" right="0.7" top="0.75" bottom="0.75" header="0.3" footer="0.3"/>
  <pageSetup paperSize="9" fitToHeight="0" orientation="landscape" horizontalDpi="0" verticalDpi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2E661-EA4A-1C4A-AE17-6156B9E7BA9D}">
  <sheetPr codeName="Sheet17">
    <tabColor rgb="FF008000"/>
  </sheetPr>
  <dimension ref="A1:F28"/>
  <sheetViews>
    <sheetView workbookViewId="0"/>
  </sheetViews>
  <sheetFormatPr baseColWidth="10" defaultRowHeight="14" x14ac:dyDescent="0.2"/>
  <cols>
    <col min="1" max="1" width="22.83203125" style="16" customWidth="1"/>
    <col min="2" max="4" width="15.83203125" style="16" customWidth="1"/>
    <col min="5" max="5" width="12.83203125" style="16" customWidth="1"/>
    <col min="6" max="6" width="20.83203125" style="16" customWidth="1"/>
    <col min="7" max="16384" width="10.83203125" style="16"/>
  </cols>
  <sheetData>
    <row r="1" spans="1:6" x14ac:dyDescent="0.2">
      <c r="A1" s="15" t="s">
        <v>128</v>
      </c>
    </row>
    <row r="2" spans="1:6" x14ac:dyDescent="0.2">
      <c r="A2" s="17" t="s">
        <v>129</v>
      </c>
    </row>
    <row r="4" spans="1:6" x14ac:dyDescent="0.2">
      <c r="A4" s="15" t="s">
        <v>130</v>
      </c>
    </row>
    <row r="5" spans="1:6" x14ac:dyDescent="0.2">
      <c r="A5" s="16" t="s">
        <v>131</v>
      </c>
    </row>
    <row r="8" spans="1:6" x14ac:dyDescent="0.2">
      <c r="A8" s="15" t="s">
        <v>132</v>
      </c>
    </row>
    <row r="9" spans="1:6" x14ac:dyDescent="0.2">
      <c r="A9" s="18" t="s">
        <v>21</v>
      </c>
      <c r="B9" s="18" t="s">
        <v>133</v>
      </c>
      <c r="C9" s="18" t="s">
        <v>134</v>
      </c>
      <c r="D9" s="18" t="s">
        <v>135</v>
      </c>
      <c r="E9" s="18" t="s">
        <v>136</v>
      </c>
      <c r="F9" s="18" t="s">
        <v>137</v>
      </c>
    </row>
    <row r="10" spans="1:6" x14ac:dyDescent="0.2">
      <c r="A10" s="16" t="s">
        <v>29</v>
      </c>
      <c r="B10" s="19">
        <v>0.4</v>
      </c>
      <c r="C10" s="19">
        <v>0.5</v>
      </c>
      <c r="D10" s="19">
        <v>0.2</v>
      </c>
      <c r="E10" s="19">
        <v>0.1</v>
      </c>
      <c r="F10" s="19">
        <f t="shared" ref="F10:F15" si="0">1-(1-B10)*(1-E10)</f>
        <v>0.45999999999999996</v>
      </c>
    </row>
    <row r="11" spans="1:6" x14ac:dyDescent="0.2">
      <c r="A11" s="16" t="s">
        <v>28</v>
      </c>
      <c r="B11" s="19">
        <v>0.36</v>
      </c>
      <c r="C11" s="19">
        <v>0.43</v>
      </c>
      <c r="D11" s="19">
        <v>0.2</v>
      </c>
      <c r="E11" s="19">
        <v>0.11</v>
      </c>
      <c r="F11" s="19">
        <f t="shared" si="0"/>
        <v>0.4304</v>
      </c>
    </row>
    <row r="12" spans="1:6" x14ac:dyDescent="0.2">
      <c r="A12" s="16" t="s">
        <v>27</v>
      </c>
      <c r="B12" s="19">
        <v>0.28000000000000003</v>
      </c>
      <c r="C12" s="19">
        <v>0.36</v>
      </c>
      <c r="D12" s="19">
        <v>0.2</v>
      </c>
      <c r="E12" s="19">
        <v>0.12</v>
      </c>
      <c r="F12" s="19">
        <f t="shared" si="0"/>
        <v>0.36640000000000006</v>
      </c>
    </row>
    <row r="13" spans="1:6" x14ac:dyDescent="0.2">
      <c r="A13" s="16" t="s">
        <v>26</v>
      </c>
      <c r="B13" s="19">
        <v>0.23</v>
      </c>
      <c r="C13" s="19">
        <v>0.3</v>
      </c>
      <c r="D13" s="19">
        <v>0.2</v>
      </c>
      <c r="E13" s="19">
        <v>0.13</v>
      </c>
      <c r="F13" s="19">
        <f t="shared" si="0"/>
        <v>0.33009999999999995</v>
      </c>
    </row>
    <row r="14" spans="1:6" x14ac:dyDescent="0.2">
      <c r="A14" s="16" t="s">
        <v>25</v>
      </c>
      <c r="B14" s="19">
        <v>0.19</v>
      </c>
      <c r="C14" s="19">
        <v>0.25</v>
      </c>
      <c r="D14" s="19">
        <v>0.2</v>
      </c>
      <c r="E14" s="19">
        <v>0.14000000000000001</v>
      </c>
      <c r="F14" s="19">
        <f t="shared" si="0"/>
        <v>0.3034</v>
      </c>
    </row>
    <row r="15" spans="1:6" x14ac:dyDescent="0.2">
      <c r="A15" s="16" t="s">
        <v>24</v>
      </c>
      <c r="B15" s="19">
        <v>0.15</v>
      </c>
      <c r="C15" s="19">
        <v>0.2</v>
      </c>
      <c r="D15" s="19">
        <v>0.2</v>
      </c>
      <c r="E15" s="19">
        <v>0.15</v>
      </c>
      <c r="F15" s="19">
        <f t="shared" si="0"/>
        <v>0.27750000000000008</v>
      </c>
    </row>
    <row r="18" spans="1:2" x14ac:dyDescent="0.2">
      <c r="A18" s="15" t="s">
        <v>138</v>
      </c>
    </row>
    <row r="19" spans="1:2" x14ac:dyDescent="0.2">
      <c r="A19" s="16" t="s">
        <v>139</v>
      </c>
      <c r="B19" s="20">
        <v>0.05</v>
      </c>
    </row>
    <row r="20" spans="1:2" x14ac:dyDescent="0.2">
      <c r="A20" s="16" t="s">
        <v>140</v>
      </c>
      <c r="B20" s="21">
        <v>46041</v>
      </c>
    </row>
    <row r="21" spans="1:2" x14ac:dyDescent="0.2">
      <c r="A21" s="16" t="s">
        <v>141</v>
      </c>
      <c r="B21" s="16" t="s">
        <v>142</v>
      </c>
    </row>
    <row r="24" spans="1:2" x14ac:dyDescent="0.2">
      <c r="A24" s="15" t="s">
        <v>143</v>
      </c>
    </row>
    <row r="25" spans="1:2" x14ac:dyDescent="0.2">
      <c r="A25" s="18" t="s">
        <v>144</v>
      </c>
      <c r="B25" s="18" t="s">
        <v>145</v>
      </c>
    </row>
    <row r="26" spans="1:2" x14ac:dyDescent="0.2">
      <c r="A26" s="16" t="s">
        <v>146</v>
      </c>
      <c r="B26" s="22">
        <v>1500000</v>
      </c>
    </row>
    <row r="27" spans="1:2" x14ac:dyDescent="0.2">
      <c r="A27" s="16" t="s">
        <v>147</v>
      </c>
      <c r="B27" s="22">
        <v>800000</v>
      </c>
    </row>
    <row r="28" spans="1:2" x14ac:dyDescent="0.2">
      <c r="A28" s="16" t="s">
        <v>148</v>
      </c>
      <c r="B28" s="22">
        <v>600000</v>
      </c>
    </row>
  </sheetData>
  <pageMargins left="0.7" right="0.7" top="0.75" bottom="0.75" header="0.3" footer="0.3"/>
  <pageSetup paperSize="9" fitToHeight="0" orientation="landscape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DB83D-7FE6-534D-814A-6E6DE3B7CF72}">
  <sheetPr codeName="Sheet18">
    <tabColor rgb="FF008000"/>
  </sheetPr>
  <dimension ref="A1:D24"/>
  <sheetViews>
    <sheetView workbookViewId="0"/>
  </sheetViews>
  <sheetFormatPr baseColWidth="10" defaultRowHeight="14" x14ac:dyDescent="0.2"/>
  <cols>
    <col min="1" max="1" width="22.83203125" style="1" customWidth="1"/>
    <col min="2" max="2" width="15.83203125" style="1" customWidth="1"/>
    <col min="3" max="3" width="12.83203125" style="1" customWidth="1"/>
    <col min="4" max="4" width="18.83203125" style="1" customWidth="1"/>
    <col min="5" max="16384" width="10.83203125" style="1"/>
  </cols>
  <sheetData>
    <row r="1" spans="1:4" x14ac:dyDescent="0.2">
      <c r="A1" s="3" t="s">
        <v>149</v>
      </c>
    </row>
    <row r="2" spans="1:4" x14ac:dyDescent="0.2">
      <c r="A2" s="8" t="s">
        <v>150</v>
      </c>
    </row>
    <row r="5" spans="1:4" x14ac:dyDescent="0.2">
      <c r="A5" s="3" t="s">
        <v>151</v>
      </c>
    </row>
    <row r="6" spans="1:4" x14ac:dyDescent="0.2">
      <c r="A6" s="1" t="s">
        <v>152</v>
      </c>
      <c r="B6" s="23">
        <v>3000</v>
      </c>
    </row>
    <row r="7" spans="1:4" x14ac:dyDescent="0.2">
      <c r="A7" s="1" t="s">
        <v>153</v>
      </c>
      <c r="B7" s="24">
        <v>0.05</v>
      </c>
    </row>
    <row r="8" spans="1:4" x14ac:dyDescent="0.2">
      <c r="A8" s="1" t="s">
        <v>154</v>
      </c>
      <c r="B8" s="1" t="s">
        <v>155</v>
      </c>
    </row>
    <row r="11" spans="1:4" x14ac:dyDescent="0.2">
      <c r="A11" s="3" t="s">
        <v>156</v>
      </c>
    </row>
    <row r="12" spans="1:4" x14ac:dyDescent="0.2">
      <c r="A12" s="1" t="s">
        <v>157</v>
      </c>
      <c r="B12" s="1">
        <v>24</v>
      </c>
      <c r="C12" s="1" t="s">
        <v>158</v>
      </c>
    </row>
    <row r="15" spans="1:4" x14ac:dyDescent="0.2">
      <c r="A15" s="3" t="s">
        <v>159</v>
      </c>
    </row>
    <row r="16" spans="1:4" x14ac:dyDescent="0.2">
      <c r="A16" s="4" t="s">
        <v>144</v>
      </c>
      <c r="B16" s="4" t="s">
        <v>160</v>
      </c>
      <c r="C16" s="4" t="s">
        <v>161</v>
      </c>
      <c r="D16" s="4" t="s">
        <v>162</v>
      </c>
    </row>
    <row r="17" spans="1:4" x14ac:dyDescent="0.2">
      <c r="A17" s="1" t="s">
        <v>163</v>
      </c>
      <c r="B17" s="23">
        <v>3000</v>
      </c>
      <c r="C17" s="24">
        <v>0.05</v>
      </c>
      <c r="D17" s="1">
        <v>24</v>
      </c>
    </row>
    <row r="18" spans="1:4" x14ac:dyDescent="0.2">
      <c r="A18" s="1" t="s">
        <v>164</v>
      </c>
      <c r="B18" s="23">
        <v>2000</v>
      </c>
      <c r="C18" s="24">
        <v>0.04</v>
      </c>
      <c r="D18" s="1">
        <v>15</v>
      </c>
    </row>
    <row r="19" spans="1:4" x14ac:dyDescent="0.2">
      <c r="A19" s="1" t="s">
        <v>165</v>
      </c>
      <c r="B19" s="23">
        <v>4000</v>
      </c>
      <c r="C19" s="24">
        <v>0.06</v>
      </c>
      <c r="D19" s="1">
        <v>30</v>
      </c>
    </row>
    <row r="22" spans="1:4" x14ac:dyDescent="0.2">
      <c r="A22" s="3" t="s">
        <v>166</v>
      </c>
    </row>
    <row r="23" spans="1:4" x14ac:dyDescent="0.2">
      <c r="A23" s="1" t="s">
        <v>154</v>
      </c>
      <c r="B23" s="1" t="s">
        <v>167</v>
      </c>
    </row>
    <row r="24" spans="1:4" x14ac:dyDescent="0.2">
      <c r="A24" s="1" t="s">
        <v>168</v>
      </c>
      <c r="B24" s="25" t="s">
        <v>19</v>
      </c>
    </row>
  </sheetData>
  <pageMargins left="0.7" right="0.7" top="0.75" bottom="0.75" header="0.3" footer="0.3"/>
  <pageSetup paperSize="9" fitToHeight="0" orientation="landscape" horizontalDpi="0" verticalDpi="0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FC011-A45D-D844-BEE6-0E92642B1CF4}">
  <sheetPr codeName="Sheet19">
    <tabColor rgb="FF008000"/>
  </sheetPr>
  <dimension ref="A1"/>
  <sheetViews>
    <sheetView workbookViewId="0"/>
  </sheetViews>
  <sheetFormatPr baseColWidth="10" defaultRowHeight="14" x14ac:dyDescent="0.2"/>
  <cols>
    <col min="1" max="16384" width="10.83203125" style="1"/>
  </cols>
  <sheetData/>
  <pageMargins left="0.7" right="0.7" top="0.75" bottom="0.75" header="0.3" footer="0.3"/>
  <pageSetup paperSize="9" fitToHeight="0" orientation="landscape" horizontalDpi="0" verticalDpi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1B4B5-3CA5-734F-836E-69148BCF5599}">
  <sheetPr codeName="Sheet20">
    <tabColor rgb="FFFF9900"/>
  </sheetPr>
  <dimension ref="A1:BE101"/>
  <sheetViews>
    <sheetView tabSelected="1" workbookViewId="0">
      <selection activeCell="A2" sqref="A2"/>
    </sheetView>
  </sheetViews>
  <sheetFormatPr baseColWidth="10" defaultRowHeight="14" x14ac:dyDescent="0.2"/>
  <cols>
    <col min="1" max="1" width="7.1640625" style="1" bestFit="1" customWidth="1"/>
    <col min="2" max="2" width="10.33203125" style="1" bestFit="1" customWidth="1"/>
    <col min="3" max="3" width="12.6640625" style="1" bestFit="1" customWidth="1"/>
    <col min="4" max="4" width="12.6640625" style="23" bestFit="1" customWidth="1"/>
    <col min="5" max="5" width="12.5" style="23" bestFit="1" customWidth="1"/>
    <col min="6" max="6" width="18.1640625" style="23" bestFit="1" customWidth="1"/>
    <col min="7" max="7" width="18" style="23" bestFit="1" customWidth="1"/>
    <col min="8" max="8" width="11.5" style="1" bestFit="1" customWidth="1"/>
    <col min="9" max="9" width="9.83203125" style="24" bestFit="1" customWidth="1"/>
    <col min="10" max="10" width="9.6640625" style="24" bestFit="1" customWidth="1"/>
    <col min="11" max="11" width="14.6640625" style="1" bestFit="1" customWidth="1"/>
    <col min="12" max="12" width="16.6640625" style="5" bestFit="1" customWidth="1"/>
    <col min="13" max="13" width="16.5" style="5" bestFit="1" customWidth="1"/>
    <col min="14" max="14" width="9" style="1" bestFit="1" customWidth="1"/>
    <col min="15" max="15" width="13" style="1" bestFit="1" customWidth="1"/>
    <col min="16" max="16" width="13.1640625" style="1" bestFit="1" customWidth="1"/>
    <col min="17" max="17" width="10.1640625" style="1" bestFit="1" customWidth="1"/>
    <col min="18" max="18" width="17.1640625" style="1" bestFit="1" customWidth="1"/>
    <col min="19" max="19" width="19" style="1" bestFit="1" customWidth="1"/>
    <col min="20" max="20" width="11.1640625" style="1" bestFit="1" customWidth="1"/>
    <col min="21" max="21" width="14.6640625" style="1" bestFit="1" customWidth="1"/>
    <col min="22" max="22" width="16.83203125" style="1" bestFit="1" customWidth="1"/>
    <col min="23" max="23" width="12.6640625" style="1" bestFit="1" customWidth="1"/>
    <col min="24" max="24" width="15.83203125" style="1" bestFit="1" customWidth="1"/>
    <col min="25" max="25" width="8.83203125" style="1" bestFit="1" customWidth="1"/>
    <col min="26" max="26" width="12.5" style="1" bestFit="1" customWidth="1"/>
    <col min="27" max="27" width="13.83203125" style="1" bestFit="1" customWidth="1"/>
    <col min="28" max="28" width="14.6640625" style="1" bestFit="1" customWidth="1"/>
    <col min="29" max="29" width="11.6640625" style="23" bestFit="1" customWidth="1"/>
    <col min="30" max="30" width="7.83203125" style="24" bestFit="1" customWidth="1"/>
    <col min="31" max="31" width="13.33203125" style="1" bestFit="1" customWidth="1"/>
    <col min="32" max="32" width="8" style="1" bestFit="1" customWidth="1"/>
    <col min="33" max="33" width="19.33203125" style="1" bestFit="1" customWidth="1"/>
    <col min="34" max="34" width="9.83203125" style="1" bestFit="1" customWidth="1"/>
    <col min="35" max="35" width="12.1640625" style="23" bestFit="1" customWidth="1"/>
    <col min="36" max="36" width="12.6640625" style="1" bestFit="1" customWidth="1"/>
    <col min="37" max="37" width="21.5" style="1" bestFit="1" customWidth="1"/>
    <col min="38" max="38" width="11.5" style="1" bestFit="1" customWidth="1"/>
    <col min="39" max="39" width="11.6640625" style="1" bestFit="1" customWidth="1"/>
    <col min="40" max="40" width="14.6640625" style="1" bestFit="1" customWidth="1"/>
    <col min="41" max="41" width="11" style="1" bestFit="1" customWidth="1"/>
    <col min="42" max="42" width="13.5" style="1" bestFit="1" customWidth="1"/>
    <col min="43" max="43" width="13.6640625" style="1" bestFit="1" customWidth="1"/>
    <col min="44" max="44" width="13.5" style="1" bestFit="1" customWidth="1"/>
    <col min="45" max="45" width="7.6640625" style="1" bestFit="1" customWidth="1"/>
    <col min="46" max="46" width="9.83203125" style="1" bestFit="1" customWidth="1"/>
    <col min="47" max="47" width="14.1640625" style="1" bestFit="1" customWidth="1"/>
    <col min="48" max="48" width="10.33203125" style="1" bestFit="1" customWidth="1"/>
    <col min="49" max="49" width="10.5" style="1" bestFit="1" customWidth="1"/>
    <col min="50" max="50" width="17.83203125" style="1" bestFit="1" customWidth="1"/>
    <col min="51" max="51" width="12.6640625" style="1" bestFit="1" customWidth="1"/>
    <col min="52" max="52" width="13.83203125" style="1" bestFit="1" customWidth="1"/>
    <col min="53" max="53" width="12.5" style="1" bestFit="1" customWidth="1"/>
    <col min="54" max="54" width="18.33203125" style="1" bestFit="1" customWidth="1"/>
    <col min="55" max="55" width="10" style="1" bestFit="1" customWidth="1"/>
    <col min="56" max="56" width="11.1640625" style="1" bestFit="1" customWidth="1"/>
    <col min="57" max="57" width="10" style="1" bestFit="1" customWidth="1"/>
    <col min="58" max="16384" width="10.83203125" style="1"/>
  </cols>
  <sheetData>
    <row r="1" spans="1:57" x14ac:dyDescent="0.2">
      <c r="A1" s="26" t="s">
        <v>169</v>
      </c>
      <c r="B1" s="26" t="s">
        <v>170</v>
      </c>
      <c r="C1" s="26" t="s">
        <v>171</v>
      </c>
      <c r="D1" s="27" t="s">
        <v>172</v>
      </c>
      <c r="E1" s="27" t="s">
        <v>173</v>
      </c>
      <c r="F1" s="27" t="s">
        <v>174</v>
      </c>
      <c r="G1" s="27" t="s">
        <v>175</v>
      </c>
      <c r="H1" s="26" t="s">
        <v>176</v>
      </c>
      <c r="I1" s="28" t="s">
        <v>177</v>
      </c>
      <c r="J1" s="28" t="s">
        <v>178</v>
      </c>
      <c r="K1" s="26" t="s">
        <v>179</v>
      </c>
      <c r="L1" s="29" t="s">
        <v>180</v>
      </c>
      <c r="M1" s="29" t="s">
        <v>181</v>
      </c>
      <c r="N1" s="26" t="s">
        <v>182</v>
      </c>
      <c r="O1" s="26" t="s">
        <v>183</v>
      </c>
      <c r="P1" s="26" t="s">
        <v>184</v>
      </c>
      <c r="Q1" s="26" t="s">
        <v>185</v>
      </c>
      <c r="R1" s="26" t="s">
        <v>186</v>
      </c>
      <c r="S1" s="26" t="s">
        <v>187</v>
      </c>
      <c r="T1" s="26" t="s">
        <v>188</v>
      </c>
      <c r="U1" s="26" t="s">
        <v>189</v>
      </c>
      <c r="V1" s="26" t="s">
        <v>190</v>
      </c>
      <c r="W1" s="26" t="s">
        <v>191</v>
      </c>
      <c r="X1" s="26" t="s">
        <v>144</v>
      </c>
      <c r="Y1" s="26" t="s">
        <v>192</v>
      </c>
      <c r="Z1" s="26" t="s">
        <v>193</v>
      </c>
      <c r="AA1" s="26" t="s">
        <v>194</v>
      </c>
      <c r="AB1" s="26" t="s">
        <v>195</v>
      </c>
      <c r="AC1" s="27" t="s">
        <v>196</v>
      </c>
      <c r="AD1" s="28" t="s">
        <v>197</v>
      </c>
      <c r="AE1" s="26" t="s">
        <v>198</v>
      </c>
      <c r="AF1" s="26" t="s">
        <v>199</v>
      </c>
      <c r="AG1" s="26" t="s">
        <v>200</v>
      </c>
      <c r="AH1" s="26" t="s">
        <v>201</v>
      </c>
      <c r="AI1" s="27" t="s">
        <v>202</v>
      </c>
      <c r="AJ1" s="26" t="s">
        <v>203</v>
      </c>
      <c r="AK1" s="26" t="s">
        <v>204</v>
      </c>
      <c r="AL1" s="26" t="s">
        <v>205</v>
      </c>
      <c r="AM1" s="26" t="s">
        <v>206</v>
      </c>
      <c r="AN1" s="26" t="s">
        <v>207</v>
      </c>
      <c r="AO1" s="26" t="s">
        <v>208</v>
      </c>
      <c r="AP1" s="26" t="s">
        <v>209</v>
      </c>
      <c r="AQ1" s="26" t="s">
        <v>210</v>
      </c>
      <c r="AR1" s="26" t="s">
        <v>211</v>
      </c>
      <c r="AS1" s="26" t="s">
        <v>212</v>
      </c>
      <c r="AT1" s="26" t="s">
        <v>213</v>
      </c>
      <c r="AU1" s="26" t="s">
        <v>214</v>
      </c>
      <c r="AV1" s="26" t="s">
        <v>215</v>
      </c>
      <c r="AW1" s="26" t="s">
        <v>216</v>
      </c>
      <c r="AX1" s="26" t="s">
        <v>217</v>
      </c>
      <c r="AY1" s="26" t="s">
        <v>218</v>
      </c>
      <c r="AZ1" s="26" t="s">
        <v>219</v>
      </c>
      <c r="BA1" s="30" t="s">
        <v>220</v>
      </c>
      <c r="BB1" s="30" t="s">
        <v>221</v>
      </c>
      <c r="BC1" s="30" t="s">
        <v>222</v>
      </c>
      <c r="BD1" s="30" t="s">
        <v>223</v>
      </c>
      <c r="BE1" s="30" t="s">
        <v>224</v>
      </c>
    </row>
    <row r="2" spans="1:57" x14ac:dyDescent="0.2">
      <c r="A2" s="1" t="s">
        <v>360</v>
      </c>
      <c r="B2" s="31">
        <v>46041</v>
      </c>
      <c r="C2" s="31">
        <v>43696</v>
      </c>
      <c r="D2" s="23">
        <v>1056607</v>
      </c>
      <c r="E2" s="23">
        <v>1056607</v>
      </c>
      <c r="F2" s="23">
        <v>1357000</v>
      </c>
      <c r="G2" s="23">
        <v>1737000</v>
      </c>
      <c r="H2" s="31">
        <v>46041</v>
      </c>
      <c r="I2" s="24">
        <v>0.77863482534885409</v>
      </c>
      <c r="J2" s="24">
        <v>0.6082941853770869</v>
      </c>
      <c r="K2" s="1" t="s">
        <v>361</v>
      </c>
      <c r="L2" s="5">
        <v>5.104397535324097E-2</v>
      </c>
      <c r="M2" s="5">
        <v>1.1043975353240969E-2</v>
      </c>
      <c r="N2" s="1" t="s">
        <v>362</v>
      </c>
      <c r="O2" s="31"/>
      <c r="P2" s="1" t="s">
        <v>363</v>
      </c>
      <c r="Q2" s="31">
        <v>49693</v>
      </c>
      <c r="R2" s="1">
        <v>255</v>
      </c>
      <c r="S2" s="1">
        <v>178</v>
      </c>
      <c r="T2" s="31">
        <v>51459</v>
      </c>
      <c r="U2" s="1" t="s">
        <v>364</v>
      </c>
      <c r="V2" s="1" t="s">
        <v>229</v>
      </c>
      <c r="W2" s="1" t="s">
        <v>365</v>
      </c>
      <c r="X2" s="1" t="s">
        <v>164</v>
      </c>
      <c r="Y2" s="1" t="s">
        <v>366</v>
      </c>
      <c r="Z2" s="1">
        <v>1</v>
      </c>
      <c r="AA2" s="1" t="s">
        <v>367</v>
      </c>
      <c r="AB2" s="1" t="s">
        <v>231</v>
      </c>
      <c r="AC2" s="23">
        <v>127895</v>
      </c>
      <c r="AD2" s="24">
        <v>0.50395467281341555</v>
      </c>
      <c r="AE2" s="1" t="s">
        <v>232</v>
      </c>
      <c r="AF2" s="1">
        <v>0</v>
      </c>
      <c r="AG2" s="1">
        <v>0</v>
      </c>
      <c r="AI2" s="23">
        <v>0</v>
      </c>
      <c r="AJ2" s="1" t="s">
        <v>232</v>
      </c>
      <c r="AK2" s="1">
        <v>0</v>
      </c>
      <c r="AL2" s="1" t="s">
        <v>233</v>
      </c>
      <c r="AM2" s="1">
        <v>0</v>
      </c>
      <c r="AN2" s="1">
        <v>0</v>
      </c>
      <c r="AO2" s="1" t="s">
        <v>232</v>
      </c>
      <c r="AR2" s="1" t="s">
        <v>368</v>
      </c>
      <c r="AS2" s="1" t="s">
        <v>369</v>
      </c>
      <c r="AT2" s="1" t="s">
        <v>234</v>
      </c>
      <c r="AU2" s="1" t="s">
        <v>19</v>
      </c>
      <c r="AV2" s="1">
        <v>1.4927665352821351</v>
      </c>
      <c r="AW2" s="1" t="s">
        <v>232</v>
      </c>
      <c r="AX2" s="1">
        <v>73</v>
      </c>
      <c r="AY2" s="1" t="s">
        <v>232</v>
      </c>
      <c r="AZ2" s="1" t="s">
        <v>232</v>
      </c>
    </row>
    <row r="3" spans="1:57" x14ac:dyDescent="0.2">
      <c r="A3" s="1" t="s">
        <v>370</v>
      </c>
      <c r="B3" s="31">
        <v>46041</v>
      </c>
      <c r="C3" s="31">
        <v>41962</v>
      </c>
      <c r="D3" s="23">
        <v>1540109</v>
      </c>
      <c r="E3" s="23">
        <v>1081457</v>
      </c>
      <c r="F3" s="23">
        <v>1852000</v>
      </c>
      <c r="G3" s="23">
        <v>1940000</v>
      </c>
      <c r="H3" s="31">
        <v>46041</v>
      </c>
      <c r="I3" s="24">
        <v>0.83159215450286872</v>
      </c>
      <c r="J3" s="24">
        <v>0.55745206185567009</v>
      </c>
      <c r="K3" s="1" t="s">
        <v>226</v>
      </c>
      <c r="L3" s="5">
        <v>4.8204960227012636E-2</v>
      </c>
      <c r="M3" s="5">
        <v>8.2049602270126351E-3</v>
      </c>
      <c r="O3" s="31">
        <v>46771</v>
      </c>
      <c r="P3" s="1" t="s">
        <v>227</v>
      </c>
      <c r="R3" s="1">
        <v>296</v>
      </c>
      <c r="S3" s="1">
        <v>162</v>
      </c>
      <c r="T3" s="31">
        <v>50970</v>
      </c>
      <c r="U3" s="1" t="s">
        <v>371</v>
      </c>
      <c r="V3" s="1" t="s">
        <v>372</v>
      </c>
      <c r="W3" s="1" t="s">
        <v>85</v>
      </c>
      <c r="X3" s="1" t="s">
        <v>373</v>
      </c>
      <c r="Y3" s="1" t="s">
        <v>374</v>
      </c>
      <c r="Z3" s="1">
        <v>2</v>
      </c>
      <c r="AA3" s="1" t="s">
        <v>230</v>
      </c>
      <c r="AB3" s="1" t="s">
        <v>231</v>
      </c>
      <c r="AC3" s="23">
        <v>59020</v>
      </c>
      <c r="AD3" s="24">
        <v>0.53752238750457759</v>
      </c>
      <c r="AE3" s="1" t="s">
        <v>232</v>
      </c>
      <c r="AF3" s="1">
        <v>0</v>
      </c>
      <c r="AG3" s="1">
        <v>0</v>
      </c>
      <c r="AI3" s="23">
        <v>0</v>
      </c>
      <c r="AJ3" s="1" t="s">
        <v>232</v>
      </c>
      <c r="AK3" s="1">
        <v>0</v>
      </c>
      <c r="AL3" s="1" t="s">
        <v>375</v>
      </c>
      <c r="AM3" s="1">
        <v>126</v>
      </c>
      <c r="AN3" s="1">
        <v>4.2</v>
      </c>
      <c r="AO3" s="1" t="s">
        <v>232</v>
      </c>
      <c r="AR3" s="1" t="s">
        <v>376</v>
      </c>
      <c r="AS3" s="1" t="s">
        <v>369</v>
      </c>
      <c r="AT3" s="1" t="s">
        <v>234</v>
      </c>
      <c r="AU3" s="1" t="s">
        <v>232</v>
      </c>
      <c r="AV3" s="1">
        <v>0</v>
      </c>
      <c r="AW3" s="1" t="s">
        <v>232</v>
      </c>
      <c r="AX3" s="1">
        <v>999</v>
      </c>
      <c r="AY3" s="1" t="s">
        <v>232</v>
      </c>
      <c r="AZ3" s="1" t="s">
        <v>232</v>
      </c>
    </row>
    <row r="4" spans="1:57" x14ac:dyDescent="0.2">
      <c r="A4" s="1" t="s">
        <v>377</v>
      </c>
      <c r="B4" s="31">
        <v>46041</v>
      </c>
      <c r="C4" s="31">
        <v>40682</v>
      </c>
      <c r="D4" s="23">
        <v>1065359</v>
      </c>
      <c r="E4" s="23">
        <v>648530</v>
      </c>
      <c r="F4" s="23">
        <v>1356000</v>
      </c>
      <c r="G4" s="23">
        <v>1781000</v>
      </c>
      <c r="H4" s="31">
        <v>46041</v>
      </c>
      <c r="I4" s="24">
        <v>0.78566299974918363</v>
      </c>
      <c r="J4" s="24">
        <v>0.36413812464907358</v>
      </c>
      <c r="K4" s="1" t="s">
        <v>226</v>
      </c>
      <c r="L4" s="5">
        <v>4.6298404932022093E-2</v>
      </c>
      <c r="M4" s="5">
        <v>6.298404932022092E-3</v>
      </c>
      <c r="O4" s="31">
        <v>46771</v>
      </c>
      <c r="P4" s="1" t="s">
        <v>227</v>
      </c>
      <c r="R4" s="1">
        <v>419</v>
      </c>
      <c r="S4" s="1">
        <v>243</v>
      </c>
      <c r="T4" s="31">
        <v>53436</v>
      </c>
      <c r="U4" s="1" t="s">
        <v>378</v>
      </c>
      <c r="V4" s="1" t="s">
        <v>379</v>
      </c>
      <c r="W4" s="1" t="s">
        <v>86</v>
      </c>
      <c r="X4" s="1" t="s">
        <v>380</v>
      </c>
      <c r="Y4" s="1" t="s">
        <v>381</v>
      </c>
      <c r="Z4" s="1">
        <v>1</v>
      </c>
      <c r="AA4" s="1" t="s">
        <v>382</v>
      </c>
      <c r="AB4" s="1" t="s">
        <v>231</v>
      </c>
      <c r="AC4" s="23">
        <v>133438</v>
      </c>
      <c r="AD4" s="24">
        <v>0.41866273880004884</v>
      </c>
      <c r="AE4" s="1" t="s">
        <v>232</v>
      </c>
      <c r="AF4" s="1">
        <v>2</v>
      </c>
      <c r="AG4" s="1">
        <v>27</v>
      </c>
      <c r="AH4" s="1" t="s">
        <v>232</v>
      </c>
      <c r="AI4" s="23">
        <v>2296</v>
      </c>
      <c r="AJ4" s="1" t="s">
        <v>232</v>
      </c>
      <c r="AK4" s="1">
        <v>0</v>
      </c>
      <c r="AL4" s="1" t="s">
        <v>375</v>
      </c>
      <c r="AM4" s="1">
        <v>140</v>
      </c>
      <c r="AN4" s="1">
        <v>4.7</v>
      </c>
      <c r="AO4" s="1" t="s">
        <v>232</v>
      </c>
      <c r="AR4" s="1" t="s">
        <v>376</v>
      </c>
      <c r="AS4" s="1" t="s">
        <v>369</v>
      </c>
      <c r="AT4" s="1" t="s">
        <v>234</v>
      </c>
      <c r="AU4" s="1" t="s">
        <v>232</v>
      </c>
      <c r="AV4" s="1">
        <v>0</v>
      </c>
      <c r="AW4" s="1" t="s">
        <v>232</v>
      </c>
      <c r="AX4" s="1">
        <v>152</v>
      </c>
      <c r="AY4" s="1" t="s">
        <v>19</v>
      </c>
      <c r="AZ4" s="1" t="s">
        <v>232</v>
      </c>
    </row>
    <row r="5" spans="1:57" x14ac:dyDescent="0.2">
      <c r="A5" s="1" t="s">
        <v>383</v>
      </c>
      <c r="B5" s="31">
        <v>46041</v>
      </c>
      <c r="C5" s="31">
        <v>42327</v>
      </c>
      <c r="D5" s="23">
        <v>231004</v>
      </c>
      <c r="E5" s="23">
        <v>231004</v>
      </c>
      <c r="F5" s="23">
        <v>381000</v>
      </c>
      <c r="G5" s="23">
        <v>424000</v>
      </c>
      <c r="H5" s="31">
        <v>46041</v>
      </c>
      <c r="I5" s="24">
        <v>0.60630960464477535</v>
      </c>
      <c r="J5" s="24">
        <v>0.5448207547169811</v>
      </c>
      <c r="K5" s="1" t="s">
        <v>384</v>
      </c>
      <c r="L5" s="5">
        <v>6.2303407490253454E-2</v>
      </c>
      <c r="M5" s="5">
        <v>2.2303407490253453E-2</v>
      </c>
      <c r="P5" s="1" t="s">
        <v>363</v>
      </c>
      <c r="Q5" s="31">
        <v>49693</v>
      </c>
      <c r="R5" s="1">
        <v>323</v>
      </c>
      <c r="S5" s="1">
        <v>201</v>
      </c>
      <c r="T5" s="31">
        <v>52158</v>
      </c>
      <c r="U5" s="1" t="s">
        <v>228</v>
      </c>
      <c r="V5" s="1" t="s">
        <v>379</v>
      </c>
      <c r="W5" s="1" t="s">
        <v>85</v>
      </c>
      <c r="X5" s="1" t="s">
        <v>146</v>
      </c>
      <c r="Y5" s="1" t="s">
        <v>385</v>
      </c>
      <c r="Z5" s="1">
        <v>2</v>
      </c>
      <c r="AA5" s="1" t="s">
        <v>230</v>
      </c>
      <c r="AB5" s="1" t="s">
        <v>231</v>
      </c>
      <c r="AC5" s="23">
        <v>141382</v>
      </c>
      <c r="AD5" s="24">
        <v>0.58948905467987056</v>
      </c>
      <c r="AE5" s="1" t="s">
        <v>232</v>
      </c>
      <c r="AF5" s="1">
        <v>2</v>
      </c>
      <c r="AG5" s="1">
        <v>8</v>
      </c>
      <c r="AH5" s="1" t="s">
        <v>19</v>
      </c>
      <c r="AI5" s="23">
        <v>9347</v>
      </c>
      <c r="AJ5" s="1" t="s">
        <v>19</v>
      </c>
      <c r="AK5" s="1">
        <v>7</v>
      </c>
      <c r="AL5" s="1" t="s">
        <v>233</v>
      </c>
      <c r="AM5" s="1">
        <v>0</v>
      </c>
      <c r="AN5" s="1">
        <v>0</v>
      </c>
      <c r="AO5" s="1" t="s">
        <v>232</v>
      </c>
      <c r="AR5" s="1" t="s">
        <v>368</v>
      </c>
      <c r="AS5" s="1" t="s">
        <v>386</v>
      </c>
      <c r="AT5" s="1" t="s">
        <v>234</v>
      </c>
      <c r="AU5" s="1" t="s">
        <v>232</v>
      </c>
      <c r="AV5" s="1">
        <v>0</v>
      </c>
      <c r="AW5" s="1" t="s">
        <v>232</v>
      </c>
      <c r="AX5" s="1">
        <v>186</v>
      </c>
      <c r="AY5" s="1" t="s">
        <v>232</v>
      </c>
      <c r="AZ5" s="1" t="s">
        <v>232</v>
      </c>
    </row>
    <row r="6" spans="1:57" x14ac:dyDescent="0.2">
      <c r="A6" s="1" t="s">
        <v>387</v>
      </c>
      <c r="B6" s="31">
        <v>46041</v>
      </c>
      <c r="C6" s="31">
        <v>40440</v>
      </c>
      <c r="D6" s="23">
        <v>1422091</v>
      </c>
      <c r="E6" s="23">
        <v>840562</v>
      </c>
      <c r="F6" s="23">
        <v>1598000</v>
      </c>
      <c r="G6" s="23">
        <v>1958000</v>
      </c>
      <c r="H6" s="31">
        <v>46041</v>
      </c>
      <c r="I6" s="24">
        <v>0.8899194598197937</v>
      </c>
      <c r="J6" s="24">
        <v>0.42929622063329931</v>
      </c>
      <c r="K6" s="1" t="s">
        <v>226</v>
      </c>
      <c r="L6" s="5">
        <v>3.537536799907684E-2</v>
      </c>
      <c r="M6" s="5">
        <v>-4.6246320009231609E-3</v>
      </c>
      <c r="O6" s="31">
        <v>46771</v>
      </c>
      <c r="P6" s="1" t="s">
        <v>227</v>
      </c>
      <c r="R6" s="1">
        <v>245</v>
      </c>
      <c r="S6" s="1">
        <v>61</v>
      </c>
      <c r="T6" s="31">
        <v>47898</v>
      </c>
      <c r="U6" s="1" t="s">
        <v>228</v>
      </c>
      <c r="V6" s="1" t="s">
        <v>229</v>
      </c>
      <c r="W6" s="1" t="s">
        <v>86</v>
      </c>
      <c r="X6" s="1" t="s">
        <v>388</v>
      </c>
      <c r="Y6" s="1" t="s">
        <v>389</v>
      </c>
      <c r="Z6" s="1">
        <v>1</v>
      </c>
      <c r="AA6" s="1" t="s">
        <v>230</v>
      </c>
      <c r="AB6" s="1" t="s">
        <v>231</v>
      </c>
      <c r="AC6" s="23">
        <v>101647</v>
      </c>
      <c r="AD6" s="24">
        <v>0.2676048040390015</v>
      </c>
      <c r="AE6" s="1" t="s">
        <v>232</v>
      </c>
      <c r="AF6" s="1">
        <v>0</v>
      </c>
      <c r="AG6" s="1">
        <v>0</v>
      </c>
      <c r="AI6" s="23">
        <v>0</v>
      </c>
      <c r="AJ6" s="1" t="s">
        <v>232</v>
      </c>
      <c r="AK6" s="1">
        <v>0</v>
      </c>
      <c r="AL6" s="1" t="s">
        <v>233</v>
      </c>
      <c r="AM6" s="1">
        <v>0</v>
      </c>
      <c r="AN6" s="1">
        <v>0</v>
      </c>
      <c r="AO6" s="1" t="s">
        <v>232</v>
      </c>
      <c r="AR6" s="1" t="s">
        <v>376</v>
      </c>
      <c r="AS6" s="1" t="s">
        <v>386</v>
      </c>
      <c r="AT6" s="1" t="s">
        <v>234</v>
      </c>
      <c r="AU6" s="1" t="s">
        <v>232</v>
      </c>
      <c r="AV6" s="1">
        <v>0</v>
      </c>
      <c r="AW6" s="1" t="s">
        <v>232</v>
      </c>
      <c r="AX6" s="1">
        <v>174</v>
      </c>
      <c r="AY6" s="1" t="s">
        <v>232</v>
      </c>
      <c r="AZ6" s="1" t="s">
        <v>232</v>
      </c>
    </row>
    <row r="7" spans="1:57" x14ac:dyDescent="0.2">
      <c r="A7" s="1" t="s">
        <v>390</v>
      </c>
      <c r="B7" s="31">
        <v>46041</v>
      </c>
      <c r="C7" s="31">
        <v>42266</v>
      </c>
      <c r="D7" s="23">
        <v>961454</v>
      </c>
      <c r="E7" s="23">
        <v>696467</v>
      </c>
      <c r="F7" s="23">
        <v>1602000</v>
      </c>
      <c r="G7" s="23">
        <v>2004000</v>
      </c>
      <c r="H7" s="31">
        <v>46041</v>
      </c>
      <c r="I7" s="24">
        <v>0.60015874505043032</v>
      </c>
      <c r="J7" s="24">
        <v>0.3475384231536926</v>
      </c>
      <c r="K7" s="1" t="s">
        <v>384</v>
      </c>
      <c r="L7" s="5">
        <v>5.702452957630158E-2</v>
      </c>
      <c r="M7" s="5">
        <v>1.7024529576301579E-2</v>
      </c>
      <c r="P7" s="1" t="s">
        <v>227</v>
      </c>
      <c r="R7" s="1">
        <v>256</v>
      </c>
      <c r="S7" s="1">
        <v>132</v>
      </c>
      <c r="T7" s="31">
        <v>50059</v>
      </c>
      <c r="U7" s="1" t="s">
        <v>378</v>
      </c>
      <c r="V7" s="1" t="s">
        <v>391</v>
      </c>
      <c r="W7" s="1" t="s">
        <v>85</v>
      </c>
      <c r="X7" s="1" t="s">
        <v>392</v>
      </c>
      <c r="Y7" s="1" t="s">
        <v>393</v>
      </c>
      <c r="Z7" s="1">
        <v>1</v>
      </c>
      <c r="AA7" s="1" t="s">
        <v>230</v>
      </c>
      <c r="AB7" s="1" t="s">
        <v>231</v>
      </c>
      <c r="AC7" s="23">
        <v>126789</v>
      </c>
      <c r="AD7" s="24">
        <v>0.479389762878418</v>
      </c>
      <c r="AE7" s="1" t="s">
        <v>232</v>
      </c>
      <c r="AF7" s="1">
        <v>0</v>
      </c>
      <c r="AG7" s="1">
        <v>0</v>
      </c>
      <c r="AI7" s="23">
        <v>0</v>
      </c>
      <c r="AJ7" s="1" t="s">
        <v>232</v>
      </c>
      <c r="AK7" s="1">
        <v>0</v>
      </c>
      <c r="AL7" s="1" t="s">
        <v>233</v>
      </c>
      <c r="AM7" s="1">
        <v>0</v>
      </c>
      <c r="AN7" s="1">
        <v>0</v>
      </c>
      <c r="AO7" s="1" t="s">
        <v>232</v>
      </c>
      <c r="AR7" s="1" t="s">
        <v>394</v>
      </c>
      <c r="AS7" s="1" t="s">
        <v>369</v>
      </c>
      <c r="AT7" s="1" t="s">
        <v>234</v>
      </c>
      <c r="AU7" s="1" t="s">
        <v>232</v>
      </c>
      <c r="AV7" s="1">
        <v>0</v>
      </c>
      <c r="AW7" s="1" t="s">
        <v>232</v>
      </c>
      <c r="AX7" s="1">
        <v>999</v>
      </c>
      <c r="AY7" s="1" t="s">
        <v>232</v>
      </c>
      <c r="AZ7" s="1" t="s">
        <v>232</v>
      </c>
    </row>
    <row r="8" spans="1:57" x14ac:dyDescent="0.2">
      <c r="A8" s="1" t="s">
        <v>395</v>
      </c>
      <c r="B8" s="31">
        <v>46041</v>
      </c>
      <c r="C8" s="31">
        <v>41048</v>
      </c>
      <c r="D8" s="23">
        <v>1162461</v>
      </c>
      <c r="E8" s="23">
        <v>738702</v>
      </c>
      <c r="F8" s="23">
        <v>1778000</v>
      </c>
      <c r="G8" s="23">
        <v>2216000</v>
      </c>
      <c r="H8" s="31">
        <v>46041</v>
      </c>
      <c r="I8" s="24">
        <v>0.65380260348320007</v>
      </c>
      <c r="J8" s="24">
        <v>0.33334927797833935</v>
      </c>
      <c r="K8" s="1" t="s">
        <v>396</v>
      </c>
      <c r="L8" s="5">
        <v>5.3143206834793094E-2</v>
      </c>
      <c r="M8" s="5">
        <v>1.3143206834793093E-2</v>
      </c>
      <c r="P8" s="1" t="s">
        <v>397</v>
      </c>
      <c r="R8" s="1">
        <v>254</v>
      </c>
      <c r="S8" s="1">
        <v>90</v>
      </c>
      <c r="T8" s="31">
        <v>48779</v>
      </c>
      <c r="U8" s="1" t="s">
        <v>228</v>
      </c>
      <c r="V8" s="1" t="s">
        <v>372</v>
      </c>
      <c r="W8" s="1" t="s">
        <v>365</v>
      </c>
      <c r="X8" s="1" t="s">
        <v>146</v>
      </c>
      <c r="Y8" s="1" t="s">
        <v>398</v>
      </c>
      <c r="Z8" s="1">
        <v>2</v>
      </c>
      <c r="AA8" s="1" t="s">
        <v>230</v>
      </c>
      <c r="AB8" s="1" t="s">
        <v>231</v>
      </c>
      <c r="AC8" s="23">
        <v>118931</v>
      </c>
      <c r="AD8" s="24">
        <v>0.34336915016174319</v>
      </c>
      <c r="AE8" s="1" t="s">
        <v>232</v>
      </c>
      <c r="AF8" s="1">
        <v>0</v>
      </c>
      <c r="AG8" s="1">
        <v>0</v>
      </c>
      <c r="AI8" s="23">
        <v>0</v>
      </c>
      <c r="AJ8" s="1" t="s">
        <v>232</v>
      </c>
      <c r="AK8" s="1">
        <v>0</v>
      </c>
      <c r="AL8" s="1" t="s">
        <v>233</v>
      </c>
      <c r="AM8" s="1">
        <v>0</v>
      </c>
      <c r="AN8" s="1">
        <v>0</v>
      </c>
      <c r="AO8" s="1" t="s">
        <v>232</v>
      </c>
      <c r="AR8" s="1" t="s">
        <v>399</v>
      </c>
      <c r="AS8" s="1" t="s">
        <v>400</v>
      </c>
      <c r="AT8" s="1" t="s">
        <v>234</v>
      </c>
      <c r="AU8" s="1" t="s">
        <v>19</v>
      </c>
      <c r="AV8" s="1">
        <v>1.3146545171737671</v>
      </c>
      <c r="AW8" s="1" t="s">
        <v>232</v>
      </c>
      <c r="AX8" s="1">
        <v>94</v>
      </c>
      <c r="AY8" s="1" t="s">
        <v>232</v>
      </c>
      <c r="AZ8" s="1" t="s">
        <v>232</v>
      </c>
    </row>
    <row r="9" spans="1:57" x14ac:dyDescent="0.2">
      <c r="A9" s="1" t="s">
        <v>401</v>
      </c>
      <c r="B9" s="31">
        <v>46041</v>
      </c>
      <c r="C9" s="31">
        <v>42235</v>
      </c>
      <c r="D9" s="23">
        <v>118562</v>
      </c>
      <c r="E9" s="23">
        <v>85617</v>
      </c>
      <c r="F9" s="23">
        <v>154000</v>
      </c>
      <c r="G9" s="23">
        <v>200000</v>
      </c>
      <c r="H9" s="31">
        <v>46041</v>
      </c>
      <c r="I9" s="24">
        <v>0.76988491714000706</v>
      </c>
      <c r="J9" s="24">
        <v>0.42808499999999999</v>
      </c>
      <c r="K9" s="1" t="s">
        <v>226</v>
      </c>
      <c r="L9" s="5">
        <v>2.8091087341308593E-2</v>
      </c>
      <c r="M9" s="5">
        <v>-1.1908912658691408E-2</v>
      </c>
      <c r="O9" s="31">
        <v>46771</v>
      </c>
      <c r="P9" s="1" t="s">
        <v>227</v>
      </c>
      <c r="R9" s="1">
        <v>274</v>
      </c>
      <c r="S9" s="1">
        <v>149</v>
      </c>
      <c r="T9" s="31">
        <v>50575</v>
      </c>
      <c r="U9" s="1" t="s">
        <v>371</v>
      </c>
      <c r="V9" s="1" t="s">
        <v>229</v>
      </c>
      <c r="W9" s="1" t="s">
        <v>365</v>
      </c>
      <c r="X9" s="1" t="s">
        <v>146</v>
      </c>
      <c r="Y9" s="1" t="s">
        <v>402</v>
      </c>
      <c r="Z9" s="1">
        <v>2</v>
      </c>
      <c r="AA9" s="1" t="s">
        <v>230</v>
      </c>
      <c r="AB9" s="1" t="s">
        <v>231</v>
      </c>
      <c r="AC9" s="23">
        <v>145691</v>
      </c>
      <c r="AD9" s="24">
        <v>0.28348479270935062</v>
      </c>
      <c r="AE9" s="1" t="s">
        <v>19</v>
      </c>
      <c r="AF9" s="1">
        <v>0</v>
      </c>
      <c r="AG9" s="1">
        <v>0</v>
      </c>
      <c r="AI9" s="23">
        <v>0</v>
      </c>
      <c r="AJ9" s="1" t="s">
        <v>232</v>
      </c>
      <c r="AK9" s="1">
        <v>0</v>
      </c>
      <c r="AL9" s="1" t="s">
        <v>233</v>
      </c>
      <c r="AM9" s="1">
        <v>0</v>
      </c>
      <c r="AN9" s="1">
        <v>0</v>
      </c>
      <c r="AO9" s="1" t="s">
        <v>232</v>
      </c>
      <c r="AR9" s="1" t="s">
        <v>394</v>
      </c>
      <c r="AS9" s="1" t="s">
        <v>400</v>
      </c>
      <c r="AT9" s="1" t="s">
        <v>234</v>
      </c>
      <c r="AU9" s="1" t="s">
        <v>19</v>
      </c>
      <c r="AV9" s="1">
        <v>1.3085346460342406</v>
      </c>
      <c r="AW9" s="1" t="s">
        <v>232</v>
      </c>
      <c r="AX9" s="1">
        <v>119</v>
      </c>
      <c r="AY9" s="1" t="s">
        <v>232</v>
      </c>
      <c r="AZ9" s="1" t="s">
        <v>232</v>
      </c>
    </row>
    <row r="10" spans="1:57" x14ac:dyDescent="0.2">
      <c r="A10" s="1" t="s">
        <v>403</v>
      </c>
      <c r="B10" s="31">
        <v>46041</v>
      </c>
      <c r="C10" s="31">
        <v>41079</v>
      </c>
      <c r="D10" s="23">
        <v>1574201</v>
      </c>
      <c r="E10" s="23">
        <v>1003911</v>
      </c>
      <c r="F10" s="23">
        <v>1666000</v>
      </c>
      <c r="G10" s="23">
        <v>2705000</v>
      </c>
      <c r="H10" s="31">
        <v>46041</v>
      </c>
      <c r="I10" s="24">
        <v>0.94489844739437101</v>
      </c>
      <c r="J10" s="24">
        <v>0.37113160813308688</v>
      </c>
      <c r="K10" s="1" t="s">
        <v>226</v>
      </c>
      <c r="L10" s="5">
        <v>4.1502268314361573E-2</v>
      </c>
      <c r="M10" s="5">
        <v>1.5022683143615725E-3</v>
      </c>
      <c r="O10" s="31">
        <v>46771</v>
      </c>
      <c r="P10" s="1" t="s">
        <v>227</v>
      </c>
      <c r="R10" s="1">
        <v>311</v>
      </c>
      <c r="S10" s="1">
        <v>148</v>
      </c>
      <c r="T10" s="31">
        <v>50544</v>
      </c>
      <c r="U10" s="1" t="s">
        <v>364</v>
      </c>
      <c r="V10" s="1" t="s">
        <v>229</v>
      </c>
      <c r="W10" s="1" t="s">
        <v>85</v>
      </c>
      <c r="X10" s="1" t="s">
        <v>164</v>
      </c>
      <c r="Y10" s="1" t="s">
        <v>404</v>
      </c>
      <c r="Z10" s="1">
        <v>1</v>
      </c>
      <c r="AA10" s="1" t="s">
        <v>230</v>
      </c>
      <c r="AB10" s="1" t="s">
        <v>231</v>
      </c>
      <c r="AC10" s="23">
        <v>50251</v>
      </c>
      <c r="AD10" s="24">
        <v>0.25966763496398926</v>
      </c>
      <c r="AE10" s="1" t="s">
        <v>232</v>
      </c>
      <c r="AF10" s="1">
        <v>0</v>
      </c>
      <c r="AG10" s="1">
        <v>0</v>
      </c>
      <c r="AI10" s="23">
        <v>0</v>
      </c>
      <c r="AJ10" s="1" t="s">
        <v>232</v>
      </c>
      <c r="AK10" s="1">
        <v>0</v>
      </c>
      <c r="AL10" s="1" t="s">
        <v>233</v>
      </c>
      <c r="AM10" s="1">
        <v>0</v>
      </c>
      <c r="AN10" s="1">
        <v>0</v>
      </c>
      <c r="AO10" s="1" t="s">
        <v>232</v>
      </c>
      <c r="AR10" s="1" t="s">
        <v>405</v>
      </c>
      <c r="AS10" s="1" t="s">
        <v>386</v>
      </c>
      <c r="AT10" s="1" t="s">
        <v>234</v>
      </c>
      <c r="AU10" s="1" t="s">
        <v>232</v>
      </c>
      <c r="AV10" s="1">
        <v>0</v>
      </c>
      <c r="AW10" s="1" t="s">
        <v>232</v>
      </c>
      <c r="AX10" s="1">
        <v>178</v>
      </c>
      <c r="AY10" s="1" t="s">
        <v>232</v>
      </c>
      <c r="AZ10" s="1" t="s">
        <v>232</v>
      </c>
    </row>
    <row r="11" spans="1:57" x14ac:dyDescent="0.2">
      <c r="A11" s="1" t="s">
        <v>406</v>
      </c>
      <c r="B11" s="31">
        <v>46041</v>
      </c>
      <c r="C11" s="31">
        <v>42693</v>
      </c>
      <c r="D11" s="23">
        <v>935356</v>
      </c>
      <c r="E11" s="23">
        <v>935356</v>
      </c>
      <c r="F11" s="23">
        <v>1295000</v>
      </c>
      <c r="G11" s="23">
        <v>1310000</v>
      </c>
      <c r="H11" s="31">
        <v>46041</v>
      </c>
      <c r="I11" s="24">
        <v>0.72228227853775018</v>
      </c>
      <c r="J11" s="24">
        <v>0.71401221374045798</v>
      </c>
      <c r="K11" s="1" t="s">
        <v>361</v>
      </c>
      <c r="L11" s="5">
        <v>4.5897818803787231E-2</v>
      </c>
      <c r="M11" s="5">
        <v>5.8978188037872303E-3</v>
      </c>
      <c r="N11" s="1" t="s">
        <v>362</v>
      </c>
      <c r="P11" s="1" t="s">
        <v>363</v>
      </c>
      <c r="Q11" s="31">
        <v>49693</v>
      </c>
      <c r="R11" s="1">
        <v>316</v>
      </c>
      <c r="S11" s="1">
        <v>207</v>
      </c>
      <c r="T11" s="31">
        <v>52340</v>
      </c>
      <c r="U11" s="1" t="s">
        <v>228</v>
      </c>
      <c r="V11" s="1" t="s">
        <v>379</v>
      </c>
      <c r="W11" s="1" t="s">
        <v>85</v>
      </c>
      <c r="X11" s="1" t="s">
        <v>392</v>
      </c>
      <c r="Y11" s="1" t="s">
        <v>407</v>
      </c>
      <c r="Z11" s="1">
        <v>1</v>
      </c>
      <c r="AA11" s="1" t="s">
        <v>367</v>
      </c>
      <c r="AB11" s="1" t="s">
        <v>408</v>
      </c>
      <c r="AC11" s="23">
        <v>135766</v>
      </c>
      <c r="AD11" s="24">
        <v>0.41535029411315921</v>
      </c>
      <c r="AE11" s="1" t="s">
        <v>232</v>
      </c>
      <c r="AF11" s="1">
        <v>0</v>
      </c>
      <c r="AG11" s="1">
        <v>0</v>
      </c>
      <c r="AI11" s="23">
        <v>0</v>
      </c>
      <c r="AJ11" s="1" t="s">
        <v>232</v>
      </c>
      <c r="AK11" s="1">
        <v>0</v>
      </c>
      <c r="AL11" s="1" t="s">
        <v>233</v>
      </c>
      <c r="AM11" s="1">
        <v>0</v>
      </c>
      <c r="AN11" s="1">
        <v>0</v>
      </c>
      <c r="AO11" s="1" t="s">
        <v>232</v>
      </c>
      <c r="AR11" s="1" t="s">
        <v>405</v>
      </c>
      <c r="AS11" s="1" t="s">
        <v>400</v>
      </c>
      <c r="AT11" s="1" t="s">
        <v>234</v>
      </c>
      <c r="AU11" s="1" t="s">
        <v>232</v>
      </c>
      <c r="AV11" s="1">
        <v>0</v>
      </c>
      <c r="AW11" s="1" t="s">
        <v>232</v>
      </c>
      <c r="AX11" s="1">
        <v>115</v>
      </c>
      <c r="AY11" s="1" t="s">
        <v>232</v>
      </c>
      <c r="AZ11" s="1" t="s">
        <v>232</v>
      </c>
    </row>
    <row r="12" spans="1:57" x14ac:dyDescent="0.2">
      <c r="A12" s="1" t="s">
        <v>409</v>
      </c>
      <c r="B12" s="31">
        <v>46041</v>
      </c>
      <c r="C12" s="31">
        <v>43849</v>
      </c>
      <c r="D12" s="23">
        <v>830522</v>
      </c>
      <c r="E12" s="23">
        <v>697608</v>
      </c>
      <c r="F12" s="23">
        <v>1096000</v>
      </c>
      <c r="G12" s="23">
        <v>1240000</v>
      </c>
      <c r="H12" s="31">
        <v>46041</v>
      </c>
      <c r="I12" s="24">
        <v>0.75777568817138674</v>
      </c>
      <c r="J12" s="24">
        <v>0.5625870967741935</v>
      </c>
      <c r="K12" s="1" t="s">
        <v>226</v>
      </c>
      <c r="L12" s="5">
        <v>2.3450660109519961E-2</v>
      </c>
      <c r="M12" s="5">
        <v>-1.654933989048004E-2</v>
      </c>
      <c r="O12" s="31">
        <v>46771</v>
      </c>
      <c r="P12" s="1" t="s">
        <v>227</v>
      </c>
      <c r="R12" s="1">
        <v>325</v>
      </c>
      <c r="S12" s="1">
        <v>253</v>
      </c>
      <c r="T12" s="31">
        <v>53742</v>
      </c>
      <c r="U12" s="1" t="s">
        <v>371</v>
      </c>
      <c r="V12" s="1" t="s">
        <v>379</v>
      </c>
      <c r="W12" s="1" t="s">
        <v>365</v>
      </c>
      <c r="X12" s="1" t="s">
        <v>410</v>
      </c>
      <c r="Y12" s="1" t="s">
        <v>411</v>
      </c>
      <c r="Z12" s="1">
        <v>1</v>
      </c>
      <c r="AA12" s="1" t="s">
        <v>230</v>
      </c>
      <c r="AB12" s="1" t="s">
        <v>231</v>
      </c>
      <c r="AC12" s="23">
        <v>145903</v>
      </c>
      <c r="AD12" s="24">
        <v>0.41733291149139407</v>
      </c>
      <c r="AE12" s="1" t="s">
        <v>19</v>
      </c>
      <c r="AF12" s="1">
        <v>0</v>
      </c>
      <c r="AG12" s="1">
        <v>0</v>
      </c>
      <c r="AI12" s="23">
        <v>0</v>
      </c>
      <c r="AJ12" s="1" t="s">
        <v>232</v>
      </c>
      <c r="AK12" s="1">
        <v>0</v>
      </c>
      <c r="AL12" s="1" t="s">
        <v>233</v>
      </c>
      <c r="AM12" s="1">
        <v>0</v>
      </c>
      <c r="AN12" s="1">
        <v>0</v>
      </c>
      <c r="AO12" s="1" t="s">
        <v>19</v>
      </c>
      <c r="AP12" s="31">
        <v>46041</v>
      </c>
      <c r="AQ12" s="1" t="s">
        <v>412</v>
      </c>
      <c r="AR12" s="1" t="s">
        <v>376</v>
      </c>
      <c r="AS12" s="1" t="s">
        <v>369</v>
      </c>
      <c r="AT12" s="1" t="s">
        <v>234</v>
      </c>
      <c r="AU12" s="1" t="s">
        <v>232</v>
      </c>
      <c r="AV12" s="1">
        <v>1.4974988102912903</v>
      </c>
      <c r="AW12" s="1" t="s">
        <v>232</v>
      </c>
      <c r="AX12" s="1">
        <v>999</v>
      </c>
      <c r="AY12" s="1" t="s">
        <v>232</v>
      </c>
      <c r="AZ12" s="1" t="s">
        <v>232</v>
      </c>
    </row>
    <row r="13" spans="1:57" x14ac:dyDescent="0.2">
      <c r="A13" s="1" t="s">
        <v>413</v>
      </c>
      <c r="B13" s="31">
        <v>46041</v>
      </c>
      <c r="C13" s="31">
        <v>41048</v>
      </c>
      <c r="D13" s="23">
        <v>978483</v>
      </c>
      <c r="E13" s="23">
        <v>621791</v>
      </c>
      <c r="F13" s="23">
        <v>1551000</v>
      </c>
      <c r="G13" s="23">
        <v>1791000</v>
      </c>
      <c r="H13" s="31">
        <v>46041</v>
      </c>
      <c r="I13" s="24">
        <v>0.63087251782417297</v>
      </c>
      <c r="J13" s="24">
        <v>0.3471753210496929</v>
      </c>
      <c r="K13" s="1" t="s">
        <v>226</v>
      </c>
      <c r="L13" s="5">
        <v>3.6691333055496211E-2</v>
      </c>
      <c r="M13" s="5">
        <v>-3.3086669445037895E-3</v>
      </c>
      <c r="O13" s="31">
        <v>46771</v>
      </c>
      <c r="P13" s="1" t="s">
        <v>227</v>
      </c>
      <c r="R13" s="1">
        <v>275</v>
      </c>
      <c r="S13" s="1">
        <v>111</v>
      </c>
      <c r="T13" s="31">
        <v>49418</v>
      </c>
      <c r="U13" s="1" t="s">
        <v>228</v>
      </c>
      <c r="V13" s="1" t="s">
        <v>372</v>
      </c>
      <c r="W13" s="1" t="s">
        <v>365</v>
      </c>
      <c r="X13" s="1" t="s">
        <v>392</v>
      </c>
      <c r="Y13" s="1" t="s">
        <v>414</v>
      </c>
      <c r="Z13" s="1">
        <v>2</v>
      </c>
      <c r="AA13" s="1" t="s">
        <v>230</v>
      </c>
      <c r="AB13" s="1" t="s">
        <v>231</v>
      </c>
      <c r="AC13" s="23">
        <v>57446</v>
      </c>
      <c r="AD13" s="24">
        <v>0.34674367904663084</v>
      </c>
      <c r="AE13" s="1" t="s">
        <v>232</v>
      </c>
      <c r="AF13" s="1">
        <v>0</v>
      </c>
      <c r="AG13" s="1">
        <v>0</v>
      </c>
      <c r="AI13" s="23">
        <v>0</v>
      </c>
      <c r="AJ13" s="1" t="s">
        <v>232</v>
      </c>
      <c r="AK13" s="1">
        <v>0</v>
      </c>
      <c r="AL13" s="1" t="s">
        <v>233</v>
      </c>
      <c r="AM13" s="1">
        <v>0</v>
      </c>
      <c r="AN13" s="1">
        <v>0</v>
      </c>
      <c r="AO13" s="1" t="s">
        <v>232</v>
      </c>
      <c r="AR13" s="1" t="s">
        <v>376</v>
      </c>
      <c r="AS13" s="1" t="s">
        <v>369</v>
      </c>
      <c r="AT13" s="1" t="s">
        <v>234</v>
      </c>
      <c r="AU13" s="1" t="s">
        <v>232</v>
      </c>
      <c r="AV13" s="1">
        <v>1.1193851947784423</v>
      </c>
      <c r="AW13" s="1" t="s">
        <v>232</v>
      </c>
      <c r="AX13" s="1">
        <v>166</v>
      </c>
      <c r="AY13" s="1" t="s">
        <v>232</v>
      </c>
      <c r="AZ13" s="1" t="s">
        <v>232</v>
      </c>
    </row>
    <row r="14" spans="1:57" x14ac:dyDescent="0.2">
      <c r="A14" s="1" t="s">
        <v>415</v>
      </c>
      <c r="B14" s="31">
        <v>46041</v>
      </c>
      <c r="C14" s="31">
        <v>44427</v>
      </c>
      <c r="D14" s="23">
        <v>1004956</v>
      </c>
      <c r="E14" s="23">
        <v>886535</v>
      </c>
      <c r="F14" s="23">
        <v>1283000</v>
      </c>
      <c r="G14" s="23">
        <v>1292000</v>
      </c>
      <c r="H14" s="31">
        <v>46041</v>
      </c>
      <c r="I14" s="24">
        <v>0.78328588306903835</v>
      </c>
      <c r="J14" s="24">
        <v>0.68617260061919505</v>
      </c>
      <c r="K14" s="1" t="s">
        <v>361</v>
      </c>
      <c r="L14" s="5">
        <v>5.4743216037750245E-2</v>
      </c>
      <c r="M14" s="5">
        <v>1.4743216037750244E-2</v>
      </c>
      <c r="N14" s="1" t="s">
        <v>362</v>
      </c>
      <c r="P14" s="1" t="s">
        <v>227</v>
      </c>
      <c r="R14" s="1">
        <v>300</v>
      </c>
      <c r="S14" s="1">
        <v>247</v>
      </c>
      <c r="T14" s="31">
        <v>53558</v>
      </c>
      <c r="U14" s="1" t="s">
        <v>371</v>
      </c>
      <c r="V14" s="1" t="s">
        <v>229</v>
      </c>
      <c r="W14" s="1" t="s">
        <v>85</v>
      </c>
      <c r="X14" s="1" t="s">
        <v>410</v>
      </c>
      <c r="Y14" s="1" t="s">
        <v>416</v>
      </c>
      <c r="Z14" s="1">
        <v>1</v>
      </c>
      <c r="AA14" s="1" t="s">
        <v>382</v>
      </c>
      <c r="AB14" s="1" t="s">
        <v>231</v>
      </c>
      <c r="AC14" s="23">
        <v>119847</v>
      </c>
      <c r="AD14" s="24">
        <v>0.37029972076416018</v>
      </c>
      <c r="AE14" s="1" t="s">
        <v>232</v>
      </c>
      <c r="AF14" s="1">
        <v>0</v>
      </c>
      <c r="AG14" s="1">
        <v>0</v>
      </c>
      <c r="AI14" s="23">
        <v>0</v>
      </c>
      <c r="AJ14" s="1" t="s">
        <v>232</v>
      </c>
      <c r="AK14" s="1">
        <v>0</v>
      </c>
      <c r="AL14" s="1" t="s">
        <v>233</v>
      </c>
      <c r="AM14" s="1">
        <v>0</v>
      </c>
      <c r="AN14" s="1">
        <v>0</v>
      </c>
      <c r="AO14" s="1" t="s">
        <v>232</v>
      </c>
      <c r="AR14" s="1" t="s">
        <v>394</v>
      </c>
      <c r="AS14" s="1" t="s">
        <v>369</v>
      </c>
      <c r="AT14" s="1" t="s">
        <v>234</v>
      </c>
      <c r="AU14" s="1" t="s">
        <v>232</v>
      </c>
      <c r="AV14" s="1">
        <v>0</v>
      </c>
      <c r="AW14" s="1" t="s">
        <v>232</v>
      </c>
      <c r="AX14" s="1">
        <v>128</v>
      </c>
      <c r="AY14" s="1" t="s">
        <v>232</v>
      </c>
      <c r="AZ14" s="1" t="s">
        <v>232</v>
      </c>
    </row>
    <row r="15" spans="1:57" x14ac:dyDescent="0.2">
      <c r="A15" s="1" t="s">
        <v>417</v>
      </c>
      <c r="B15" s="31">
        <v>46041</v>
      </c>
      <c r="C15" s="31">
        <v>43270</v>
      </c>
      <c r="D15" s="23">
        <v>1094963</v>
      </c>
      <c r="E15" s="23">
        <v>873442</v>
      </c>
      <c r="F15" s="23">
        <v>1484000</v>
      </c>
      <c r="G15" s="23">
        <v>1870000</v>
      </c>
      <c r="H15" s="31">
        <v>46041</v>
      </c>
      <c r="I15" s="24">
        <v>0.73784540295600887</v>
      </c>
      <c r="J15" s="24">
        <v>0.46708128342245991</v>
      </c>
      <c r="K15" s="1" t="s">
        <v>226</v>
      </c>
      <c r="L15" s="5">
        <v>2.2762930989265441E-2</v>
      </c>
      <c r="M15" s="5">
        <v>-1.723706901073456E-2</v>
      </c>
      <c r="O15" s="31">
        <v>46771</v>
      </c>
      <c r="P15" s="1" t="s">
        <v>227</v>
      </c>
      <c r="R15" s="1">
        <v>344</v>
      </c>
      <c r="S15" s="1">
        <v>253</v>
      </c>
      <c r="T15" s="31">
        <v>53742</v>
      </c>
      <c r="U15" s="1" t="s">
        <v>228</v>
      </c>
      <c r="V15" s="1" t="s">
        <v>229</v>
      </c>
      <c r="W15" s="1" t="s">
        <v>365</v>
      </c>
      <c r="X15" s="1" t="s">
        <v>164</v>
      </c>
      <c r="Y15" s="1" t="s">
        <v>418</v>
      </c>
      <c r="Z15" s="1">
        <v>1</v>
      </c>
      <c r="AA15" s="1" t="s">
        <v>230</v>
      </c>
      <c r="AB15" s="1" t="s">
        <v>231</v>
      </c>
      <c r="AC15" s="23">
        <v>144807</v>
      </c>
      <c r="AD15" s="24">
        <v>0.26330196857452393</v>
      </c>
      <c r="AE15" s="1" t="s">
        <v>232</v>
      </c>
      <c r="AF15" s="1">
        <v>0</v>
      </c>
      <c r="AG15" s="1">
        <v>0</v>
      </c>
      <c r="AI15" s="23">
        <v>0</v>
      </c>
      <c r="AJ15" s="1" t="s">
        <v>232</v>
      </c>
      <c r="AK15" s="1">
        <v>0</v>
      </c>
      <c r="AL15" s="1" t="s">
        <v>233</v>
      </c>
      <c r="AM15" s="1">
        <v>0</v>
      </c>
      <c r="AN15" s="1">
        <v>0</v>
      </c>
      <c r="AO15" s="1" t="s">
        <v>232</v>
      </c>
      <c r="AR15" s="1" t="s">
        <v>394</v>
      </c>
      <c r="AS15" s="1" t="s">
        <v>386</v>
      </c>
      <c r="AT15" s="1" t="s">
        <v>234</v>
      </c>
      <c r="AU15" s="1" t="s">
        <v>232</v>
      </c>
      <c r="AV15" s="1">
        <v>1.4750690340995789</v>
      </c>
      <c r="AW15" s="1" t="s">
        <v>232</v>
      </c>
      <c r="AX15" s="1">
        <v>83</v>
      </c>
      <c r="AY15" s="1" t="s">
        <v>232</v>
      </c>
      <c r="AZ15" s="1" t="s">
        <v>232</v>
      </c>
    </row>
    <row r="16" spans="1:57" x14ac:dyDescent="0.2">
      <c r="A16" s="1" t="s">
        <v>419</v>
      </c>
      <c r="B16" s="31">
        <v>46041</v>
      </c>
      <c r="C16" s="31">
        <v>41383</v>
      </c>
      <c r="D16" s="23">
        <v>84569</v>
      </c>
      <c r="E16" s="23">
        <v>84569</v>
      </c>
      <c r="F16" s="23">
        <v>101000</v>
      </c>
      <c r="G16" s="23">
        <v>145000</v>
      </c>
      <c r="H16" s="31">
        <v>46041</v>
      </c>
      <c r="I16" s="24">
        <v>0.83731634020805368</v>
      </c>
      <c r="J16" s="24">
        <v>0.58323448275862066</v>
      </c>
      <c r="K16" s="1" t="s">
        <v>226</v>
      </c>
      <c r="L16" s="5">
        <v>4.9153571724891661E-2</v>
      </c>
      <c r="M16" s="5">
        <v>9.1535717248916598E-3</v>
      </c>
      <c r="O16" s="31">
        <v>46771</v>
      </c>
      <c r="P16" s="1" t="s">
        <v>363</v>
      </c>
      <c r="Q16" s="31">
        <v>49693</v>
      </c>
      <c r="R16" s="1">
        <v>392</v>
      </c>
      <c r="S16" s="1">
        <v>239</v>
      </c>
      <c r="T16" s="31">
        <v>53315</v>
      </c>
      <c r="U16" s="1" t="s">
        <v>228</v>
      </c>
      <c r="V16" s="1" t="s">
        <v>229</v>
      </c>
      <c r="W16" s="1" t="s">
        <v>365</v>
      </c>
      <c r="X16" s="1" t="s">
        <v>380</v>
      </c>
      <c r="Y16" s="1" t="s">
        <v>420</v>
      </c>
      <c r="Z16" s="1">
        <v>2</v>
      </c>
      <c r="AA16" s="1" t="s">
        <v>230</v>
      </c>
      <c r="AB16" s="1" t="s">
        <v>231</v>
      </c>
      <c r="AC16" s="23">
        <v>52231</v>
      </c>
      <c r="AD16" s="24">
        <v>0.29716036319732669</v>
      </c>
      <c r="AE16" s="1" t="s">
        <v>232</v>
      </c>
      <c r="AF16" s="1">
        <v>0</v>
      </c>
      <c r="AG16" s="1">
        <v>0</v>
      </c>
      <c r="AI16" s="23">
        <v>0</v>
      </c>
      <c r="AJ16" s="1" t="s">
        <v>232</v>
      </c>
      <c r="AK16" s="1">
        <v>0</v>
      </c>
      <c r="AL16" s="1" t="s">
        <v>233</v>
      </c>
      <c r="AM16" s="1">
        <v>0</v>
      </c>
      <c r="AN16" s="1">
        <v>0</v>
      </c>
      <c r="AO16" s="1" t="s">
        <v>232</v>
      </c>
      <c r="AR16" s="1" t="s">
        <v>376</v>
      </c>
      <c r="AS16" s="1" t="s">
        <v>386</v>
      </c>
      <c r="AT16" s="1" t="s">
        <v>234</v>
      </c>
      <c r="AU16" s="1" t="s">
        <v>19</v>
      </c>
      <c r="AV16" s="1">
        <v>1.0198538184165955</v>
      </c>
      <c r="AW16" s="1" t="s">
        <v>232</v>
      </c>
      <c r="AX16" s="1">
        <v>999</v>
      </c>
      <c r="AY16" s="1" t="s">
        <v>232</v>
      </c>
      <c r="AZ16" s="1" t="s">
        <v>232</v>
      </c>
    </row>
    <row r="17" spans="1:52" x14ac:dyDescent="0.2">
      <c r="A17" s="1" t="s">
        <v>421</v>
      </c>
      <c r="B17" s="31">
        <v>46041</v>
      </c>
      <c r="C17" s="31">
        <v>44246</v>
      </c>
      <c r="D17" s="23">
        <v>455315</v>
      </c>
      <c r="E17" s="23">
        <v>395645</v>
      </c>
      <c r="F17" s="23">
        <v>462000</v>
      </c>
      <c r="G17" s="23">
        <v>541000</v>
      </c>
      <c r="H17" s="31">
        <v>46041</v>
      </c>
      <c r="I17" s="24">
        <v>0.98552950322628019</v>
      </c>
      <c r="J17" s="24">
        <v>0.73132162661737521</v>
      </c>
      <c r="K17" s="1" t="s">
        <v>384</v>
      </c>
      <c r="L17" s="5">
        <v>6.9130748510360718E-2</v>
      </c>
      <c r="M17" s="5">
        <v>2.9130748510360717E-2</v>
      </c>
      <c r="P17" s="1" t="s">
        <v>397</v>
      </c>
      <c r="R17" s="1">
        <v>287</v>
      </c>
      <c r="S17" s="1">
        <v>229</v>
      </c>
      <c r="T17" s="31">
        <v>53012</v>
      </c>
      <c r="U17" s="1" t="s">
        <v>228</v>
      </c>
      <c r="V17" s="1" t="s">
        <v>229</v>
      </c>
      <c r="W17" s="1" t="s">
        <v>85</v>
      </c>
      <c r="X17" s="1" t="s">
        <v>373</v>
      </c>
      <c r="Y17" s="1" t="s">
        <v>422</v>
      </c>
      <c r="Z17" s="1">
        <v>1</v>
      </c>
      <c r="AA17" s="1" t="s">
        <v>230</v>
      </c>
      <c r="AB17" s="1" t="s">
        <v>231</v>
      </c>
      <c r="AC17" s="23">
        <v>39272</v>
      </c>
      <c r="AD17" s="24">
        <v>0.56281819343566897</v>
      </c>
      <c r="AE17" s="1" t="s">
        <v>232</v>
      </c>
      <c r="AF17" s="1">
        <v>2</v>
      </c>
      <c r="AG17" s="1">
        <v>24</v>
      </c>
      <c r="AH17" s="1" t="s">
        <v>19</v>
      </c>
      <c r="AI17" s="23">
        <v>5587</v>
      </c>
      <c r="AJ17" s="1" t="s">
        <v>232</v>
      </c>
      <c r="AK17" s="1">
        <v>0</v>
      </c>
      <c r="AL17" s="1" t="s">
        <v>233</v>
      </c>
      <c r="AM17" s="1">
        <v>0</v>
      </c>
      <c r="AN17" s="1">
        <v>0</v>
      </c>
      <c r="AO17" s="1" t="s">
        <v>232</v>
      </c>
      <c r="AR17" s="1" t="s">
        <v>376</v>
      </c>
      <c r="AS17" s="1" t="s">
        <v>400</v>
      </c>
      <c r="AT17" s="1" t="s">
        <v>234</v>
      </c>
      <c r="AU17" s="1" t="s">
        <v>232</v>
      </c>
      <c r="AV17" s="1">
        <v>0</v>
      </c>
      <c r="AW17" s="1" t="s">
        <v>232</v>
      </c>
      <c r="AX17" s="1">
        <v>55</v>
      </c>
      <c r="AY17" s="1" t="s">
        <v>232</v>
      </c>
      <c r="AZ17" s="1" t="s">
        <v>232</v>
      </c>
    </row>
    <row r="18" spans="1:52" x14ac:dyDescent="0.2">
      <c r="A18" s="1" t="s">
        <v>423</v>
      </c>
      <c r="B18" s="31">
        <v>46041</v>
      </c>
      <c r="C18" s="31">
        <v>41109</v>
      </c>
      <c r="D18" s="23">
        <v>305509</v>
      </c>
      <c r="E18" s="23">
        <v>195501</v>
      </c>
      <c r="F18" s="23">
        <v>402000</v>
      </c>
      <c r="G18" s="23">
        <v>571000</v>
      </c>
      <c r="H18" s="31">
        <v>46041</v>
      </c>
      <c r="I18" s="24">
        <v>0.75997178256511688</v>
      </c>
      <c r="J18" s="24">
        <v>0.34238353765323992</v>
      </c>
      <c r="K18" s="1" t="s">
        <v>384</v>
      </c>
      <c r="L18" s="5">
        <v>5.8233463764190675E-2</v>
      </c>
      <c r="M18" s="5">
        <v>1.8233463764190674E-2</v>
      </c>
      <c r="P18" s="1" t="s">
        <v>227</v>
      </c>
      <c r="R18" s="1">
        <v>295</v>
      </c>
      <c r="S18" s="1">
        <v>133</v>
      </c>
      <c r="T18" s="31">
        <v>50090</v>
      </c>
      <c r="U18" s="1" t="s">
        <v>424</v>
      </c>
      <c r="V18" s="1" t="s">
        <v>391</v>
      </c>
      <c r="W18" s="1" t="s">
        <v>86</v>
      </c>
      <c r="X18" s="1" t="s">
        <v>388</v>
      </c>
      <c r="Y18" s="1" t="s">
        <v>425</v>
      </c>
      <c r="Z18" s="1">
        <v>2</v>
      </c>
      <c r="AA18" s="1" t="s">
        <v>230</v>
      </c>
      <c r="AB18" s="1" t="s">
        <v>231</v>
      </c>
      <c r="AC18" s="23">
        <v>122255</v>
      </c>
      <c r="AD18" s="24">
        <v>0.20007433891296389</v>
      </c>
      <c r="AE18" s="1" t="s">
        <v>232</v>
      </c>
      <c r="AF18" s="1">
        <v>0</v>
      </c>
      <c r="AG18" s="1">
        <v>0</v>
      </c>
      <c r="AI18" s="23">
        <v>0</v>
      </c>
      <c r="AJ18" s="1" t="s">
        <v>232</v>
      </c>
      <c r="AK18" s="1">
        <v>0</v>
      </c>
      <c r="AL18" s="1" t="s">
        <v>233</v>
      </c>
      <c r="AM18" s="1">
        <v>0</v>
      </c>
      <c r="AN18" s="1">
        <v>0</v>
      </c>
      <c r="AO18" s="1" t="s">
        <v>232</v>
      </c>
      <c r="AR18" s="1" t="s">
        <v>399</v>
      </c>
      <c r="AS18" s="1" t="s">
        <v>386</v>
      </c>
      <c r="AT18" s="1" t="s">
        <v>234</v>
      </c>
      <c r="AU18" s="1" t="s">
        <v>232</v>
      </c>
      <c r="AV18" s="1">
        <v>0</v>
      </c>
      <c r="AW18" s="1" t="s">
        <v>232</v>
      </c>
      <c r="AX18" s="1">
        <v>97</v>
      </c>
      <c r="AY18" s="1" t="s">
        <v>232</v>
      </c>
      <c r="AZ18" s="1" t="s">
        <v>232</v>
      </c>
    </row>
    <row r="19" spans="1:52" x14ac:dyDescent="0.2">
      <c r="A19" s="1" t="s">
        <v>426</v>
      </c>
      <c r="B19" s="31">
        <v>46041</v>
      </c>
      <c r="C19" s="31">
        <v>43150</v>
      </c>
      <c r="D19" s="23">
        <v>957171</v>
      </c>
      <c r="E19" s="23">
        <v>755141</v>
      </c>
      <c r="F19" s="23">
        <v>1044000</v>
      </c>
      <c r="G19" s="23">
        <v>1219000</v>
      </c>
      <c r="H19" s="31">
        <v>46041</v>
      </c>
      <c r="I19" s="24">
        <v>0.91683077812194824</v>
      </c>
      <c r="J19" s="24">
        <v>0.61947579983593104</v>
      </c>
      <c r="K19" s="1" t="s">
        <v>226</v>
      </c>
      <c r="L19" s="5">
        <v>2.8428124785423281E-2</v>
      </c>
      <c r="M19" s="5">
        <v>-1.157187521457672E-2</v>
      </c>
      <c r="O19" s="31">
        <v>46771</v>
      </c>
      <c r="P19" s="1" t="s">
        <v>227</v>
      </c>
      <c r="R19" s="1">
        <v>406</v>
      </c>
      <c r="S19" s="1">
        <v>312</v>
      </c>
      <c r="T19" s="31">
        <v>55537</v>
      </c>
      <c r="U19" s="1" t="s">
        <v>228</v>
      </c>
      <c r="V19" s="1" t="s">
        <v>379</v>
      </c>
      <c r="W19" s="1" t="s">
        <v>85</v>
      </c>
      <c r="X19" s="1" t="s">
        <v>164</v>
      </c>
      <c r="Y19" s="1" t="s">
        <v>427</v>
      </c>
      <c r="Z19" s="1">
        <v>2</v>
      </c>
      <c r="AA19" s="1" t="s">
        <v>230</v>
      </c>
      <c r="AB19" s="1" t="s">
        <v>231</v>
      </c>
      <c r="AC19" s="23">
        <v>142784</v>
      </c>
      <c r="AD19" s="24">
        <v>0.2465683698654175</v>
      </c>
      <c r="AE19" s="1" t="s">
        <v>232</v>
      </c>
      <c r="AF19" s="1">
        <v>0</v>
      </c>
      <c r="AG19" s="1">
        <v>0</v>
      </c>
      <c r="AI19" s="23">
        <v>0</v>
      </c>
      <c r="AJ19" s="1" t="s">
        <v>232</v>
      </c>
      <c r="AK19" s="1">
        <v>0</v>
      </c>
      <c r="AL19" s="1" t="s">
        <v>428</v>
      </c>
      <c r="AM19" s="1">
        <v>71</v>
      </c>
      <c r="AN19" s="1">
        <v>2.4</v>
      </c>
      <c r="AO19" s="1" t="s">
        <v>232</v>
      </c>
      <c r="AR19" s="1" t="s">
        <v>399</v>
      </c>
      <c r="AS19" s="1" t="s">
        <v>369</v>
      </c>
      <c r="AT19" s="1" t="s">
        <v>234</v>
      </c>
      <c r="AU19" s="1" t="s">
        <v>232</v>
      </c>
      <c r="AV19" s="1">
        <v>0</v>
      </c>
      <c r="AW19" s="1" t="s">
        <v>232</v>
      </c>
      <c r="AX19" s="1">
        <v>102</v>
      </c>
      <c r="AY19" s="1" t="s">
        <v>232</v>
      </c>
      <c r="AZ19" s="1" t="s">
        <v>232</v>
      </c>
    </row>
    <row r="20" spans="1:52" x14ac:dyDescent="0.2">
      <c r="A20" s="1" t="s">
        <v>429</v>
      </c>
      <c r="B20" s="31">
        <v>46041</v>
      </c>
      <c r="C20" s="31">
        <v>43604</v>
      </c>
      <c r="D20" s="23">
        <v>1553136</v>
      </c>
      <c r="E20" s="23">
        <v>1276796</v>
      </c>
      <c r="F20" s="23">
        <v>1661000</v>
      </c>
      <c r="G20" s="23">
        <v>1785000</v>
      </c>
      <c r="H20" s="31">
        <v>46041</v>
      </c>
      <c r="I20" s="24">
        <v>0.93506058454513552</v>
      </c>
      <c r="J20" s="24">
        <v>0.71529187675070027</v>
      </c>
      <c r="K20" s="1" t="s">
        <v>226</v>
      </c>
      <c r="L20" s="5">
        <v>4.3366491198539733E-2</v>
      </c>
      <c r="M20" s="5">
        <v>3.3664911985397325E-3</v>
      </c>
      <c r="O20" s="31">
        <v>46771</v>
      </c>
      <c r="P20" s="1" t="s">
        <v>227</v>
      </c>
      <c r="R20" s="1">
        <v>345</v>
      </c>
      <c r="S20" s="1">
        <v>265</v>
      </c>
      <c r="T20" s="31">
        <v>54107</v>
      </c>
      <c r="U20" s="1" t="s">
        <v>371</v>
      </c>
      <c r="V20" s="1" t="s">
        <v>379</v>
      </c>
      <c r="W20" s="1" t="s">
        <v>86</v>
      </c>
      <c r="X20" s="1" t="s">
        <v>388</v>
      </c>
      <c r="Y20" s="1" t="s">
        <v>430</v>
      </c>
      <c r="Z20" s="1">
        <v>2</v>
      </c>
      <c r="AA20" s="1" t="s">
        <v>230</v>
      </c>
      <c r="AB20" s="1" t="s">
        <v>231</v>
      </c>
      <c r="AC20" s="23">
        <v>131924</v>
      </c>
      <c r="AD20" s="24">
        <v>0.39842679500579836</v>
      </c>
      <c r="AE20" s="1" t="s">
        <v>232</v>
      </c>
      <c r="AF20" s="1">
        <v>3</v>
      </c>
      <c r="AG20" s="1">
        <v>34</v>
      </c>
      <c r="AH20" s="1" t="s">
        <v>19</v>
      </c>
      <c r="AI20" s="23">
        <v>9508</v>
      </c>
      <c r="AJ20" s="1" t="s">
        <v>232</v>
      </c>
      <c r="AK20" s="1">
        <v>0</v>
      </c>
      <c r="AL20" s="1" t="s">
        <v>233</v>
      </c>
      <c r="AM20" s="1">
        <v>0</v>
      </c>
      <c r="AN20" s="1">
        <v>0</v>
      </c>
      <c r="AO20" s="1" t="s">
        <v>232</v>
      </c>
      <c r="AR20" s="1" t="s">
        <v>368</v>
      </c>
      <c r="AS20" s="1" t="s">
        <v>400</v>
      </c>
      <c r="AT20" s="1" t="s">
        <v>234</v>
      </c>
      <c r="AU20" s="1" t="s">
        <v>232</v>
      </c>
      <c r="AV20" s="1">
        <v>0</v>
      </c>
      <c r="AW20" s="1" t="s">
        <v>232</v>
      </c>
      <c r="AX20" s="1">
        <v>152</v>
      </c>
      <c r="AY20" s="1" t="s">
        <v>232</v>
      </c>
      <c r="AZ20" s="1" t="s">
        <v>232</v>
      </c>
    </row>
    <row r="21" spans="1:52" x14ac:dyDescent="0.2">
      <c r="A21" s="1" t="s">
        <v>431</v>
      </c>
      <c r="B21" s="31">
        <v>46041</v>
      </c>
      <c r="C21" s="31">
        <v>43970</v>
      </c>
      <c r="D21" s="23">
        <v>1350769</v>
      </c>
      <c r="E21" s="23">
        <v>1146530</v>
      </c>
      <c r="F21" s="23">
        <v>1403000</v>
      </c>
      <c r="G21" s="23">
        <v>1752000</v>
      </c>
      <c r="H21" s="31">
        <v>46041</v>
      </c>
      <c r="I21" s="24">
        <v>0.96277163028717039</v>
      </c>
      <c r="J21" s="24">
        <v>0.65441210045662102</v>
      </c>
      <c r="K21" s="1" t="s">
        <v>226</v>
      </c>
      <c r="L21" s="5">
        <v>3.7716593146324154E-2</v>
      </c>
      <c r="M21" s="5">
        <v>-2.283406853675847E-3</v>
      </c>
      <c r="O21" s="31">
        <v>46771</v>
      </c>
      <c r="P21" s="1" t="s">
        <v>227</v>
      </c>
      <c r="R21" s="1">
        <v>397</v>
      </c>
      <c r="S21" s="1">
        <v>329</v>
      </c>
      <c r="T21" s="31">
        <v>56054</v>
      </c>
      <c r="U21" s="1" t="s">
        <v>228</v>
      </c>
      <c r="V21" s="1" t="s">
        <v>379</v>
      </c>
      <c r="W21" s="1" t="s">
        <v>86</v>
      </c>
      <c r="X21" s="1" t="s">
        <v>146</v>
      </c>
      <c r="Y21" s="1" t="s">
        <v>432</v>
      </c>
      <c r="Z21" s="1">
        <v>2</v>
      </c>
      <c r="AA21" s="1" t="s">
        <v>367</v>
      </c>
      <c r="AB21" s="1" t="s">
        <v>408</v>
      </c>
      <c r="AC21" s="23">
        <v>72592</v>
      </c>
      <c r="AD21" s="24">
        <v>0.38234753608703614</v>
      </c>
      <c r="AE21" s="1" t="s">
        <v>232</v>
      </c>
      <c r="AF21" s="1">
        <v>0</v>
      </c>
      <c r="AG21" s="1">
        <v>0</v>
      </c>
      <c r="AI21" s="23">
        <v>0</v>
      </c>
      <c r="AJ21" s="1" t="s">
        <v>232</v>
      </c>
      <c r="AK21" s="1">
        <v>0</v>
      </c>
      <c r="AL21" s="1" t="s">
        <v>233</v>
      </c>
      <c r="AM21" s="1">
        <v>0</v>
      </c>
      <c r="AN21" s="1">
        <v>0</v>
      </c>
      <c r="AO21" s="1" t="s">
        <v>232</v>
      </c>
      <c r="AR21" s="1" t="s">
        <v>376</v>
      </c>
      <c r="AS21" s="1" t="s">
        <v>400</v>
      </c>
      <c r="AT21" s="1" t="s">
        <v>433</v>
      </c>
      <c r="AU21" s="1" t="s">
        <v>232</v>
      </c>
      <c r="AV21" s="1">
        <v>0</v>
      </c>
      <c r="AW21" s="1" t="s">
        <v>232</v>
      </c>
      <c r="AX21" s="1">
        <v>197</v>
      </c>
      <c r="AY21" s="1" t="s">
        <v>232</v>
      </c>
      <c r="AZ21" s="1" t="s">
        <v>232</v>
      </c>
    </row>
    <row r="22" spans="1:52" x14ac:dyDescent="0.2">
      <c r="A22" s="1" t="s">
        <v>434</v>
      </c>
      <c r="B22" s="31">
        <v>46041</v>
      </c>
      <c r="C22" s="31">
        <v>43119</v>
      </c>
      <c r="D22" s="23">
        <v>615082</v>
      </c>
      <c r="E22" s="23">
        <v>615082</v>
      </c>
      <c r="F22" s="23">
        <v>738000</v>
      </c>
      <c r="G22" s="23">
        <v>910000</v>
      </c>
      <c r="H22" s="31">
        <v>46041</v>
      </c>
      <c r="I22" s="24">
        <v>0.83344475030899057</v>
      </c>
      <c r="J22" s="24">
        <v>0.67591428571428569</v>
      </c>
      <c r="K22" s="1" t="s">
        <v>361</v>
      </c>
      <c r="L22" s="5">
        <v>4.3975936174392702E-2</v>
      </c>
      <c r="M22" s="5">
        <v>3.975936174392701E-3</v>
      </c>
      <c r="N22" s="1" t="s">
        <v>362</v>
      </c>
      <c r="P22" s="1" t="s">
        <v>363</v>
      </c>
      <c r="Q22" s="31">
        <v>49693</v>
      </c>
      <c r="R22" s="1">
        <v>380</v>
      </c>
      <c r="S22" s="1">
        <v>284</v>
      </c>
      <c r="T22" s="31">
        <v>54685</v>
      </c>
      <c r="U22" s="1" t="s">
        <v>228</v>
      </c>
      <c r="V22" s="1" t="s">
        <v>229</v>
      </c>
      <c r="W22" s="1" t="s">
        <v>85</v>
      </c>
      <c r="X22" s="1" t="s">
        <v>392</v>
      </c>
      <c r="Y22" s="1" t="s">
        <v>435</v>
      </c>
      <c r="Z22" s="1">
        <v>1</v>
      </c>
      <c r="AA22" s="1" t="s">
        <v>230</v>
      </c>
      <c r="AB22" s="1" t="s">
        <v>231</v>
      </c>
      <c r="AC22" s="23">
        <v>138677</v>
      </c>
      <c r="AD22" s="24">
        <v>0.47835671901702881</v>
      </c>
      <c r="AE22" s="1" t="s">
        <v>19</v>
      </c>
      <c r="AF22" s="1">
        <v>2</v>
      </c>
      <c r="AG22" s="1">
        <v>12</v>
      </c>
      <c r="AH22" s="1" t="s">
        <v>19</v>
      </c>
      <c r="AI22" s="23">
        <v>6084</v>
      </c>
      <c r="AJ22" s="1" t="s">
        <v>232</v>
      </c>
      <c r="AK22" s="1">
        <v>0</v>
      </c>
      <c r="AL22" s="1" t="s">
        <v>233</v>
      </c>
      <c r="AM22" s="1">
        <v>0</v>
      </c>
      <c r="AN22" s="1">
        <v>0</v>
      </c>
      <c r="AO22" s="1" t="s">
        <v>232</v>
      </c>
      <c r="AR22" s="1" t="s">
        <v>376</v>
      </c>
      <c r="AS22" s="1" t="s">
        <v>369</v>
      </c>
      <c r="AT22" s="1" t="s">
        <v>234</v>
      </c>
      <c r="AU22" s="1" t="s">
        <v>232</v>
      </c>
      <c r="AV22" s="1">
        <v>0</v>
      </c>
      <c r="AW22" s="1" t="s">
        <v>232</v>
      </c>
      <c r="AX22" s="1">
        <v>999</v>
      </c>
      <c r="AY22" s="1" t="s">
        <v>232</v>
      </c>
      <c r="AZ22" s="1" t="s">
        <v>232</v>
      </c>
    </row>
    <row r="23" spans="1:52" x14ac:dyDescent="0.2">
      <c r="A23" s="1" t="s">
        <v>436</v>
      </c>
      <c r="B23" s="31">
        <v>46041</v>
      </c>
      <c r="C23" s="31">
        <v>41901</v>
      </c>
      <c r="D23" s="23">
        <v>405612</v>
      </c>
      <c r="E23" s="23">
        <v>283012</v>
      </c>
      <c r="F23" s="23">
        <v>517000</v>
      </c>
      <c r="G23" s="23">
        <v>529000</v>
      </c>
      <c r="H23" s="31">
        <v>46041</v>
      </c>
      <c r="I23" s="24">
        <v>0.78454847633838654</v>
      </c>
      <c r="J23" s="24">
        <v>0.53499432892249532</v>
      </c>
      <c r="K23" s="1" t="s">
        <v>226</v>
      </c>
      <c r="L23" s="5">
        <v>4.7896164655685428E-2</v>
      </c>
      <c r="M23" s="5">
        <v>7.8961646556854267E-3</v>
      </c>
      <c r="O23" s="31">
        <v>46771</v>
      </c>
      <c r="P23" s="1" t="s">
        <v>397</v>
      </c>
      <c r="R23" s="1">
        <v>399</v>
      </c>
      <c r="S23" s="1">
        <v>263</v>
      </c>
      <c r="T23" s="31">
        <v>54045</v>
      </c>
      <c r="U23" s="1" t="s">
        <v>378</v>
      </c>
      <c r="V23" s="1" t="s">
        <v>437</v>
      </c>
      <c r="W23" s="1" t="s">
        <v>85</v>
      </c>
      <c r="X23" s="1" t="s">
        <v>410</v>
      </c>
      <c r="Y23" s="1" t="s">
        <v>438</v>
      </c>
      <c r="Z23" s="1">
        <v>2</v>
      </c>
      <c r="AA23" s="1" t="s">
        <v>230</v>
      </c>
      <c r="AB23" s="1" t="s">
        <v>231</v>
      </c>
      <c r="AC23" s="23">
        <v>106269</v>
      </c>
      <c r="AD23" s="24">
        <v>0.36486320495605473</v>
      </c>
      <c r="AE23" s="1" t="s">
        <v>19</v>
      </c>
      <c r="AF23" s="1">
        <v>0</v>
      </c>
      <c r="AG23" s="1">
        <v>0</v>
      </c>
      <c r="AI23" s="23">
        <v>0</v>
      </c>
      <c r="AJ23" s="1" t="s">
        <v>232</v>
      </c>
      <c r="AK23" s="1">
        <v>0</v>
      </c>
      <c r="AL23" s="1" t="s">
        <v>233</v>
      </c>
      <c r="AM23" s="1">
        <v>0</v>
      </c>
      <c r="AN23" s="1">
        <v>0</v>
      </c>
      <c r="AO23" s="1" t="s">
        <v>232</v>
      </c>
      <c r="AR23" s="1" t="s">
        <v>399</v>
      </c>
      <c r="AS23" s="1" t="s">
        <v>400</v>
      </c>
      <c r="AT23" s="1" t="s">
        <v>234</v>
      </c>
      <c r="AU23" s="1" t="s">
        <v>232</v>
      </c>
      <c r="AV23" s="1">
        <v>0</v>
      </c>
      <c r="AW23" s="1" t="s">
        <v>232</v>
      </c>
      <c r="AX23" s="1">
        <v>104</v>
      </c>
      <c r="AY23" s="1" t="s">
        <v>232</v>
      </c>
      <c r="AZ23" s="1" t="s">
        <v>232</v>
      </c>
    </row>
    <row r="24" spans="1:52" x14ac:dyDescent="0.2">
      <c r="A24" s="1" t="s">
        <v>439</v>
      </c>
      <c r="B24" s="31">
        <v>46041</v>
      </c>
      <c r="C24" s="31">
        <v>42662</v>
      </c>
      <c r="D24" s="23">
        <v>776148</v>
      </c>
      <c r="E24" s="23">
        <v>584673</v>
      </c>
      <c r="F24" s="23">
        <v>1043000</v>
      </c>
      <c r="G24" s="23">
        <v>1502000</v>
      </c>
      <c r="H24" s="31">
        <v>46041</v>
      </c>
      <c r="I24" s="24">
        <v>0.74414921402931211</v>
      </c>
      <c r="J24" s="24">
        <v>0.38926298268974702</v>
      </c>
      <c r="K24" s="1" t="s">
        <v>226</v>
      </c>
      <c r="L24" s="5">
        <v>4.9942949414253229E-2</v>
      </c>
      <c r="M24" s="5">
        <v>9.9429494142532285E-3</v>
      </c>
      <c r="O24" s="31">
        <v>46771</v>
      </c>
      <c r="P24" s="1" t="s">
        <v>227</v>
      </c>
      <c r="R24" s="1">
        <v>339</v>
      </c>
      <c r="S24" s="1">
        <v>228</v>
      </c>
      <c r="T24" s="31">
        <v>52981</v>
      </c>
      <c r="U24" s="1" t="s">
        <v>424</v>
      </c>
      <c r="V24" s="1" t="s">
        <v>379</v>
      </c>
      <c r="W24" s="1" t="s">
        <v>365</v>
      </c>
      <c r="X24" s="1" t="s">
        <v>147</v>
      </c>
      <c r="Y24" s="1" t="s">
        <v>440</v>
      </c>
      <c r="Z24" s="1">
        <v>1</v>
      </c>
      <c r="AA24" s="1" t="s">
        <v>230</v>
      </c>
      <c r="AB24" s="1" t="s">
        <v>231</v>
      </c>
      <c r="AC24" s="23">
        <v>66116</v>
      </c>
      <c r="AD24" s="24">
        <v>0.26915161609649663</v>
      </c>
      <c r="AE24" s="1" t="s">
        <v>232</v>
      </c>
      <c r="AF24" s="1">
        <v>0</v>
      </c>
      <c r="AG24" s="1">
        <v>0</v>
      </c>
      <c r="AI24" s="23">
        <v>0</v>
      </c>
      <c r="AJ24" s="1" t="s">
        <v>19</v>
      </c>
      <c r="AK24" s="1">
        <v>2</v>
      </c>
      <c r="AL24" s="1" t="s">
        <v>233</v>
      </c>
      <c r="AM24" s="1">
        <v>0</v>
      </c>
      <c r="AN24" s="1">
        <v>0</v>
      </c>
      <c r="AO24" s="1" t="s">
        <v>232</v>
      </c>
      <c r="AR24" s="1" t="s">
        <v>376</v>
      </c>
      <c r="AS24" s="1" t="s">
        <v>386</v>
      </c>
      <c r="AT24" s="1" t="s">
        <v>234</v>
      </c>
      <c r="AU24" s="1" t="s">
        <v>232</v>
      </c>
      <c r="AV24" s="1">
        <v>1.2469965815544128</v>
      </c>
      <c r="AW24" s="1" t="s">
        <v>232</v>
      </c>
      <c r="AX24" s="1">
        <v>999</v>
      </c>
      <c r="AY24" s="1" t="s">
        <v>232</v>
      </c>
      <c r="AZ24" s="1" t="s">
        <v>232</v>
      </c>
    </row>
    <row r="25" spans="1:52" x14ac:dyDescent="0.2">
      <c r="A25" s="1" t="s">
        <v>441</v>
      </c>
      <c r="B25" s="31">
        <v>46041</v>
      </c>
      <c r="C25" s="31">
        <v>44884</v>
      </c>
      <c r="D25" s="23">
        <v>486157</v>
      </c>
      <c r="E25" s="23">
        <v>445090</v>
      </c>
      <c r="F25" s="23">
        <v>628000</v>
      </c>
      <c r="G25" s="23">
        <v>656000</v>
      </c>
      <c r="H25" s="31">
        <v>46041</v>
      </c>
      <c r="I25" s="24">
        <v>0.77413570582866664</v>
      </c>
      <c r="J25" s="24">
        <v>0.67849085365853656</v>
      </c>
      <c r="K25" s="1" t="s">
        <v>226</v>
      </c>
      <c r="L25" s="5">
        <v>2.4633584022521974E-2</v>
      </c>
      <c r="M25" s="5">
        <v>-1.5366415977478027E-2</v>
      </c>
      <c r="O25" s="31">
        <v>46771</v>
      </c>
      <c r="P25" s="1" t="s">
        <v>397</v>
      </c>
      <c r="R25" s="1">
        <v>304</v>
      </c>
      <c r="S25" s="1">
        <v>266</v>
      </c>
      <c r="T25" s="31">
        <v>54136</v>
      </c>
      <c r="U25" s="1" t="s">
        <v>378</v>
      </c>
      <c r="V25" s="1" t="s">
        <v>391</v>
      </c>
      <c r="W25" s="1" t="s">
        <v>86</v>
      </c>
      <c r="X25" s="1" t="s">
        <v>146</v>
      </c>
      <c r="Y25" s="1" t="s">
        <v>442</v>
      </c>
      <c r="Z25" s="1">
        <v>2</v>
      </c>
      <c r="AA25" s="1" t="s">
        <v>367</v>
      </c>
      <c r="AB25" s="1" t="s">
        <v>231</v>
      </c>
      <c r="AC25" s="23">
        <v>88992</v>
      </c>
      <c r="AD25" s="24">
        <v>0.57037756443023691</v>
      </c>
      <c r="AE25" s="1" t="s">
        <v>19</v>
      </c>
      <c r="AF25" s="1">
        <v>0</v>
      </c>
      <c r="AG25" s="1">
        <v>0</v>
      </c>
      <c r="AI25" s="23">
        <v>0</v>
      </c>
      <c r="AJ25" s="1" t="s">
        <v>232</v>
      </c>
      <c r="AK25" s="1">
        <v>0</v>
      </c>
      <c r="AL25" s="1" t="s">
        <v>233</v>
      </c>
      <c r="AM25" s="1">
        <v>0</v>
      </c>
      <c r="AN25" s="1">
        <v>0</v>
      </c>
      <c r="AO25" s="1" t="s">
        <v>232</v>
      </c>
      <c r="AR25" s="1" t="s">
        <v>368</v>
      </c>
      <c r="AS25" s="1" t="s">
        <v>386</v>
      </c>
      <c r="AT25" s="1" t="s">
        <v>234</v>
      </c>
      <c r="AU25" s="1" t="s">
        <v>232</v>
      </c>
      <c r="AV25" s="1">
        <v>0</v>
      </c>
      <c r="AW25" s="1" t="s">
        <v>232</v>
      </c>
      <c r="AX25" s="1">
        <v>180</v>
      </c>
      <c r="AY25" s="1" t="s">
        <v>232</v>
      </c>
      <c r="AZ25" s="1" t="s">
        <v>232</v>
      </c>
    </row>
    <row r="26" spans="1:52" x14ac:dyDescent="0.2">
      <c r="A26" s="1" t="s">
        <v>443</v>
      </c>
      <c r="B26" s="31">
        <v>46041</v>
      </c>
      <c r="C26" s="31">
        <v>43940</v>
      </c>
      <c r="D26" s="23">
        <v>1447787</v>
      </c>
      <c r="E26" s="23">
        <v>1225707</v>
      </c>
      <c r="F26" s="23">
        <v>1900000</v>
      </c>
      <c r="G26" s="23">
        <v>2385000</v>
      </c>
      <c r="H26" s="31">
        <v>46041</v>
      </c>
      <c r="I26" s="24">
        <v>0.76199294030666354</v>
      </c>
      <c r="J26" s="24">
        <v>0.51392327044025155</v>
      </c>
      <c r="K26" s="1" t="s">
        <v>384</v>
      </c>
      <c r="L26" s="5">
        <v>5.2389484643936161E-2</v>
      </c>
      <c r="M26" s="5">
        <v>1.2389484643936161E-2</v>
      </c>
      <c r="P26" s="1" t="s">
        <v>227</v>
      </c>
      <c r="R26" s="1">
        <v>357</v>
      </c>
      <c r="S26" s="1">
        <v>288</v>
      </c>
      <c r="T26" s="31">
        <v>54807</v>
      </c>
      <c r="U26" s="1" t="s">
        <v>371</v>
      </c>
      <c r="V26" s="1" t="s">
        <v>437</v>
      </c>
      <c r="W26" s="1" t="s">
        <v>85</v>
      </c>
      <c r="X26" s="1" t="s">
        <v>410</v>
      </c>
      <c r="Y26" s="1" t="s">
        <v>444</v>
      </c>
      <c r="Z26" s="1">
        <v>2</v>
      </c>
      <c r="AA26" s="1" t="s">
        <v>230</v>
      </c>
      <c r="AB26" s="1" t="s">
        <v>231</v>
      </c>
      <c r="AC26" s="23">
        <v>135190</v>
      </c>
      <c r="AD26" s="24">
        <v>0.43273720741271976</v>
      </c>
      <c r="AE26" s="1" t="s">
        <v>232</v>
      </c>
      <c r="AF26" s="1">
        <v>0</v>
      </c>
      <c r="AG26" s="1">
        <v>0</v>
      </c>
      <c r="AI26" s="23">
        <v>0</v>
      </c>
      <c r="AJ26" s="1" t="s">
        <v>232</v>
      </c>
      <c r="AK26" s="1">
        <v>0</v>
      </c>
      <c r="AL26" s="1" t="s">
        <v>233</v>
      </c>
      <c r="AM26" s="1">
        <v>0</v>
      </c>
      <c r="AN26" s="1">
        <v>0</v>
      </c>
      <c r="AO26" s="1" t="s">
        <v>232</v>
      </c>
      <c r="AR26" s="1" t="s">
        <v>368</v>
      </c>
      <c r="AS26" s="1" t="s">
        <v>369</v>
      </c>
      <c r="AT26" s="1" t="s">
        <v>234</v>
      </c>
      <c r="AU26" s="1" t="s">
        <v>232</v>
      </c>
      <c r="AV26" s="1">
        <v>0</v>
      </c>
      <c r="AW26" s="1" t="s">
        <v>232</v>
      </c>
      <c r="AX26" s="1">
        <v>179</v>
      </c>
      <c r="AY26" s="1" t="s">
        <v>232</v>
      </c>
      <c r="AZ26" s="1" t="s">
        <v>232</v>
      </c>
    </row>
    <row r="27" spans="1:52" x14ac:dyDescent="0.2">
      <c r="A27" s="1" t="s">
        <v>445</v>
      </c>
      <c r="B27" s="31">
        <v>46041</v>
      </c>
      <c r="C27" s="31">
        <v>43362</v>
      </c>
      <c r="D27" s="23">
        <v>1307890</v>
      </c>
      <c r="E27" s="23">
        <v>1307890</v>
      </c>
      <c r="F27" s="23">
        <v>1778000</v>
      </c>
      <c r="G27" s="23">
        <v>2037000</v>
      </c>
      <c r="H27" s="31">
        <v>46041</v>
      </c>
      <c r="I27" s="24">
        <v>0.73559592962265008</v>
      </c>
      <c r="J27" s="24">
        <v>0.64206676485027003</v>
      </c>
      <c r="K27" s="1" t="s">
        <v>226</v>
      </c>
      <c r="L27" s="5">
        <v>2.6520072817802429E-2</v>
      </c>
      <c r="M27" s="5">
        <v>-1.3479927182197572E-2</v>
      </c>
      <c r="O27" s="31">
        <v>46771</v>
      </c>
      <c r="P27" s="1" t="s">
        <v>363</v>
      </c>
      <c r="Q27" s="31">
        <v>49693</v>
      </c>
      <c r="R27" s="1">
        <v>337</v>
      </c>
      <c r="S27" s="1">
        <v>249</v>
      </c>
      <c r="T27" s="31">
        <v>53619</v>
      </c>
      <c r="U27" s="1" t="s">
        <v>364</v>
      </c>
      <c r="V27" s="1" t="s">
        <v>229</v>
      </c>
      <c r="W27" s="1" t="s">
        <v>85</v>
      </c>
      <c r="X27" s="1" t="s">
        <v>147</v>
      </c>
      <c r="Y27" s="1" t="s">
        <v>446</v>
      </c>
      <c r="Z27" s="1">
        <v>2</v>
      </c>
      <c r="AA27" s="1" t="s">
        <v>230</v>
      </c>
      <c r="AB27" s="1" t="s">
        <v>231</v>
      </c>
      <c r="AC27" s="23">
        <v>85506</v>
      </c>
      <c r="AD27" s="24">
        <v>0.56690175533294673</v>
      </c>
      <c r="AE27" s="1" t="s">
        <v>232</v>
      </c>
      <c r="AF27" s="1">
        <v>0</v>
      </c>
      <c r="AG27" s="1">
        <v>0</v>
      </c>
      <c r="AI27" s="23">
        <v>0</v>
      </c>
      <c r="AJ27" s="1" t="s">
        <v>232</v>
      </c>
      <c r="AK27" s="1">
        <v>0</v>
      </c>
      <c r="AL27" s="1" t="s">
        <v>447</v>
      </c>
      <c r="AM27" s="1">
        <v>12</v>
      </c>
      <c r="AN27" s="1">
        <v>0.4</v>
      </c>
      <c r="AO27" s="1" t="s">
        <v>232</v>
      </c>
      <c r="AR27" s="1" t="s">
        <v>399</v>
      </c>
      <c r="AS27" s="1" t="s">
        <v>386</v>
      </c>
      <c r="AT27" s="1" t="s">
        <v>234</v>
      </c>
      <c r="AU27" s="1" t="s">
        <v>232</v>
      </c>
      <c r="AV27" s="1">
        <v>0</v>
      </c>
      <c r="AW27" s="1" t="s">
        <v>232</v>
      </c>
      <c r="AX27" s="1">
        <v>143</v>
      </c>
      <c r="AY27" s="1" t="s">
        <v>19</v>
      </c>
      <c r="AZ27" s="1" t="s">
        <v>232</v>
      </c>
    </row>
    <row r="28" spans="1:52" x14ac:dyDescent="0.2">
      <c r="A28" s="1" t="s">
        <v>448</v>
      </c>
      <c r="B28" s="31">
        <v>46041</v>
      </c>
      <c r="C28" s="31">
        <v>44215</v>
      </c>
      <c r="D28" s="23">
        <v>571338</v>
      </c>
      <c r="E28" s="23">
        <v>495170</v>
      </c>
      <c r="F28" s="23">
        <v>712000</v>
      </c>
      <c r="G28" s="23">
        <v>884000</v>
      </c>
      <c r="H28" s="31">
        <v>46041</v>
      </c>
      <c r="I28" s="24">
        <v>0.80244042873382571</v>
      </c>
      <c r="J28" s="24">
        <v>0.56014705882352944</v>
      </c>
      <c r="K28" s="1" t="s">
        <v>226</v>
      </c>
      <c r="L28" s="5">
        <v>4.6439480185508725E-2</v>
      </c>
      <c r="M28" s="5">
        <v>6.4394801855087239E-3</v>
      </c>
      <c r="O28" s="31">
        <v>46771</v>
      </c>
      <c r="P28" s="1" t="s">
        <v>227</v>
      </c>
      <c r="R28" s="1">
        <v>292</v>
      </c>
      <c r="S28" s="1">
        <v>233</v>
      </c>
      <c r="T28" s="31">
        <v>53132</v>
      </c>
      <c r="U28" s="1" t="s">
        <v>228</v>
      </c>
      <c r="V28" s="1" t="s">
        <v>379</v>
      </c>
      <c r="W28" s="1" t="s">
        <v>85</v>
      </c>
      <c r="X28" s="1" t="s">
        <v>146</v>
      </c>
      <c r="Y28" s="1" t="s">
        <v>449</v>
      </c>
      <c r="Z28" s="1">
        <v>2</v>
      </c>
      <c r="AA28" s="1" t="s">
        <v>230</v>
      </c>
      <c r="AB28" s="1" t="s">
        <v>231</v>
      </c>
      <c r="AC28" s="23">
        <v>142484</v>
      </c>
      <c r="AD28" s="24">
        <v>0.51694896221160891</v>
      </c>
      <c r="AE28" s="1" t="s">
        <v>232</v>
      </c>
      <c r="AF28" s="1">
        <v>3</v>
      </c>
      <c r="AG28" s="1">
        <v>37</v>
      </c>
      <c r="AH28" s="1" t="s">
        <v>232</v>
      </c>
      <c r="AI28" s="23">
        <v>4716</v>
      </c>
      <c r="AJ28" s="1" t="s">
        <v>232</v>
      </c>
      <c r="AK28" s="1">
        <v>0</v>
      </c>
      <c r="AL28" s="1" t="s">
        <v>428</v>
      </c>
      <c r="AM28" s="1">
        <v>64</v>
      </c>
      <c r="AN28" s="1">
        <v>2.1</v>
      </c>
      <c r="AO28" s="1" t="s">
        <v>232</v>
      </c>
      <c r="AR28" s="1" t="s">
        <v>399</v>
      </c>
      <c r="AS28" s="1" t="s">
        <v>369</v>
      </c>
      <c r="AT28" s="1" t="s">
        <v>234</v>
      </c>
      <c r="AU28" s="1" t="s">
        <v>232</v>
      </c>
      <c r="AV28" s="1">
        <v>0</v>
      </c>
      <c r="AW28" s="1" t="s">
        <v>232</v>
      </c>
      <c r="AX28" s="1">
        <v>175</v>
      </c>
      <c r="AY28" s="1" t="s">
        <v>232</v>
      </c>
      <c r="AZ28" s="1" t="s">
        <v>232</v>
      </c>
    </row>
    <row r="29" spans="1:52" x14ac:dyDescent="0.2">
      <c r="A29" s="1" t="s">
        <v>450</v>
      </c>
      <c r="B29" s="31">
        <v>46041</v>
      </c>
      <c r="C29" s="31">
        <v>44976</v>
      </c>
      <c r="D29" s="23">
        <v>93753</v>
      </c>
      <c r="E29" s="23">
        <v>93753</v>
      </c>
      <c r="F29" s="23">
        <v>221000</v>
      </c>
      <c r="G29" s="23">
        <v>253000</v>
      </c>
      <c r="H29" s="31">
        <v>46041</v>
      </c>
      <c r="I29" s="24">
        <v>0.4242211759090424</v>
      </c>
      <c r="J29" s="24">
        <v>0.37056521739130432</v>
      </c>
      <c r="K29" s="1" t="s">
        <v>226</v>
      </c>
      <c r="L29" s="5">
        <v>2.7633852958679199E-2</v>
      </c>
      <c r="M29" s="5">
        <v>-1.2366147041320802E-2</v>
      </c>
      <c r="O29" s="31">
        <v>46771</v>
      </c>
      <c r="P29" s="1" t="s">
        <v>363</v>
      </c>
      <c r="Q29" s="31">
        <v>49693</v>
      </c>
      <c r="R29" s="1">
        <v>321</v>
      </c>
      <c r="S29" s="1">
        <v>287</v>
      </c>
      <c r="T29" s="31">
        <v>54776</v>
      </c>
      <c r="U29" s="1" t="s">
        <v>371</v>
      </c>
      <c r="V29" s="1" t="s">
        <v>437</v>
      </c>
      <c r="W29" s="1" t="s">
        <v>85</v>
      </c>
      <c r="X29" s="1" t="s">
        <v>147</v>
      </c>
      <c r="Y29" s="1" t="s">
        <v>451</v>
      </c>
      <c r="Z29" s="1">
        <v>1</v>
      </c>
      <c r="AA29" s="1" t="s">
        <v>230</v>
      </c>
      <c r="AB29" s="1" t="s">
        <v>231</v>
      </c>
      <c r="AC29" s="23">
        <v>49795</v>
      </c>
      <c r="AD29" s="24">
        <v>0.28326449394226078</v>
      </c>
      <c r="AE29" s="1" t="s">
        <v>232</v>
      </c>
      <c r="AF29" s="1">
        <v>0</v>
      </c>
      <c r="AG29" s="1">
        <v>0</v>
      </c>
      <c r="AI29" s="23">
        <v>0</v>
      </c>
      <c r="AJ29" s="1" t="s">
        <v>232</v>
      </c>
      <c r="AK29" s="1">
        <v>0</v>
      </c>
      <c r="AL29" s="1" t="s">
        <v>233</v>
      </c>
      <c r="AM29" s="1">
        <v>0</v>
      </c>
      <c r="AN29" s="1">
        <v>0</v>
      </c>
      <c r="AO29" s="1" t="s">
        <v>232</v>
      </c>
      <c r="AR29" s="1" t="s">
        <v>394</v>
      </c>
      <c r="AS29" s="1" t="s">
        <v>386</v>
      </c>
      <c r="AT29" s="1" t="s">
        <v>234</v>
      </c>
      <c r="AU29" s="1" t="s">
        <v>232</v>
      </c>
      <c r="AV29" s="1">
        <v>0</v>
      </c>
      <c r="AW29" s="1" t="s">
        <v>19</v>
      </c>
      <c r="AX29" s="1">
        <v>999</v>
      </c>
      <c r="AY29" s="1" t="s">
        <v>232</v>
      </c>
      <c r="AZ29" s="1" t="s">
        <v>232</v>
      </c>
    </row>
    <row r="30" spans="1:52" x14ac:dyDescent="0.2">
      <c r="A30" s="1" t="s">
        <v>452</v>
      </c>
      <c r="B30" s="31">
        <v>46041</v>
      </c>
      <c r="C30" s="31">
        <v>41140</v>
      </c>
      <c r="D30" s="23">
        <v>890204</v>
      </c>
      <c r="E30" s="23">
        <v>571672</v>
      </c>
      <c r="F30" s="23">
        <v>1293000</v>
      </c>
      <c r="G30" s="23">
        <v>1847000</v>
      </c>
      <c r="H30" s="31">
        <v>46041</v>
      </c>
      <c r="I30" s="24">
        <v>0.68847933411598206</v>
      </c>
      <c r="J30" s="24">
        <v>0.30951380617217111</v>
      </c>
      <c r="K30" s="1" t="s">
        <v>226</v>
      </c>
      <c r="L30" s="5">
        <v>3.6592234373092655E-2</v>
      </c>
      <c r="M30" s="5">
        <v>-3.4077656269073456E-3</v>
      </c>
      <c r="O30" s="31">
        <v>46771</v>
      </c>
      <c r="P30" s="1" t="s">
        <v>227</v>
      </c>
      <c r="R30" s="1">
        <v>268</v>
      </c>
      <c r="S30" s="1">
        <v>107</v>
      </c>
      <c r="T30" s="31">
        <v>49297</v>
      </c>
      <c r="U30" s="1" t="s">
        <v>424</v>
      </c>
      <c r="V30" s="1" t="s">
        <v>437</v>
      </c>
      <c r="W30" s="1" t="s">
        <v>85</v>
      </c>
      <c r="X30" s="1" t="s">
        <v>453</v>
      </c>
      <c r="Y30" s="1" t="s">
        <v>454</v>
      </c>
      <c r="Z30" s="1">
        <v>2</v>
      </c>
      <c r="AA30" s="1" t="s">
        <v>230</v>
      </c>
      <c r="AB30" s="1" t="s">
        <v>231</v>
      </c>
      <c r="AC30" s="23">
        <v>131249</v>
      </c>
      <c r="AD30" s="24">
        <v>0.29904708862304691</v>
      </c>
      <c r="AE30" s="1" t="s">
        <v>19</v>
      </c>
      <c r="AF30" s="1">
        <v>0</v>
      </c>
      <c r="AG30" s="1">
        <v>0</v>
      </c>
      <c r="AI30" s="23">
        <v>0</v>
      </c>
      <c r="AJ30" s="1" t="s">
        <v>232</v>
      </c>
      <c r="AK30" s="1">
        <v>0</v>
      </c>
      <c r="AL30" s="1" t="s">
        <v>233</v>
      </c>
      <c r="AM30" s="1">
        <v>0</v>
      </c>
      <c r="AN30" s="1">
        <v>0</v>
      </c>
      <c r="AO30" s="1" t="s">
        <v>232</v>
      </c>
      <c r="AR30" s="1" t="s">
        <v>376</v>
      </c>
      <c r="AS30" s="1" t="s">
        <v>369</v>
      </c>
      <c r="AT30" s="1" t="s">
        <v>234</v>
      </c>
      <c r="AU30" s="1" t="s">
        <v>232</v>
      </c>
      <c r="AV30" s="1">
        <v>0</v>
      </c>
      <c r="AW30" s="1" t="s">
        <v>232</v>
      </c>
      <c r="AX30" s="1">
        <v>97</v>
      </c>
      <c r="AY30" s="1" t="s">
        <v>232</v>
      </c>
      <c r="AZ30" s="1" t="s">
        <v>232</v>
      </c>
    </row>
    <row r="31" spans="1:52" x14ac:dyDescent="0.2">
      <c r="A31" s="1" t="s">
        <v>455</v>
      </c>
      <c r="B31" s="31">
        <v>46041</v>
      </c>
      <c r="C31" s="31">
        <v>44001</v>
      </c>
      <c r="D31" s="23">
        <v>283725</v>
      </c>
      <c r="E31" s="23">
        <v>283725</v>
      </c>
      <c r="F31" s="23">
        <v>396000</v>
      </c>
      <c r="G31" s="23">
        <v>447000</v>
      </c>
      <c r="H31" s="31">
        <v>46041</v>
      </c>
      <c r="I31" s="24">
        <v>0.71647601723670951</v>
      </c>
      <c r="J31" s="24">
        <v>0.63473154362416107</v>
      </c>
      <c r="K31" s="1" t="s">
        <v>361</v>
      </c>
      <c r="L31" s="5">
        <v>5.6977022886276249E-2</v>
      </c>
      <c r="M31" s="5">
        <v>1.6977022886276248E-2</v>
      </c>
      <c r="N31" s="1" t="s">
        <v>362</v>
      </c>
      <c r="P31" s="1" t="s">
        <v>363</v>
      </c>
      <c r="Q31" s="31">
        <v>49693</v>
      </c>
      <c r="R31" s="1">
        <v>256</v>
      </c>
      <c r="S31" s="1">
        <v>189</v>
      </c>
      <c r="T31" s="31">
        <v>51793</v>
      </c>
      <c r="U31" s="1" t="s">
        <v>456</v>
      </c>
      <c r="V31" s="1" t="s">
        <v>229</v>
      </c>
      <c r="W31" s="1" t="s">
        <v>85</v>
      </c>
      <c r="X31" s="1" t="s">
        <v>146</v>
      </c>
      <c r="Y31" s="1" t="s">
        <v>457</v>
      </c>
      <c r="Z31" s="1">
        <v>2</v>
      </c>
      <c r="AA31" s="1" t="s">
        <v>230</v>
      </c>
      <c r="AB31" s="1" t="s">
        <v>231</v>
      </c>
      <c r="AC31" s="23">
        <v>78619</v>
      </c>
      <c r="AD31" s="24">
        <v>0.21404564380645752</v>
      </c>
      <c r="AE31" s="1" t="s">
        <v>232</v>
      </c>
      <c r="AF31" s="1">
        <v>0</v>
      </c>
      <c r="AG31" s="1">
        <v>0</v>
      </c>
      <c r="AI31" s="23">
        <v>0</v>
      </c>
      <c r="AJ31" s="1" t="s">
        <v>232</v>
      </c>
      <c r="AK31" s="1">
        <v>0</v>
      </c>
      <c r="AL31" s="1" t="s">
        <v>233</v>
      </c>
      <c r="AM31" s="1">
        <v>0</v>
      </c>
      <c r="AN31" s="1">
        <v>0</v>
      </c>
      <c r="AO31" s="1" t="s">
        <v>232</v>
      </c>
      <c r="AR31" s="1" t="s">
        <v>394</v>
      </c>
      <c r="AS31" s="1" t="s">
        <v>369</v>
      </c>
      <c r="AT31" s="1" t="s">
        <v>234</v>
      </c>
      <c r="AU31" s="1" t="s">
        <v>232</v>
      </c>
      <c r="AV31" s="1">
        <v>0</v>
      </c>
      <c r="AW31" s="1" t="s">
        <v>232</v>
      </c>
      <c r="AX31" s="1">
        <v>67</v>
      </c>
      <c r="AY31" s="1" t="s">
        <v>232</v>
      </c>
      <c r="AZ31" s="1" t="s">
        <v>232</v>
      </c>
    </row>
    <row r="32" spans="1:52" x14ac:dyDescent="0.2">
      <c r="A32" s="1" t="s">
        <v>458</v>
      </c>
      <c r="B32" s="31">
        <v>46041</v>
      </c>
      <c r="C32" s="31">
        <v>40835</v>
      </c>
      <c r="D32" s="23">
        <v>213912</v>
      </c>
      <c r="E32" s="23">
        <v>132607</v>
      </c>
      <c r="F32" s="23">
        <v>256000</v>
      </c>
      <c r="G32" s="23">
        <v>293000</v>
      </c>
      <c r="H32" s="31">
        <v>46041</v>
      </c>
      <c r="I32" s="24">
        <v>0.83559271991252904</v>
      </c>
      <c r="J32" s="24">
        <v>0.45258361774744027</v>
      </c>
      <c r="K32" s="1" t="s">
        <v>226</v>
      </c>
      <c r="L32" s="5">
        <v>3.8863940238952635E-2</v>
      </c>
      <c r="M32" s="5">
        <v>-1.1360597610473658E-3</v>
      </c>
      <c r="O32" s="31">
        <v>46771</v>
      </c>
      <c r="P32" s="1" t="s">
        <v>227</v>
      </c>
      <c r="R32" s="1">
        <v>289</v>
      </c>
      <c r="S32" s="1">
        <v>118</v>
      </c>
      <c r="T32" s="31">
        <v>49632</v>
      </c>
      <c r="U32" s="1" t="s">
        <v>228</v>
      </c>
      <c r="V32" s="1" t="s">
        <v>229</v>
      </c>
      <c r="W32" s="1" t="s">
        <v>365</v>
      </c>
      <c r="X32" s="1" t="s">
        <v>146</v>
      </c>
      <c r="Y32" s="1" t="s">
        <v>459</v>
      </c>
      <c r="Z32" s="1">
        <v>2</v>
      </c>
      <c r="AA32" s="1" t="s">
        <v>230</v>
      </c>
      <c r="AB32" s="1" t="s">
        <v>231</v>
      </c>
      <c r="AC32" s="23">
        <v>143711</v>
      </c>
      <c r="AD32" s="24">
        <v>0.35973238945007324</v>
      </c>
      <c r="AE32" s="1" t="s">
        <v>232</v>
      </c>
      <c r="AF32" s="1">
        <v>0</v>
      </c>
      <c r="AG32" s="1">
        <v>0</v>
      </c>
      <c r="AI32" s="23">
        <v>0</v>
      </c>
      <c r="AJ32" s="1" t="s">
        <v>232</v>
      </c>
      <c r="AK32" s="1">
        <v>0</v>
      </c>
      <c r="AL32" s="1" t="s">
        <v>375</v>
      </c>
      <c r="AM32" s="1">
        <v>123</v>
      </c>
      <c r="AN32" s="1">
        <v>4.0999999999999996</v>
      </c>
      <c r="AO32" s="1" t="s">
        <v>232</v>
      </c>
      <c r="AR32" s="1" t="s">
        <v>394</v>
      </c>
      <c r="AS32" s="1" t="s">
        <v>386</v>
      </c>
      <c r="AT32" s="1" t="s">
        <v>234</v>
      </c>
      <c r="AU32" s="1" t="s">
        <v>19</v>
      </c>
      <c r="AV32" s="1">
        <v>1.3678122878074646</v>
      </c>
      <c r="AW32" s="1" t="s">
        <v>232</v>
      </c>
      <c r="AX32" s="1">
        <v>80</v>
      </c>
      <c r="AY32" s="1" t="s">
        <v>232</v>
      </c>
      <c r="AZ32" s="1" t="s">
        <v>232</v>
      </c>
    </row>
    <row r="33" spans="1:52" x14ac:dyDescent="0.2">
      <c r="A33" s="1" t="s">
        <v>460</v>
      </c>
      <c r="B33" s="31">
        <v>46041</v>
      </c>
      <c r="C33" s="31">
        <v>43484</v>
      </c>
      <c r="D33" s="23">
        <v>1144541</v>
      </c>
      <c r="E33" s="23">
        <v>930872</v>
      </c>
      <c r="F33" s="23">
        <v>1216000</v>
      </c>
      <c r="G33" s="23">
        <v>1487000</v>
      </c>
      <c r="H33" s="31">
        <v>46041</v>
      </c>
      <c r="I33" s="24">
        <v>0.94123442769050603</v>
      </c>
      <c r="J33" s="24">
        <v>0.62600672494956289</v>
      </c>
      <c r="K33" s="1" t="s">
        <v>361</v>
      </c>
      <c r="L33" s="5">
        <v>4.2330330610275267E-2</v>
      </c>
      <c r="M33" s="5">
        <v>2.3303306102752663E-3</v>
      </c>
      <c r="N33" s="1" t="s">
        <v>362</v>
      </c>
      <c r="P33" s="1" t="s">
        <v>227</v>
      </c>
      <c r="R33" s="1">
        <v>357</v>
      </c>
      <c r="S33" s="1">
        <v>273</v>
      </c>
      <c r="T33" s="31">
        <v>54350</v>
      </c>
      <c r="U33" s="1" t="s">
        <v>371</v>
      </c>
      <c r="V33" s="1" t="s">
        <v>372</v>
      </c>
      <c r="W33" s="1" t="s">
        <v>85</v>
      </c>
      <c r="X33" s="1" t="s">
        <v>164</v>
      </c>
      <c r="Y33" s="1" t="s">
        <v>461</v>
      </c>
      <c r="Z33" s="1">
        <v>2</v>
      </c>
      <c r="AA33" s="1" t="s">
        <v>230</v>
      </c>
      <c r="AB33" s="1" t="s">
        <v>231</v>
      </c>
      <c r="AC33" s="23">
        <v>39481</v>
      </c>
      <c r="AD33" s="24">
        <v>0.33570072650909422</v>
      </c>
      <c r="AE33" s="1" t="s">
        <v>19</v>
      </c>
      <c r="AF33" s="1">
        <v>0</v>
      </c>
      <c r="AG33" s="1">
        <v>0</v>
      </c>
      <c r="AI33" s="23">
        <v>0</v>
      </c>
      <c r="AJ33" s="1" t="s">
        <v>232</v>
      </c>
      <c r="AK33" s="1">
        <v>0</v>
      </c>
      <c r="AL33" s="1" t="s">
        <v>233</v>
      </c>
      <c r="AM33" s="1">
        <v>0</v>
      </c>
      <c r="AN33" s="1">
        <v>0</v>
      </c>
      <c r="AO33" s="1" t="s">
        <v>232</v>
      </c>
      <c r="AR33" s="1" t="s">
        <v>399</v>
      </c>
      <c r="AS33" s="1" t="s">
        <v>386</v>
      </c>
      <c r="AT33" s="1" t="s">
        <v>234</v>
      </c>
      <c r="AU33" s="1" t="s">
        <v>232</v>
      </c>
      <c r="AV33" s="1">
        <v>0</v>
      </c>
      <c r="AW33" s="1" t="s">
        <v>232</v>
      </c>
      <c r="AX33" s="1">
        <v>108</v>
      </c>
      <c r="AY33" s="1" t="s">
        <v>232</v>
      </c>
      <c r="AZ33" s="1" t="s">
        <v>232</v>
      </c>
    </row>
    <row r="34" spans="1:52" x14ac:dyDescent="0.2">
      <c r="A34" s="1" t="s">
        <v>462</v>
      </c>
      <c r="B34" s="31">
        <v>46041</v>
      </c>
      <c r="C34" s="31">
        <v>43515</v>
      </c>
      <c r="D34" s="23">
        <v>151707</v>
      </c>
      <c r="E34" s="23">
        <v>123729</v>
      </c>
      <c r="F34" s="23">
        <v>211000</v>
      </c>
      <c r="G34" s="23">
        <v>251000</v>
      </c>
      <c r="H34" s="31">
        <v>46041</v>
      </c>
      <c r="I34" s="24">
        <v>0.71898865401744838</v>
      </c>
      <c r="J34" s="24">
        <v>0.49294422310756975</v>
      </c>
      <c r="K34" s="1" t="s">
        <v>361</v>
      </c>
      <c r="L34" s="5">
        <v>4.6870574951171876E-2</v>
      </c>
      <c r="M34" s="5">
        <v>6.8705749511718747E-3</v>
      </c>
      <c r="N34" s="1" t="s">
        <v>362</v>
      </c>
      <c r="P34" s="1" t="s">
        <v>227</v>
      </c>
      <c r="R34" s="1">
        <v>308</v>
      </c>
      <c r="S34" s="1">
        <v>226</v>
      </c>
      <c r="T34" s="31">
        <v>52920</v>
      </c>
      <c r="U34" s="1" t="s">
        <v>424</v>
      </c>
      <c r="V34" s="1" t="s">
        <v>229</v>
      </c>
      <c r="W34" s="1" t="s">
        <v>85</v>
      </c>
      <c r="X34" s="1" t="s">
        <v>147</v>
      </c>
      <c r="Y34" s="1" t="s">
        <v>463</v>
      </c>
      <c r="Z34" s="1">
        <v>2</v>
      </c>
      <c r="AA34" s="1" t="s">
        <v>367</v>
      </c>
      <c r="AB34" s="1" t="s">
        <v>231</v>
      </c>
      <c r="AC34" s="23">
        <v>65161</v>
      </c>
      <c r="AD34" s="24">
        <v>0.33075907230377199</v>
      </c>
      <c r="AE34" s="1" t="s">
        <v>232</v>
      </c>
      <c r="AF34" s="1">
        <v>0</v>
      </c>
      <c r="AG34" s="1">
        <v>0</v>
      </c>
      <c r="AI34" s="23">
        <v>0</v>
      </c>
      <c r="AJ34" s="1" t="s">
        <v>232</v>
      </c>
      <c r="AK34" s="1">
        <v>0</v>
      </c>
      <c r="AL34" s="1" t="s">
        <v>233</v>
      </c>
      <c r="AM34" s="1">
        <v>0</v>
      </c>
      <c r="AN34" s="1">
        <v>0</v>
      </c>
      <c r="AO34" s="1" t="s">
        <v>232</v>
      </c>
      <c r="AR34" s="1" t="s">
        <v>376</v>
      </c>
      <c r="AS34" s="1" t="s">
        <v>369</v>
      </c>
      <c r="AT34" s="1" t="s">
        <v>234</v>
      </c>
      <c r="AU34" s="1" t="s">
        <v>232</v>
      </c>
      <c r="AV34" s="1">
        <v>0</v>
      </c>
      <c r="AW34" s="1" t="s">
        <v>232</v>
      </c>
      <c r="AX34" s="1">
        <v>999</v>
      </c>
      <c r="AY34" s="1" t="s">
        <v>232</v>
      </c>
      <c r="AZ34" s="1" t="s">
        <v>232</v>
      </c>
    </row>
    <row r="35" spans="1:52" x14ac:dyDescent="0.2">
      <c r="A35" s="1" t="s">
        <v>464</v>
      </c>
      <c r="B35" s="31">
        <v>46041</v>
      </c>
      <c r="C35" s="31">
        <v>42785</v>
      </c>
      <c r="D35" s="23">
        <v>207181</v>
      </c>
      <c r="E35" s="23">
        <v>157930</v>
      </c>
      <c r="F35" s="23">
        <v>215000</v>
      </c>
      <c r="G35" s="23">
        <v>245000</v>
      </c>
      <c r="H35" s="31">
        <v>46041</v>
      </c>
      <c r="I35" s="24">
        <v>0.96363327503204343</v>
      </c>
      <c r="J35" s="24">
        <v>0.64461224489795921</v>
      </c>
      <c r="K35" s="1" t="s">
        <v>226</v>
      </c>
      <c r="L35" s="5">
        <v>3.4597792029380799E-2</v>
      </c>
      <c r="M35" s="5">
        <v>-5.4022079706192022E-3</v>
      </c>
      <c r="O35" s="31">
        <v>46771</v>
      </c>
      <c r="P35" s="1" t="s">
        <v>227</v>
      </c>
      <c r="R35" s="1">
        <v>388</v>
      </c>
      <c r="S35" s="1">
        <v>282</v>
      </c>
      <c r="T35" s="31">
        <v>54623</v>
      </c>
      <c r="U35" s="1" t="s">
        <v>371</v>
      </c>
      <c r="V35" s="1" t="s">
        <v>379</v>
      </c>
      <c r="W35" s="1" t="s">
        <v>85</v>
      </c>
      <c r="X35" s="1" t="s">
        <v>165</v>
      </c>
      <c r="Y35" s="1" t="s">
        <v>465</v>
      </c>
      <c r="Z35" s="1">
        <v>1</v>
      </c>
      <c r="AA35" s="1" t="s">
        <v>230</v>
      </c>
      <c r="AB35" s="1" t="s">
        <v>231</v>
      </c>
      <c r="AC35" s="23">
        <v>81918</v>
      </c>
      <c r="AD35" s="24">
        <v>0.23315951824188233</v>
      </c>
      <c r="AE35" s="1" t="s">
        <v>232</v>
      </c>
      <c r="AF35" s="1">
        <v>0</v>
      </c>
      <c r="AG35" s="1">
        <v>0</v>
      </c>
      <c r="AI35" s="23">
        <v>0</v>
      </c>
      <c r="AJ35" s="1" t="s">
        <v>232</v>
      </c>
      <c r="AK35" s="1">
        <v>0</v>
      </c>
      <c r="AL35" s="1" t="s">
        <v>428</v>
      </c>
      <c r="AM35" s="1">
        <v>72</v>
      </c>
      <c r="AN35" s="1">
        <v>2.4</v>
      </c>
      <c r="AO35" s="1" t="s">
        <v>232</v>
      </c>
      <c r="AR35" s="1" t="s">
        <v>368</v>
      </c>
      <c r="AS35" s="1" t="s">
        <v>386</v>
      </c>
      <c r="AT35" s="1" t="s">
        <v>234</v>
      </c>
      <c r="AU35" s="1" t="s">
        <v>232</v>
      </c>
      <c r="AV35" s="1">
        <v>0</v>
      </c>
      <c r="AW35" s="1" t="s">
        <v>232</v>
      </c>
      <c r="AX35" s="1">
        <v>118</v>
      </c>
      <c r="AY35" s="1" t="s">
        <v>232</v>
      </c>
      <c r="AZ35" s="1" t="s">
        <v>232</v>
      </c>
    </row>
    <row r="36" spans="1:52" x14ac:dyDescent="0.2">
      <c r="A36" s="1" t="s">
        <v>466</v>
      </c>
      <c r="B36" s="31">
        <v>46041</v>
      </c>
      <c r="C36" s="31">
        <v>44215</v>
      </c>
      <c r="D36" s="23">
        <v>1760788</v>
      </c>
      <c r="E36" s="23">
        <v>1526048</v>
      </c>
      <c r="F36" s="23">
        <v>1864000</v>
      </c>
      <c r="G36" s="23">
        <v>1933000</v>
      </c>
      <c r="H36" s="31">
        <v>46041</v>
      </c>
      <c r="I36" s="24">
        <v>0.94462896585464484</v>
      </c>
      <c r="J36" s="24">
        <v>0.78947128815312984</v>
      </c>
      <c r="K36" s="1" t="s">
        <v>396</v>
      </c>
      <c r="L36" s="5">
        <v>5.9734963476657868E-2</v>
      </c>
      <c r="M36" s="5">
        <v>1.9734963476657867E-2</v>
      </c>
      <c r="P36" s="1" t="s">
        <v>397</v>
      </c>
      <c r="R36" s="1">
        <v>343</v>
      </c>
      <c r="S36" s="1">
        <v>284</v>
      </c>
      <c r="T36" s="31">
        <v>54685</v>
      </c>
      <c r="U36" s="1" t="s">
        <v>228</v>
      </c>
      <c r="V36" s="1" t="s">
        <v>372</v>
      </c>
      <c r="W36" s="1" t="s">
        <v>365</v>
      </c>
      <c r="X36" s="1" t="s">
        <v>388</v>
      </c>
      <c r="Y36" s="1" t="s">
        <v>467</v>
      </c>
      <c r="Z36" s="1">
        <v>1</v>
      </c>
      <c r="AA36" s="1" t="s">
        <v>468</v>
      </c>
      <c r="AB36" s="1" t="s">
        <v>231</v>
      </c>
      <c r="AC36" s="23">
        <v>59802</v>
      </c>
      <c r="AD36" s="24">
        <v>0.32570703029632569</v>
      </c>
      <c r="AE36" s="1" t="s">
        <v>232</v>
      </c>
      <c r="AF36" s="1">
        <v>0</v>
      </c>
      <c r="AG36" s="1">
        <v>0</v>
      </c>
      <c r="AI36" s="23">
        <v>0</v>
      </c>
      <c r="AJ36" s="1" t="s">
        <v>232</v>
      </c>
      <c r="AK36" s="1">
        <v>0</v>
      </c>
      <c r="AL36" s="1" t="s">
        <v>233</v>
      </c>
      <c r="AM36" s="1">
        <v>0</v>
      </c>
      <c r="AN36" s="1">
        <v>0</v>
      </c>
      <c r="AO36" s="1" t="s">
        <v>232</v>
      </c>
      <c r="AR36" s="1" t="s">
        <v>376</v>
      </c>
      <c r="AS36" s="1" t="s">
        <v>400</v>
      </c>
      <c r="AT36" s="1" t="s">
        <v>234</v>
      </c>
      <c r="AU36" s="1" t="s">
        <v>19</v>
      </c>
      <c r="AV36" s="1">
        <v>1.3679426789283753</v>
      </c>
      <c r="AW36" s="1" t="s">
        <v>232</v>
      </c>
      <c r="AX36" s="1">
        <v>177</v>
      </c>
      <c r="AY36" s="1" t="s">
        <v>232</v>
      </c>
      <c r="AZ36" s="1" t="s">
        <v>232</v>
      </c>
    </row>
    <row r="37" spans="1:52" x14ac:dyDescent="0.2">
      <c r="A37" s="1" t="s">
        <v>469</v>
      </c>
      <c r="B37" s="31">
        <v>46041</v>
      </c>
      <c r="C37" s="31">
        <v>43574</v>
      </c>
      <c r="D37" s="23">
        <v>1155678</v>
      </c>
      <c r="E37" s="23">
        <v>947524</v>
      </c>
      <c r="F37" s="23">
        <v>1363000</v>
      </c>
      <c r="G37" s="23">
        <v>1466000</v>
      </c>
      <c r="H37" s="31">
        <v>46041</v>
      </c>
      <c r="I37" s="24">
        <v>0.84789276123046875</v>
      </c>
      <c r="J37" s="24">
        <v>0.64633287858117328</v>
      </c>
      <c r="K37" s="1" t="s">
        <v>396</v>
      </c>
      <c r="L37" s="5">
        <v>4.8150532543659211E-2</v>
      </c>
      <c r="M37" s="5">
        <v>8.1505325436592099E-3</v>
      </c>
      <c r="P37" s="1" t="s">
        <v>227</v>
      </c>
      <c r="R37" s="1">
        <v>270</v>
      </c>
      <c r="S37" s="1">
        <v>189</v>
      </c>
      <c r="T37" s="31">
        <v>51793</v>
      </c>
      <c r="U37" s="1" t="s">
        <v>371</v>
      </c>
      <c r="V37" s="1" t="s">
        <v>379</v>
      </c>
      <c r="W37" s="1" t="s">
        <v>85</v>
      </c>
      <c r="X37" s="1" t="s">
        <v>164</v>
      </c>
      <c r="Y37" s="1" t="s">
        <v>470</v>
      </c>
      <c r="Z37" s="1">
        <v>2</v>
      </c>
      <c r="AA37" s="1" t="s">
        <v>367</v>
      </c>
      <c r="AB37" s="1" t="s">
        <v>231</v>
      </c>
      <c r="AC37" s="23">
        <v>112480</v>
      </c>
      <c r="AD37" s="24">
        <v>0.43092980384826662</v>
      </c>
      <c r="AE37" s="1" t="s">
        <v>232</v>
      </c>
      <c r="AF37" s="1">
        <v>0</v>
      </c>
      <c r="AG37" s="1">
        <v>0</v>
      </c>
      <c r="AI37" s="23">
        <v>0</v>
      </c>
      <c r="AJ37" s="1" t="s">
        <v>232</v>
      </c>
      <c r="AK37" s="1">
        <v>0</v>
      </c>
      <c r="AL37" s="1" t="s">
        <v>471</v>
      </c>
      <c r="AM37" s="1">
        <v>57</v>
      </c>
      <c r="AN37" s="1">
        <v>1.9</v>
      </c>
      <c r="AO37" s="1" t="s">
        <v>232</v>
      </c>
      <c r="AR37" s="1" t="s">
        <v>368</v>
      </c>
      <c r="AS37" s="1" t="s">
        <v>386</v>
      </c>
      <c r="AT37" s="1" t="s">
        <v>234</v>
      </c>
      <c r="AU37" s="1" t="s">
        <v>232</v>
      </c>
      <c r="AV37" s="1">
        <v>0</v>
      </c>
      <c r="AW37" s="1" t="s">
        <v>232</v>
      </c>
      <c r="AX37" s="1">
        <v>999</v>
      </c>
      <c r="AY37" s="1" t="s">
        <v>232</v>
      </c>
      <c r="AZ37" s="1" t="s">
        <v>232</v>
      </c>
    </row>
    <row r="38" spans="1:52" x14ac:dyDescent="0.2">
      <c r="A38" s="1" t="s">
        <v>472</v>
      </c>
      <c r="B38" s="31">
        <v>46041</v>
      </c>
      <c r="C38" s="31">
        <v>41597</v>
      </c>
      <c r="D38" s="23">
        <v>763874</v>
      </c>
      <c r="E38" s="23">
        <v>516032</v>
      </c>
      <c r="F38" s="23">
        <v>1038000</v>
      </c>
      <c r="G38" s="23">
        <v>1547000</v>
      </c>
      <c r="H38" s="31">
        <v>46041</v>
      </c>
      <c r="I38" s="24">
        <v>0.73590940237045288</v>
      </c>
      <c r="J38" s="24">
        <v>0.33356948933419522</v>
      </c>
      <c r="K38" s="1" t="s">
        <v>226</v>
      </c>
      <c r="L38" s="5">
        <v>4.7516033053398132E-2</v>
      </c>
      <c r="M38" s="5">
        <v>7.5160330533981315E-3</v>
      </c>
      <c r="O38" s="31">
        <v>46771</v>
      </c>
      <c r="P38" s="1" t="s">
        <v>227</v>
      </c>
      <c r="R38" s="1">
        <v>343</v>
      </c>
      <c r="S38" s="1">
        <v>197</v>
      </c>
      <c r="T38" s="31">
        <v>52036</v>
      </c>
      <c r="U38" s="1" t="s">
        <v>228</v>
      </c>
      <c r="V38" s="1" t="s">
        <v>437</v>
      </c>
      <c r="W38" s="1" t="s">
        <v>85</v>
      </c>
      <c r="X38" s="1" t="s">
        <v>147</v>
      </c>
      <c r="Y38" s="1" t="s">
        <v>473</v>
      </c>
      <c r="Z38" s="1">
        <v>2</v>
      </c>
      <c r="AA38" s="1" t="s">
        <v>230</v>
      </c>
      <c r="AB38" s="1" t="s">
        <v>231</v>
      </c>
      <c r="AC38" s="23">
        <v>94154</v>
      </c>
      <c r="AD38" s="24">
        <v>0.43589208126068119</v>
      </c>
      <c r="AE38" s="1" t="s">
        <v>232</v>
      </c>
      <c r="AF38" s="1">
        <v>0</v>
      </c>
      <c r="AG38" s="1">
        <v>0</v>
      </c>
      <c r="AI38" s="23">
        <v>0</v>
      </c>
      <c r="AJ38" s="1" t="s">
        <v>232</v>
      </c>
      <c r="AK38" s="1">
        <v>0</v>
      </c>
      <c r="AL38" s="1" t="s">
        <v>233</v>
      </c>
      <c r="AM38" s="1">
        <v>0</v>
      </c>
      <c r="AN38" s="1">
        <v>0</v>
      </c>
      <c r="AO38" s="1" t="s">
        <v>232</v>
      </c>
      <c r="AR38" s="1" t="s">
        <v>405</v>
      </c>
      <c r="AS38" s="1" t="s">
        <v>400</v>
      </c>
      <c r="AT38" s="1" t="s">
        <v>234</v>
      </c>
      <c r="AU38" s="1" t="s">
        <v>232</v>
      </c>
      <c r="AV38" s="1">
        <v>0</v>
      </c>
      <c r="AW38" s="1" t="s">
        <v>232</v>
      </c>
      <c r="AX38" s="1">
        <v>64</v>
      </c>
      <c r="AY38" s="1" t="s">
        <v>232</v>
      </c>
      <c r="AZ38" s="1" t="s">
        <v>232</v>
      </c>
    </row>
    <row r="39" spans="1:52" x14ac:dyDescent="0.2">
      <c r="A39" s="1" t="s">
        <v>474</v>
      </c>
      <c r="B39" s="31">
        <v>46041</v>
      </c>
      <c r="C39" s="31">
        <v>42935</v>
      </c>
      <c r="D39" s="23">
        <v>1022530</v>
      </c>
      <c r="E39" s="23">
        <v>1022530</v>
      </c>
      <c r="F39" s="23">
        <v>1438000</v>
      </c>
      <c r="G39" s="23">
        <v>1596000</v>
      </c>
      <c r="H39" s="31">
        <v>46041</v>
      </c>
      <c r="I39" s="24">
        <v>0.71107766926288596</v>
      </c>
      <c r="J39" s="24">
        <v>0.64068295739348369</v>
      </c>
      <c r="K39" s="1" t="s">
        <v>226</v>
      </c>
      <c r="L39" s="5">
        <v>2.4895700216293337E-2</v>
      </c>
      <c r="M39" s="5">
        <v>-1.5104299783706664E-2</v>
      </c>
      <c r="O39" s="31">
        <v>46771</v>
      </c>
      <c r="P39" s="1" t="s">
        <v>363</v>
      </c>
      <c r="Q39" s="31">
        <v>49693</v>
      </c>
      <c r="R39" s="1">
        <v>352</v>
      </c>
      <c r="S39" s="1">
        <v>250</v>
      </c>
      <c r="T39" s="31">
        <v>53650</v>
      </c>
      <c r="U39" s="1" t="s">
        <v>364</v>
      </c>
      <c r="V39" s="1" t="s">
        <v>391</v>
      </c>
      <c r="W39" s="1" t="s">
        <v>365</v>
      </c>
      <c r="X39" s="1" t="s">
        <v>392</v>
      </c>
      <c r="Y39" s="1" t="s">
        <v>475</v>
      </c>
      <c r="Z39" s="1">
        <v>1</v>
      </c>
      <c r="AA39" s="1" t="s">
        <v>230</v>
      </c>
      <c r="AB39" s="1" t="s">
        <v>231</v>
      </c>
      <c r="AC39" s="23">
        <v>46654</v>
      </c>
      <c r="AD39" s="24">
        <v>0.49753513336181643</v>
      </c>
      <c r="AE39" s="1" t="s">
        <v>232</v>
      </c>
      <c r="AF39" s="1">
        <v>2</v>
      </c>
      <c r="AG39" s="1">
        <v>52</v>
      </c>
      <c r="AH39" s="1" t="s">
        <v>19</v>
      </c>
      <c r="AI39" s="23">
        <v>8940</v>
      </c>
      <c r="AJ39" s="1" t="s">
        <v>232</v>
      </c>
      <c r="AK39" s="1">
        <v>0</v>
      </c>
      <c r="AL39" s="1" t="s">
        <v>233</v>
      </c>
      <c r="AM39" s="1">
        <v>0</v>
      </c>
      <c r="AN39" s="1">
        <v>0</v>
      </c>
      <c r="AO39" s="1" t="s">
        <v>232</v>
      </c>
      <c r="AR39" s="1" t="s">
        <v>405</v>
      </c>
      <c r="AS39" s="1" t="s">
        <v>369</v>
      </c>
      <c r="AT39" s="1" t="s">
        <v>234</v>
      </c>
      <c r="AU39" s="1" t="s">
        <v>19</v>
      </c>
      <c r="AV39" s="1">
        <v>1.350506031513214</v>
      </c>
      <c r="AW39" s="1" t="s">
        <v>232</v>
      </c>
      <c r="AX39" s="1">
        <v>126</v>
      </c>
      <c r="AY39" s="1" t="s">
        <v>232</v>
      </c>
      <c r="AZ39" s="1" t="s">
        <v>232</v>
      </c>
    </row>
    <row r="40" spans="1:52" x14ac:dyDescent="0.2">
      <c r="A40" s="1" t="s">
        <v>476</v>
      </c>
      <c r="B40" s="31">
        <v>46041</v>
      </c>
      <c r="C40" s="31">
        <v>44884</v>
      </c>
      <c r="D40" s="23">
        <v>274531</v>
      </c>
      <c r="E40" s="23">
        <v>251341</v>
      </c>
      <c r="F40" s="23">
        <v>391000</v>
      </c>
      <c r="G40" s="23">
        <v>396000</v>
      </c>
      <c r="H40" s="31">
        <v>46041</v>
      </c>
      <c r="I40" s="24">
        <v>0.70212651491165157</v>
      </c>
      <c r="J40" s="24">
        <v>0.63469949494949496</v>
      </c>
      <c r="K40" s="1" t="s">
        <v>361</v>
      </c>
      <c r="L40" s="5">
        <v>4.2271472215652466E-2</v>
      </c>
      <c r="M40" s="5">
        <v>2.2714722156524647E-3</v>
      </c>
      <c r="N40" s="1" t="s">
        <v>362</v>
      </c>
      <c r="P40" s="1" t="s">
        <v>227</v>
      </c>
      <c r="R40" s="1">
        <v>245</v>
      </c>
      <c r="S40" s="1">
        <v>207</v>
      </c>
      <c r="T40" s="31">
        <v>52340</v>
      </c>
      <c r="U40" s="1" t="s">
        <v>228</v>
      </c>
      <c r="V40" s="1" t="s">
        <v>372</v>
      </c>
      <c r="W40" s="1" t="s">
        <v>85</v>
      </c>
      <c r="X40" s="1" t="s">
        <v>147</v>
      </c>
      <c r="Y40" s="1" t="s">
        <v>477</v>
      </c>
      <c r="Z40" s="1">
        <v>1</v>
      </c>
      <c r="AA40" s="1" t="s">
        <v>230</v>
      </c>
      <c r="AB40" s="1" t="s">
        <v>231</v>
      </c>
      <c r="AC40" s="23">
        <v>123784</v>
      </c>
      <c r="AD40" s="24">
        <v>0.57455003261566162</v>
      </c>
      <c r="AE40" s="1" t="s">
        <v>232</v>
      </c>
      <c r="AF40" s="1">
        <v>0</v>
      </c>
      <c r="AG40" s="1">
        <v>0</v>
      </c>
      <c r="AI40" s="23">
        <v>0</v>
      </c>
      <c r="AJ40" s="1" t="s">
        <v>232</v>
      </c>
      <c r="AK40" s="1">
        <v>0</v>
      </c>
      <c r="AL40" s="1" t="s">
        <v>233</v>
      </c>
      <c r="AM40" s="1">
        <v>0</v>
      </c>
      <c r="AN40" s="1">
        <v>0</v>
      </c>
      <c r="AO40" s="1" t="s">
        <v>232</v>
      </c>
      <c r="AR40" s="1" t="s">
        <v>368</v>
      </c>
      <c r="AS40" s="1" t="s">
        <v>386</v>
      </c>
      <c r="AT40" s="1" t="s">
        <v>234</v>
      </c>
      <c r="AU40" s="1" t="s">
        <v>232</v>
      </c>
      <c r="AV40" s="1">
        <v>0</v>
      </c>
      <c r="AW40" s="1" t="s">
        <v>232</v>
      </c>
      <c r="AX40" s="1">
        <v>123</v>
      </c>
      <c r="AY40" s="1" t="s">
        <v>232</v>
      </c>
      <c r="AZ40" s="1" t="s">
        <v>19</v>
      </c>
    </row>
    <row r="41" spans="1:52" x14ac:dyDescent="0.2">
      <c r="A41" s="1" t="s">
        <v>478</v>
      </c>
      <c r="B41" s="31">
        <v>46041</v>
      </c>
      <c r="C41" s="31">
        <v>41324</v>
      </c>
      <c r="D41" s="23">
        <v>740824</v>
      </c>
      <c r="E41" s="23">
        <v>485695</v>
      </c>
      <c r="F41" s="23">
        <v>939000</v>
      </c>
      <c r="G41" s="23">
        <v>1370000</v>
      </c>
      <c r="H41" s="31">
        <v>46041</v>
      </c>
      <c r="I41" s="24">
        <v>0.78894973099231724</v>
      </c>
      <c r="J41" s="24">
        <v>0.35452189781021898</v>
      </c>
      <c r="K41" s="1" t="s">
        <v>226</v>
      </c>
      <c r="L41" s="5">
        <v>4.8285292387008669E-2</v>
      </c>
      <c r="M41" s="5">
        <v>8.2852923870086678E-3</v>
      </c>
      <c r="O41" s="31">
        <v>46771</v>
      </c>
      <c r="P41" s="1" t="s">
        <v>227</v>
      </c>
      <c r="R41" s="1">
        <v>322</v>
      </c>
      <c r="S41" s="1">
        <v>168</v>
      </c>
      <c r="T41" s="31">
        <v>51154</v>
      </c>
      <c r="U41" s="1" t="s">
        <v>371</v>
      </c>
      <c r="V41" s="1" t="s">
        <v>391</v>
      </c>
      <c r="W41" s="1" t="s">
        <v>85</v>
      </c>
      <c r="X41" s="1" t="s">
        <v>164</v>
      </c>
      <c r="Y41" s="1" t="s">
        <v>479</v>
      </c>
      <c r="Z41" s="1">
        <v>1</v>
      </c>
      <c r="AA41" s="1" t="s">
        <v>230</v>
      </c>
      <c r="AB41" s="1" t="s">
        <v>231</v>
      </c>
      <c r="AC41" s="23">
        <v>122875</v>
      </c>
      <c r="AD41" s="24">
        <v>0.38513641357421879</v>
      </c>
      <c r="AE41" s="1" t="s">
        <v>232</v>
      </c>
      <c r="AF41" s="1">
        <v>0</v>
      </c>
      <c r="AG41" s="1">
        <v>0</v>
      </c>
      <c r="AI41" s="23">
        <v>0</v>
      </c>
      <c r="AJ41" s="1" t="s">
        <v>232</v>
      </c>
      <c r="AK41" s="1">
        <v>0</v>
      </c>
      <c r="AL41" s="1" t="s">
        <v>233</v>
      </c>
      <c r="AM41" s="1">
        <v>0</v>
      </c>
      <c r="AN41" s="1">
        <v>0</v>
      </c>
      <c r="AO41" s="1" t="s">
        <v>232</v>
      </c>
      <c r="AR41" s="1" t="s">
        <v>368</v>
      </c>
      <c r="AS41" s="1" t="s">
        <v>386</v>
      </c>
      <c r="AT41" s="1" t="s">
        <v>234</v>
      </c>
      <c r="AU41" s="1" t="s">
        <v>232</v>
      </c>
      <c r="AV41" s="1">
        <v>0</v>
      </c>
      <c r="AW41" s="1" t="s">
        <v>232</v>
      </c>
      <c r="AX41" s="1">
        <v>999</v>
      </c>
      <c r="AY41" s="1" t="s">
        <v>19</v>
      </c>
      <c r="AZ41" s="1" t="s">
        <v>232</v>
      </c>
    </row>
    <row r="42" spans="1:52" x14ac:dyDescent="0.2">
      <c r="A42" s="1" t="s">
        <v>480</v>
      </c>
      <c r="B42" s="31">
        <v>46041</v>
      </c>
      <c r="C42" s="31">
        <v>40470</v>
      </c>
      <c r="D42" s="23">
        <v>1466276</v>
      </c>
      <c r="E42" s="23">
        <v>869890</v>
      </c>
      <c r="F42" s="23">
        <v>1626000</v>
      </c>
      <c r="G42" s="23">
        <v>1767000</v>
      </c>
      <c r="H42" s="31">
        <v>46041</v>
      </c>
      <c r="I42" s="24">
        <v>0.90176886022090919</v>
      </c>
      <c r="J42" s="24">
        <v>0.49229767968307864</v>
      </c>
      <c r="K42" s="1" t="s">
        <v>396</v>
      </c>
      <c r="L42" s="5">
        <v>5.7458022832870492E-2</v>
      </c>
      <c r="M42" s="5">
        <v>1.7458022832870491E-2</v>
      </c>
      <c r="P42" s="1" t="s">
        <v>227</v>
      </c>
      <c r="R42" s="1">
        <v>413</v>
      </c>
      <c r="S42" s="1">
        <v>230</v>
      </c>
      <c r="T42" s="31">
        <v>53040</v>
      </c>
      <c r="U42" s="1" t="s">
        <v>364</v>
      </c>
      <c r="V42" s="1" t="s">
        <v>229</v>
      </c>
      <c r="W42" s="1" t="s">
        <v>85</v>
      </c>
      <c r="X42" s="1" t="s">
        <v>392</v>
      </c>
      <c r="Y42" s="1" t="s">
        <v>481</v>
      </c>
      <c r="Z42" s="1">
        <v>1</v>
      </c>
      <c r="AA42" s="1" t="s">
        <v>230</v>
      </c>
      <c r="AB42" s="1" t="s">
        <v>231</v>
      </c>
      <c r="AC42" s="23">
        <v>34213</v>
      </c>
      <c r="AD42" s="24">
        <v>0.37121815681457521</v>
      </c>
      <c r="AE42" s="1" t="s">
        <v>232</v>
      </c>
      <c r="AF42" s="1">
        <v>0</v>
      </c>
      <c r="AG42" s="1">
        <v>0</v>
      </c>
      <c r="AI42" s="23">
        <v>0</v>
      </c>
      <c r="AJ42" s="1" t="s">
        <v>19</v>
      </c>
      <c r="AK42" s="1">
        <v>7</v>
      </c>
      <c r="AL42" s="1" t="s">
        <v>233</v>
      </c>
      <c r="AM42" s="1">
        <v>0</v>
      </c>
      <c r="AN42" s="1">
        <v>0</v>
      </c>
      <c r="AO42" s="1" t="s">
        <v>232</v>
      </c>
      <c r="AR42" s="1" t="s">
        <v>399</v>
      </c>
      <c r="AS42" s="1" t="s">
        <v>400</v>
      </c>
      <c r="AT42" s="1" t="s">
        <v>234</v>
      </c>
      <c r="AU42" s="1" t="s">
        <v>232</v>
      </c>
      <c r="AV42" s="1">
        <v>0</v>
      </c>
      <c r="AW42" s="1" t="s">
        <v>232</v>
      </c>
      <c r="AX42" s="1">
        <v>999</v>
      </c>
      <c r="AY42" s="1" t="s">
        <v>232</v>
      </c>
      <c r="AZ42" s="1" t="s">
        <v>232</v>
      </c>
    </row>
    <row r="43" spans="1:52" x14ac:dyDescent="0.2">
      <c r="A43" s="1" t="s">
        <v>482</v>
      </c>
      <c r="B43" s="31">
        <v>46041</v>
      </c>
      <c r="C43" s="31">
        <v>44031</v>
      </c>
      <c r="D43" s="23">
        <v>153905</v>
      </c>
      <c r="E43" s="23">
        <v>131320</v>
      </c>
      <c r="F43" s="23">
        <v>328000</v>
      </c>
      <c r="G43" s="23">
        <v>340000</v>
      </c>
      <c r="H43" s="31">
        <v>46041</v>
      </c>
      <c r="I43" s="24">
        <v>0.46922352910041809</v>
      </c>
      <c r="J43" s="24">
        <v>0.38623529411764707</v>
      </c>
      <c r="K43" s="1" t="s">
        <v>226</v>
      </c>
      <c r="L43" s="5">
        <v>3.1160446405410769E-2</v>
      </c>
      <c r="M43" s="5">
        <v>-8.839553594589232E-3</v>
      </c>
      <c r="O43" s="31">
        <v>46771</v>
      </c>
      <c r="P43" s="1" t="s">
        <v>227</v>
      </c>
      <c r="R43" s="1">
        <v>344</v>
      </c>
      <c r="S43" s="1">
        <v>278</v>
      </c>
      <c r="T43" s="31">
        <v>54501</v>
      </c>
      <c r="U43" s="1" t="s">
        <v>378</v>
      </c>
      <c r="V43" s="1" t="s">
        <v>372</v>
      </c>
      <c r="W43" s="1" t="s">
        <v>85</v>
      </c>
      <c r="X43" s="1" t="s">
        <v>373</v>
      </c>
      <c r="Y43" s="1" t="s">
        <v>483</v>
      </c>
      <c r="Z43" s="1">
        <v>2</v>
      </c>
      <c r="AA43" s="1" t="s">
        <v>468</v>
      </c>
      <c r="AB43" s="1" t="s">
        <v>231</v>
      </c>
      <c r="AC43" s="23">
        <v>144231</v>
      </c>
      <c r="AD43" s="24">
        <v>0.4115193367004395</v>
      </c>
      <c r="AE43" s="1" t="s">
        <v>232</v>
      </c>
      <c r="AF43" s="1">
        <v>0</v>
      </c>
      <c r="AG43" s="1">
        <v>0</v>
      </c>
      <c r="AI43" s="23">
        <v>0</v>
      </c>
      <c r="AJ43" s="1" t="s">
        <v>232</v>
      </c>
      <c r="AK43" s="1">
        <v>0</v>
      </c>
      <c r="AL43" s="1" t="s">
        <v>233</v>
      </c>
      <c r="AM43" s="1">
        <v>0</v>
      </c>
      <c r="AN43" s="1">
        <v>0</v>
      </c>
      <c r="AO43" s="1" t="s">
        <v>232</v>
      </c>
      <c r="AR43" s="1" t="s">
        <v>368</v>
      </c>
      <c r="AS43" s="1" t="s">
        <v>369</v>
      </c>
      <c r="AT43" s="1" t="s">
        <v>234</v>
      </c>
      <c r="AU43" s="1" t="s">
        <v>232</v>
      </c>
      <c r="AV43" s="1">
        <v>0</v>
      </c>
      <c r="AW43" s="1" t="s">
        <v>232</v>
      </c>
      <c r="AX43" s="1">
        <v>121</v>
      </c>
      <c r="AY43" s="1" t="s">
        <v>232</v>
      </c>
      <c r="AZ43" s="1" t="s">
        <v>232</v>
      </c>
    </row>
    <row r="44" spans="1:52" x14ac:dyDescent="0.2">
      <c r="A44" s="1" t="s">
        <v>484</v>
      </c>
      <c r="B44" s="31">
        <v>46041</v>
      </c>
      <c r="C44" s="31">
        <v>43058</v>
      </c>
      <c r="D44" s="23">
        <v>444801</v>
      </c>
      <c r="E44" s="23">
        <v>347929</v>
      </c>
      <c r="F44" s="23">
        <v>555000</v>
      </c>
      <c r="G44" s="23">
        <v>781000</v>
      </c>
      <c r="H44" s="31">
        <v>46041</v>
      </c>
      <c r="I44" s="24">
        <v>0.801443499326706</v>
      </c>
      <c r="J44" s="24">
        <v>0.44549167733674777</v>
      </c>
      <c r="K44" s="1" t="s">
        <v>226</v>
      </c>
      <c r="L44" s="5">
        <v>3.2285781502723696E-2</v>
      </c>
      <c r="M44" s="5">
        <v>-7.7142184972763053E-3</v>
      </c>
      <c r="O44" s="31">
        <v>46771</v>
      </c>
      <c r="P44" s="1" t="s">
        <v>227</v>
      </c>
      <c r="R44" s="1">
        <v>324</v>
      </c>
      <c r="S44" s="1">
        <v>226</v>
      </c>
      <c r="T44" s="31">
        <v>52920</v>
      </c>
      <c r="U44" s="1" t="s">
        <v>424</v>
      </c>
      <c r="V44" s="1" t="s">
        <v>372</v>
      </c>
      <c r="W44" s="1" t="s">
        <v>85</v>
      </c>
      <c r="X44" s="1" t="s">
        <v>485</v>
      </c>
      <c r="Y44" s="1" t="s">
        <v>486</v>
      </c>
      <c r="Z44" s="1">
        <v>2</v>
      </c>
      <c r="AA44" s="1" t="s">
        <v>230</v>
      </c>
      <c r="AB44" s="1" t="s">
        <v>231</v>
      </c>
      <c r="AC44" s="23">
        <v>109779</v>
      </c>
      <c r="AD44" s="24">
        <v>0.5263702630996705</v>
      </c>
      <c r="AE44" s="1" t="s">
        <v>232</v>
      </c>
      <c r="AF44" s="1">
        <v>0</v>
      </c>
      <c r="AG44" s="1">
        <v>0</v>
      </c>
      <c r="AI44" s="23">
        <v>0</v>
      </c>
      <c r="AJ44" s="1" t="s">
        <v>232</v>
      </c>
      <c r="AK44" s="1">
        <v>0</v>
      </c>
      <c r="AL44" s="1" t="s">
        <v>447</v>
      </c>
      <c r="AM44" s="1">
        <v>12</v>
      </c>
      <c r="AN44" s="1">
        <v>0.4</v>
      </c>
      <c r="AO44" s="1" t="s">
        <v>232</v>
      </c>
      <c r="AR44" s="1" t="s">
        <v>376</v>
      </c>
      <c r="AS44" s="1" t="s">
        <v>386</v>
      </c>
      <c r="AT44" s="1" t="s">
        <v>234</v>
      </c>
      <c r="AU44" s="1" t="s">
        <v>232</v>
      </c>
      <c r="AV44" s="1">
        <v>0</v>
      </c>
      <c r="AW44" s="1" t="s">
        <v>232</v>
      </c>
      <c r="AX44" s="1">
        <v>999</v>
      </c>
      <c r="AY44" s="1" t="s">
        <v>232</v>
      </c>
      <c r="AZ44" s="1" t="s">
        <v>232</v>
      </c>
    </row>
    <row r="45" spans="1:52" x14ac:dyDescent="0.2">
      <c r="A45" s="1" t="s">
        <v>487</v>
      </c>
      <c r="B45" s="31">
        <v>46041</v>
      </c>
      <c r="C45" s="31">
        <v>41717</v>
      </c>
      <c r="D45" s="23">
        <v>521991</v>
      </c>
      <c r="E45" s="23">
        <v>357202</v>
      </c>
      <c r="F45" s="23">
        <v>885000</v>
      </c>
      <c r="G45" s="23">
        <v>1234000</v>
      </c>
      <c r="H45" s="31">
        <v>46041</v>
      </c>
      <c r="I45" s="24">
        <v>0.58982083201408386</v>
      </c>
      <c r="J45" s="24">
        <v>0.28946677471636956</v>
      </c>
      <c r="K45" s="1" t="s">
        <v>361</v>
      </c>
      <c r="L45" s="5">
        <v>5.0631365776062011E-2</v>
      </c>
      <c r="M45" s="5">
        <v>1.063136577606201E-2</v>
      </c>
      <c r="N45" s="1" t="s">
        <v>362</v>
      </c>
      <c r="P45" s="1" t="s">
        <v>227</v>
      </c>
      <c r="R45" s="1">
        <v>263</v>
      </c>
      <c r="S45" s="1">
        <v>121</v>
      </c>
      <c r="T45" s="31">
        <v>49724</v>
      </c>
      <c r="U45" s="1" t="s">
        <v>228</v>
      </c>
      <c r="V45" s="1" t="s">
        <v>437</v>
      </c>
      <c r="W45" s="1" t="s">
        <v>85</v>
      </c>
      <c r="X45" s="1" t="s">
        <v>147</v>
      </c>
      <c r="Y45" s="1" t="s">
        <v>488</v>
      </c>
      <c r="Z45" s="1">
        <v>2</v>
      </c>
      <c r="AA45" s="1" t="s">
        <v>230</v>
      </c>
      <c r="AB45" s="1" t="s">
        <v>231</v>
      </c>
      <c r="AC45" s="23">
        <v>86249</v>
      </c>
      <c r="AD45" s="24">
        <v>0.31648488044738771</v>
      </c>
      <c r="AE45" s="1" t="s">
        <v>232</v>
      </c>
      <c r="AF45" s="1">
        <v>0</v>
      </c>
      <c r="AG45" s="1">
        <v>0</v>
      </c>
      <c r="AI45" s="23">
        <v>0</v>
      </c>
      <c r="AJ45" s="1" t="s">
        <v>232</v>
      </c>
      <c r="AK45" s="1">
        <v>0</v>
      </c>
      <c r="AL45" s="1" t="s">
        <v>233</v>
      </c>
      <c r="AM45" s="1">
        <v>0</v>
      </c>
      <c r="AN45" s="1">
        <v>0</v>
      </c>
      <c r="AO45" s="1" t="s">
        <v>232</v>
      </c>
      <c r="AR45" s="1" t="s">
        <v>405</v>
      </c>
      <c r="AS45" s="1" t="s">
        <v>386</v>
      </c>
      <c r="AT45" s="1" t="s">
        <v>234</v>
      </c>
      <c r="AU45" s="1" t="s">
        <v>232</v>
      </c>
      <c r="AV45" s="1">
        <v>0</v>
      </c>
      <c r="AW45" s="1" t="s">
        <v>232</v>
      </c>
      <c r="AX45" s="1">
        <v>66</v>
      </c>
      <c r="AY45" s="1" t="s">
        <v>232</v>
      </c>
      <c r="AZ45" s="1" t="s">
        <v>232</v>
      </c>
    </row>
    <row r="46" spans="1:52" x14ac:dyDescent="0.2">
      <c r="A46" s="1" t="s">
        <v>489</v>
      </c>
      <c r="B46" s="31">
        <v>46041</v>
      </c>
      <c r="C46" s="31">
        <v>41413</v>
      </c>
      <c r="D46" s="23">
        <v>378275</v>
      </c>
      <c r="E46" s="23">
        <v>378275</v>
      </c>
      <c r="F46" s="23">
        <v>461000</v>
      </c>
      <c r="G46" s="23">
        <v>692000</v>
      </c>
      <c r="H46" s="31">
        <v>46041</v>
      </c>
      <c r="I46" s="24">
        <v>0.8205537915229798</v>
      </c>
      <c r="J46" s="24">
        <v>0.54664017341040461</v>
      </c>
      <c r="K46" s="1" t="s">
        <v>226</v>
      </c>
      <c r="L46" s="5">
        <v>3.3791577219963072E-2</v>
      </c>
      <c r="M46" s="5">
        <v>-6.208422780036929E-3</v>
      </c>
      <c r="O46" s="31">
        <v>46771</v>
      </c>
      <c r="P46" s="1" t="s">
        <v>363</v>
      </c>
      <c r="Q46" s="31">
        <v>49693</v>
      </c>
      <c r="R46" s="1">
        <v>365</v>
      </c>
      <c r="S46" s="1">
        <v>213</v>
      </c>
      <c r="T46" s="31">
        <v>52523</v>
      </c>
      <c r="U46" s="1" t="s">
        <v>228</v>
      </c>
      <c r="V46" s="1" t="s">
        <v>391</v>
      </c>
      <c r="W46" s="1" t="s">
        <v>85</v>
      </c>
      <c r="X46" s="1" t="s">
        <v>164</v>
      </c>
      <c r="Y46" s="1" t="s">
        <v>490</v>
      </c>
      <c r="Z46" s="1">
        <v>2</v>
      </c>
      <c r="AA46" s="1" t="s">
        <v>230</v>
      </c>
      <c r="AB46" s="1" t="s">
        <v>231</v>
      </c>
      <c r="AC46" s="23">
        <v>117971</v>
      </c>
      <c r="AD46" s="24">
        <v>0.48893601894378663</v>
      </c>
      <c r="AE46" s="1" t="s">
        <v>232</v>
      </c>
      <c r="AF46" s="1">
        <v>0</v>
      </c>
      <c r="AG46" s="1">
        <v>0</v>
      </c>
      <c r="AI46" s="23">
        <v>0</v>
      </c>
      <c r="AJ46" s="1" t="s">
        <v>232</v>
      </c>
      <c r="AK46" s="1">
        <v>0</v>
      </c>
      <c r="AL46" s="1" t="s">
        <v>233</v>
      </c>
      <c r="AM46" s="1">
        <v>0</v>
      </c>
      <c r="AN46" s="1">
        <v>0</v>
      </c>
      <c r="AO46" s="1" t="s">
        <v>19</v>
      </c>
      <c r="AP46" s="31">
        <v>46041</v>
      </c>
      <c r="AQ46" s="1" t="s">
        <v>491</v>
      </c>
      <c r="AR46" s="1" t="s">
        <v>399</v>
      </c>
      <c r="AS46" s="1" t="s">
        <v>400</v>
      </c>
      <c r="AT46" s="1" t="s">
        <v>234</v>
      </c>
      <c r="AU46" s="1" t="s">
        <v>232</v>
      </c>
      <c r="AV46" s="1">
        <v>0</v>
      </c>
      <c r="AW46" s="1" t="s">
        <v>232</v>
      </c>
      <c r="AX46" s="1">
        <v>999</v>
      </c>
      <c r="AY46" s="1" t="s">
        <v>232</v>
      </c>
      <c r="AZ46" s="1" t="s">
        <v>232</v>
      </c>
    </row>
    <row r="47" spans="1:52" x14ac:dyDescent="0.2">
      <c r="A47" s="1" t="s">
        <v>492</v>
      </c>
      <c r="B47" s="31">
        <v>46041</v>
      </c>
      <c r="C47" s="31">
        <v>44580</v>
      </c>
      <c r="D47" s="23">
        <v>250661</v>
      </c>
      <c r="E47" s="23">
        <v>223924</v>
      </c>
      <c r="F47" s="23">
        <v>612000</v>
      </c>
      <c r="G47" s="23">
        <v>659000</v>
      </c>
      <c r="H47" s="31">
        <v>46041</v>
      </c>
      <c r="I47" s="24">
        <v>0.40957721471786501</v>
      </c>
      <c r="J47" s="24">
        <v>0.33979362670713203</v>
      </c>
      <c r="K47" s="1" t="s">
        <v>384</v>
      </c>
      <c r="L47" s="5">
        <v>5.4727630317211153E-2</v>
      </c>
      <c r="M47" s="5">
        <v>1.4727630317211152E-2</v>
      </c>
      <c r="P47" s="1" t="s">
        <v>227</v>
      </c>
      <c r="R47" s="1">
        <v>337</v>
      </c>
      <c r="S47" s="1">
        <v>289</v>
      </c>
      <c r="T47" s="31">
        <v>54838</v>
      </c>
      <c r="U47" s="1" t="s">
        <v>228</v>
      </c>
      <c r="V47" s="1" t="s">
        <v>379</v>
      </c>
      <c r="W47" s="1" t="s">
        <v>365</v>
      </c>
      <c r="X47" s="1" t="s">
        <v>380</v>
      </c>
      <c r="Y47" s="1" t="s">
        <v>493</v>
      </c>
      <c r="Z47" s="1">
        <v>1</v>
      </c>
      <c r="AA47" s="1" t="s">
        <v>367</v>
      </c>
      <c r="AB47" s="1" t="s">
        <v>231</v>
      </c>
      <c r="AC47" s="23">
        <v>107166</v>
      </c>
      <c r="AD47" s="24">
        <v>0.22347259521484375</v>
      </c>
      <c r="AE47" s="1" t="s">
        <v>19</v>
      </c>
      <c r="AF47" s="1">
        <v>0</v>
      </c>
      <c r="AG47" s="1">
        <v>0</v>
      </c>
      <c r="AI47" s="23">
        <v>0</v>
      </c>
      <c r="AJ47" s="1" t="s">
        <v>232</v>
      </c>
      <c r="AK47" s="1">
        <v>0</v>
      </c>
      <c r="AL47" s="1" t="s">
        <v>233</v>
      </c>
      <c r="AM47" s="1">
        <v>0</v>
      </c>
      <c r="AN47" s="1">
        <v>0</v>
      </c>
      <c r="AO47" s="1" t="s">
        <v>232</v>
      </c>
      <c r="AR47" s="1" t="s">
        <v>376</v>
      </c>
      <c r="AS47" s="1" t="s">
        <v>400</v>
      </c>
      <c r="AT47" s="1" t="s">
        <v>234</v>
      </c>
      <c r="AU47" s="1" t="s">
        <v>232</v>
      </c>
      <c r="AV47" s="1">
        <v>1.3139921188354493</v>
      </c>
      <c r="AW47" s="1" t="s">
        <v>232</v>
      </c>
      <c r="AX47" s="1">
        <v>999</v>
      </c>
      <c r="AY47" s="1" t="s">
        <v>232</v>
      </c>
      <c r="AZ47" s="1" t="s">
        <v>19</v>
      </c>
    </row>
    <row r="48" spans="1:52" x14ac:dyDescent="0.2">
      <c r="A48" s="1" t="s">
        <v>494</v>
      </c>
      <c r="B48" s="31">
        <v>46041</v>
      </c>
      <c r="C48" s="31">
        <v>44914</v>
      </c>
      <c r="D48" s="23">
        <v>1539006</v>
      </c>
      <c r="E48" s="23">
        <v>1412374</v>
      </c>
      <c r="F48" s="23">
        <v>1770000</v>
      </c>
      <c r="G48" s="23">
        <v>1856000</v>
      </c>
      <c r="H48" s="31">
        <v>46041</v>
      </c>
      <c r="I48" s="24">
        <v>0.86949487328529351</v>
      </c>
      <c r="J48" s="24">
        <v>0.76097737068965521</v>
      </c>
      <c r="K48" s="1" t="s">
        <v>361</v>
      </c>
      <c r="L48" s="5">
        <v>5.1131190061569215E-2</v>
      </c>
      <c r="M48" s="5">
        <v>1.1131190061569214E-2</v>
      </c>
      <c r="N48" s="1" t="s">
        <v>362</v>
      </c>
      <c r="P48" s="1" t="s">
        <v>397</v>
      </c>
      <c r="R48" s="1">
        <v>353</v>
      </c>
      <c r="S48" s="1">
        <v>316</v>
      </c>
      <c r="T48" s="31">
        <v>55658</v>
      </c>
      <c r="U48" s="1" t="s">
        <v>228</v>
      </c>
      <c r="V48" s="1" t="s">
        <v>229</v>
      </c>
      <c r="W48" s="1" t="s">
        <v>85</v>
      </c>
      <c r="X48" s="1" t="s">
        <v>147</v>
      </c>
      <c r="Y48" s="1" t="s">
        <v>495</v>
      </c>
      <c r="Z48" s="1">
        <v>1</v>
      </c>
      <c r="AA48" s="1" t="s">
        <v>230</v>
      </c>
      <c r="AB48" s="1" t="s">
        <v>231</v>
      </c>
      <c r="AC48" s="23">
        <v>99619</v>
      </c>
      <c r="AD48" s="24">
        <v>0.32201302051544189</v>
      </c>
      <c r="AE48" s="1" t="s">
        <v>232</v>
      </c>
      <c r="AF48" s="1">
        <v>1</v>
      </c>
      <c r="AG48" s="1">
        <v>17</v>
      </c>
      <c r="AH48" s="1" t="s">
        <v>232</v>
      </c>
      <c r="AI48" s="23">
        <v>9350</v>
      </c>
      <c r="AJ48" s="1" t="s">
        <v>232</v>
      </c>
      <c r="AK48" s="1">
        <v>0</v>
      </c>
      <c r="AL48" s="1" t="s">
        <v>233</v>
      </c>
      <c r="AM48" s="1">
        <v>0</v>
      </c>
      <c r="AN48" s="1">
        <v>0</v>
      </c>
      <c r="AO48" s="1" t="s">
        <v>232</v>
      </c>
      <c r="AR48" s="1" t="s">
        <v>394</v>
      </c>
      <c r="AS48" s="1" t="s">
        <v>386</v>
      </c>
      <c r="AT48" s="1" t="s">
        <v>234</v>
      </c>
      <c r="AU48" s="1" t="s">
        <v>232</v>
      </c>
      <c r="AV48" s="1">
        <v>0</v>
      </c>
      <c r="AW48" s="1" t="s">
        <v>232</v>
      </c>
      <c r="AX48" s="1">
        <v>101</v>
      </c>
      <c r="AY48" s="1" t="s">
        <v>232</v>
      </c>
      <c r="AZ48" s="1" t="s">
        <v>19</v>
      </c>
    </row>
    <row r="49" spans="1:52" x14ac:dyDescent="0.2">
      <c r="A49" s="1" t="s">
        <v>496</v>
      </c>
      <c r="B49" s="31">
        <v>46041</v>
      </c>
      <c r="C49" s="31">
        <v>44093</v>
      </c>
      <c r="D49" s="23">
        <v>474780</v>
      </c>
      <c r="E49" s="23">
        <v>474780</v>
      </c>
      <c r="F49" s="23">
        <v>573000</v>
      </c>
      <c r="G49" s="23">
        <v>711000</v>
      </c>
      <c r="H49" s="31">
        <v>46041</v>
      </c>
      <c r="I49" s="24">
        <v>0.82858685851097114</v>
      </c>
      <c r="J49" s="24">
        <v>0.6677637130801688</v>
      </c>
      <c r="K49" s="1" t="s">
        <v>226</v>
      </c>
      <c r="L49" s="5">
        <v>4.0117073655128482E-2</v>
      </c>
      <c r="M49" s="5">
        <v>1.170736551284815E-4</v>
      </c>
      <c r="O49" s="31">
        <v>46771</v>
      </c>
      <c r="P49" s="1" t="s">
        <v>363</v>
      </c>
      <c r="Q49" s="31">
        <v>49693</v>
      </c>
      <c r="R49" s="1">
        <v>377</v>
      </c>
      <c r="S49" s="1">
        <v>313</v>
      </c>
      <c r="T49" s="31">
        <v>55568</v>
      </c>
      <c r="U49" s="1" t="s">
        <v>228</v>
      </c>
      <c r="V49" s="1" t="s">
        <v>229</v>
      </c>
      <c r="W49" s="1" t="s">
        <v>365</v>
      </c>
      <c r="X49" s="1" t="s">
        <v>164</v>
      </c>
      <c r="Y49" s="1" t="s">
        <v>497</v>
      </c>
      <c r="Z49" s="1">
        <v>2</v>
      </c>
      <c r="AA49" s="1" t="s">
        <v>230</v>
      </c>
      <c r="AB49" s="1" t="s">
        <v>231</v>
      </c>
      <c r="AC49" s="23">
        <v>64881</v>
      </c>
      <c r="AD49" s="24">
        <v>0.44313032627105714</v>
      </c>
      <c r="AE49" s="1" t="s">
        <v>232</v>
      </c>
      <c r="AF49" s="1">
        <v>0</v>
      </c>
      <c r="AG49" s="1">
        <v>0</v>
      </c>
      <c r="AI49" s="23">
        <v>0</v>
      </c>
      <c r="AJ49" s="1" t="s">
        <v>232</v>
      </c>
      <c r="AK49" s="1">
        <v>0</v>
      </c>
      <c r="AL49" s="1" t="s">
        <v>233</v>
      </c>
      <c r="AM49" s="1">
        <v>0</v>
      </c>
      <c r="AN49" s="1">
        <v>0</v>
      </c>
      <c r="AO49" s="1" t="s">
        <v>232</v>
      </c>
      <c r="AR49" s="1" t="s">
        <v>399</v>
      </c>
      <c r="AS49" s="1" t="s">
        <v>369</v>
      </c>
      <c r="AT49" s="1" t="s">
        <v>433</v>
      </c>
      <c r="AU49" s="1" t="s">
        <v>19</v>
      </c>
      <c r="AV49" s="1">
        <v>1.0711390852928162</v>
      </c>
      <c r="AW49" s="1" t="s">
        <v>232</v>
      </c>
      <c r="AX49" s="1">
        <v>88</v>
      </c>
      <c r="AY49" s="1" t="s">
        <v>232</v>
      </c>
      <c r="AZ49" s="1" t="s">
        <v>232</v>
      </c>
    </row>
    <row r="50" spans="1:52" x14ac:dyDescent="0.2">
      <c r="A50" s="1" t="s">
        <v>498</v>
      </c>
      <c r="B50" s="31">
        <v>46041</v>
      </c>
      <c r="C50" s="31">
        <v>40713</v>
      </c>
      <c r="D50" s="23">
        <v>1024120</v>
      </c>
      <c r="E50" s="23">
        <v>625744</v>
      </c>
      <c r="F50" s="23">
        <v>1193000</v>
      </c>
      <c r="G50" s="23">
        <v>1199000</v>
      </c>
      <c r="H50" s="31">
        <v>46041</v>
      </c>
      <c r="I50" s="24">
        <v>0.85844090580940247</v>
      </c>
      <c r="J50" s="24">
        <v>0.52188824020016678</v>
      </c>
      <c r="K50" s="1" t="s">
        <v>361</v>
      </c>
      <c r="L50" s="5">
        <v>4.7008179426193238E-2</v>
      </c>
      <c r="M50" s="5">
        <v>7.0081794261932367E-3</v>
      </c>
      <c r="N50" s="1" t="s">
        <v>362</v>
      </c>
      <c r="P50" s="1" t="s">
        <v>227</v>
      </c>
      <c r="R50" s="1">
        <v>316</v>
      </c>
      <c r="S50" s="1">
        <v>141</v>
      </c>
      <c r="T50" s="31">
        <v>50332</v>
      </c>
      <c r="U50" s="1" t="s">
        <v>456</v>
      </c>
      <c r="V50" s="1" t="s">
        <v>437</v>
      </c>
      <c r="W50" s="1" t="s">
        <v>365</v>
      </c>
      <c r="X50" s="1" t="s">
        <v>147</v>
      </c>
      <c r="Y50" s="1" t="s">
        <v>499</v>
      </c>
      <c r="Z50" s="1">
        <v>2</v>
      </c>
      <c r="AA50" s="1" t="s">
        <v>367</v>
      </c>
      <c r="AB50" s="1" t="s">
        <v>231</v>
      </c>
      <c r="AC50" s="23">
        <v>106418</v>
      </c>
      <c r="AD50" s="24">
        <v>0.54237680435180669</v>
      </c>
      <c r="AE50" s="1" t="s">
        <v>232</v>
      </c>
      <c r="AF50" s="1">
        <v>0</v>
      </c>
      <c r="AG50" s="1">
        <v>0</v>
      </c>
      <c r="AI50" s="23">
        <v>0</v>
      </c>
      <c r="AJ50" s="1" t="s">
        <v>232</v>
      </c>
      <c r="AK50" s="1">
        <v>0</v>
      </c>
      <c r="AL50" s="1" t="s">
        <v>233</v>
      </c>
      <c r="AM50" s="1">
        <v>0</v>
      </c>
      <c r="AN50" s="1">
        <v>0</v>
      </c>
      <c r="AO50" s="1" t="s">
        <v>232</v>
      </c>
      <c r="AR50" s="1" t="s">
        <v>399</v>
      </c>
      <c r="AS50" s="1" t="s">
        <v>386</v>
      </c>
      <c r="AT50" s="1" t="s">
        <v>234</v>
      </c>
      <c r="AU50" s="1" t="s">
        <v>232</v>
      </c>
      <c r="AV50" s="1">
        <v>1.312877607345581</v>
      </c>
      <c r="AW50" s="1" t="s">
        <v>232</v>
      </c>
      <c r="AX50" s="1">
        <v>999</v>
      </c>
      <c r="AY50" s="1" t="s">
        <v>232</v>
      </c>
      <c r="AZ50" s="1" t="s">
        <v>232</v>
      </c>
    </row>
    <row r="51" spans="1:52" x14ac:dyDescent="0.2">
      <c r="A51" s="1" t="s">
        <v>500</v>
      </c>
      <c r="B51" s="31">
        <v>46041</v>
      </c>
      <c r="C51" s="31">
        <v>43209</v>
      </c>
      <c r="D51" s="23">
        <v>1022084</v>
      </c>
      <c r="E51" s="23">
        <v>810755</v>
      </c>
      <c r="F51" s="23">
        <v>1421000</v>
      </c>
      <c r="G51" s="23">
        <v>1721000</v>
      </c>
      <c r="H51" s="31">
        <v>46041</v>
      </c>
      <c r="I51" s="24">
        <v>0.71927124857902525</v>
      </c>
      <c r="J51" s="24">
        <v>0.47109529343404999</v>
      </c>
      <c r="K51" s="1" t="s">
        <v>226</v>
      </c>
      <c r="L51" s="5">
        <v>2.4286790490150451E-2</v>
      </c>
      <c r="M51" s="5">
        <v>-1.571320950984955E-2</v>
      </c>
      <c r="O51" s="31">
        <v>46771</v>
      </c>
      <c r="P51" s="1" t="s">
        <v>227</v>
      </c>
      <c r="R51" s="1">
        <v>403</v>
      </c>
      <c r="S51" s="1">
        <v>310</v>
      </c>
      <c r="T51" s="31">
        <v>55476</v>
      </c>
      <c r="U51" s="1" t="s">
        <v>371</v>
      </c>
      <c r="V51" s="1" t="s">
        <v>437</v>
      </c>
      <c r="W51" s="1" t="s">
        <v>85</v>
      </c>
      <c r="X51" s="1" t="s">
        <v>147</v>
      </c>
      <c r="Y51" s="1" t="s">
        <v>501</v>
      </c>
      <c r="Z51" s="1">
        <v>2</v>
      </c>
      <c r="AA51" s="1" t="s">
        <v>230</v>
      </c>
      <c r="AB51" s="1" t="s">
        <v>231</v>
      </c>
      <c r="AC51" s="23">
        <v>43398</v>
      </c>
      <c r="AD51" s="24">
        <v>0.30385096073150636</v>
      </c>
      <c r="AE51" s="1" t="s">
        <v>232</v>
      </c>
      <c r="AF51" s="1">
        <v>0</v>
      </c>
      <c r="AG51" s="1">
        <v>0</v>
      </c>
      <c r="AI51" s="23">
        <v>0</v>
      </c>
      <c r="AJ51" s="1" t="s">
        <v>232</v>
      </c>
      <c r="AK51" s="1">
        <v>0</v>
      </c>
      <c r="AL51" s="1" t="s">
        <v>375</v>
      </c>
      <c r="AM51" s="1">
        <v>172</v>
      </c>
      <c r="AN51" s="1">
        <v>5.7</v>
      </c>
      <c r="AO51" s="1" t="s">
        <v>232</v>
      </c>
      <c r="AR51" s="1" t="s">
        <v>376</v>
      </c>
      <c r="AS51" s="1" t="s">
        <v>369</v>
      </c>
      <c r="AT51" s="1" t="s">
        <v>433</v>
      </c>
      <c r="AU51" s="1" t="s">
        <v>232</v>
      </c>
      <c r="AV51" s="1">
        <v>0</v>
      </c>
      <c r="AW51" s="1" t="s">
        <v>232</v>
      </c>
      <c r="AX51" s="1">
        <v>156</v>
      </c>
      <c r="AY51" s="1" t="s">
        <v>232</v>
      </c>
      <c r="AZ51" s="1" t="s">
        <v>232</v>
      </c>
    </row>
    <row r="52" spans="1:52" x14ac:dyDescent="0.2">
      <c r="A52" s="1" t="s">
        <v>502</v>
      </c>
      <c r="B52" s="31">
        <v>46041</v>
      </c>
      <c r="C52" s="31">
        <v>41324</v>
      </c>
      <c r="D52" s="23">
        <v>872135</v>
      </c>
      <c r="E52" s="23">
        <v>872135</v>
      </c>
      <c r="F52" s="23">
        <v>948000</v>
      </c>
      <c r="G52" s="23">
        <v>1217000</v>
      </c>
      <c r="H52" s="31">
        <v>46041</v>
      </c>
      <c r="I52" s="24">
        <v>0.91997376084327698</v>
      </c>
      <c r="J52" s="24">
        <v>0.71662695152013145</v>
      </c>
      <c r="K52" s="1" t="s">
        <v>384</v>
      </c>
      <c r="L52" s="5">
        <v>5.766873210668564E-2</v>
      </c>
      <c r="M52" s="5">
        <v>1.7668732106685639E-2</v>
      </c>
      <c r="P52" s="1" t="s">
        <v>363</v>
      </c>
      <c r="Q52" s="31">
        <v>49693</v>
      </c>
      <c r="R52" s="1">
        <v>306</v>
      </c>
      <c r="S52" s="1">
        <v>152</v>
      </c>
      <c r="T52" s="31">
        <v>50667</v>
      </c>
      <c r="U52" s="1" t="s">
        <v>364</v>
      </c>
      <c r="V52" s="1" t="s">
        <v>379</v>
      </c>
      <c r="W52" s="1" t="s">
        <v>85</v>
      </c>
      <c r="X52" s="1" t="s">
        <v>485</v>
      </c>
      <c r="Y52" s="1" t="s">
        <v>503</v>
      </c>
      <c r="Z52" s="1">
        <v>2</v>
      </c>
      <c r="AA52" s="1" t="s">
        <v>230</v>
      </c>
      <c r="AB52" s="1" t="s">
        <v>231</v>
      </c>
      <c r="AC52" s="23">
        <v>86582</v>
      </c>
      <c r="AD52" s="24">
        <v>0.29418671131134033</v>
      </c>
      <c r="AE52" s="1" t="s">
        <v>232</v>
      </c>
      <c r="AF52" s="1">
        <v>0</v>
      </c>
      <c r="AG52" s="1">
        <v>0</v>
      </c>
      <c r="AI52" s="23">
        <v>0</v>
      </c>
      <c r="AJ52" s="1" t="s">
        <v>232</v>
      </c>
      <c r="AK52" s="1">
        <v>0</v>
      </c>
      <c r="AL52" s="1" t="s">
        <v>233</v>
      </c>
      <c r="AM52" s="1">
        <v>0</v>
      </c>
      <c r="AN52" s="1">
        <v>0</v>
      </c>
      <c r="AO52" s="1" t="s">
        <v>232</v>
      </c>
      <c r="AR52" s="1" t="s">
        <v>399</v>
      </c>
      <c r="AS52" s="1" t="s">
        <v>386</v>
      </c>
      <c r="AT52" s="1" t="s">
        <v>234</v>
      </c>
      <c r="AU52" s="1" t="s">
        <v>232</v>
      </c>
      <c r="AV52" s="1">
        <v>0</v>
      </c>
      <c r="AW52" s="1" t="s">
        <v>232</v>
      </c>
      <c r="AX52" s="1">
        <v>102</v>
      </c>
      <c r="AY52" s="1" t="s">
        <v>232</v>
      </c>
      <c r="AZ52" s="1" t="s">
        <v>232</v>
      </c>
    </row>
    <row r="53" spans="1:52" x14ac:dyDescent="0.2">
      <c r="A53" s="1" t="s">
        <v>504</v>
      </c>
      <c r="B53" s="31">
        <v>46041</v>
      </c>
      <c r="C53" s="31">
        <v>42327</v>
      </c>
      <c r="D53" s="23">
        <v>644789</v>
      </c>
      <c r="E53" s="23">
        <v>469950</v>
      </c>
      <c r="F53" s="23">
        <v>757000</v>
      </c>
      <c r="G53" s="23">
        <v>864000</v>
      </c>
      <c r="H53" s="31">
        <v>46041</v>
      </c>
      <c r="I53" s="24">
        <v>0.85176918208599084</v>
      </c>
      <c r="J53" s="24">
        <v>0.54392361111111109</v>
      </c>
      <c r="K53" s="1" t="s">
        <v>361</v>
      </c>
      <c r="L53" s="5">
        <v>4.0038137435913085E-2</v>
      </c>
      <c r="M53" s="5">
        <v>3.8137435913083995E-5</v>
      </c>
      <c r="N53" s="1" t="s">
        <v>362</v>
      </c>
      <c r="P53" s="1" t="s">
        <v>397</v>
      </c>
      <c r="R53" s="1">
        <v>248</v>
      </c>
      <c r="S53" s="1">
        <v>126</v>
      </c>
      <c r="T53" s="31">
        <v>49875</v>
      </c>
      <c r="U53" s="1" t="s">
        <v>228</v>
      </c>
      <c r="V53" s="1" t="s">
        <v>229</v>
      </c>
      <c r="W53" s="1" t="s">
        <v>85</v>
      </c>
      <c r="X53" s="1" t="s">
        <v>373</v>
      </c>
      <c r="Y53" s="1" t="s">
        <v>505</v>
      </c>
      <c r="Z53" s="1">
        <v>2</v>
      </c>
      <c r="AA53" s="1" t="s">
        <v>230</v>
      </c>
      <c r="AB53" s="1" t="s">
        <v>231</v>
      </c>
      <c r="AC53" s="23">
        <v>35061</v>
      </c>
      <c r="AD53" s="24">
        <v>0.29505686759948735</v>
      </c>
      <c r="AE53" s="1" t="s">
        <v>232</v>
      </c>
      <c r="AF53" s="1">
        <v>0</v>
      </c>
      <c r="AG53" s="1">
        <v>0</v>
      </c>
      <c r="AI53" s="23">
        <v>0</v>
      </c>
      <c r="AJ53" s="1" t="s">
        <v>232</v>
      </c>
      <c r="AK53" s="1">
        <v>0</v>
      </c>
      <c r="AL53" s="1" t="s">
        <v>233</v>
      </c>
      <c r="AM53" s="1">
        <v>0</v>
      </c>
      <c r="AN53" s="1">
        <v>0</v>
      </c>
      <c r="AO53" s="1" t="s">
        <v>232</v>
      </c>
      <c r="AR53" s="1" t="s">
        <v>376</v>
      </c>
      <c r="AS53" s="1" t="s">
        <v>369</v>
      </c>
      <c r="AT53" s="1" t="s">
        <v>234</v>
      </c>
      <c r="AU53" s="1" t="s">
        <v>232</v>
      </c>
      <c r="AV53" s="1">
        <v>0</v>
      </c>
      <c r="AW53" s="1" t="s">
        <v>232</v>
      </c>
      <c r="AX53" s="1">
        <v>170</v>
      </c>
      <c r="AY53" s="1" t="s">
        <v>232</v>
      </c>
      <c r="AZ53" s="1" t="s">
        <v>232</v>
      </c>
    </row>
    <row r="54" spans="1:52" x14ac:dyDescent="0.2">
      <c r="A54" s="1" t="s">
        <v>506</v>
      </c>
      <c r="B54" s="31">
        <v>46041</v>
      </c>
      <c r="C54" s="31">
        <v>40593</v>
      </c>
      <c r="D54" s="23">
        <v>220027</v>
      </c>
      <c r="E54" s="23">
        <v>132510</v>
      </c>
      <c r="F54" s="23">
        <v>418000</v>
      </c>
      <c r="G54" s="23">
        <v>536000</v>
      </c>
      <c r="H54" s="31">
        <v>46041</v>
      </c>
      <c r="I54" s="24">
        <v>0.5263792037963867</v>
      </c>
      <c r="J54" s="24">
        <v>0.24722014925373134</v>
      </c>
      <c r="K54" s="1" t="s">
        <v>396</v>
      </c>
      <c r="L54" s="5">
        <v>4.9699824154376987E-2</v>
      </c>
      <c r="M54" s="5">
        <v>9.6998241543769861E-3</v>
      </c>
      <c r="P54" s="1" t="s">
        <v>227</v>
      </c>
      <c r="R54" s="1">
        <v>358</v>
      </c>
      <c r="S54" s="1">
        <v>180</v>
      </c>
      <c r="T54" s="31">
        <v>51520</v>
      </c>
      <c r="U54" s="1" t="s">
        <v>378</v>
      </c>
      <c r="V54" s="1" t="s">
        <v>229</v>
      </c>
      <c r="W54" s="1" t="s">
        <v>365</v>
      </c>
      <c r="X54" s="1" t="s">
        <v>147</v>
      </c>
      <c r="Y54" s="1" t="s">
        <v>507</v>
      </c>
      <c r="Z54" s="1">
        <v>2</v>
      </c>
      <c r="AA54" s="1" t="s">
        <v>367</v>
      </c>
      <c r="AB54" s="1" t="s">
        <v>231</v>
      </c>
      <c r="AC54" s="23">
        <v>55180</v>
      </c>
      <c r="AD54" s="24">
        <v>0.40627694129943848</v>
      </c>
      <c r="AE54" s="1" t="s">
        <v>232</v>
      </c>
      <c r="AF54" s="1">
        <v>0</v>
      </c>
      <c r="AG54" s="1">
        <v>0</v>
      </c>
      <c r="AI54" s="23">
        <v>0</v>
      </c>
      <c r="AJ54" s="1" t="s">
        <v>232</v>
      </c>
      <c r="AK54" s="1">
        <v>0</v>
      </c>
      <c r="AL54" s="1" t="s">
        <v>233</v>
      </c>
      <c r="AM54" s="1">
        <v>0</v>
      </c>
      <c r="AN54" s="1">
        <v>0</v>
      </c>
      <c r="AO54" s="1" t="s">
        <v>232</v>
      </c>
      <c r="AR54" s="1" t="s">
        <v>399</v>
      </c>
      <c r="AS54" s="1" t="s">
        <v>369</v>
      </c>
      <c r="AT54" s="1" t="s">
        <v>234</v>
      </c>
      <c r="AU54" s="1" t="s">
        <v>19</v>
      </c>
      <c r="AV54" s="1">
        <v>1.5247754812240601</v>
      </c>
      <c r="AW54" s="1" t="s">
        <v>232</v>
      </c>
      <c r="AX54" s="1">
        <v>107</v>
      </c>
      <c r="AY54" s="1" t="s">
        <v>232</v>
      </c>
      <c r="AZ54" s="1" t="s">
        <v>232</v>
      </c>
    </row>
    <row r="55" spans="1:52" x14ac:dyDescent="0.2">
      <c r="A55" s="1" t="s">
        <v>508</v>
      </c>
      <c r="B55" s="31">
        <v>46041</v>
      </c>
      <c r="C55" s="31">
        <v>43239</v>
      </c>
      <c r="D55" s="23">
        <v>1721380</v>
      </c>
      <c r="E55" s="23">
        <v>1721380</v>
      </c>
      <c r="F55" s="23">
        <v>1922000</v>
      </c>
      <c r="G55" s="23">
        <v>2244000</v>
      </c>
      <c r="H55" s="31">
        <v>46041</v>
      </c>
      <c r="I55" s="24">
        <v>0.89561891257762904</v>
      </c>
      <c r="J55" s="24">
        <v>0.76710338680926915</v>
      </c>
      <c r="K55" s="1" t="s">
        <v>361</v>
      </c>
      <c r="L55" s="5">
        <v>4.20567512512207E-2</v>
      </c>
      <c r="M55" s="5">
        <v>2.0567512512206995E-3</v>
      </c>
      <c r="N55" s="1" t="s">
        <v>362</v>
      </c>
      <c r="P55" s="1" t="s">
        <v>363</v>
      </c>
      <c r="Q55" s="31">
        <v>49693</v>
      </c>
      <c r="R55" s="1">
        <v>413</v>
      </c>
      <c r="S55" s="1">
        <v>321</v>
      </c>
      <c r="T55" s="31">
        <v>55811</v>
      </c>
      <c r="U55" s="1" t="s">
        <v>228</v>
      </c>
      <c r="V55" s="1" t="s">
        <v>391</v>
      </c>
      <c r="W55" s="1" t="s">
        <v>85</v>
      </c>
      <c r="X55" s="1" t="s">
        <v>147</v>
      </c>
      <c r="Y55" s="1" t="s">
        <v>509</v>
      </c>
      <c r="Z55" s="1">
        <v>2</v>
      </c>
      <c r="AA55" s="1" t="s">
        <v>230</v>
      </c>
      <c r="AB55" s="1" t="s">
        <v>231</v>
      </c>
      <c r="AC55" s="23">
        <v>87431</v>
      </c>
      <c r="AD55" s="24">
        <v>0.53522925376892094</v>
      </c>
      <c r="AE55" s="1" t="s">
        <v>232</v>
      </c>
      <c r="AF55" s="1">
        <v>0</v>
      </c>
      <c r="AG55" s="1">
        <v>0</v>
      </c>
      <c r="AI55" s="23">
        <v>0</v>
      </c>
      <c r="AJ55" s="1" t="s">
        <v>232</v>
      </c>
      <c r="AK55" s="1">
        <v>0</v>
      </c>
      <c r="AL55" s="1" t="s">
        <v>233</v>
      </c>
      <c r="AM55" s="1">
        <v>0</v>
      </c>
      <c r="AN55" s="1">
        <v>0</v>
      </c>
      <c r="AO55" s="1" t="s">
        <v>232</v>
      </c>
      <c r="AR55" s="1" t="s">
        <v>376</v>
      </c>
      <c r="AS55" s="1" t="s">
        <v>400</v>
      </c>
      <c r="AT55" s="1" t="s">
        <v>234</v>
      </c>
      <c r="AU55" s="1" t="s">
        <v>232</v>
      </c>
      <c r="AV55" s="1">
        <v>0</v>
      </c>
      <c r="AW55" s="1" t="s">
        <v>232</v>
      </c>
      <c r="AX55" s="1">
        <v>138</v>
      </c>
      <c r="AY55" s="1" t="s">
        <v>232</v>
      </c>
      <c r="AZ55" s="1" t="s">
        <v>232</v>
      </c>
    </row>
    <row r="56" spans="1:52" x14ac:dyDescent="0.2">
      <c r="A56" s="1" t="s">
        <v>510</v>
      </c>
      <c r="B56" s="31">
        <v>46041</v>
      </c>
      <c r="C56" s="31">
        <v>41018</v>
      </c>
      <c r="D56" s="23">
        <v>1421061</v>
      </c>
      <c r="E56" s="23">
        <v>1421061</v>
      </c>
      <c r="F56" s="23">
        <v>1714000</v>
      </c>
      <c r="G56" s="23">
        <v>1722000</v>
      </c>
      <c r="H56" s="31">
        <v>46041</v>
      </c>
      <c r="I56" s="24">
        <v>0.82909047603607178</v>
      </c>
      <c r="J56" s="24">
        <v>0.82523867595818812</v>
      </c>
      <c r="K56" s="1" t="s">
        <v>361</v>
      </c>
      <c r="L56" s="5">
        <v>5.4258934259414672E-2</v>
      </c>
      <c r="M56" s="5">
        <v>1.4258934259414671E-2</v>
      </c>
      <c r="N56" s="1" t="s">
        <v>362</v>
      </c>
      <c r="P56" s="1" t="s">
        <v>363</v>
      </c>
      <c r="Q56" s="31">
        <v>49693</v>
      </c>
      <c r="R56" s="1">
        <v>343</v>
      </c>
      <c r="S56" s="1">
        <v>178</v>
      </c>
      <c r="T56" s="31">
        <v>51459</v>
      </c>
      <c r="U56" s="1" t="s">
        <v>378</v>
      </c>
      <c r="V56" s="1" t="s">
        <v>229</v>
      </c>
      <c r="W56" s="1" t="s">
        <v>365</v>
      </c>
      <c r="X56" s="1" t="s">
        <v>410</v>
      </c>
      <c r="Y56" s="1" t="s">
        <v>511</v>
      </c>
      <c r="Z56" s="1">
        <v>1</v>
      </c>
      <c r="AA56" s="1" t="s">
        <v>230</v>
      </c>
      <c r="AB56" s="1" t="s">
        <v>231</v>
      </c>
      <c r="AC56" s="23">
        <v>77040</v>
      </c>
      <c r="AD56" s="24">
        <v>0.36357829570770267</v>
      </c>
      <c r="AE56" s="1" t="s">
        <v>232</v>
      </c>
      <c r="AF56" s="1">
        <v>0</v>
      </c>
      <c r="AG56" s="1">
        <v>0</v>
      </c>
      <c r="AI56" s="23">
        <v>0</v>
      </c>
      <c r="AJ56" s="1" t="s">
        <v>232</v>
      </c>
      <c r="AK56" s="1">
        <v>0</v>
      </c>
      <c r="AL56" s="1" t="s">
        <v>233</v>
      </c>
      <c r="AM56" s="1">
        <v>0</v>
      </c>
      <c r="AN56" s="1">
        <v>0</v>
      </c>
      <c r="AO56" s="1" t="s">
        <v>232</v>
      </c>
      <c r="AR56" s="1" t="s">
        <v>394</v>
      </c>
      <c r="AS56" s="1" t="s">
        <v>386</v>
      </c>
      <c r="AT56" s="1" t="s">
        <v>234</v>
      </c>
      <c r="AU56" s="1" t="s">
        <v>232</v>
      </c>
      <c r="AV56" s="1">
        <v>1.4581571698188782</v>
      </c>
      <c r="AW56" s="1" t="s">
        <v>232</v>
      </c>
      <c r="AX56" s="1">
        <v>182</v>
      </c>
      <c r="AY56" s="1" t="s">
        <v>232</v>
      </c>
      <c r="AZ56" s="1" t="s">
        <v>232</v>
      </c>
    </row>
    <row r="57" spans="1:52" x14ac:dyDescent="0.2">
      <c r="A57" s="1" t="s">
        <v>512</v>
      </c>
      <c r="B57" s="31">
        <v>46041</v>
      </c>
      <c r="C57" s="31">
        <v>45492</v>
      </c>
      <c r="D57" s="23">
        <v>608758</v>
      </c>
      <c r="E57" s="23">
        <v>584358</v>
      </c>
      <c r="F57" s="23">
        <v>675000</v>
      </c>
      <c r="G57" s="23">
        <v>688000</v>
      </c>
      <c r="H57" s="31">
        <v>46041</v>
      </c>
      <c r="I57" s="24">
        <v>0.90186396837234495</v>
      </c>
      <c r="J57" s="24">
        <v>0.84935755813953484</v>
      </c>
      <c r="K57" s="1" t="s">
        <v>361</v>
      </c>
      <c r="L57" s="5">
        <v>4.7177287340164187E-2</v>
      </c>
      <c r="M57" s="5">
        <v>7.177287340164186E-3</v>
      </c>
      <c r="N57" s="1" t="s">
        <v>362</v>
      </c>
      <c r="P57" s="1" t="s">
        <v>227</v>
      </c>
      <c r="R57" s="1">
        <v>274</v>
      </c>
      <c r="S57" s="1">
        <v>256</v>
      </c>
      <c r="T57" s="31">
        <v>53831</v>
      </c>
      <c r="U57" s="1" t="s">
        <v>228</v>
      </c>
      <c r="V57" s="1" t="s">
        <v>391</v>
      </c>
      <c r="W57" s="1" t="s">
        <v>85</v>
      </c>
      <c r="X57" s="1" t="s">
        <v>392</v>
      </c>
      <c r="Y57" s="1" t="s">
        <v>513</v>
      </c>
      <c r="Z57" s="1">
        <v>1</v>
      </c>
      <c r="AA57" s="1" t="s">
        <v>230</v>
      </c>
      <c r="AB57" s="1" t="s">
        <v>231</v>
      </c>
      <c r="AC57" s="23">
        <v>62730</v>
      </c>
      <c r="AD57" s="24">
        <v>0.52181794643402102</v>
      </c>
      <c r="AE57" s="1" t="s">
        <v>19</v>
      </c>
      <c r="AF57" s="1">
        <v>0</v>
      </c>
      <c r="AG57" s="1">
        <v>0</v>
      </c>
      <c r="AI57" s="23">
        <v>0</v>
      </c>
      <c r="AJ57" s="1" t="s">
        <v>232</v>
      </c>
      <c r="AK57" s="1">
        <v>0</v>
      </c>
      <c r="AL57" s="1" t="s">
        <v>233</v>
      </c>
      <c r="AM57" s="1">
        <v>0</v>
      </c>
      <c r="AN57" s="1">
        <v>0</v>
      </c>
      <c r="AO57" s="1" t="s">
        <v>232</v>
      </c>
      <c r="AR57" s="1" t="s">
        <v>376</v>
      </c>
      <c r="AS57" s="1" t="s">
        <v>386</v>
      </c>
      <c r="AT57" s="1" t="s">
        <v>234</v>
      </c>
      <c r="AU57" s="1" t="s">
        <v>232</v>
      </c>
      <c r="AV57" s="1">
        <v>0</v>
      </c>
      <c r="AW57" s="1" t="s">
        <v>232</v>
      </c>
      <c r="AX57" s="1">
        <v>61</v>
      </c>
      <c r="AY57" s="1" t="s">
        <v>232</v>
      </c>
      <c r="AZ57" s="1" t="s">
        <v>232</v>
      </c>
    </row>
    <row r="58" spans="1:52" x14ac:dyDescent="0.2">
      <c r="A58" s="1" t="s">
        <v>514</v>
      </c>
      <c r="B58" s="31">
        <v>46041</v>
      </c>
      <c r="C58" s="31">
        <v>43331</v>
      </c>
      <c r="D58" s="23">
        <v>261962</v>
      </c>
      <c r="E58" s="23">
        <v>210131</v>
      </c>
      <c r="F58" s="23">
        <v>365000</v>
      </c>
      <c r="G58" s="23">
        <v>436000</v>
      </c>
      <c r="H58" s="31">
        <v>46041</v>
      </c>
      <c r="I58" s="24">
        <v>0.71770291626453397</v>
      </c>
      <c r="J58" s="24">
        <v>0.4819518348623853</v>
      </c>
      <c r="K58" s="1" t="s">
        <v>226</v>
      </c>
      <c r="L58" s="5">
        <v>2.5511034727096558E-2</v>
      </c>
      <c r="M58" s="5">
        <v>-1.4488965272903442E-2</v>
      </c>
      <c r="O58" s="31">
        <v>46771</v>
      </c>
      <c r="P58" s="1" t="s">
        <v>227</v>
      </c>
      <c r="R58" s="1">
        <v>413</v>
      </c>
      <c r="S58" s="1">
        <v>324</v>
      </c>
      <c r="T58" s="31">
        <v>55903</v>
      </c>
      <c r="U58" s="1" t="s">
        <v>228</v>
      </c>
      <c r="V58" s="1" t="s">
        <v>379</v>
      </c>
      <c r="W58" s="1" t="s">
        <v>85</v>
      </c>
      <c r="X58" s="1" t="s">
        <v>373</v>
      </c>
      <c r="Y58" s="1" t="s">
        <v>515</v>
      </c>
      <c r="Z58" s="1">
        <v>1</v>
      </c>
      <c r="AA58" s="1" t="s">
        <v>468</v>
      </c>
      <c r="AB58" s="1" t="s">
        <v>231</v>
      </c>
      <c r="AC58" s="23">
        <v>135383</v>
      </c>
      <c r="AD58" s="24">
        <v>0.44364395141601565</v>
      </c>
      <c r="AE58" s="1" t="s">
        <v>232</v>
      </c>
      <c r="AF58" s="1">
        <v>0</v>
      </c>
      <c r="AG58" s="1">
        <v>0</v>
      </c>
      <c r="AI58" s="23">
        <v>0</v>
      </c>
      <c r="AJ58" s="1" t="s">
        <v>232</v>
      </c>
      <c r="AK58" s="1">
        <v>0</v>
      </c>
      <c r="AL58" s="1" t="s">
        <v>233</v>
      </c>
      <c r="AM58" s="1">
        <v>0</v>
      </c>
      <c r="AN58" s="1">
        <v>0</v>
      </c>
      <c r="AO58" s="1" t="s">
        <v>232</v>
      </c>
      <c r="AR58" s="1" t="s">
        <v>399</v>
      </c>
      <c r="AS58" s="1" t="s">
        <v>400</v>
      </c>
      <c r="AT58" s="1" t="s">
        <v>234</v>
      </c>
      <c r="AU58" s="1" t="s">
        <v>232</v>
      </c>
      <c r="AV58" s="1">
        <v>0</v>
      </c>
      <c r="AW58" s="1" t="s">
        <v>232</v>
      </c>
      <c r="AX58" s="1">
        <v>102</v>
      </c>
      <c r="AY58" s="1" t="s">
        <v>232</v>
      </c>
      <c r="AZ58" s="1" t="s">
        <v>232</v>
      </c>
    </row>
    <row r="59" spans="1:52" x14ac:dyDescent="0.2">
      <c r="A59" s="1" t="s">
        <v>516</v>
      </c>
      <c r="B59" s="31">
        <v>46041</v>
      </c>
      <c r="C59" s="31">
        <v>41413</v>
      </c>
      <c r="D59" s="23">
        <v>1794904</v>
      </c>
      <c r="E59" s="23">
        <v>1188429</v>
      </c>
      <c r="F59" s="23">
        <v>1898000</v>
      </c>
      <c r="G59" s="23">
        <v>2717000</v>
      </c>
      <c r="H59" s="31">
        <v>46041</v>
      </c>
      <c r="I59" s="24">
        <v>0.94568191170692451</v>
      </c>
      <c r="J59" s="24">
        <v>0.43740485829959513</v>
      </c>
      <c r="K59" s="1" t="s">
        <v>361</v>
      </c>
      <c r="L59" s="5">
        <v>4.163148760795593E-2</v>
      </c>
      <c r="M59" s="5">
        <v>1.6314876079559296E-3</v>
      </c>
      <c r="N59" s="1" t="s">
        <v>362</v>
      </c>
      <c r="P59" s="1" t="s">
        <v>227</v>
      </c>
      <c r="R59" s="1">
        <v>310</v>
      </c>
      <c r="S59" s="1">
        <v>158</v>
      </c>
      <c r="T59" s="31">
        <v>50848</v>
      </c>
      <c r="U59" s="1" t="s">
        <v>364</v>
      </c>
      <c r="V59" s="1" t="s">
        <v>437</v>
      </c>
      <c r="W59" s="1" t="s">
        <v>365</v>
      </c>
      <c r="X59" s="1" t="s">
        <v>164</v>
      </c>
      <c r="Y59" s="1" t="s">
        <v>517</v>
      </c>
      <c r="Z59" s="1">
        <v>2</v>
      </c>
      <c r="AA59" s="1" t="s">
        <v>230</v>
      </c>
      <c r="AB59" s="1" t="s">
        <v>231</v>
      </c>
      <c r="AC59" s="23">
        <v>49075</v>
      </c>
      <c r="AD59" s="24">
        <v>0.43917839527130131</v>
      </c>
      <c r="AE59" s="1" t="s">
        <v>232</v>
      </c>
      <c r="AF59" s="1">
        <v>0</v>
      </c>
      <c r="AG59" s="1">
        <v>0</v>
      </c>
      <c r="AI59" s="23">
        <v>0</v>
      </c>
      <c r="AJ59" s="1" t="s">
        <v>232</v>
      </c>
      <c r="AK59" s="1">
        <v>0</v>
      </c>
      <c r="AL59" s="1" t="s">
        <v>233</v>
      </c>
      <c r="AM59" s="1">
        <v>0</v>
      </c>
      <c r="AN59" s="1">
        <v>0</v>
      </c>
      <c r="AO59" s="1" t="s">
        <v>232</v>
      </c>
      <c r="AR59" s="1" t="s">
        <v>399</v>
      </c>
      <c r="AS59" s="1" t="s">
        <v>369</v>
      </c>
      <c r="AT59" s="1" t="s">
        <v>234</v>
      </c>
      <c r="AU59" s="1" t="s">
        <v>232</v>
      </c>
      <c r="AV59" s="1">
        <v>1.4261212229728699</v>
      </c>
      <c r="AW59" s="1" t="s">
        <v>232</v>
      </c>
      <c r="AX59" s="1">
        <v>999</v>
      </c>
      <c r="AY59" s="1" t="s">
        <v>232</v>
      </c>
      <c r="AZ59" s="1" t="s">
        <v>232</v>
      </c>
    </row>
    <row r="60" spans="1:52" x14ac:dyDescent="0.2">
      <c r="A60" s="1" t="s">
        <v>518</v>
      </c>
      <c r="B60" s="31">
        <v>46041</v>
      </c>
      <c r="C60" s="31">
        <v>40317</v>
      </c>
      <c r="D60" s="23">
        <v>1110956</v>
      </c>
      <c r="E60" s="23">
        <v>646681</v>
      </c>
      <c r="F60" s="23">
        <v>1775000</v>
      </c>
      <c r="G60" s="23">
        <v>2126000</v>
      </c>
      <c r="H60" s="31">
        <v>46041</v>
      </c>
      <c r="I60" s="24">
        <v>0.62589086890220635</v>
      </c>
      <c r="J60" s="24">
        <v>0.30417732831608657</v>
      </c>
      <c r="K60" s="1" t="s">
        <v>361</v>
      </c>
      <c r="L60" s="5">
        <v>4.7557268142700199E-2</v>
      </c>
      <c r="M60" s="5">
        <v>7.5572681427001978E-3</v>
      </c>
      <c r="N60" s="1" t="s">
        <v>362</v>
      </c>
      <c r="P60" s="1" t="s">
        <v>227</v>
      </c>
      <c r="R60" s="1">
        <v>331</v>
      </c>
      <c r="S60" s="1">
        <v>143</v>
      </c>
      <c r="T60" s="31">
        <v>50393</v>
      </c>
      <c r="U60" s="1" t="s">
        <v>378</v>
      </c>
      <c r="V60" s="1" t="s">
        <v>391</v>
      </c>
      <c r="W60" s="1" t="s">
        <v>85</v>
      </c>
      <c r="X60" s="1" t="s">
        <v>392</v>
      </c>
      <c r="Y60" s="1" t="s">
        <v>519</v>
      </c>
      <c r="Z60" s="1">
        <v>2</v>
      </c>
      <c r="AA60" s="1" t="s">
        <v>230</v>
      </c>
      <c r="AB60" s="1" t="s">
        <v>231</v>
      </c>
      <c r="AC60" s="23">
        <v>37414</v>
      </c>
      <c r="AD60" s="24">
        <v>0.47113833427429203</v>
      </c>
      <c r="AE60" s="1" t="s">
        <v>232</v>
      </c>
      <c r="AF60" s="1">
        <v>0</v>
      </c>
      <c r="AG60" s="1">
        <v>0</v>
      </c>
      <c r="AI60" s="23">
        <v>0</v>
      </c>
      <c r="AJ60" s="1" t="s">
        <v>232</v>
      </c>
      <c r="AK60" s="1">
        <v>0</v>
      </c>
      <c r="AL60" s="1" t="s">
        <v>233</v>
      </c>
      <c r="AM60" s="1">
        <v>0</v>
      </c>
      <c r="AN60" s="1">
        <v>0</v>
      </c>
      <c r="AO60" s="1" t="s">
        <v>232</v>
      </c>
      <c r="AR60" s="1" t="s">
        <v>368</v>
      </c>
      <c r="AS60" s="1" t="s">
        <v>400</v>
      </c>
      <c r="AT60" s="1" t="s">
        <v>433</v>
      </c>
      <c r="AU60" s="1" t="s">
        <v>232</v>
      </c>
      <c r="AV60" s="1">
        <v>0</v>
      </c>
      <c r="AW60" s="1" t="s">
        <v>232</v>
      </c>
      <c r="AX60" s="1">
        <v>173</v>
      </c>
      <c r="AY60" s="1" t="s">
        <v>232</v>
      </c>
      <c r="AZ60" s="1" t="s">
        <v>232</v>
      </c>
    </row>
    <row r="61" spans="1:52" x14ac:dyDescent="0.2">
      <c r="A61" s="1" t="s">
        <v>520</v>
      </c>
      <c r="B61" s="31">
        <v>46041</v>
      </c>
      <c r="C61" s="31">
        <v>41383</v>
      </c>
      <c r="D61" s="23">
        <v>238899</v>
      </c>
      <c r="E61" s="23">
        <v>157655</v>
      </c>
      <c r="F61" s="23">
        <v>357000</v>
      </c>
      <c r="G61" s="23">
        <v>529000</v>
      </c>
      <c r="H61" s="31">
        <v>46041</v>
      </c>
      <c r="I61" s="24">
        <v>0.66918420791625977</v>
      </c>
      <c r="J61" s="24">
        <v>0.29802457466918714</v>
      </c>
      <c r="K61" s="1" t="s">
        <v>226</v>
      </c>
      <c r="L61" s="5">
        <v>4.1339177489280704E-2</v>
      </c>
      <c r="M61" s="5">
        <v>1.3391774892807032E-3</v>
      </c>
      <c r="O61" s="31">
        <v>46771</v>
      </c>
      <c r="P61" s="1" t="s">
        <v>227</v>
      </c>
      <c r="R61" s="1">
        <v>349</v>
      </c>
      <c r="S61" s="1">
        <v>196</v>
      </c>
      <c r="T61" s="31">
        <v>52005</v>
      </c>
      <c r="U61" s="1" t="s">
        <v>228</v>
      </c>
      <c r="V61" s="1" t="s">
        <v>372</v>
      </c>
      <c r="W61" s="1" t="s">
        <v>85</v>
      </c>
      <c r="X61" s="1" t="s">
        <v>392</v>
      </c>
      <c r="Y61" s="1" t="s">
        <v>521</v>
      </c>
      <c r="Z61" s="1">
        <v>1</v>
      </c>
      <c r="AA61" s="1" t="s">
        <v>230</v>
      </c>
      <c r="AB61" s="1" t="s">
        <v>231</v>
      </c>
      <c r="AC61" s="23">
        <v>132398</v>
      </c>
      <c r="AD61" s="24">
        <v>0.36370475292205812</v>
      </c>
      <c r="AE61" s="1" t="s">
        <v>19</v>
      </c>
      <c r="AF61" s="1">
        <v>0</v>
      </c>
      <c r="AG61" s="1">
        <v>0</v>
      </c>
      <c r="AI61" s="23">
        <v>0</v>
      </c>
      <c r="AJ61" s="1" t="s">
        <v>232</v>
      </c>
      <c r="AK61" s="1">
        <v>0</v>
      </c>
      <c r="AL61" s="1" t="s">
        <v>233</v>
      </c>
      <c r="AM61" s="1">
        <v>0</v>
      </c>
      <c r="AN61" s="1">
        <v>0</v>
      </c>
      <c r="AO61" s="1" t="s">
        <v>232</v>
      </c>
      <c r="AR61" s="1" t="s">
        <v>368</v>
      </c>
      <c r="AS61" s="1" t="s">
        <v>386</v>
      </c>
      <c r="AT61" s="1" t="s">
        <v>234</v>
      </c>
      <c r="AU61" s="1" t="s">
        <v>232</v>
      </c>
      <c r="AV61" s="1">
        <v>0</v>
      </c>
      <c r="AW61" s="1" t="s">
        <v>232</v>
      </c>
      <c r="AX61" s="1">
        <v>56</v>
      </c>
      <c r="AY61" s="1" t="s">
        <v>232</v>
      </c>
      <c r="AZ61" s="1" t="s">
        <v>232</v>
      </c>
    </row>
    <row r="62" spans="1:52" x14ac:dyDescent="0.2">
      <c r="A62" s="1" t="s">
        <v>522</v>
      </c>
      <c r="B62" s="31">
        <v>46041</v>
      </c>
      <c r="C62" s="31">
        <v>45554</v>
      </c>
      <c r="D62" s="23">
        <v>581662</v>
      </c>
      <c r="E62" s="23">
        <v>560981</v>
      </c>
      <c r="F62" s="23">
        <v>670000</v>
      </c>
      <c r="G62" s="23">
        <v>692000</v>
      </c>
      <c r="H62" s="31">
        <v>46041</v>
      </c>
      <c r="I62" s="24">
        <v>0.86815237104892728</v>
      </c>
      <c r="J62" s="24">
        <v>0.81066618497109821</v>
      </c>
      <c r="K62" s="1" t="s">
        <v>226</v>
      </c>
      <c r="L62" s="5">
        <v>3.0512582063674926E-2</v>
      </c>
      <c r="M62" s="5">
        <v>-9.4874179363250745E-3</v>
      </c>
      <c r="O62" s="31">
        <v>46771</v>
      </c>
      <c r="P62" s="1" t="s">
        <v>227</v>
      </c>
      <c r="R62" s="1">
        <v>340</v>
      </c>
      <c r="S62" s="1">
        <v>324</v>
      </c>
      <c r="T62" s="31">
        <v>55903</v>
      </c>
      <c r="U62" s="1" t="s">
        <v>364</v>
      </c>
      <c r="V62" s="1" t="s">
        <v>391</v>
      </c>
      <c r="W62" s="1" t="s">
        <v>85</v>
      </c>
      <c r="X62" s="1" t="s">
        <v>147</v>
      </c>
      <c r="Y62" s="1" t="s">
        <v>523</v>
      </c>
      <c r="Z62" s="1">
        <v>2</v>
      </c>
      <c r="AA62" s="1" t="s">
        <v>367</v>
      </c>
      <c r="AB62" s="1" t="s">
        <v>408</v>
      </c>
      <c r="AC62" s="23">
        <v>104103</v>
      </c>
      <c r="AD62" s="24">
        <v>0.57741620540618899</v>
      </c>
      <c r="AE62" s="1" t="s">
        <v>232</v>
      </c>
      <c r="AF62" s="1">
        <v>0</v>
      </c>
      <c r="AG62" s="1">
        <v>0</v>
      </c>
      <c r="AI62" s="23">
        <v>0</v>
      </c>
      <c r="AJ62" s="1" t="s">
        <v>232</v>
      </c>
      <c r="AK62" s="1">
        <v>0</v>
      </c>
      <c r="AL62" s="1" t="s">
        <v>375</v>
      </c>
      <c r="AM62" s="1">
        <v>131</v>
      </c>
      <c r="AN62" s="1">
        <v>4.4000000000000004</v>
      </c>
      <c r="AO62" s="1" t="s">
        <v>232</v>
      </c>
      <c r="AR62" s="1" t="s">
        <v>399</v>
      </c>
      <c r="AS62" s="1" t="s">
        <v>369</v>
      </c>
      <c r="AT62" s="1" t="s">
        <v>234</v>
      </c>
      <c r="AU62" s="1" t="s">
        <v>232</v>
      </c>
      <c r="AV62" s="1">
        <v>0</v>
      </c>
      <c r="AW62" s="1" t="s">
        <v>19</v>
      </c>
      <c r="AX62" s="1">
        <v>999</v>
      </c>
      <c r="AY62" s="1" t="s">
        <v>232</v>
      </c>
      <c r="AZ62" s="1" t="s">
        <v>232</v>
      </c>
    </row>
    <row r="63" spans="1:52" x14ac:dyDescent="0.2">
      <c r="A63" s="1" t="s">
        <v>524</v>
      </c>
      <c r="B63" s="31">
        <v>46041</v>
      </c>
      <c r="C63" s="31">
        <v>41048</v>
      </c>
      <c r="D63" s="23">
        <v>1561488</v>
      </c>
      <c r="E63" s="23">
        <v>1561488</v>
      </c>
      <c r="F63" s="23">
        <v>1832000</v>
      </c>
      <c r="G63" s="23">
        <v>2091000</v>
      </c>
      <c r="H63" s="31">
        <v>46041</v>
      </c>
      <c r="I63" s="24">
        <v>0.85234034359455102</v>
      </c>
      <c r="J63" s="24">
        <v>0.74676614060258251</v>
      </c>
      <c r="K63" s="1" t="s">
        <v>226</v>
      </c>
      <c r="L63" s="5">
        <v>3.2348579168319701E-2</v>
      </c>
      <c r="M63" s="5">
        <v>-7.6514208316803001E-3</v>
      </c>
      <c r="O63" s="31">
        <v>46771</v>
      </c>
      <c r="P63" s="1" t="s">
        <v>363</v>
      </c>
      <c r="Q63" s="31">
        <v>49693</v>
      </c>
      <c r="R63" s="1">
        <v>302</v>
      </c>
      <c r="S63" s="1">
        <v>138</v>
      </c>
      <c r="T63" s="31">
        <v>50240</v>
      </c>
      <c r="U63" s="1" t="s">
        <v>228</v>
      </c>
      <c r="V63" s="1" t="s">
        <v>391</v>
      </c>
      <c r="W63" s="1" t="s">
        <v>85</v>
      </c>
      <c r="X63" s="1" t="s">
        <v>380</v>
      </c>
      <c r="Y63" s="1" t="s">
        <v>525</v>
      </c>
      <c r="Z63" s="1">
        <v>2</v>
      </c>
      <c r="AA63" s="1" t="s">
        <v>230</v>
      </c>
      <c r="AB63" s="1" t="s">
        <v>231</v>
      </c>
      <c r="AC63" s="23">
        <v>149735</v>
      </c>
      <c r="AD63" s="24">
        <v>0.32180614471435548</v>
      </c>
      <c r="AE63" s="1" t="s">
        <v>232</v>
      </c>
      <c r="AF63" s="1">
        <v>0</v>
      </c>
      <c r="AG63" s="1">
        <v>0</v>
      </c>
      <c r="AI63" s="23">
        <v>0</v>
      </c>
      <c r="AJ63" s="1" t="s">
        <v>232</v>
      </c>
      <c r="AK63" s="1">
        <v>0</v>
      </c>
      <c r="AL63" s="1" t="s">
        <v>233</v>
      </c>
      <c r="AM63" s="1">
        <v>0</v>
      </c>
      <c r="AN63" s="1">
        <v>0</v>
      </c>
      <c r="AO63" s="1" t="s">
        <v>232</v>
      </c>
      <c r="AR63" s="1" t="s">
        <v>399</v>
      </c>
      <c r="AS63" s="1" t="s">
        <v>369</v>
      </c>
      <c r="AT63" s="1" t="s">
        <v>234</v>
      </c>
      <c r="AU63" s="1" t="s">
        <v>232</v>
      </c>
      <c r="AV63" s="1">
        <v>0</v>
      </c>
      <c r="AW63" s="1" t="s">
        <v>232</v>
      </c>
      <c r="AX63" s="1">
        <v>78</v>
      </c>
      <c r="AY63" s="1" t="s">
        <v>232</v>
      </c>
      <c r="AZ63" s="1" t="s">
        <v>232</v>
      </c>
    </row>
    <row r="64" spans="1:52" x14ac:dyDescent="0.2">
      <c r="A64" s="1" t="s">
        <v>526</v>
      </c>
      <c r="B64" s="31">
        <v>46041</v>
      </c>
      <c r="C64" s="31">
        <v>41597</v>
      </c>
      <c r="D64" s="23">
        <v>1470144</v>
      </c>
      <c r="E64" s="23">
        <v>993151</v>
      </c>
      <c r="F64" s="23">
        <v>1929000</v>
      </c>
      <c r="G64" s="23">
        <v>2901000</v>
      </c>
      <c r="H64" s="31">
        <v>46041</v>
      </c>
      <c r="I64" s="24">
        <v>0.76212771534919743</v>
      </c>
      <c r="J64" s="24">
        <v>0.34234781109962081</v>
      </c>
      <c r="K64" s="1" t="s">
        <v>361</v>
      </c>
      <c r="L64" s="5">
        <v>4.3479698896408084E-2</v>
      </c>
      <c r="M64" s="5">
        <v>3.479698896408083E-3</v>
      </c>
      <c r="N64" s="1" t="s">
        <v>362</v>
      </c>
      <c r="P64" s="1" t="s">
        <v>227</v>
      </c>
      <c r="R64" s="1">
        <v>265</v>
      </c>
      <c r="S64" s="1">
        <v>119</v>
      </c>
      <c r="T64" s="31">
        <v>49662</v>
      </c>
      <c r="U64" s="1" t="s">
        <v>378</v>
      </c>
      <c r="V64" s="1" t="s">
        <v>379</v>
      </c>
      <c r="W64" s="1" t="s">
        <v>85</v>
      </c>
      <c r="X64" s="1" t="s">
        <v>147</v>
      </c>
      <c r="Y64" s="1" t="s">
        <v>527</v>
      </c>
      <c r="Z64" s="1">
        <v>1</v>
      </c>
      <c r="AA64" s="1" t="s">
        <v>468</v>
      </c>
      <c r="AB64" s="1" t="s">
        <v>231</v>
      </c>
      <c r="AC64" s="23">
        <v>46060</v>
      </c>
      <c r="AD64" s="24">
        <v>0.55271885395050058</v>
      </c>
      <c r="AE64" s="1" t="s">
        <v>232</v>
      </c>
      <c r="AF64" s="1">
        <v>1</v>
      </c>
      <c r="AG64" s="1">
        <v>3</v>
      </c>
      <c r="AH64" s="1" t="s">
        <v>19</v>
      </c>
      <c r="AI64" s="23">
        <v>10028</v>
      </c>
      <c r="AJ64" s="1" t="s">
        <v>232</v>
      </c>
      <c r="AK64" s="1">
        <v>0</v>
      </c>
      <c r="AL64" s="1" t="s">
        <v>233</v>
      </c>
      <c r="AM64" s="1">
        <v>0</v>
      </c>
      <c r="AN64" s="1">
        <v>0</v>
      </c>
      <c r="AO64" s="1" t="s">
        <v>232</v>
      </c>
      <c r="AR64" s="1" t="s">
        <v>405</v>
      </c>
      <c r="AS64" s="1" t="s">
        <v>369</v>
      </c>
      <c r="AT64" s="1" t="s">
        <v>234</v>
      </c>
      <c r="AU64" s="1" t="s">
        <v>232</v>
      </c>
      <c r="AV64" s="1">
        <v>0</v>
      </c>
      <c r="AW64" s="1" t="s">
        <v>232</v>
      </c>
      <c r="AX64" s="1">
        <v>196</v>
      </c>
      <c r="AY64" s="1" t="s">
        <v>19</v>
      </c>
      <c r="AZ64" s="1" t="s">
        <v>232</v>
      </c>
    </row>
    <row r="65" spans="1:52" x14ac:dyDescent="0.2">
      <c r="A65" s="1" t="s">
        <v>528</v>
      </c>
      <c r="B65" s="31">
        <v>46041</v>
      </c>
      <c r="C65" s="31">
        <v>42997</v>
      </c>
      <c r="D65" s="23">
        <v>1132884</v>
      </c>
      <c r="E65" s="23">
        <v>881111</v>
      </c>
      <c r="F65" s="23">
        <v>1329000</v>
      </c>
      <c r="G65" s="23">
        <v>1718000</v>
      </c>
      <c r="H65" s="31">
        <v>46041</v>
      </c>
      <c r="I65" s="24">
        <v>0.85243346095085137</v>
      </c>
      <c r="J65" s="24">
        <v>0.51287019790454014</v>
      </c>
      <c r="K65" s="1" t="s">
        <v>226</v>
      </c>
      <c r="L65" s="5">
        <v>2.8055043816566469E-2</v>
      </c>
      <c r="M65" s="5">
        <v>-1.1944956183433532E-2</v>
      </c>
      <c r="O65" s="31">
        <v>46771</v>
      </c>
      <c r="P65" s="1" t="s">
        <v>227</v>
      </c>
      <c r="R65" s="1">
        <v>329</v>
      </c>
      <c r="S65" s="1">
        <v>229</v>
      </c>
      <c r="T65" s="31">
        <v>53012</v>
      </c>
      <c r="U65" s="1" t="s">
        <v>456</v>
      </c>
      <c r="V65" s="1" t="s">
        <v>379</v>
      </c>
      <c r="W65" s="1" t="s">
        <v>85</v>
      </c>
      <c r="X65" s="1" t="s">
        <v>147</v>
      </c>
      <c r="Y65" s="1" t="s">
        <v>529</v>
      </c>
      <c r="Z65" s="1">
        <v>2</v>
      </c>
      <c r="AA65" s="1" t="s">
        <v>367</v>
      </c>
      <c r="AB65" s="1" t="s">
        <v>408</v>
      </c>
      <c r="AC65" s="23">
        <v>106377</v>
      </c>
      <c r="AD65" s="24">
        <v>0.24269599914550782</v>
      </c>
      <c r="AE65" s="1" t="s">
        <v>232</v>
      </c>
      <c r="AF65" s="1">
        <v>0</v>
      </c>
      <c r="AG65" s="1">
        <v>0</v>
      </c>
      <c r="AI65" s="23">
        <v>0</v>
      </c>
      <c r="AJ65" s="1" t="s">
        <v>232</v>
      </c>
      <c r="AK65" s="1">
        <v>0</v>
      </c>
      <c r="AL65" s="1" t="s">
        <v>233</v>
      </c>
      <c r="AM65" s="1">
        <v>0</v>
      </c>
      <c r="AN65" s="1">
        <v>0</v>
      </c>
      <c r="AO65" s="1" t="s">
        <v>232</v>
      </c>
      <c r="AR65" s="1" t="s">
        <v>399</v>
      </c>
      <c r="AS65" s="1" t="s">
        <v>369</v>
      </c>
      <c r="AT65" s="1" t="s">
        <v>234</v>
      </c>
      <c r="AU65" s="1" t="s">
        <v>232</v>
      </c>
      <c r="AV65" s="1">
        <v>0</v>
      </c>
      <c r="AW65" s="1" t="s">
        <v>232</v>
      </c>
      <c r="AX65" s="1">
        <v>55</v>
      </c>
      <c r="AY65" s="1" t="s">
        <v>232</v>
      </c>
      <c r="AZ65" s="1" t="s">
        <v>232</v>
      </c>
    </row>
    <row r="66" spans="1:52" x14ac:dyDescent="0.2">
      <c r="A66" s="1" t="s">
        <v>530</v>
      </c>
      <c r="B66" s="31">
        <v>46041</v>
      </c>
      <c r="C66" s="31">
        <v>45584</v>
      </c>
      <c r="D66" s="23">
        <v>534879</v>
      </c>
      <c r="E66" s="23">
        <v>517033</v>
      </c>
      <c r="F66" s="23">
        <v>586000</v>
      </c>
      <c r="G66" s="23">
        <v>606000</v>
      </c>
      <c r="H66" s="31">
        <v>46041</v>
      </c>
      <c r="I66" s="24">
        <v>0.91276274323463447</v>
      </c>
      <c r="J66" s="24">
        <v>0.85318976897689769</v>
      </c>
      <c r="K66" s="1" t="s">
        <v>384</v>
      </c>
      <c r="L66" s="5">
        <v>7.3816297948360449E-2</v>
      </c>
      <c r="M66" s="5">
        <v>3.3816297948360448E-2</v>
      </c>
      <c r="P66" s="1" t="s">
        <v>227</v>
      </c>
      <c r="R66" s="1">
        <v>362</v>
      </c>
      <c r="S66" s="1">
        <v>347</v>
      </c>
      <c r="T66" s="31">
        <v>56602</v>
      </c>
      <c r="U66" s="1" t="s">
        <v>228</v>
      </c>
      <c r="V66" s="1" t="s">
        <v>437</v>
      </c>
      <c r="W66" s="1" t="s">
        <v>85</v>
      </c>
      <c r="X66" s="1" t="s">
        <v>164</v>
      </c>
      <c r="Y66" s="1" t="s">
        <v>531</v>
      </c>
      <c r="Z66" s="1">
        <v>2</v>
      </c>
      <c r="AA66" s="1" t="s">
        <v>230</v>
      </c>
      <c r="AB66" s="1" t="s">
        <v>231</v>
      </c>
      <c r="AC66" s="23">
        <v>111331</v>
      </c>
      <c r="AD66" s="24">
        <v>0.5115382432937623</v>
      </c>
      <c r="AE66" s="1" t="s">
        <v>232</v>
      </c>
      <c r="AF66" s="1">
        <v>1</v>
      </c>
      <c r="AG66" s="1">
        <v>2</v>
      </c>
      <c r="AH66" s="1" t="s">
        <v>19</v>
      </c>
      <c r="AI66" s="23">
        <v>4600</v>
      </c>
      <c r="AJ66" s="1" t="s">
        <v>232</v>
      </c>
      <c r="AK66" s="1">
        <v>0</v>
      </c>
      <c r="AL66" s="1" t="s">
        <v>233</v>
      </c>
      <c r="AM66" s="1">
        <v>0</v>
      </c>
      <c r="AN66" s="1">
        <v>0</v>
      </c>
      <c r="AO66" s="1" t="s">
        <v>232</v>
      </c>
      <c r="AR66" s="1" t="s">
        <v>399</v>
      </c>
      <c r="AS66" s="1" t="s">
        <v>369</v>
      </c>
      <c r="AT66" s="1" t="s">
        <v>234</v>
      </c>
      <c r="AU66" s="1" t="s">
        <v>232</v>
      </c>
      <c r="AV66" s="1">
        <v>0</v>
      </c>
      <c r="AW66" s="1" t="s">
        <v>232</v>
      </c>
      <c r="AX66" s="1">
        <v>142</v>
      </c>
      <c r="AY66" s="1" t="s">
        <v>232</v>
      </c>
      <c r="AZ66" s="1" t="s">
        <v>19</v>
      </c>
    </row>
    <row r="67" spans="1:52" x14ac:dyDescent="0.2">
      <c r="A67" s="1" t="s">
        <v>532</v>
      </c>
      <c r="B67" s="31">
        <v>46041</v>
      </c>
      <c r="C67" s="31">
        <v>42997</v>
      </c>
      <c r="D67" s="23">
        <v>1353907</v>
      </c>
      <c r="E67" s="23">
        <v>1053014</v>
      </c>
      <c r="F67" s="23">
        <v>1517000</v>
      </c>
      <c r="G67" s="23">
        <v>2124000</v>
      </c>
      <c r="H67" s="31">
        <v>46041</v>
      </c>
      <c r="I67" s="24">
        <v>0.89248995184898372</v>
      </c>
      <c r="J67" s="24">
        <v>0.49576930320150658</v>
      </c>
      <c r="K67" s="1" t="s">
        <v>384</v>
      </c>
      <c r="L67" s="5">
        <v>6.5669147670269018E-2</v>
      </c>
      <c r="M67" s="5">
        <v>2.5669147670269017E-2</v>
      </c>
      <c r="P67" s="1" t="s">
        <v>227</v>
      </c>
      <c r="R67" s="1">
        <v>318</v>
      </c>
      <c r="S67" s="1">
        <v>218</v>
      </c>
      <c r="T67" s="31">
        <v>52675</v>
      </c>
      <c r="U67" s="1" t="s">
        <v>371</v>
      </c>
      <c r="V67" s="1" t="s">
        <v>379</v>
      </c>
      <c r="W67" s="1" t="s">
        <v>85</v>
      </c>
      <c r="X67" s="1" t="s">
        <v>392</v>
      </c>
      <c r="Y67" s="1" t="s">
        <v>533</v>
      </c>
      <c r="Z67" s="1">
        <v>1</v>
      </c>
      <c r="AA67" s="1" t="s">
        <v>468</v>
      </c>
      <c r="AB67" s="1" t="s">
        <v>231</v>
      </c>
      <c r="AC67" s="23">
        <v>56156</v>
      </c>
      <c r="AD67" s="24">
        <v>0.58076956272125246</v>
      </c>
      <c r="AE67" s="1" t="s">
        <v>232</v>
      </c>
      <c r="AF67" s="1">
        <v>0</v>
      </c>
      <c r="AG67" s="1">
        <v>0</v>
      </c>
      <c r="AI67" s="23">
        <v>0</v>
      </c>
      <c r="AJ67" s="1" t="s">
        <v>19</v>
      </c>
      <c r="AK67" s="1">
        <v>2</v>
      </c>
      <c r="AL67" s="1" t="s">
        <v>233</v>
      </c>
      <c r="AM67" s="1">
        <v>0</v>
      </c>
      <c r="AN67" s="1">
        <v>0</v>
      </c>
      <c r="AO67" s="1" t="s">
        <v>232</v>
      </c>
      <c r="AR67" s="1" t="s">
        <v>368</v>
      </c>
      <c r="AS67" s="1" t="s">
        <v>369</v>
      </c>
      <c r="AT67" s="1" t="s">
        <v>234</v>
      </c>
      <c r="AU67" s="1" t="s">
        <v>232</v>
      </c>
      <c r="AV67" s="1">
        <v>0</v>
      </c>
      <c r="AW67" s="1" t="s">
        <v>232</v>
      </c>
      <c r="AX67" s="1">
        <v>198</v>
      </c>
      <c r="AY67" s="1" t="s">
        <v>232</v>
      </c>
      <c r="AZ67" s="1" t="s">
        <v>232</v>
      </c>
    </row>
    <row r="68" spans="1:52" x14ac:dyDescent="0.2">
      <c r="A68" s="1" t="s">
        <v>534</v>
      </c>
      <c r="B68" s="31">
        <v>46041</v>
      </c>
      <c r="C68" s="31">
        <v>40866</v>
      </c>
      <c r="D68" s="23">
        <v>795530</v>
      </c>
      <c r="E68" s="23">
        <v>494960</v>
      </c>
      <c r="F68" s="23">
        <v>1022000</v>
      </c>
      <c r="G68" s="23">
        <v>1324000</v>
      </c>
      <c r="H68" s="31">
        <v>46041</v>
      </c>
      <c r="I68" s="24">
        <v>0.77840500771999355</v>
      </c>
      <c r="J68" s="24">
        <v>0.37383685800604227</v>
      </c>
      <c r="K68" s="1" t="s">
        <v>396</v>
      </c>
      <c r="L68" s="5">
        <v>4.2340246438980107E-2</v>
      </c>
      <c r="M68" s="5">
        <v>2.3402464389801064E-3</v>
      </c>
      <c r="P68" s="1" t="s">
        <v>227</v>
      </c>
      <c r="R68" s="1">
        <v>419</v>
      </c>
      <c r="S68" s="1">
        <v>249</v>
      </c>
      <c r="T68" s="31">
        <v>53619</v>
      </c>
      <c r="U68" s="1" t="s">
        <v>424</v>
      </c>
      <c r="V68" s="1" t="s">
        <v>437</v>
      </c>
      <c r="W68" s="1" t="s">
        <v>365</v>
      </c>
      <c r="X68" s="1" t="s">
        <v>147</v>
      </c>
      <c r="Y68" s="1" t="s">
        <v>535</v>
      </c>
      <c r="Z68" s="1">
        <v>2</v>
      </c>
      <c r="AA68" s="1" t="s">
        <v>230</v>
      </c>
      <c r="AB68" s="1" t="s">
        <v>231</v>
      </c>
      <c r="AC68" s="23">
        <v>47679</v>
      </c>
      <c r="AD68" s="24">
        <v>0.21799798011779786</v>
      </c>
      <c r="AE68" s="1" t="s">
        <v>232</v>
      </c>
      <c r="AF68" s="1">
        <v>3</v>
      </c>
      <c r="AG68" s="1">
        <v>23</v>
      </c>
      <c r="AH68" s="1" t="s">
        <v>19</v>
      </c>
      <c r="AI68" s="23">
        <v>4080</v>
      </c>
      <c r="AJ68" s="1" t="s">
        <v>232</v>
      </c>
      <c r="AK68" s="1">
        <v>0</v>
      </c>
      <c r="AL68" s="1" t="s">
        <v>375</v>
      </c>
      <c r="AM68" s="1">
        <v>140</v>
      </c>
      <c r="AN68" s="1">
        <v>4.7</v>
      </c>
      <c r="AO68" s="1" t="s">
        <v>232</v>
      </c>
      <c r="AR68" s="1" t="s">
        <v>376</v>
      </c>
      <c r="AS68" s="1" t="s">
        <v>369</v>
      </c>
      <c r="AT68" s="1" t="s">
        <v>234</v>
      </c>
      <c r="AU68" s="1" t="s">
        <v>19</v>
      </c>
      <c r="AV68" s="1">
        <v>1.3685285091400146</v>
      </c>
      <c r="AW68" s="1" t="s">
        <v>232</v>
      </c>
      <c r="AX68" s="1">
        <v>106</v>
      </c>
      <c r="AY68" s="1" t="s">
        <v>232</v>
      </c>
      <c r="AZ68" s="1" t="s">
        <v>232</v>
      </c>
    </row>
    <row r="69" spans="1:52" x14ac:dyDescent="0.2">
      <c r="A69" s="1" t="s">
        <v>536</v>
      </c>
      <c r="B69" s="31">
        <v>46041</v>
      </c>
      <c r="C69" s="31">
        <v>43119</v>
      </c>
      <c r="D69" s="23">
        <v>375719</v>
      </c>
      <c r="E69" s="23">
        <v>295566</v>
      </c>
      <c r="F69" s="23">
        <v>458000</v>
      </c>
      <c r="G69" s="23">
        <v>529000</v>
      </c>
      <c r="H69" s="31">
        <v>46041</v>
      </c>
      <c r="I69" s="24">
        <v>0.82034755051136021</v>
      </c>
      <c r="J69" s="24">
        <v>0.5587258979206049</v>
      </c>
      <c r="K69" s="1" t="s">
        <v>384</v>
      </c>
      <c r="L69" s="5">
        <v>6.9720044732093811E-2</v>
      </c>
      <c r="M69" s="5">
        <v>2.972004473209381E-2</v>
      </c>
      <c r="P69" s="1" t="s">
        <v>397</v>
      </c>
      <c r="R69" s="1">
        <v>261</v>
      </c>
      <c r="S69" s="1">
        <v>165</v>
      </c>
      <c r="T69" s="31">
        <v>51062</v>
      </c>
      <c r="U69" s="1" t="s">
        <v>456</v>
      </c>
      <c r="V69" s="1" t="s">
        <v>372</v>
      </c>
      <c r="W69" s="1" t="s">
        <v>85</v>
      </c>
      <c r="X69" s="1" t="s">
        <v>165</v>
      </c>
      <c r="Y69" s="1" t="s">
        <v>537</v>
      </c>
      <c r="Z69" s="1">
        <v>2</v>
      </c>
      <c r="AA69" s="1" t="s">
        <v>230</v>
      </c>
      <c r="AB69" s="1" t="s">
        <v>231</v>
      </c>
      <c r="AC69" s="23">
        <v>89802</v>
      </c>
      <c r="AD69" s="24">
        <v>0.3018035888671875</v>
      </c>
      <c r="AE69" s="1" t="s">
        <v>19</v>
      </c>
      <c r="AF69" s="1">
        <v>0</v>
      </c>
      <c r="AG69" s="1">
        <v>0</v>
      </c>
      <c r="AI69" s="23">
        <v>0</v>
      </c>
      <c r="AJ69" s="1" t="s">
        <v>232</v>
      </c>
      <c r="AK69" s="1">
        <v>0</v>
      </c>
      <c r="AL69" s="1" t="s">
        <v>233</v>
      </c>
      <c r="AM69" s="1">
        <v>0</v>
      </c>
      <c r="AN69" s="1">
        <v>0</v>
      </c>
      <c r="AO69" s="1" t="s">
        <v>232</v>
      </c>
      <c r="AR69" s="1" t="s">
        <v>368</v>
      </c>
      <c r="AS69" s="1" t="s">
        <v>386</v>
      </c>
      <c r="AT69" s="1" t="s">
        <v>234</v>
      </c>
      <c r="AU69" s="1" t="s">
        <v>232</v>
      </c>
      <c r="AV69" s="1">
        <v>0</v>
      </c>
      <c r="AW69" s="1" t="s">
        <v>232</v>
      </c>
      <c r="AX69" s="1">
        <v>999</v>
      </c>
      <c r="AY69" s="1" t="s">
        <v>232</v>
      </c>
      <c r="AZ69" s="1" t="s">
        <v>232</v>
      </c>
    </row>
    <row r="70" spans="1:52" x14ac:dyDescent="0.2">
      <c r="A70" s="1" t="s">
        <v>538</v>
      </c>
      <c r="B70" s="31">
        <v>46041</v>
      </c>
      <c r="C70" s="31">
        <v>41293</v>
      </c>
      <c r="D70" s="23">
        <v>1291293</v>
      </c>
      <c r="E70" s="23">
        <v>1291293</v>
      </c>
      <c r="F70" s="23">
        <v>1378000</v>
      </c>
      <c r="G70" s="23">
        <v>1504000</v>
      </c>
      <c r="H70" s="31">
        <v>46041</v>
      </c>
      <c r="I70" s="24">
        <v>0.93707750737667084</v>
      </c>
      <c r="J70" s="24">
        <v>0.85857247340425535</v>
      </c>
      <c r="K70" s="1" t="s">
        <v>226</v>
      </c>
      <c r="L70" s="5">
        <v>3.9910480976104737E-2</v>
      </c>
      <c r="M70" s="5">
        <v>-8.9519023895263949E-5</v>
      </c>
      <c r="O70" s="31">
        <v>46771</v>
      </c>
      <c r="P70" s="1" t="s">
        <v>363</v>
      </c>
      <c r="Q70" s="31">
        <v>49693</v>
      </c>
      <c r="R70" s="1">
        <v>390</v>
      </c>
      <c r="S70" s="1">
        <v>235</v>
      </c>
      <c r="T70" s="31">
        <v>53193</v>
      </c>
      <c r="U70" s="1" t="s">
        <v>456</v>
      </c>
      <c r="V70" s="1" t="s">
        <v>391</v>
      </c>
      <c r="W70" s="1" t="s">
        <v>85</v>
      </c>
      <c r="X70" s="1" t="s">
        <v>392</v>
      </c>
      <c r="Y70" s="1" t="s">
        <v>539</v>
      </c>
      <c r="Z70" s="1">
        <v>2</v>
      </c>
      <c r="AA70" s="1" t="s">
        <v>230</v>
      </c>
      <c r="AB70" s="1" t="s">
        <v>231</v>
      </c>
      <c r="AC70" s="23">
        <v>75917</v>
      </c>
      <c r="AD70" s="24">
        <v>0.57761921882629397</v>
      </c>
      <c r="AE70" s="1" t="s">
        <v>232</v>
      </c>
      <c r="AF70" s="1">
        <v>0</v>
      </c>
      <c r="AG70" s="1">
        <v>0</v>
      </c>
      <c r="AI70" s="23">
        <v>0</v>
      </c>
      <c r="AJ70" s="1" t="s">
        <v>232</v>
      </c>
      <c r="AK70" s="1">
        <v>0</v>
      </c>
      <c r="AL70" s="1" t="s">
        <v>375</v>
      </c>
      <c r="AM70" s="1">
        <v>175</v>
      </c>
      <c r="AN70" s="1">
        <v>5.8</v>
      </c>
      <c r="AO70" s="1" t="s">
        <v>232</v>
      </c>
      <c r="AR70" s="1" t="s">
        <v>368</v>
      </c>
      <c r="AS70" s="1" t="s">
        <v>369</v>
      </c>
      <c r="AT70" s="1" t="s">
        <v>234</v>
      </c>
      <c r="AU70" s="1" t="s">
        <v>232</v>
      </c>
      <c r="AV70" s="1">
        <v>0</v>
      </c>
      <c r="AW70" s="1" t="s">
        <v>232</v>
      </c>
      <c r="AX70" s="1">
        <v>106</v>
      </c>
      <c r="AY70" s="1" t="s">
        <v>232</v>
      </c>
      <c r="AZ70" s="1" t="s">
        <v>232</v>
      </c>
    </row>
    <row r="71" spans="1:52" x14ac:dyDescent="0.2">
      <c r="A71" s="1" t="s">
        <v>540</v>
      </c>
      <c r="B71" s="31">
        <v>46041</v>
      </c>
      <c r="C71" s="31">
        <v>44246</v>
      </c>
      <c r="D71" s="23">
        <v>428933</v>
      </c>
      <c r="E71" s="23">
        <v>428933</v>
      </c>
      <c r="F71" s="23">
        <v>724000</v>
      </c>
      <c r="G71" s="23">
        <v>858000</v>
      </c>
      <c r="H71" s="31">
        <v>46041</v>
      </c>
      <c r="I71" s="24">
        <v>0.59244875311851497</v>
      </c>
      <c r="J71" s="24">
        <v>0.49992191142191145</v>
      </c>
      <c r="K71" s="1" t="s">
        <v>226</v>
      </c>
      <c r="L71" s="5">
        <v>4.2119383811950684E-2</v>
      </c>
      <c r="M71" s="5">
        <v>2.1193838119506828E-3</v>
      </c>
      <c r="O71" s="31">
        <v>46771</v>
      </c>
      <c r="P71" s="1" t="s">
        <v>363</v>
      </c>
      <c r="Q71" s="31">
        <v>49693</v>
      </c>
      <c r="R71" s="1">
        <v>257</v>
      </c>
      <c r="S71" s="1">
        <v>199</v>
      </c>
      <c r="T71" s="31">
        <v>52097</v>
      </c>
      <c r="U71" s="1" t="s">
        <v>228</v>
      </c>
      <c r="V71" s="1" t="s">
        <v>372</v>
      </c>
      <c r="W71" s="1" t="s">
        <v>85</v>
      </c>
      <c r="X71" s="1" t="s">
        <v>380</v>
      </c>
      <c r="Y71" s="1" t="s">
        <v>541</v>
      </c>
      <c r="Z71" s="1">
        <v>2</v>
      </c>
      <c r="AA71" s="1" t="s">
        <v>367</v>
      </c>
      <c r="AB71" s="1" t="s">
        <v>408</v>
      </c>
      <c r="AC71" s="23">
        <v>30215</v>
      </c>
      <c r="AD71" s="24">
        <v>0.33822767734527592</v>
      </c>
      <c r="AE71" s="1" t="s">
        <v>232</v>
      </c>
      <c r="AF71" s="1">
        <v>0</v>
      </c>
      <c r="AG71" s="1">
        <v>0</v>
      </c>
      <c r="AI71" s="23">
        <v>0</v>
      </c>
      <c r="AJ71" s="1" t="s">
        <v>232</v>
      </c>
      <c r="AK71" s="1">
        <v>0</v>
      </c>
      <c r="AL71" s="1" t="s">
        <v>233</v>
      </c>
      <c r="AM71" s="1">
        <v>0</v>
      </c>
      <c r="AN71" s="1">
        <v>0</v>
      </c>
      <c r="AO71" s="1" t="s">
        <v>232</v>
      </c>
      <c r="AR71" s="1" t="s">
        <v>394</v>
      </c>
      <c r="AS71" s="1" t="s">
        <v>400</v>
      </c>
      <c r="AT71" s="1" t="s">
        <v>234</v>
      </c>
      <c r="AU71" s="1" t="s">
        <v>232</v>
      </c>
      <c r="AV71" s="1">
        <v>0</v>
      </c>
      <c r="AW71" s="1" t="s">
        <v>232</v>
      </c>
      <c r="AX71" s="1">
        <v>999</v>
      </c>
      <c r="AY71" s="1" t="s">
        <v>19</v>
      </c>
      <c r="AZ71" s="1" t="s">
        <v>232</v>
      </c>
    </row>
    <row r="72" spans="1:52" x14ac:dyDescent="0.2">
      <c r="A72" s="1" t="s">
        <v>542</v>
      </c>
      <c r="B72" s="31">
        <v>46041</v>
      </c>
      <c r="C72" s="31">
        <v>43362</v>
      </c>
      <c r="D72" s="23">
        <v>460265</v>
      </c>
      <c r="E72" s="23">
        <v>460265</v>
      </c>
      <c r="F72" s="23">
        <v>727000</v>
      </c>
      <c r="G72" s="23">
        <v>761000</v>
      </c>
      <c r="H72" s="31">
        <v>46041</v>
      </c>
      <c r="I72" s="24">
        <v>0.63310155868530271</v>
      </c>
      <c r="J72" s="24">
        <v>0.60481603153745067</v>
      </c>
      <c r="K72" s="1" t="s">
        <v>226</v>
      </c>
      <c r="L72" s="5">
        <v>3.0620355010032654E-2</v>
      </c>
      <c r="M72" s="5">
        <v>-9.3796449899673472E-3</v>
      </c>
      <c r="O72" s="31">
        <v>46771</v>
      </c>
      <c r="P72" s="1" t="s">
        <v>363</v>
      </c>
      <c r="Q72" s="31">
        <v>49693</v>
      </c>
      <c r="R72" s="1">
        <v>380</v>
      </c>
      <c r="S72" s="1">
        <v>292</v>
      </c>
      <c r="T72" s="31">
        <v>54927</v>
      </c>
      <c r="U72" s="1" t="s">
        <v>371</v>
      </c>
      <c r="V72" s="1" t="s">
        <v>437</v>
      </c>
      <c r="W72" s="1" t="s">
        <v>85</v>
      </c>
      <c r="X72" s="1" t="s">
        <v>410</v>
      </c>
      <c r="Y72" s="1" t="s">
        <v>543</v>
      </c>
      <c r="Z72" s="1">
        <v>1</v>
      </c>
      <c r="AA72" s="1" t="s">
        <v>367</v>
      </c>
      <c r="AB72" s="1" t="s">
        <v>231</v>
      </c>
      <c r="AC72" s="23">
        <v>107041</v>
      </c>
      <c r="AD72" s="24">
        <v>0.46461472511291507</v>
      </c>
      <c r="AE72" s="1" t="s">
        <v>232</v>
      </c>
      <c r="AF72" s="1">
        <v>0</v>
      </c>
      <c r="AG72" s="1">
        <v>0</v>
      </c>
      <c r="AI72" s="23">
        <v>0</v>
      </c>
      <c r="AJ72" s="1" t="s">
        <v>232</v>
      </c>
      <c r="AK72" s="1">
        <v>0</v>
      </c>
      <c r="AL72" s="1" t="s">
        <v>233</v>
      </c>
      <c r="AM72" s="1">
        <v>0</v>
      </c>
      <c r="AN72" s="1">
        <v>0</v>
      </c>
      <c r="AO72" s="1" t="s">
        <v>232</v>
      </c>
      <c r="AR72" s="1" t="s">
        <v>399</v>
      </c>
      <c r="AS72" s="1" t="s">
        <v>400</v>
      </c>
      <c r="AT72" s="1" t="s">
        <v>234</v>
      </c>
      <c r="AU72" s="1" t="s">
        <v>232</v>
      </c>
      <c r="AV72" s="1">
        <v>0</v>
      </c>
      <c r="AW72" s="1" t="s">
        <v>232</v>
      </c>
      <c r="AX72" s="1">
        <v>70</v>
      </c>
      <c r="AY72" s="1" t="s">
        <v>232</v>
      </c>
      <c r="AZ72" s="1" t="s">
        <v>232</v>
      </c>
    </row>
    <row r="73" spans="1:52" x14ac:dyDescent="0.2">
      <c r="A73" s="1" t="s">
        <v>544</v>
      </c>
      <c r="B73" s="31">
        <v>46041</v>
      </c>
      <c r="C73" s="31">
        <v>42023</v>
      </c>
      <c r="D73" s="23">
        <v>1541359</v>
      </c>
      <c r="E73" s="23">
        <v>1541359</v>
      </c>
      <c r="F73" s="23">
        <v>1616000</v>
      </c>
      <c r="G73" s="23">
        <v>1837000</v>
      </c>
      <c r="H73" s="31">
        <v>46041</v>
      </c>
      <c r="I73" s="24">
        <v>0.95381134748458862</v>
      </c>
      <c r="J73" s="24">
        <v>0.83906314643440394</v>
      </c>
      <c r="K73" s="1" t="s">
        <v>226</v>
      </c>
      <c r="L73" s="5">
        <v>4.4760381579399107E-2</v>
      </c>
      <c r="M73" s="5">
        <v>4.7603815793991061E-3</v>
      </c>
      <c r="O73" s="31">
        <v>46771</v>
      </c>
      <c r="P73" s="1" t="s">
        <v>363</v>
      </c>
      <c r="Q73" s="31">
        <v>49693</v>
      </c>
      <c r="R73" s="1">
        <v>289</v>
      </c>
      <c r="S73" s="1">
        <v>157</v>
      </c>
      <c r="T73" s="31">
        <v>50820</v>
      </c>
      <c r="U73" s="1" t="s">
        <v>378</v>
      </c>
      <c r="V73" s="1" t="s">
        <v>437</v>
      </c>
      <c r="W73" s="1" t="s">
        <v>85</v>
      </c>
      <c r="X73" s="1" t="s">
        <v>453</v>
      </c>
      <c r="Y73" s="1" t="s">
        <v>545</v>
      </c>
      <c r="Z73" s="1">
        <v>2</v>
      </c>
      <c r="AA73" s="1" t="s">
        <v>230</v>
      </c>
      <c r="AB73" s="1" t="s">
        <v>231</v>
      </c>
      <c r="AC73" s="23">
        <v>67824</v>
      </c>
      <c r="AD73" s="24">
        <v>0.34567410945892335</v>
      </c>
      <c r="AE73" s="1" t="s">
        <v>232</v>
      </c>
      <c r="AF73" s="1">
        <v>0</v>
      </c>
      <c r="AG73" s="1">
        <v>0</v>
      </c>
      <c r="AI73" s="23">
        <v>0</v>
      </c>
      <c r="AJ73" s="1" t="s">
        <v>232</v>
      </c>
      <c r="AK73" s="1">
        <v>0</v>
      </c>
      <c r="AL73" s="1" t="s">
        <v>233</v>
      </c>
      <c r="AM73" s="1">
        <v>0</v>
      </c>
      <c r="AN73" s="1">
        <v>0</v>
      </c>
      <c r="AO73" s="1" t="s">
        <v>232</v>
      </c>
      <c r="AR73" s="1" t="s">
        <v>399</v>
      </c>
      <c r="AS73" s="1" t="s">
        <v>369</v>
      </c>
      <c r="AT73" s="1" t="s">
        <v>234</v>
      </c>
      <c r="AU73" s="1" t="s">
        <v>232</v>
      </c>
      <c r="AV73" s="1">
        <v>0</v>
      </c>
      <c r="AW73" s="1" t="s">
        <v>232</v>
      </c>
      <c r="AX73" s="1">
        <v>112</v>
      </c>
      <c r="AY73" s="1" t="s">
        <v>232</v>
      </c>
      <c r="AZ73" s="1" t="s">
        <v>232</v>
      </c>
    </row>
    <row r="74" spans="1:52" x14ac:dyDescent="0.2">
      <c r="A74" s="1" t="s">
        <v>546</v>
      </c>
      <c r="B74" s="31">
        <v>46041</v>
      </c>
      <c r="C74" s="31">
        <v>40531</v>
      </c>
      <c r="D74" s="23">
        <v>276835</v>
      </c>
      <c r="E74" s="23">
        <v>165469</v>
      </c>
      <c r="F74" s="23">
        <v>282000</v>
      </c>
      <c r="G74" s="23">
        <v>331000</v>
      </c>
      <c r="H74" s="31">
        <v>46041</v>
      </c>
      <c r="I74" s="24">
        <v>0.98168480694293969</v>
      </c>
      <c r="J74" s="24">
        <v>0.49990634441087611</v>
      </c>
      <c r="K74" s="1" t="s">
        <v>361</v>
      </c>
      <c r="L74" s="5">
        <v>5.072624444961548E-2</v>
      </c>
      <c r="M74" s="5">
        <v>1.072624444961548E-2</v>
      </c>
      <c r="N74" s="1" t="s">
        <v>362</v>
      </c>
      <c r="P74" s="1" t="s">
        <v>227</v>
      </c>
      <c r="R74" s="1">
        <v>240</v>
      </c>
      <c r="S74" s="1">
        <v>59</v>
      </c>
      <c r="T74" s="31">
        <v>47836</v>
      </c>
      <c r="U74" s="1" t="s">
        <v>228</v>
      </c>
      <c r="V74" s="1" t="s">
        <v>372</v>
      </c>
      <c r="W74" s="1" t="s">
        <v>85</v>
      </c>
      <c r="X74" s="1" t="s">
        <v>146</v>
      </c>
      <c r="Y74" s="1" t="s">
        <v>547</v>
      </c>
      <c r="Z74" s="1">
        <v>2</v>
      </c>
      <c r="AA74" s="1" t="s">
        <v>367</v>
      </c>
      <c r="AB74" s="1" t="s">
        <v>231</v>
      </c>
      <c r="AC74" s="23">
        <v>44095</v>
      </c>
      <c r="AD74" s="24">
        <v>0.32154529094696049</v>
      </c>
      <c r="AE74" s="1" t="s">
        <v>232</v>
      </c>
      <c r="AF74" s="1">
        <v>0</v>
      </c>
      <c r="AG74" s="1">
        <v>0</v>
      </c>
      <c r="AI74" s="23">
        <v>0</v>
      </c>
      <c r="AJ74" s="1" t="s">
        <v>232</v>
      </c>
      <c r="AK74" s="1">
        <v>0</v>
      </c>
      <c r="AL74" s="1" t="s">
        <v>233</v>
      </c>
      <c r="AM74" s="1">
        <v>0</v>
      </c>
      <c r="AN74" s="1">
        <v>0</v>
      </c>
      <c r="AO74" s="1" t="s">
        <v>232</v>
      </c>
      <c r="AR74" s="1" t="s">
        <v>394</v>
      </c>
      <c r="AS74" s="1" t="s">
        <v>369</v>
      </c>
      <c r="AT74" s="1" t="s">
        <v>234</v>
      </c>
      <c r="AU74" s="1" t="s">
        <v>232</v>
      </c>
      <c r="AV74" s="1">
        <v>0</v>
      </c>
      <c r="AW74" s="1" t="s">
        <v>232</v>
      </c>
      <c r="AX74" s="1">
        <v>138</v>
      </c>
      <c r="AY74" s="1" t="s">
        <v>232</v>
      </c>
      <c r="AZ74" s="1" t="s">
        <v>232</v>
      </c>
    </row>
    <row r="75" spans="1:52" x14ac:dyDescent="0.2">
      <c r="A75" s="1" t="s">
        <v>548</v>
      </c>
      <c r="B75" s="31">
        <v>46041</v>
      </c>
      <c r="C75" s="31">
        <v>45188</v>
      </c>
      <c r="D75" s="23">
        <v>282910</v>
      </c>
      <c r="E75" s="23">
        <v>282910</v>
      </c>
      <c r="F75" s="23">
        <v>355000</v>
      </c>
      <c r="G75" s="23">
        <v>378000</v>
      </c>
      <c r="H75" s="31">
        <v>46041</v>
      </c>
      <c r="I75" s="24">
        <v>0.79692918360233311</v>
      </c>
      <c r="J75" s="24">
        <v>0.74843915343915346</v>
      </c>
      <c r="K75" s="1" t="s">
        <v>226</v>
      </c>
      <c r="L75" s="5">
        <v>4.1413179636001586E-2</v>
      </c>
      <c r="M75" s="5">
        <v>1.4131796360015852E-3</v>
      </c>
      <c r="O75" s="31">
        <v>46771</v>
      </c>
      <c r="P75" s="1" t="s">
        <v>363</v>
      </c>
      <c r="Q75" s="31">
        <v>49693</v>
      </c>
      <c r="R75" s="1">
        <v>341</v>
      </c>
      <c r="S75" s="1">
        <v>313</v>
      </c>
      <c r="T75" s="31">
        <v>55568</v>
      </c>
      <c r="U75" s="1" t="s">
        <v>228</v>
      </c>
      <c r="V75" s="1" t="s">
        <v>229</v>
      </c>
      <c r="W75" s="1" t="s">
        <v>85</v>
      </c>
      <c r="X75" s="1" t="s">
        <v>147</v>
      </c>
      <c r="Y75" s="1" t="s">
        <v>549</v>
      </c>
      <c r="Z75" s="1">
        <v>2</v>
      </c>
      <c r="AA75" s="1" t="s">
        <v>230</v>
      </c>
      <c r="AB75" s="1" t="s">
        <v>231</v>
      </c>
      <c r="AC75" s="23">
        <v>70660</v>
      </c>
      <c r="AD75" s="24">
        <v>0.47027139663696294</v>
      </c>
      <c r="AE75" s="1" t="s">
        <v>232</v>
      </c>
      <c r="AF75" s="1">
        <v>0</v>
      </c>
      <c r="AG75" s="1">
        <v>0</v>
      </c>
      <c r="AI75" s="23">
        <v>0</v>
      </c>
      <c r="AJ75" s="1" t="s">
        <v>232</v>
      </c>
      <c r="AK75" s="1">
        <v>0</v>
      </c>
      <c r="AL75" s="1" t="s">
        <v>233</v>
      </c>
      <c r="AM75" s="1">
        <v>0</v>
      </c>
      <c r="AN75" s="1">
        <v>0</v>
      </c>
      <c r="AO75" s="1" t="s">
        <v>232</v>
      </c>
      <c r="AR75" s="1" t="s">
        <v>399</v>
      </c>
      <c r="AS75" s="1" t="s">
        <v>400</v>
      </c>
      <c r="AT75" s="1" t="s">
        <v>433</v>
      </c>
      <c r="AU75" s="1" t="s">
        <v>232</v>
      </c>
      <c r="AV75" s="1">
        <v>0</v>
      </c>
      <c r="AW75" s="1" t="s">
        <v>19</v>
      </c>
      <c r="AX75" s="1">
        <v>148</v>
      </c>
      <c r="AY75" s="1" t="s">
        <v>19</v>
      </c>
      <c r="AZ75" s="1" t="s">
        <v>232</v>
      </c>
    </row>
    <row r="76" spans="1:52" x14ac:dyDescent="0.2">
      <c r="A76" s="1" t="s">
        <v>550</v>
      </c>
      <c r="B76" s="31">
        <v>46041</v>
      </c>
      <c r="C76" s="31">
        <v>41324</v>
      </c>
      <c r="D76" s="23">
        <v>1675880</v>
      </c>
      <c r="E76" s="23">
        <v>1098732</v>
      </c>
      <c r="F76" s="23">
        <v>1911000</v>
      </c>
      <c r="G76" s="23">
        <v>1998000</v>
      </c>
      <c r="H76" s="31">
        <v>46041</v>
      </c>
      <c r="I76" s="24">
        <v>0.87696492075920107</v>
      </c>
      <c r="J76" s="24">
        <v>0.54991591591591593</v>
      </c>
      <c r="K76" s="1" t="s">
        <v>226</v>
      </c>
      <c r="L76" s="5">
        <v>4.1563363671302797E-2</v>
      </c>
      <c r="M76" s="5">
        <v>1.5633636713027962E-3</v>
      </c>
      <c r="O76" s="31">
        <v>46771</v>
      </c>
      <c r="P76" s="1" t="s">
        <v>397</v>
      </c>
      <c r="R76" s="1">
        <v>320</v>
      </c>
      <c r="S76" s="1">
        <v>166</v>
      </c>
      <c r="T76" s="31">
        <v>51093</v>
      </c>
      <c r="U76" s="1" t="s">
        <v>378</v>
      </c>
      <c r="V76" s="1" t="s">
        <v>379</v>
      </c>
      <c r="W76" s="1" t="s">
        <v>85</v>
      </c>
      <c r="X76" s="1" t="s">
        <v>388</v>
      </c>
      <c r="Y76" s="1" t="s">
        <v>551</v>
      </c>
      <c r="Z76" s="1">
        <v>1</v>
      </c>
      <c r="AA76" s="1" t="s">
        <v>367</v>
      </c>
      <c r="AB76" s="1" t="s">
        <v>231</v>
      </c>
      <c r="AC76" s="23">
        <v>133525</v>
      </c>
      <c r="AD76" s="24">
        <v>0.42356071472167972</v>
      </c>
      <c r="AE76" s="1" t="s">
        <v>19</v>
      </c>
      <c r="AF76" s="1">
        <v>0</v>
      </c>
      <c r="AG76" s="1">
        <v>0</v>
      </c>
      <c r="AI76" s="23">
        <v>0</v>
      </c>
      <c r="AJ76" s="1" t="s">
        <v>232</v>
      </c>
      <c r="AK76" s="1">
        <v>0</v>
      </c>
      <c r="AL76" s="1" t="s">
        <v>233</v>
      </c>
      <c r="AM76" s="1">
        <v>0</v>
      </c>
      <c r="AN76" s="1">
        <v>0</v>
      </c>
      <c r="AO76" s="1" t="s">
        <v>232</v>
      </c>
      <c r="AR76" s="1" t="s">
        <v>376</v>
      </c>
      <c r="AS76" s="1" t="s">
        <v>369</v>
      </c>
      <c r="AT76" s="1" t="s">
        <v>234</v>
      </c>
      <c r="AU76" s="1" t="s">
        <v>232</v>
      </c>
      <c r="AV76" s="1">
        <v>0</v>
      </c>
      <c r="AW76" s="1" t="s">
        <v>232</v>
      </c>
      <c r="AX76" s="1">
        <v>999</v>
      </c>
      <c r="AY76" s="1" t="s">
        <v>232</v>
      </c>
      <c r="AZ76" s="1" t="s">
        <v>232</v>
      </c>
    </row>
    <row r="77" spans="1:52" x14ac:dyDescent="0.2">
      <c r="A77" s="1" t="s">
        <v>552</v>
      </c>
      <c r="B77" s="31">
        <v>46041</v>
      </c>
      <c r="C77" s="31">
        <v>43909</v>
      </c>
      <c r="D77" s="23">
        <v>933916</v>
      </c>
      <c r="E77" s="23">
        <v>933916</v>
      </c>
      <c r="F77" s="23">
        <v>1862000</v>
      </c>
      <c r="G77" s="23">
        <v>2171000</v>
      </c>
      <c r="H77" s="31">
        <v>46041</v>
      </c>
      <c r="I77" s="24">
        <v>0.50156580805778506</v>
      </c>
      <c r="J77" s="24">
        <v>0.43017779824965452</v>
      </c>
      <c r="K77" s="1" t="s">
        <v>384</v>
      </c>
      <c r="L77" s="5">
        <v>6.0988157987594604E-2</v>
      </c>
      <c r="M77" s="5">
        <v>2.0988157987594604E-2</v>
      </c>
      <c r="P77" s="1" t="s">
        <v>363</v>
      </c>
      <c r="Q77" s="31">
        <v>49693</v>
      </c>
      <c r="R77" s="1">
        <v>299</v>
      </c>
      <c r="S77" s="1">
        <v>229</v>
      </c>
      <c r="T77" s="31">
        <v>53012</v>
      </c>
      <c r="U77" s="1" t="s">
        <v>456</v>
      </c>
      <c r="V77" s="1" t="s">
        <v>229</v>
      </c>
      <c r="W77" s="1" t="s">
        <v>85</v>
      </c>
      <c r="X77" s="1" t="s">
        <v>380</v>
      </c>
      <c r="Y77" s="1" t="s">
        <v>553</v>
      </c>
      <c r="Z77" s="1">
        <v>2</v>
      </c>
      <c r="AA77" s="1" t="s">
        <v>230</v>
      </c>
      <c r="AB77" s="1" t="s">
        <v>231</v>
      </c>
      <c r="AC77" s="23">
        <v>92660</v>
      </c>
      <c r="AD77" s="24">
        <v>0.42854809761047363</v>
      </c>
      <c r="AE77" s="1" t="s">
        <v>232</v>
      </c>
      <c r="AF77" s="1">
        <v>3</v>
      </c>
      <c r="AG77" s="1">
        <v>54</v>
      </c>
      <c r="AH77" s="1" t="s">
        <v>19</v>
      </c>
      <c r="AI77" s="23">
        <v>5799</v>
      </c>
      <c r="AJ77" s="1" t="s">
        <v>232</v>
      </c>
      <c r="AK77" s="1">
        <v>0</v>
      </c>
      <c r="AL77" s="1" t="s">
        <v>233</v>
      </c>
      <c r="AM77" s="1">
        <v>0</v>
      </c>
      <c r="AN77" s="1">
        <v>0</v>
      </c>
      <c r="AO77" s="1" t="s">
        <v>232</v>
      </c>
      <c r="AR77" s="1" t="s">
        <v>376</v>
      </c>
      <c r="AS77" s="1" t="s">
        <v>369</v>
      </c>
      <c r="AT77" s="1" t="s">
        <v>234</v>
      </c>
      <c r="AU77" s="1" t="s">
        <v>232</v>
      </c>
      <c r="AV77" s="1">
        <v>0</v>
      </c>
      <c r="AW77" s="1" t="s">
        <v>232</v>
      </c>
      <c r="AX77" s="1">
        <v>158</v>
      </c>
      <c r="AY77" s="1" t="s">
        <v>232</v>
      </c>
      <c r="AZ77" s="1" t="s">
        <v>232</v>
      </c>
    </row>
    <row r="78" spans="1:52" x14ac:dyDescent="0.2">
      <c r="A78" s="1" t="s">
        <v>554</v>
      </c>
      <c r="B78" s="31">
        <v>46041</v>
      </c>
      <c r="C78" s="31">
        <v>44184</v>
      </c>
      <c r="D78" s="23">
        <v>1572502</v>
      </c>
      <c r="E78" s="23">
        <v>1359305</v>
      </c>
      <c r="F78" s="23">
        <v>1928000</v>
      </c>
      <c r="G78" s="23">
        <v>2355000</v>
      </c>
      <c r="H78" s="31">
        <v>46041</v>
      </c>
      <c r="I78" s="24">
        <v>0.81561290919780738</v>
      </c>
      <c r="J78" s="24">
        <v>0.57719957537154987</v>
      </c>
      <c r="K78" s="1" t="s">
        <v>361</v>
      </c>
      <c r="L78" s="5">
        <v>5.48227596282959E-2</v>
      </c>
      <c r="M78" s="5">
        <v>1.4822759628295899E-2</v>
      </c>
      <c r="N78" s="1" t="s">
        <v>362</v>
      </c>
      <c r="P78" s="1" t="s">
        <v>227</v>
      </c>
      <c r="R78" s="1">
        <v>350</v>
      </c>
      <c r="S78" s="1">
        <v>289</v>
      </c>
      <c r="T78" s="31">
        <v>54838</v>
      </c>
      <c r="U78" s="1" t="s">
        <v>228</v>
      </c>
      <c r="V78" s="1" t="s">
        <v>372</v>
      </c>
      <c r="W78" s="1" t="s">
        <v>365</v>
      </c>
      <c r="X78" s="1" t="s">
        <v>410</v>
      </c>
      <c r="Y78" s="1" t="s">
        <v>555</v>
      </c>
      <c r="Z78" s="1">
        <v>2</v>
      </c>
      <c r="AA78" s="1" t="s">
        <v>230</v>
      </c>
      <c r="AB78" s="1" t="s">
        <v>231</v>
      </c>
      <c r="AC78" s="23">
        <v>123159</v>
      </c>
      <c r="AD78" s="24">
        <v>0.34688944816589357</v>
      </c>
      <c r="AE78" s="1" t="s">
        <v>232</v>
      </c>
      <c r="AF78" s="1">
        <v>0</v>
      </c>
      <c r="AG78" s="1">
        <v>0</v>
      </c>
      <c r="AI78" s="23">
        <v>0</v>
      </c>
      <c r="AJ78" s="1" t="s">
        <v>232</v>
      </c>
      <c r="AK78" s="1">
        <v>0</v>
      </c>
      <c r="AL78" s="1" t="s">
        <v>233</v>
      </c>
      <c r="AM78" s="1">
        <v>0</v>
      </c>
      <c r="AN78" s="1">
        <v>0</v>
      </c>
      <c r="AO78" s="1" t="s">
        <v>232</v>
      </c>
      <c r="AR78" s="1" t="s">
        <v>399</v>
      </c>
      <c r="AS78" s="1" t="s">
        <v>386</v>
      </c>
      <c r="AT78" s="1" t="s">
        <v>234</v>
      </c>
      <c r="AU78" s="1" t="s">
        <v>232</v>
      </c>
      <c r="AV78" s="1">
        <v>1.4929055452346802</v>
      </c>
      <c r="AW78" s="1" t="s">
        <v>232</v>
      </c>
      <c r="AX78" s="1">
        <v>160</v>
      </c>
      <c r="AY78" s="1" t="s">
        <v>232</v>
      </c>
      <c r="AZ78" s="1" t="s">
        <v>232</v>
      </c>
    </row>
    <row r="79" spans="1:52" x14ac:dyDescent="0.2">
      <c r="A79" s="1" t="s">
        <v>556</v>
      </c>
      <c r="B79" s="31">
        <v>46041</v>
      </c>
      <c r="C79" s="31">
        <v>42357</v>
      </c>
      <c r="D79" s="23">
        <v>514979</v>
      </c>
      <c r="E79" s="23">
        <v>376467</v>
      </c>
      <c r="F79" s="23">
        <v>683000</v>
      </c>
      <c r="G79" s="23">
        <v>752000</v>
      </c>
      <c r="H79" s="31">
        <v>46041</v>
      </c>
      <c r="I79" s="24">
        <v>0.75399504601955414</v>
      </c>
      <c r="J79" s="24">
        <v>0.50062101063829789</v>
      </c>
      <c r="K79" s="1" t="s">
        <v>361</v>
      </c>
      <c r="L79" s="5">
        <v>5.2976346015930174E-2</v>
      </c>
      <c r="M79" s="5">
        <v>1.2976346015930174E-2</v>
      </c>
      <c r="N79" s="1" t="s">
        <v>362</v>
      </c>
      <c r="P79" s="1" t="s">
        <v>227</v>
      </c>
      <c r="R79" s="1">
        <v>376</v>
      </c>
      <c r="S79" s="1">
        <v>255</v>
      </c>
      <c r="T79" s="31">
        <v>53801</v>
      </c>
      <c r="U79" s="1" t="s">
        <v>364</v>
      </c>
      <c r="V79" s="1" t="s">
        <v>379</v>
      </c>
      <c r="W79" s="1" t="s">
        <v>85</v>
      </c>
      <c r="X79" s="1" t="s">
        <v>373</v>
      </c>
      <c r="Y79" s="1" t="s">
        <v>557</v>
      </c>
      <c r="Z79" s="1">
        <v>2</v>
      </c>
      <c r="AA79" s="1" t="s">
        <v>367</v>
      </c>
      <c r="AB79" s="1" t="s">
        <v>231</v>
      </c>
      <c r="AC79" s="23">
        <v>116742</v>
      </c>
      <c r="AD79" s="24">
        <v>0.58691875934600835</v>
      </c>
      <c r="AE79" s="1" t="s">
        <v>232</v>
      </c>
      <c r="AF79" s="1">
        <v>0</v>
      </c>
      <c r="AG79" s="1">
        <v>0</v>
      </c>
      <c r="AI79" s="23">
        <v>0</v>
      </c>
      <c r="AJ79" s="1" t="s">
        <v>232</v>
      </c>
      <c r="AK79" s="1">
        <v>0</v>
      </c>
      <c r="AL79" s="1" t="s">
        <v>233</v>
      </c>
      <c r="AM79" s="1">
        <v>0</v>
      </c>
      <c r="AN79" s="1">
        <v>0</v>
      </c>
      <c r="AO79" s="1" t="s">
        <v>232</v>
      </c>
      <c r="AR79" s="1" t="s">
        <v>368</v>
      </c>
      <c r="AS79" s="1" t="s">
        <v>369</v>
      </c>
      <c r="AT79" s="1" t="s">
        <v>234</v>
      </c>
      <c r="AU79" s="1" t="s">
        <v>232</v>
      </c>
      <c r="AV79" s="1">
        <v>0</v>
      </c>
      <c r="AW79" s="1" t="s">
        <v>232</v>
      </c>
      <c r="AX79" s="1">
        <v>999</v>
      </c>
      <c r="AY79" s="1" t="s">
        <v>19</v>
      </c>
      <c r="AZ79" s="1" t="s">
        <v>232</v>
      </c>
    </row>
    <row r="80" spans="1:52" x14ac:dyDescent="0.2">
      <c r="A80" s="1" t="s">
        <v>558</v>
      </c>
      <c r="B80" s="31">
        <v>46041</v>
      </c>
      <c r="C80" s="31">
        <v>40805</v>
      </c>
      <c r="D80" s="23">
        <v>102850</v>
      </c>
      <c r="E80" s="23">
        <v>63533</v>
      </c>
      <c r="F80" s="23">
        <v>121000</v>
      </c>
      <c r="G80" s="23">
        <v>205000</v>
      </c>
      <c r="H80" s="31">
        <v>46041</v>
      </c>
      <c r="I80" s="24">
        <v>0.85000098943710323</v>
      </c>
      <c r="J80" s="24">
        <v>0.30991707317073169</v>
      </c>
      <c r="K80" s="1" t="s">
        <v>226</v>
      </c>
      <c r="L80" s="5">
        <v>3.8314353823661801E-2</v>
      </c>
      <c r="M80" s="5">
        <v>-1.6856461763382E-3</v>
      </c>
      <c r="O80" s="31">
        <v>46771</v>
      </c>
      <c r="P80" s="1" t="s">
        <v>227</v>
      </c>
      <c r="R80" s="1">
        <v>274</v>
      </c>
      <c r="S80" s="1">
        <v>102</v>
      </c>
      <c r="T80" s="31">
        <v>49144</v>
      </c>
      <c r="U80" s="1" t="s">
        <v>371</v>
      </c>
      <c r="V80" s="1" t="s">
        <v>391</v>
      </c>
      <c r="W80" s="1" t="s">
        <v>85</v>
      </c>
      <c r="X80" s="1" t="s">
        <v>146</v>
      </c>
      <c r="Y80" s="1" t="s">
        <v>559</v>
      </c>
      <c r="Z80" s="1">
        <v>2</v>
      </c>
      <c r="AA80" s="1" t="s">
        <v>560</v>
      </c>
      <c r="AB80" s="1" t="s">
        <v>231</v>
      </c>
      <c r="AC80" s="23">
        <v>93477</v>
      </c>
      <c r="AD80" s="24">
        <v>0.59344594478607182</v>
      </c>
      <c r="AE80" s="1" t="s">
        <v>232</v>
      </c>
      <c r="AF80" s="1">
        <v>0</v>
      </c>
      <c r="AG80" s="1">
        <v>0</v>
      </c>
      <c r="AI80" s="23">
        <v>0</v>
      </c>
      <c r="AJ80" s="1" t="s">
        <v>232</v>
      </c>
      <c r="AK80" s="1">
        <v>0</v>
      </c>
      <c r="AL80" s="1" t="s">
        <v>233</v>
      </c>
      <c r="AM80" s="1">
        <v>0</v>
      </c>
      <c r="AN80" s="1">
        <v>0</v>
      </c>
      <c r="AO80" s="1" t="s">
        <v>232</v>
      </c>
      <c r="AR80" s="1" t="s">
        <v>368</v>
      </c>
      <c r="AS80" s="1" t="s">
        <v>386</v>
      </c>
      <c r="AT80" s="1" t="s">
        <v>234</v>
      </c>
      <c r="AU80" s="1" t="s">
        <v>232</v>
      </c>
      <c r="AV80" s="1">
        <v>0</v>
      </c>
      <c r="AW80" s="1" t="s">
        <v>232</v>
      </c>
      <c r="AX80" s="1">
        <v>131</v>
      </c>
      <c r="AY80" s="1" t="s">
        <v>19</v>
      </c>
      <c r="AZ80" s="1" t="s">
        <v>232</v>
      </c>
    </row>
    <row r="81" spans="1:52" x14ac:dyDescent="0.2">
      <c r="A81" s="1" t="s">
        <v>561</v>
      </c>
      <c r="B81" s="31">
        <v>46041</v>
      </c>
      <c r="C81" s="31">
        <v>45279</v>
      </c>
      <c r="D81" s="23">
        <v>877299</v>
      </c>
      <c r="E81" s="23">
        <v>828492</v>
      </c>
      <c r="F81" s="23">
        <v>1185000</v>
      </c>
      <c r="G81" s="23">
        <v>1243000</v>
      </c>
      <c r="H81" s="31">
        <v>46041</v>
      </c>
      <c r="I81" s="24">
        <v>0.74033687412738791</v>
      </c>
      <c r="J81" s="24">
        <v>0.66652614641995178</v>
      </c>
      <c r="K81" s="1" t="s">
        <v>226</v>
      </c>
      <c r="L81" s="5">
        <v>3.8806737661361695E-2</v>
      </c>
      <c r="M81" s="5">
        <v>-1.1932623386383054E-3</v>
      </c>
      <c r="O81" s="31">
        <v>46771</v>
      </c>
      <c r="P81" s="1" t="s">
        <v>397</v>
      </c>
      <c r="R81" s="1">
        <v>414</v>
      </c>
      <c r="S81" s="1">
        <v>389</v>
      </c>
      <c r="T81" s="31">
        <v>57880</v>
      </c>
      <c r="U81" s="1" t="s">
        <v>424</v>
      </c>
      <c r="V81" s="1" t="s">
        <v>372</v>
      </c>
      <c r="W81" s="1" t="s">
        <v>365</v>
      </c>
      <c r="X81" s="1" t="s">
        <v>147</v>
      </c>
      <c r="Y81" s="1" t="s">
        <v>562</v>
      </c>
      <c r="Z81" s="1">
        <v>2</v>
      </c>
      <c r="AA81" s="1" t="s">
        <v>230</v>
      </c>
      <c r="AB81" s="1" t="s">
        <v>231</v>
      </c>
      <c r="AC81" s="23">
        <v>148766</v>
      </c>
      <c r="AD81" s="24">
        <v>0.33032398223876958</v>
      </c>
      <c r="AE81" s="1" t="s">
        <v>232</v>
      </c>
      <c r="AF81" s="1">
        <v>0</v>
      </c>
      <c r="AG81" s="1">
        <v>0</v>
      </c>
      <c r="AI81" s="23">
        <v>0</v>
      </c>
      <c r="AJ81" s="1" t="s">
        <v>232</v>
      </c>
      <c r="AK81" s="1">
        <v>0</v>
      </c>
      <c r="AL81" s="1" t="s">
        <v>233</v>
      </c>
      <c r="AM81" s="1">
        <v>0</v>
      </c>
      <c r="AN81" s="1">
        <v>0</v>
      </c>
      <c r="AO81" s="1" t="s">
        <v>232</v>
      </c>
      <c r="AR81" s="1" t="s">
        <v>394</v>
      </c>
      <c r="AS81" s="1" t="s">
        <v>369</v>
      </c>
      <c r="AT81" s="1" t="s">
        <v>234</v>
      </c>
      <c r="AU81" s="1" t="s">
        <v>232</v>
      </c>
      <c r="AV81" s="1">
        <v>1.3309525489807128</v>
      </c>
      <c r="AW81" s="1" t="s">
        <v>232</v>
      </c>
      <c r="AX81" s="1">
        <v>999</v>
      </c>
      <c r="AY81" s="1" t="s">
        <v>232</v>
      </c>
      <c r="AZ81" s="1" t="s">
        <v>232</v>
      </c>
    </row>
    <row r="82" spans="1:52" x14ac:dyDescent="0.2">
      <c r="A82" s="1" t="s">
        <v>563</v>
      </c>
      <c r="B82" s="31">
        <v>46041</v>
      </c>
      <c r="C82" s="31">
        <v>41931</v>
      </c>
      <c r="D82" s="23">
        <v>727371</v>
      </c>
      <c r="E82" s="23">
        <v>509110</v>
      </c>
      <c r="F82" s="23">
        <v>1649000</v>
      </c>
      <c r="G82" s="23">
        <v>2215000</v>
      </c>
      <c r="H82" s="31">
        <v>46041</v>
      </c>
      <c r="I82" s="24">
        <v>0.44109817743301394</v>
      </c>
      <c r="J82" s="24">
        <v>0.22984650112866817</v>
      </c>
      <c r="K82" s="1" t="s">
        <v>226</v>
      </c>
      <c r="L82" s="5">
        <v>2.5053065419197083E-2</v>
      </c>
      <c r="M82" s="5">
        <v>-1.4946934580802918E-2</v>
      </c>
      <c r="O82" s="31">
        <v>46771</v>
      </c>
      <c r="P82" s="1" t="s">
        <v>227</v>
      </c>
      <c r="R82" s="1">
        <v>350</v>
      </c>
      <c r="S82" s="1">
        <v>215</v>
      </c>
      <c r="T82" s="31">
        <v>52584</v>
      </c>
      <c r="U82" s="1" t="s">
        <v>228</v>
      </c>
      <c r="V82" s="1" t="s">
        <v>229</v>
      </c>
      <c r="W82" s="1" t="s">
        <v>85</v>
      </c>
      <c r="X82" s="1" t="s">
        <v>147</v>
      </c>
      <c r="Y82" s="1" t="s">
        <v>564</v>
      </c>
      <c r="Z82" s="1">
        <v>1</v>
      </c>
      <c r="AA82" s="1" t="s">
        <v>230</v>
      </c>
      <c r="AB82" s="1" t="s">
        <v>231</v>
      </c>
      <c r="AC82" s="23">
        <v>78906</v>
      </c>
      <c r="AD82" s="24">
        <v>0.46840374469757085</v>
      </c>
      <c r="AE82" s="1" t="s">
        <v>19</v>
      </c>
      <c r="AF82" s="1">
        <v>2</v>
      </c>
      <c r="AG82" s="1">
        <v>44</v>
      </c>
      <c r="AH82" s="1" t="s">
        <v>232</v>
      </c>
      <c r="AI82" s="23">
        <v>10163</v>
      </c>
      <c r="AJ82" s="1" t="s">
        <v>232</v>
      </c>
      <c r="AK82" s="1">
        <v>0</v>
      </c>
      <c r="AL82" s="1" t="s">
        <v>233</v>
      </c>
      <c r="AM82" s="1">
        <v>0</v>
      </c>
      <c r="AN82" s="1">
        <v>0</v>
      </c>
      <c r="AO82" s="1" t="s">
        <v>232</v>
      </c>
      <c r="AR82" s="1" t="s">
        <v>394</v>
      </c>
      <c r="AS82" s="1" t="s">
        <v>369</v>
      </c>
      <c r="AT82" s="1" t="s">
        <v>234</v>
      </c>
      <c r="AU82" s="1" t="s">
        <v>232</v>
      </c>
      <c r="AV82" s="1">
        <v>0</v>
      </c>
      <c r="AW82" s="1" t="s">
        <v>232</v>
      </c>
      <c r="AX82" s="1">
        <v>122</v>
      </c>
      <c r="AY82" s="1" t="s">
        <v>232</v>
      </c>
      <c r="AZ82" s="1" t="s">
        <v>232</v>
      </c>
    </row>
    <row r="83" spans="1:52" x14ac:dyDescent="0.2">
      <c r="A83" s="1" t="s">
        <v>565</v>
      </c>
      <c r="B83" s="31">
        <v>46041</v>
      </c>
      <c r="C83" s="31">
        <v>42023</v>
      </c>
      <c r="D83" s="23">
        <v>1109172</v>
      </c>
      <c r="E83" s="23">
        <v>783795</v>
      </c>
      <c r="F83" s="23">
        <v>1850000</v>
      </c>
      <c r="G83" s="23">
        <v>2758000</v>
      </c>
      <c r="H83" s="31">
        <v>46041</v>
      </c>
      <c r="I83" s="24">
        <v>0.59955238103866582</v>
      </c>
      <c r="J83" s="24">
        <v>0.28418963016678755</v>
      </c>
      <c r="K83" s="1" t="s">
        <v>384</v>
      </c>
      <c r="L83" s="5">
        <v>6.1213617026805882E-2</v>
      </c>
      <c r="M83" s="5">
        <v>2.1213617026805881E-2</v>
      </c>
      <c r="P83" s="1" t="s">
        <v>397</v>
      </c>
      <c r="R83" s="1">
        <v>278</v>
      </c>
      <c r="S83" s="1">
        <v>146</v>
      </c>
      <c r="T83" s="31">
        <v>50483</v>
      </c>
      <c r="U83" s="1" t="s">
        <v>364</v>
      </c>
      <c r="V83" s="1" t="s">
        <v>379</v>
      </c>
      <c r="W83" s="1" t="s">
        <v>85</v>
      </c>
      <c r="X83" s="1" t="s">
        <v>392</v>
      </c>
      <c r="Y83" s="1" t="s">
        <v>566</v>
      </c>
      <c r="Z83" s="1">
        <v>2</v>
      </c>
      <c r="AA83" s="1" t="s">
        <v>230</v>
      </c>
      <c r="AB83" s="1" t="s">
        <v>231</v>
      </c>
      <c r="AC83" s="23">
        <v>78605</v>
      </c>
      <c r="AD83" s="24">
        <v>0.34202044010162358</v>
      </c>
      <c r="AE83" s="1" t="s">
        <v>232</v>
      </c>
      <c r="AF83" s="1">
        <v>0</v>
      </c>
      <c r="AG83" s="1">
        <v>0</v>
      </c>
      <c r="AI83" s="23">
        <v>0</v>
      </c>
      <c r="AJ83" s="1" t="s">
        <v>232</v>
      </c>
      <c r="AK83" s="1">
        <v>0</v>
      </c>
      <c r="AL83" s="1" t="s">
        <v>233</v>
      </c>
      <c r="AM83" s="1">
        <v>0</v>
      </c>
      <c r="AN83" s="1">
        <v>0</v>
      </c>
      <c r="AO83" s="1" t="s">
        <v>232</v>
      </c>
      <c r="AR83" s="1" t="s">
        <v>399</v>
      </c>
      <c r="AS83" s="1" t="s">
        <v>400</v>
      </c>
      <c r="AT83" s="1" t="s">
        <v>234</v>
      </c>
      <c r="AU83" s="1" t="s">
        <v>232</v>
      </c>
      <c r="AV83" s="1">
        <v>0</v>
      </c>
      <c r="AW83" s="1" t="s">
        <v>232</v>
      </c>
      <c r="AX83" s="1">
        <v>999</v>
      </c>
      <c r="AY83" s="1" t="s">
        <v>232</v>
      </c>
      <c r="AZ83" s="1" t="s">
        <v>232</v>
      </c>
    </row>
    <row r="84" spans="1:52" x14ac:dyDescent="0.2">
      <c r="A84" s="1" t="s">
        <v>567</v>
      </c>
      <c r="B84" s="31">
        <v>46041</v>
      </c>
      <c r="C84" s="31">
        <v>41536</v>
      </c>
      <c r="D84" s="23">
        <v>1043262</v>
      </c>
      <c r="E84" s="23">
        <v>700126</v>
      </c>
      <c r="F84" s="23">
        <v>1545000</v>
      </c>
      <c r="G84" s="23">
        <v>2397000</v>
      </c>
      <c r="H84" s="31">
        <v>46041</v>
      </c>
      <c r="I84" s="24">
        <v>0.67525057792663579</v>
      </c>
      <c r="J84" s="24">
        <v>0.29208427200667503</v>
      </c>
      <c r="K84" s="1" t="s">
        <v>384</v>
      </c>
      <c r="L84" s="5">
        <v>5.817009955644608E-2</v>
      </c>
      <c r="M84" s="5">
        <v>1.8170099556446079E-2</v>
      </c>
      <c r="P84" s="1" t="s">
        <v>227</v>
      </c>
      <c r="R84" s="1">
        <v>331</v>
      </c>
      <c r="S84" s="1">
        <v>183</v>
      </c>
      <c r="T84" s="31">
        <v>51610</v>
      </c>
      <c r="U84" s="1" t="s">
        <v>456</v>
      </c>
      <c r="V84" s="1" t="s">
        <v>372</v>
      </c>
      <c r="W84" s="1" t="s">
        <v>85</v>
      </c>
      <c r="X84" s="1" t="s">
        <v>373</v>
      </c>
      <c r="Y84" s="1" t="s">
        <v>568</v>
      </c>
      <c r="Z84" s="1">
        <v>1</v>
      </c>
      <c r="AA84" s="1" t="s">
        <v>230</v>
      </c>
      <c r="AB84" s="1" t="s">
        <v>231</v>
      </c>
      <c r="AC84" s="23">
        <v>35619</v>
      </c>
      <c r="AD84" s="24">
        <v>0.3699732542037964</v>
      </c>
      <c r="AE84" s="1" t="s">
        <v>232</v>
      </c>
      <c r="AF84" s="1">
        <v>3</v>
      </c>
      <c r="AG84" s="1">
        <v>12</v>
      </c>
      <c r="AH84" s="1" t="s">
        <v>19</v>
      </c>
      <c r="AI84" s="23">
        <v>7490</v>
      </c>
      <c r="AJ84" s="1" t="s">
        <v>232</v>
      </c>
      <c r="AK84" s="1">
        <v>0</v>
      </c>
      <c r="AL84" s="1" t="s">
        <v>233</v>
      </c>
      <c r="AM84" s="1">
        <v>0</v>
      </c>
      <c r="AN84" s="1">
        <v>0</v>
      </c>
      <c r="AO84" s="1" t="s">
        <v>232</v>
      </c>
      <c r="AR84" s="1" t="s">
        <v>399</v>
      </c>
      <c r="AS84" s="1" t="s">
        <v>400</v>
      </c>
      <c r="AT84" s="1" t="s">
        <v>234</v>
      </c>
      <c r="AU84" s="1" t="s">
        <v>232</v>
      </c>
      <c r="AV84" s="1">
        <v>0</v>
      </c>
      <c r="AW84" s="1" t="s">
        <v>232</v>
      </c>
      <c r="AX84" s="1">
        <v>999</v>
      </c>
      <c r="AY84" s="1" t="s">
        <v>232</v>
      </c>
      <c r="AZ84" s="1" t="s">
        <v>232</v>
      </c>
    </row>
    <row r="85" spans="1:52" x14ac:dyDescent="0.2">
      <c r="A85" s="1" t="s">
        <v>569</v>
      </c>
      <c r="B85" s="31">
        <v>46041</v>
      </c>
      <c r="C85" s="31">
        <v>42509</v>
      </c>
      <c r="D85" s="23">
        <v>110422</v>
      </c>
      <c r="E85" s="23">
        <v>110422</v>
      </c>
      <c r="F85" s="23">
        <v>119000</v>
      </c>
      <c r="G85" s="23">
        <v>148000</v>
      </c>
      <c r="H85" s="31">
        <v>46041</v>
      </c>
      <c r="I85" s="24">
        <v>0.92791363298892982</v>
      </c>
      <c r="J85" s="24">
        <v>0.7460945945945946</v>
      </c>
      <c r="K85" s="1" t="s">
        <v>226</v>
      </c>
      <c r="L85" s="5">
        <v>4.3517833948135375E-2</v>
      </c>
      <c r="M85" s="5">
        <v>3.5178339481353738E-3</v>
      </c>
      <c r="O85" s="31">
        <v>46771</v>
      </c>
      <c r="P85" s="1" t="s">
        <v>363</v>
      </c>
      <c r="Q85" s="31">
        <v>49693</v>
      </c>
      <c r="R85" s="1">
        <v>339</v>
      </c>
      <c r="S85" s="1">
        <v>223</v>
      </c>
      <c r="T85" s="31">
        <v>52828</v>
      </c>
      <c r="U85" s="1" t="s">
        <v>371</v>
      </c>
      <c r="V85" s="1" t="s">
        <v>379</v>
      </c>
      <c r="W85" s="1" t="s">
        <v>85</v>
      </c>
      <c r="X85" s="1" t="s">
        <v>373</v>
      </c>
      <c r="Y85" s="1" t="s">
        <v>570</v>
      </c>
      <c r="Z85" s="1">
        <v>2</v>
      </c>
      <c r="AA85" s="1" t="s">
        <v>230</v>
      </c>
      <c r="AB85" s="1" t="s">
        <v>231</v>
      </c>
      <c r="AC85" s="23">
        <v>116685</v>
      </c>
      <c r="AD85" s="24">
        <v>0.37837800979614261</v>
      </c>
      <c r="AE85" s="1" t="s">
        <v>232</v>
      </c>
      <c r="AF85" s="1">
        <v>0</v>
      </c>
      <c r="AG85" s="1">
        <v>0</v>
      </c>
      <c r="AI85" s="23">
        <v>0</v>
      </c>
      <c r="AJ85" s="1" t="s">
        <v>232</v>
      </c>
      <c r="AK85" s="1">
        <v>0</v>
      </c>
      <c r="AL85" s="1" t="s">
        <v>447</v>
      </c>
      <c r="AM85" s="1">
        <v>22</v>
      </c>
      <c r="AN85" s="1">
        <v>0.7</v>
      </c>
      <c r="AO85" s="1" t="s">
        <v>232</v>
      </c>
      <c r="AR85" s="1" t="s">
        <v>394</v>
      </c>
      <c r="AS85" s="1" t="s">
        <v>369</v>
      </c>
      <c r="AT85" s="1" t="s">
        <v>234</v>
      </c>
      <c r="AU85" s="1" t="s">
        <v>232</v>
      </c>
      <c r="AV85" s="1">
        <v>0</v>
      </c>
      <c r="AW85" s="1" t="s">
        <v>232</v>
      </c>
      <c r="AX85" s="1">
        <v>175</v>
      </c>
      <c r="AY85" s="1" t="s">
        <v>232</v>
      </c>
      <c r="AZ85" s="1" t="s">
        <v>232</v>
      </c>
    </row>
    <row r="86" spans="1:52" x14ac:dyDescent="0.2">
      <c r="A86" s="1" t="s">
        <v>571</v>
      </c>
      <c r="B86" s="31">
        <v>46041</v>
      </c>
      <c r="C86" s="31">
        <v>45188</v>
      </c>
      <c r="D86" s="23">
        <v>261563</v>
      </c>
      <c r="E86" s="23">
        <v>245274</v>
      </c>
      <c r="F86" s="23">
        <v>322000</v>
      </c>
      <c r="G86" s="23">
        <v>322000</v>
      </c>
      <c r="H86" s="31">
        <v>46041</v>
      </c>
      <c r="I86" s="24">
        <v>0.81230874359607697</v>
      </c>
      <c r="J86" s="24">
        <v>0.7617204968944099</v>
      </c>
      <c r="K86" s="1" t="s">
        <v>384</v>
      </c>
      <c r="L86" s="5">
        <v>5.9933391213417057E-2</v>
      </c>
      <c r="M86" s="5">
        <v>1.9933391213417057E-2</v>
      </c>
      <c r="P86" s="1" t="s">
        <v>227</v>
      </c>
      <c r="R86" s="1">
        <v>244</v>
      </c>
      <c r="S86" s="1">
        <v>216</v>
      </c>
      <c r="T86" s="31">
        <v>52615</v>
      </c>
      <c r="U86" s="1" t="s">
        <v>364</v>
      </c>
      <c r="V86" s="1" t="s">
        <v>437</v>
      </c>
      <c r="W86" s="1" t="s">
        <v>365</v>
      </c>
      <c r="X86" s="1" t="s">
        <v>572</v>
      </c>
      <c r="Y86" s="1" t="s">
        <v>573</v>
      </c>
      <c r="Z86" s="1">
        <v>1</v>
      </c>
      <c r="AA86" s="1" t="s">
        <v>230</v>
      </c>
      <c r="AB86" s="1" t="s">
        <v>231</v>
      </c>
      <c r="AC86" s="23">
        <v>47760</v>
      </c>
      <c r="AD86" s="24">
        <v>0.3058189392089844</v>
      </c>
      <c r="AE86" s="1" t="s">
        <v>232</v>
      </c>
      <c r="AF86" s="1">
        <v>0</v>
      </c>
      <c r="AG86" s="1">
        <v>0</v>
      </c>
      <c r="AI86" s="23">
        <v>0</v>
      </c>
      <c r="AJ86" s="1" t="s">
        <v>232</v>
      </c>
      <c r="AK86" s="1">
        <v>0</v>
      </c>
      <c r="AL86" s="1" t="s">
        <v>233</v>
      </c>
      <c r="AM86" s="1">
        <v>0</v>
      </c>
      <c r="AN86" s="1">
        <v>0</v>
      </c>
      <c r="AO86" s="1" t="s">
        <v>232</v>
      </c>
      <c r="AR86" s="1" t="s">
        <v>405</v>
      </c>
      <c r="AS86" s="1" t="s">
        <v>400</v>
      </c>
      <c r="AT86" s="1" t="s">
        <v>234</v>
      </c>
      <c r="AU86" s="1" t="s">
        <v>19</v>
      </c>
      <c r="AV86" s="1">
        <v>1.1756708145141601</v>
      </c>
      <c r="AW86" s="1" t="s">
        <v>19</v>
      </c>
      <c r="AX86" s="1">
        <v>163</v>
      </c>
      <c r="AY86" s="1" t="s">
        <v>232</v>
      </c>
      <c r="AZ86" s="1" t="s">
        <v>232</v>
      </c>
    </row>
    <row r="87" spans="1:52" x14ac:dyDescent="0.2">
      <c r="A87" s="1" t="s">
        <v>574</v>
      </c>
      <c r="B87" s="31">
        <v>46041</v>
      </c>
      <c r="C87" s="31">
        <v>44700</v>
      </c>
      <c r="D87" s="23">
        <v>150957</v>
      </c>
      <c r="E87" s="23">
        <v>136177</v>
      </c>
      <c r="F87" s="23">
        <v>171000</v>
      </c>
      <c r="G87" s="23">
        <v>173000</v>
      </c>
      <c r="H87" s="31">
        <v>46041</v>
      </c>
      <c r="I87" s="24">
        <v>0.88278802931308742</v>
      </c>
      <c r="J87" s="24">
        <v>0.78715028901734108</v>
      </c>
      <c r="K87" s="1" t="s">
        <v>384</v>
      </c>
      <c r="L87" s="5">
        <v>5.1706442236900331E-2</v>
      </c>
      <c r="M87" s="5">
        <v>1.170644223690033E-2</v>
      </c>
      <c r="P87" s="1" t="s">
        <v>227</v>
      </c>
      <c r="R87" s="1">
        <v>380</v>
      </c>
      <c r="S87" s="1">
        <v>336</v>
      </c>
      <c r="T87" s="31">
        <v>56268</v>
      </c>
      <c r="U87" s="1" t="s">
        <v>228</v>
      </c>
      <c r="V87" s="1" t="s">
        <v>437</v>
      </c>
      <c r="W87" s="1" t="s">
        <v>85</v>
      </c>
      <c r="X87" s="1" t="s">
        <v>147</v>
      </c>
      <c r="Y87" s="1" t="s">
        <v>575</v>
      </c>
      <c r="Z87" s="1">
        <v>2</v>
      </c>
      <c r="AA87" s="1" t="s">
        <v>230</v>
      </c>
      <c r="AB87" s="1" t="s">
        <v>231</v>
      </c>
      <c r="AC87" s="23">
        <v>60661</v>
      </c>
      <c r="AD87" s="24">
        <v>0.44155607223510746</v>
      </c>
      <c r="AE87" s="1" t="s">
        <v>19</v>
      </c>
      <c r="AF87" s="1">
        <v>0</v>
      </c>
      <c r="AG87" s="1">
        <v>0</v>
      </c>
      <c r="AI87" s="23">
        <v>0</v>
      </c>
      <c r="AJ87" s="1" t="s">
        <v>232</v>
      </c>
      <c r="AK87" s="1">
        <v>0</v>
      </c>
      <c r="AL87" s="1" t="s">
        <v>233</v>
      </c>
      <c r="AM87" s="1">
        <v>0</v>
      </c>
      <c r="AN87" s="1">
        <v>0</v>
      </c>
      <c r="AO87" s="1" t="s">
        <v>232</v>
      </c>
      <c r="AR87" s="1" t="s">
        <v>405</v>
      </c>
      <c r="AS87" s="1" t="s">
        <v>369</v>
      </c>
      <c r="AT87" s="1" t="s">
        <v>234</v>
      </c>
      <c r="AU87" s="1" t="s">
        <v>232</v>
      </c>
      <c r="AV87" s="1">
        <v>0</v>
      </c>
      <c r="AW87" s="1" t="s">
        <v>232</v>
      </c>
      <c r="AX87" s="1">
        <v>55</v>
      </c>
      <c r="AY87" s="1" t="s">
        <v>232</v>
      </c>
      <c r="AZ87" s="1" t="s">
        <v>232</v>
      </c>
    </row>
    <row r="88" spans="1:52" x14ac:dyDescent="0.2">
      <c r="A88" s="1" t="s">
        <v>576</v>
      </c>
      <c r="B88" s="31">
        <v>46041</v>
      </c>
      <c r="C88" s="31">
        <v>42570</v>
      </c>
      <c r="D88" s="23">
        <v>1037723</v>
      </c>
      <c r="E88" s="23">
        <v>1037723</v>
      </c>
      <c r="F88" s="23">
        <v>1272000</v>
      </c>
      <c r="G88" s="23">
        <v>1682000</v>
      </c>
      <c r="H88" s="31">
        <v>46041</v>
      </c>
      <c r="I88" s="24">
        <v>0.81582030653953552</v>
      </c>
      <c r="J88" s="24">
        <v>0.61695778834720572</v>
      </c>
      <c r="K88" s="1" t="s">
        <v>396</v>
      </c>
      <c r="L88" s="5">
        <v>4.1641976535320285E-2</v>
      </c>
      <c r="M88" s="5">
        <v>1.6419765353202845E-3</v>
      </c>
      <c r="P88" s="1" t="s">
        <v>363</v>
      </c>
      <c r="Q88" s="31">
        <v>49693</v>
      </c>
      <c r="R88" s="1">
        <v>290</v>
      </c>
      <c r="S88" s="1">
        <v>176</v>
      </c>
      <c r="T88" s="31">
        <v>51398</v>
      </c>
      <c r="U88" s="1" t="s">
        <v>424</v>
      </c>
      <c r="V88" s="1" t="s">
        <v>229</v>
      </c>
      <c r="W88" s="1" t="s">
        <v>85</v>
      </c>
      <c r="X88" s="1" t="s">
        <v>485</v>
      </c>
      <c r="Y88" s="1" t="s">
        <v>577</v>
      </c>
      <c r="Z88" s="1">
        <v>2</v>
      </c>
      <c r="AA88" s="1" t="s">
        <v>230</v>
      </c>
      <c r="AB88" s="1" t="s">
        <v>231</v>
      </c>
      <c r="AC88" s="23">
        <v>96599</v>
      </c>
      <c r="AD88" s="24">
        <v>0.30484983921051029</v>
      </c>
      <c r="AE88" s="1" t="s">
        <v>232</v>
      </c>
      <c r="AF88" s="1">
        <v>0</v>
      </c>
      <c r="AG88" s="1">
        <v>0</v>
      </c>
      <c r="AI88" s="23">
        <v>0</v>
      </c>
      <c r="AJ88" s="1" t="s">
        <v>232</v>
      </c>
      <c r="AK88" s="1">
        <v>0</v>
      </c>
      <c r="AL88" s="1" t="s">
        <v>233</v>
      </c>
      <c r="AM88" s="1">
        <v>0</v>
      </c>
      <c r="AN88" s="1">
        <v>0</v>
      </c>
      <c r="AO88" s="1" t="s">
        <v>232</v>
      </c>
      <c r="AR88" s="1" t="s">
        <v>376</v>
      </c>
      <c r="AS88" s="1" t="s">
        <v>369</v>
      </c>
      <c r="AT88" s="1" t="s">
        <v>234</v>
      </c>
      <c r="AU88" s="1" t="s">
        <v>232</v>
      </c>
      <c r="AV88" s="1">
        <v>0</v>
      </c>
      <c r="AW88" s="1" t="s">
        <v>232</v>
      </c>
      <c r="AX88" s="1">
        <v>999</v>
      </c>
      <c r="AY88" s="1" t="s">
        <v>232</v>
      </c>
      <c r="AZ88" s="1" t="s">
        <v>232</v>
      </c>
    </row>
    <row r="89" spans="1:52" x14ac:dyDescent="0.2">
      <c r="A89" s="1" t="s">
        <v>578</v>
      </c>
      <c r="B89" s="31">
        <v>46041</v>
      </c>
      <c r="C89" s="31">
        <v>40317</v>
      </c>
      <c r="D89" s="23">
        <v>1549277</v>
      </c>
      <c r="E89" s="23">
        <v>901826</v>
      </c>
      <c r="F89" s="23">
        <v>1825000</v>
      </c>
      <c r="G89" s="23">
        <v>2085000</v>
      </c>
      <c r="H89" s="31">
        <v>46041</v>
      </c>
      <c r="I89" s="24">
        <v>0.84891915321350098</v>
      </c>
      <c r="J89" s="24">
        <v>0.43253045563549158</v>
      </c>
      <c r="K89" s="1" t="s">
        <v>361</v>
      </c>
      <c r="L89" s="5">
        <v>4.1447111368179322E-2</v>
      </c>
      <c r="M89" s="5">
        <v>1.4471113681793213E-3</v>
      </c>
      <c r="N89" s="1" t="s">
        <v>362</v>
      </c>
      <c r="P89" s="1" t="s">
        <v>227</v>
      </c>
      <c r="R89" s="1">
        <v>317</v>
      </c>
      <c r="S89" s="1">
        <v>129</v>
      </c>
      <c r="T89" s="31">
        <v>49967</v>
      </c>
      <c r="U89" s="1" t="s">
        <v>228</v>
      </c>
      <c r="V89" s="1" t="s">
        <v>229</v>
      </c>
      <c r="W89" s="1" t="s">
        <v>85</v>
      </c>
      <c r="X89" s="1" t="s">
        <v>388</v>
      </c>
      <c r="Y89" s="1" t="s">
        <v>579</v>
      </c>
      <c r="Z89" s="1">
        <v>2</v>
      </c>
      <c r="AA89" s="1" t="s">
        <v>230</v>
      </c>
      <c r="AB89" s="1" t="s">
        <v>231</v>
      </c>
      <c r="AC89" s="23">
        <v>45816</v>
      </c>
      <c r="AD89" s="24">
        <v>0.2717110395431519</v>
      </c>
      <c r="AE89" s="1" t="s">
        <v>232</v>
      </c>
      <c r="AF89" s="1">
        <v>0</v>
      </c>
      <c r="AG89" s="1">
        <v>0</v>
      </c>
      <c r="AI89" s="23">
        <v>0</v>
      </c>
      <c r="AJ89" s="1" t="s">
        <v>232</v>
      </c>
      <c r="AK89" s="1">
        <v>0</v>
      </c>
      <c r="AL89" s="1" t="s">
        <v>428</v>
      </c>
      <c r="AM89" s="1">
        <v>70</v>
      </c>
      <c r="AN89" s="1">
        <v>2.2999999999999998</v>
      </c>
      <c r="AO89" s="1" t="s">
        <v>232</v>
      </c>
      <c r="AR89" s="1" t="s">
        <v>376</v>
      </c>
      <c r="AS89" s="1" t="s">
        <v>386</v>
      </c>
      <c r="AT89" s="1" t="s">
        <v>234</v>
      </c>
      <c r="AU89" s="1" t="s">
        <v>232</v>
      </c>
      <c r="AV89" s="1">
        <v>0</v>
      </c>
      <c r="AW89" s="1" t="s">
        <v>232</v>
      </c>
      <c r="AX89" s="1">
        <v>196</v>
      </c>
      <c r="AY89" s="1" t="s">
        <v>232</v>
      </c>
      <c r="AZ89" s="1" t="s">
        <v>232</v>
      </c>
    </row>
    <row r="90" spans="1:52" x14ac:dyDescent="0.2">
      <c r="A90" s="1" t="s">
        <v>580</v>
      </c>
      <c r="B90" s="31">
        <v>46041</v>
      </c>
      <c r="C90" s="31">
        <v>43543</v>
      </c>
      <c r="D90" s="23">
        <v>271066</v>
      </c>
      <c r="E90" s="23">
        <v>271066</v>
      </c>
      <c r="F90" s="23">
        <v>277000</v>
      </c>
      <c r="G90" s="23">
        <v>306000</v>
      </c>
      <c r="H90" s="31">
        <v>46041</v>
      </c>
      <c r="I90" s="24">
        <v>0.97857626676559439</v>
      </c>
      <c r="J90" s="24">
        <v>0.88583660130718955</v>
      </c>
      <c r="K90" s="1" t="s">
        <v>226</v>
      </c>
      <c r="L90" s="5">
        <v>4.2299157977104186E-2</v>
      </c>
      <c r="M90" s="5">
        <v>2.2991579771041853E-3</v>
      </c>
      <c r="O90" s="31">
        <v>46771</v>
      </c>
      <c r="P90" s="1" t="s">
        <v>363</v>
      </c>
      <c r="Q90" s="31">
        <v>49693</v>
      </c>
      <c r="R90" s="1">
        <v>281</v>
      </c>
      <c r="S90" s="1">
        <v>199</v>
      </c>
      <c r="T90" s="31">
        <v>52097</v>
      </c>
      <c r="U90" s="1" t="s">
        <v>378</v>
      </c>
      <c r="V90" s="1" t="s">
        <v>229</v>
      </c>
      <c r="W90" s="1" t="s">
        <v>85</v>
      </c>
      <c r="X90" s="1" t="s">
        <v>380</v>
      </c>
      <c r="Y90" s="1" t="s">
        <v>581</v>
      </c>
      <c r="Z90" s="1">
        <v>2</v>
      </c>
      <c r="AA90" s="1" t="s">
        <v>367</v>
      </c>
      <c r="AB90" s="1" t="s">
        <v>231</v>
      </c>
      <c r="AC90" s="23">
        <v>88154</v>
      </c>
      <c r="AD90" s="24">
        <v>0.43854918479919436</v>
      </c>
      <c r="AE90" s="1" t="s">
        <v>19</v>
      </c>
      <c r="AF90" s="1">
        <v>0</v>
      </c>
      <c r="AG90" s="1">
        <v>0</v>
      </c>
      <c r="AI90" s="23">
        <v>0</v>
      </c>
      <c r="AJ90" s="1" t="s">
        <v>232</v>
      </c>
      <c r="AK90" s="1">
        <v>0</v>
      </c>
      <c r="AL90" s="1" t="s">
        <v>233</v>
      </c>
      <c r="AM90" s="1">
        <v>0</v>
      </c>
      <c r="AN90" s="1">
        <v>0</v>
      </c>
      <c r="AO90" s="1" t="s">
        <v>232</v>
      </c>
      <c r="AR90" s="1" t="s">
        <v>405</v>
      </c>
      <c r="AS90" s="1" t="s">
        <v>369</v>
      </c>
      <c r="AT90" s="1" t="s">
        <v>234</v>
      </c>
      <c r="AU90" s="1" t="s">
        <v>232</v>
      </c>
      <c r="AV90" s="1">
        <v>0</v>
      </c>
      <c r="AW90" s="1" t="s">
        <v>232</v>
      </c>
      <c r="AX90" s="1">
        <v>86</v>
      </c>
      <c r="AY90" s="1" t="s">
        <v>232</v>
      </c>
      <c r="AZ90" s="1" t="s">
        <v>232</v>
      </c>
    </row>
    <row r="91" spans="1:52" x14ac:dyDescent="0.2">
      <c r="A91" s="1" t="s">
        <v>582</v>
      </c>
      <c r="B91" s="31">
        <v>46041</v>
      </c>
      <c r="C91" s="31">
        <v>41505</v>
      </c>
      <c r="D91" s="23">
        <v>652373</v>
      </c>
      <c r="E91" s="23">
        <v>436326</v>
      </c>
      <c r="F91" s="23">
        <v>1383000</v>
      </c>
      <c r="G91" s="23">
        <v>1565000</v>
      </c>
      <c r="H91" s="31">
        <v>46041</v>
      </c>
      <c r="I91" s="24">
        <v>0.47170853614807129</v>
      </c>
      <c r="J91" s="24">
        <v>0.27880255591054315</v>
      </c>
      <c r="K91" s="1" t="s">
        <v>226</v>
      </c>
      <c r="L91" s="5">
        <v>3.2977079749107359E-2</v>
      </c>
      <c r="M91" s="5">
        <v>-7.0229202508926419E-3</v>
      </c>
      <c r="O91" s="31">
        <v>46771</v>
      </c>
      <c r="P91" s="1" t="s">
        <v>397</v>
      </c>
      <c r="R91" s="1">
        <v>247</v>
      </c>
      <c r="S91" s="1">
        <v>98</v>
      </c>
      <c r="T91" s="31">
        <v>49022</v>
      </c>
      <c r="U91" s="1" t="s">
        <v>424</v>
      </c>
      <c r="V91" s="1" t="s">
        <v>379</v>
      </c>
      <c r="W91" s="1" t="s">
        <v>85</v>
      </c>
      <c r="X91" s="1" t="s">
        <v>147</v>
      </c>
      <c r="Y91" s="1" t="s">
        <v>583</v>
      </c>
      <c r="Z91" s="1">
        <v>1</v>
      </c>
      <c r="AA91" s="1" t="s">
        <v>230</v>
      </c>
      <c r="AB91" s="1" t="s">
        <v>231</v>
      </c>
      <c r="AC91" s="23">
        <v>37689</v>
      </c>
      <c r="AD91" s="24">
        <v>0.45981662273406987</v>
      </c>
      <c r="AE91" s="1" t="s">
        <v>19</v>
      </c>
      <c r="AF91" s="1">
        <v>2</v>
      </c>
      <c r="AG91" s="1">
        <v>56</v>
      </c>
      <c r="AH91" s="1" t="s">
        <v>19</v>
      </c>
      <c r="AI91" s="23">
        <v>3186</v>
      </c>
      <c r="AJ91" s="1" t="s">
        <v>232</v>
      </c>
      <c r="AK91" s="1">
        <v>0</v>
      </c>
      <c r="AL91" s="1" t="s">
        <v>233</v>
      </c>
      <c r="AM91" s="1">
        <v>0</v>
      </c>
      <c r="AN91" s="1">
        <v>0</v>
      </c>
      <c r="AO91" s="1" t="s">
        <v>232</v>
      </c>
      <c r="AR91" s="1" t="s">
        <v>394</v>
      </c>
      <c r="AS91" s="1" t="s">
        <v>369</v>
      </c>
      <c r="AT91" s="1" t="s">
        <v>234</v>
      </c>
      <c r="AU91" s="1" t="s">
        <v>232</v>
      </c>
      <c r="AV91" s="1">
        <v>0</v>
      </c>
      <c r="AW91" s="1" t="s">
        <v>232</v>
      </c>
      <c r="AX91" s="1">
        <v>999</v>
      </c>
      <c r="AY91" s="1" t="s">
        <v>232</v>
      </c>
      <c r="AZ91" s="1" t="s">
        <v>232</v>
      </c>
    </row>
    <row r="92" spans="1:52" x14ac:dyDescent="0.2">
      <c r="A92" s="1" t="s">
        <v>584</v>
      </c>
      <c r="B92" s="31">
        <v>46041</v>
      </c>
      <c r="C92" s="31">
        <v>41658</v>
      </c>
      <c r="D92" s="23">
        <v>787755</v>
      </c>
      <c r="E92" s="23">
        <v>535673</v>
      </c>
      <c r="F92" s="23">
        <v>789000</v>
      </c>
      <c r="G92" s="23">
        <v>1085000</v>
      </c>
      <c r="H92" s="31">
        <v>46041</v>
      </c>
      <c r="I92" s="24">
        <v>0.99842254221439353</v>
      </c>
      <c r="J92" s="24">
        <v>0.49370783410138247</v>
      </c>
      <c r="K92" s="1" t="s">
        <v>361</v>
      </c>
      <c r="L92" s="5">
        <v>5.1623742580413821E-2</v>
      </c>
      <c r="M92" s="5">
        <v>1.1623742580413821E-2</v>
      </c>
      <c r="N92" s="1" t="s">
        <v>362</v>
      </c>
      <c r="P92" s="1" t="s">
        <v>227</v>
      </c>
      <c r="R92" s="1">
        <v>291</v>
      </c>
      <c r="S92" s="1">
        <v>147</v>
      </c>
      <c r="T92" s="31">
        <v>50514</v>
      </c>
      <c r="U92" s="1" t="s">
        <v>364</v>
      </c>
      <c r="V92" s="1" t="s">
        <v>379</v>
      </c>
      <c r="W92" s="1" t="s">
        <v>85</v>
      </c>
      <c r="X92" s="1" t="s">
        <v>453</v>
      </c>
      <c r="Y92" s="1" t="s">
        <v>585</v>
      </c>
      <c r="Z92" s="1">
        <v>2</v>
      </c>
      <c r="AA92" s="1" t="s">
        <v>230</v>
      </c>
      <c r="AB92" s="1" t="s">
        <v>231</v>
      </c>
      <c r="AC92" s="23">
        <v>136573</v>
      </c>
      <c r="AD92" s="24">
        <v>0.48223352432250977</v>
      </c>
      <c r="AE92" s="1" t="s">
        <v>232</v>
      </c>
      <c r="AF92" s="1">
        <v>0</v>
      </c>
      <c r="AG92" s="1">
        <v>0</v>
      </c>
      <c r="AI92" s="23">
        <v>0</v>
      </c>
      <c r="AJ92" s="1" t="s">
        <v>232</v>
      </c>
      <c r="AK92" s="1">
        <v>0</v>
      </c>
      <c r="AL92" s="1" t="s">
        <v>233</v>
      </c>
      <c r="AM92" s="1">
        <v>0</v>
      </c>
      <c r="AN92" s="1">
        <v>0</v>
      </c>
      <c r="AO92" s="1" t="s">
        <v>232</v>
      </c>
      <c r="AR92" s="1" t="s">
        <v>376</v>
      </c>
      <c r="AS92" s="1" t="s">
        <v>369</v>
      </c>
      <c r="AT92" s="1" t="s">
        <v>234</v>
      </c>
      <c r="AU92" s="1" t="s">
        <v>232</v>
      </c>
      <c r="AV92" s="1">
        <v>0</v>
      </c>
      <c r="AW92" s="1" t="s">
        <v>232</v>
      </c>
      <c r="AX92" s="1">
        <v>139</v>
      </c>
      <c r="AY92" s="1" t="s">
        <v>232</v>
      </c>
      <c r="AZ92" s="1" t="s">
        <v>232</v>
      </c>
    </row>
    <row r="93" spans="1:52" x14ac:dyDescent="0.2">
      <c r="A93" s="1" t="s">
        <v>586</v>
      </c>
      <c r="B93" s="31">
        <v>46041</v>
      </c>
      <c r="C93" s="31">
        <v>42570</v>
      </c>
      <c r="D93" s="23">
        <v>384853</v>
      </c>
      <c r="E93" s="23">
        <v>287325</v>
      </c>
      <c r="F93" s="23">
        <v>540000</v>
      </c>
      <c r="G93" s="23">
        <v>726000</v>
      </c>
      <c r="H93" s="31">
        <v>46041</v>
      </c>
      <c r="I93" s="24">
        <v>0.71269099116325374</v>
      </c>
      <c r="J93" s="24">
        <v>0.39576446280991734</v>
      </c>
      <c r="K93" s="1" t="s">
        <v>226</v>
      </c>
      <c r="L93" s="5">
        <v>2.1375241875648498E-2</v>
      </c>
      <c r="M93" s="5">
        <v>-1.8624758124351503E-2</v>
      </c>
      <c r="O93" s="31">
        <v>46771</v>
      </c>
      <c r="P93" s="1" t="s">
        <v>227</v>
      </c>
      <c r="R93" s="1">
        <v>392</v>
      </c>
      <c r="S93" s="1">
        <v>278</v>
      </c>
      <c r="T93" s="31">
        <v>54501</v>
      </c>
      <c r="U93" s="1" t="s">
        <v>424</v>
      </c>
      <c r="V93" s="1" t="s">
        <v>229</v>
      </c>
      <c r="W93" s="1" t="s">
        <v>85</v>
      </c>
      <c r="X93" s="1" t="s">
        <v>147</v>
      </c>
      <c r="Y93" s="1" t="s">
        <v>587</v>
      </c>
      <c r="Z93" s="1">
        <v>2</v>
      </c>
      <c r="AA93" s="1" t="s">
        <v>230</v>
      </c>
      <c r="AB93" s="1" t="s">
        <v>231</v>
      </c>
      <c r="AC93" s="23">
        <v>139945</v>
      </c>
      <c r="AD93" s="24">
        <v>0.24541971683502198</v>
      </c>
      <c r="AE93" s="1" t="s">
        <v>232</v>
      </c>
      <c r="AF93" s="1">
        <v>0</v>
      </c>
      <c r="AG93" s="1">
        <v>0</v>
      </c>
      <c r="AI93" s="23">
        <v>0</v>
      </c>
      <c r="AJ93" s="1" t="s">
        <v>232</v>
      </c>
      <c r="AK93" s="1">
        <v>0</v>
      </c>
      <c r="AL93" s="1" t="s">
        <v>233</v>
      </c>
      <c r="AM93" s="1">
        <v>0</v>
      </c>
      <c r="AN93" s="1">
        <v>0</v>
      </c>
      <c r="AO93" s="1" t="s">
        <v>232</v>
      </c>
      <c r="AR93" s="1" t="s">
        <v>394</v>
      </c>
      <c r="AS93" s="1" t="s">
        <v>369</v>
      </c>
      <c r="AT93" s="1" t="s">
        <v>234</v>
      </c>
      <c r="AU93" s="1" t="s">
        <v>232</v>
      </c>
      <c r="AV93" s="1">
        <v>0</v>
      </c>
      <c r="AW93" s="1" t="s">
        <v>232</v>
      </c>
      <c r="AX93" s="1">
        <v>107</v>
      </c>
      <c r="AY93" s="1" t="s">
        <v>19</v>
      </c>
      <c r="AZ93" s="1" t="s">
        <v>232</v>
      </c>
    </row>
    <row r="94" spans="1:52" x14ac:dyDescent="0.2">
      <c r="A94" s="1" t="s">
        <v>588</v>
      </c>
      <c r="B94" s="31">
        <v>46041</v>
      </c>
      <c r="C94" s="31">
        <v>40713</v>
      </c>
      <c r="D94" s="23">
        <v>883458</v>
      </c>
      <c r="E94" s="23">
        <v>539798</v>
      </c>
      <c r="F94" s="23">
        <v>995000</v>
      </c>
      <c r="G94" s="23">
        <v>1095000</v>
      </c>
      <c r="H94" s="31">
        <v>46041</v>
      </c>
      <c r="I94" s="24">
        <v>0.88789714276790621</v>
      </c>
      <c r="J94" s="24">
        <v>0.4929662100456621</v>
      </c>
      <c r="K94" s="1" t="s">
        <v>226</v>
      </c>
      <c r="L94" s="5">
        <v>4.2306215763092042E-2</v>
      </c>
      <c r="M94" s="5">
        <v>2.3062157630920413E-3</v>
      </c>
      <c r="O94" s="31">
        <v>46771</v>
      </c>
      <c r="P94" s="1" t="s">
        <v>227</v>
      </c>
      <c r="R94" s="1">
        <v>252</v>
      </c>
      <c r="S94" s="1">
        <v>77</v>
      </c>
      <c r="T94" s="31">
        <v>48384</v>
      </c>
      <c r="U94" s="1" t="s">
        <v>424</v>
      </c>
      <c r="V94" s="1" t="s">
        <v>379</v>
      </c>
      <c r="W94" s="1" t="s">
        <v>85</v>
      </c>
      <c r="X94" s="1" t="s">
        <v>392</v>
      </c>
      <c r="Y94" s="1" t="s">
        <v>589</v>
      </c>
      <c r="Z94" s="1">
        <v>2</v>
      </c>
      <c r="AA94" s="1" t="s">
        <v>230</v>
      </c>
      <c r="AB94" s="1" t="s">
        <v>231</v>
      </c>
      <c r="AC94" s="23">
        <v>41211</v>
      </c>
      <c r="AD94" s="24">
        <v>0.32037472724914551</v>
      </c>
      <c r="AE94" s="1" t="s">
        <v>19</v>
      </c>
      <c r="AF94" s="1">
        <v>0</v>
      </c>
      <c r="AG94" s="1">
        <v>0</v>
      </c>
      <c r="AI94" s="23">
        <v>0</v>
      </c>
      <c r="AJ94" s="1" t="s">
        <v>232</v>
      </c>
      <c r="AK94" s="1">
        <v>0</v>
      </c>
      <c r="AL94" s="1" t="s">
        <v>233</v>
      </c>
      <c r="AM94" s="1">
        <v>0</v>
      </c>
      <c r="AN94" s="1">
        <v>0</v>
      </c>
      <c r="AO94" s="1" t="s">
        <v>232</v>
      </c>
      <c r="AR94" s="1" t="s">
        <v>405</v>
      </c>
      <c r="AS94" s="1" t="s">
        <v>386</v>
      </c>
      <c r="AT94" s="1" t="s">
        <v>234</v>
      </c>
      <c r="AU94" s="1" t="s">
        <v>232</v>
      </c>
      <c r="AV94" s="1">
        <v>0</v>
      </c>
      <c r="AW94" s="1" t="s">
        <v>232</v>
      </c>
      <c r="AX94" s="1">
        <v>999</v>
      </c>
      <c r="AY94" s="1" t="s">
        <v>232</v>
      </c>
      <c r="AZ94" s="1" t="s">
        <v>232</v>
      </c>
    </row>
    <row r="95" spans="1:52" x14ac:dyDescent="0.2">
      <c r="A95" s="1" t="s">
        <v>590</v>
      </c>
      <c r="B95" s="31">
        <v>46041</v>
      </c>
      <c r="C95" s="31">
        <v>44062</v>
      </c>
      <c r="D95" s="23">
        <v>970270</v>
      </c>
      <c r="E95" s="23">
        <v>830080</v>
      </c>
      <c r="F95" s="23">
        <v>1319000</v>
      </c>
      <c r="G95" s="23">
        <v>1671000</v>
      </c>
      <c r="H95" s="31">
        <v>46041</v>
      </c>
      <c r="I95" s="24">
        <v>0.73561011850833891</v>
      </c>
      <c r="J95" s="24">
        <v>0.49675643327348895</v>
      </c>
      <c r="K95" s="1" t="s">
        <v>226</v>
      </c>
      <c r="L95" s="5">
        <v>2.3512502908706667E-2</v>
      </c>
      <c r="M95" s="5">
        <v>-1.6487497091293334E-2</v>
      </c>
      <c r="O95" s="31">
        <v>46771</v>
      </c>
      <c r="P95" s="1" t="s">
        <v>397</v>
      </c>
      <c r="R95" s="1">
        <v>251</v>
      </c>
      <c r="S95" s="1">
        <v>186</v>
      </c>
      <c r="T95" s="31">
        <v>51701</v>
      </c>
      <c r="U95" s="1" t="s">
        <v>371</v>
      </c>
      <c r="V95" s="1" t="s">
        <v>372</v>
      </c>
      <c r="W95" s="1" t="s">
        <v>85</v>
      </c>
      <c r="X95" s="1" t="s">
        <v>485</v>
      </c>
      <c r="Y95" s="1" t="s">
        <v>591</v>
      </c>
      <c r="Z95" s="1">
        <v>1</v>
      </c>
      <c r="AA95" s="1" t="s">
        <v>367</v>
      </c>
      <c r="AB95" s="1" t="s">
        <v>231</v>
      </c>
      <c r="AC95" s="23">
        <v>62837</v>
      </c>
      <c r="AD95" s="24">
        <v>0.45784814357757569</v>
      </c>
      <c r="AE95" s="1" t="s">
        <v>19</v>
      </c>
      <c r="AF95" s="1">
        <v>0</v>
      </c>
      <c r="AG95" s="1">
        <v>0</v>
      </c>
      <c r="AI95" s="23">
        <v>0</v>
      </c>
      <c r="AJ95" s="1" t="s">
        <v>232</v>
      </c>
      <c r="AK95" s="1">
        <v>0</v>
      </c>
      <c r="AL95" s="1" t="s">
        <v>375</v>
      </c>
      <c r="AM95" s="1">
        <v>131</v>
      </c>
      <c r="AN95" s="1">
        <v>4.4000000000000004</v>
      </c>
      <c r="AO95" s="1" t="s">
        <v>232</v>
      </c>
      <c r="AR95" s="1" t="s">
        <v>376</v>
      </c>
      <c r="AS95" s="1" t="s">
        <v>386</v>
      </c>
      <c r="AT95" s="1" t="s">
        <v>234</v>
      </c>
      <c r="AU95" s="1" t="s">
        <v>232</v>
      </c>
      <c r="AV95" s="1">
        <v>0</v>
      </c>
      <c r="AW95" s="1" t="s">
        <v>232</v>
      </c>
      <c r="AX95" s="1">
        <v>51</v>
      </c>
      <c r="AY95" s="1" t="s">
        <v>232</v>
      </c>
      <c r="AZ95" s="1" t="s">
        <v>232</v>
      </c>
    </row>
    <row r="96" spans="1:52" x14ac:dyDescent="0.2">
      <c r="A96" s="1" t="s">
        <v>592</v>
      </c>
      <c r="B96" s="31">
        <v>46041</v>
      </c>
      <c r="C96" s="31">
        <v>42785</v>
      </c>
      <c r="D96" s="23">
        <v>641135</v>
      </c>
      <c r="E96" s="23">
        <v>488725</v>
      </c>
      <c r="F96" s="23">
        <v>1395000</v>
      </c>
      <c r="G96" s="23">
        <v>1988000</v>
      </c>
      <c r="H96" s="31">
        <v>46041</v>
      </c>
      <c r="I96" s="24">
        <v>0.4595947265625</v>
      </c>
      <c r="J96" s="24">
        <v>0.24583752515090543</v>
      </c>
      <c r="K96" s="1" t="s">
        <v>226</v>
      </c>
      <c r="L96" s="5">
        <v>4.2988585829734804E-2</v>
      </c>
      <c r="M96" s="5">
        <v>2.9885858297348036E-3</v>
      </c>
      <c r="O96" s="31">
        <v>46771</v>
      </c>
      <c r="P96" s="1" t="s">
        <v>227</v>
      </c>
      <c r="R96" s="1">
        <v>416</v>
      </c>
      <c r="S96" s="1">
        <v>310</v>
      </c>
      <c r="T96" s="31">
        <v>55476</v>
      </c>
      <c r="U96" s="1" t="s">
        <v>371</v>
      </c>
      <c r="V96" s="1" t="s">
        <v>372</v>
      </c>
      <c r="W96" s="1" t="s">
        <v>85</v>
      </c>
      <c r="X96" s="1" t="s">
        <v>392</v>
      </c>
      <c r="Y96" s="1" t="s">
        <v>593</v>
      </c>
      <c r="Z96" s="1">
        <v>1</v>
      </c>
      <c r="AA96" s="1" t="s">
        <v>230</v>
      </c>
      <c r="AB96" s="1" t="s">
        <v>231</v>
      </c>
      <c r="AC96" s="23">
        <v>73979</v>
      </c>
      <c r="AD96" s="24">
        <v>0.56312911510467534</v>
      </c>
      <c r="AE96" s="1" t="s">
        <v>232</v>
      </c>
      <c r="AF96" s="1">
        <v>0</v>
      </c>
      <c r="AG96" s="1">
        <v>0</v>
      </c>
      <c r="AI96" s="23">
        <v>0</v>
      </c>
      <c r="AJ96" s="1" t="s">
        <v>232</v>
      </c>
      <c r="AK96" s="1">
        <v>0</v>
      </c>
      <c r="AL96" s="1" t="s">
        <v>233</v>
      </c>
      <c r="AM96" s="1">
        <v>0</v>
      </c>
      <c r="AN96" s="1">
        <v>0</v>
      </c>
      <c r="AO96" s="1" t="s">
        <v>232</v>
      </c>
      <c r="AR96" s="1" t="s">
        <v>399</v>
      </c>
      <c r="AS96" s="1" t="s">
        <v>386</v>
      </c>
      <c r="AT96" s="1" t="s">
        <v>234</v>
      </c>
      <c r="AU96" s="1" t="s">
        <v>232</v>
      </c>
      <c r="AV96" s="1">
        <v>0</v>
      </c>
      <c r="AW96" s="1" t="s">
        <v>232</v>
      </c>
      <c r="AX96" s="1">
        <v>106</v>
      </c>
      <c r="AY96" s="1" t="s">
        <v>232</v>
      </c>
      <c r="AZ96" s="1" t="s">
        <v>232</v>
      </c>
    </row>
    <row r="97" spans="1:52" x14ac:dyDescent="0.2">
      <c r="A97" s="1" t="s">
        <v>594</v>
      </c>
      <c r="B97" s="31">
        <v>46041</v>
      </c>
      <c r="C97" s="31">
        <v>45279</v>
      </c>
      <c r="D97" s="23">
        <v>130594</v>
      </c>
      <c r="E97" s="23">
        <v>123329</v>
      </c>
      <c r="F97" s="23">
        <v>206000</v>
      </c>
      <c r="G97" s="23">
        <v>223000</v>
      </c>
      <c r="H97" s="31">
        <v>46041</v>
      </c>
      <c r="I97" s="24">
        <v>0.63395059704780576</v>
      </c>
      <c r="J97" s="24">
        <v>0.55304484304932733</v>
      </c>
      <c r="K97" s="1" t="s">
        <v>226</v>
      </c>
      <c r="L97" s="5">
        <v>4.8204203844070433E-2</v>
      </c>
      <c r="M97" s="5">
        <v>8.2042038440704318E-3</v>
      </c>
      <c r="O97" s="31">
        <v>46771</v>
      </c>
      <c r="P97" s="1" t="s">
        <v>227</v>
      </c>
      <c r="R97" s="1">
        <v>389</v>
      </c>
      <c r="S97" s="1">
        <v>364</v>
      </c>
      <c r="T97" s="31">
        <v>57119</v>
      </c>
      <c r="U97" s="1" t="s">
        <v>364</v>
      </c>
      <c r="V97" s="1" t="s">
        <v>229</v>
      </c>
      <c r="W97" s="1" t="s">
        <v>85</v>
      </c>
      <c r="X97" s="1" t="s">
        <v>388</v>
      </c>
      <c r="Y97" s="1" t="s">
        <v>595</v>
      </c>
      <c r="Z97" s="1">
        <v>2</v>
      </c>
      <c r="AA97" s="1" t="s">
        <v>230</v>
      </c>
      <c r="AB97" s="1" t="s">
        <v>231</v>
      </c>
      <c r="AC97" s="23">
        <v>146013</v>
      </c>
      <c r="AD97" s="24">
        <v>0.39388875961303715</v>
      </c>
      <c r="AE97" s="1" t="s">
        <v>232</v>
      </c>
      <c r="AF97" s="1">
        <v>0</v>
      </c>
      <c r="AG97" s="1">
        <v>0</v>
      </c>
      <c r="AI97" s="23">
        <v>0</v>
      </c>
      <c r="AJ97" s="1" t="s">
        <v>232</v>
      </c>
      <c r="AK97" s="1">
        <v>0</v>
      </c>
      <c r="AL97" s="1" t="s">
        <v>233</v>
      </c>
      <c r="AM97" s="1">
        <v>0</v>
      </c>
      <c r="AN97" s="1">
        <v>0</v>
      </c>
      <c r="AO97" s="1" t="s">
        <v>232</v>
      </c>
      <c r="AR97" s="1" t="s">
        <v>399</v>
      </c>
      <c r="AS97" s="1" t="s">
        <v>400</v>
      </c>
      <c r="AT97" s="1" t="s">
        <v>234</v>
      </c>
      <c r="AU97" s="1" t="s">
        <v>232</v>
      </c>
      <c r="AV97" s="1">
        <v>0</v>
      </c>
      <c r="AW97" s="1" t="s">
        <v>232</v>
      </c>
      <c r="AX97" s="1">
        <v>181</v>
      </c>
      <c r="AY97" s="1" t="s">
        <v>19</v>
      </c>
      <c r="AZ97" s="1" t="s">
        <v>232</v>
      </c>
    </row>
    <row r="98" spans="1:52" x14ac:dyDescent="0.2">
      <c r="A98" s="1" t="s">
        <v>596</v>
      </c>
      <c r="B98" s="31">
        <v>46041</v>
      </c>
      <c r="C98" s="31">
        <v>42174</v>
      </c>
      <c r="D98" s="23">
        <v>322676</v>
      </c>
      <c r="E98" s="23">
        <v>231576</v>
      </c>
      <c r="F98" s="23">
        <v>677000</v>
      </c>
      <c r="G98" s="23">
        <v>1005000</v>
      </c>
      <c r="H98" s="31">
        <v>46041</v>
      </c>
      <c r="I98" s="24">
        <v>0.47662609815597534</v>
      </c>
      <c r="J98" s="24">
        <v>0.23042388059701494</v>
      </c>
      <c r="K98" s="1" t="s">
        <v>396</v>
      </c>
      <c r="L98" s="5">
        <v>4.5240928828716283E-2</v>
      </c>
      <c r="M98" s="5">
        <v>5.240928828716282E-3</v>
      </c>
      <c r="P98" s="1" t="s">
        <v>227</v>
      </c>
      <c r="R98" s="1">
        <v>340</v>
      </c>
      <c r="S98" s="1">
        <v>213</v>
      </c>
      <c r="T98" s="31">
        <v>52523</v>
      </c>
      <c r="U98" s="1" t="s">
        <v>424</v>
      </c>
      <c r="V98" s="1" t="s">
        <v>372</v>
      </c>
      <c r="W98" s="1" t="s">
        <v>85</v>
      </c>
      <c r="X98" s="1" t="s">
        <v>164</v>
      </c>
      <c r="Y98" s="1" t="s">
        <v>597</v>
      </c>
      <c r="Z98" s="1">
        <v>2</v>
      </c>
      <c r="AA98" s="1" t="s">
        <v>230</v>
      </c>
      <c r="AB98" s="1" t="s">
        <v>231</v>
      </c>
      <c r="AC98" s="23">
        <v>79910</v>
      </c>
      <c r="AD98" s="24">
        <v>0.45103476047515872</v>
      </c>
      <c r="AE98" s="1" t="s">
        <v>232</v>
      </c>
      <c r="AF98" s="1">
        <v>0</v>
      </c>
      <c r="AG98" s="1">
        <v>0</v>
      </c>
      <c r="AI98" s="23">
        <v>0</v>
      </c>
      <c r="AJ98" s="1" t="s">
        <v>232</v>
      </c>
      <c r="AK98" s="1">
        <v>0</v>
      </c>
      <c r="AL98" s="1" t="s">
        <v>233</v>
      </c>
      <c r="AM98" s="1">
        <v>0</v>
      </c>
      <c r="AN98" s="1">
        <v>0</v>
      </c>
      <c r="AO98" s="1" t="s">
        <v>232</v>
      </c>
      <c r="AR98" s="1" t="s">
        <v>376</v>
      </c>
      <c r="AS98" s="1" t="s">
        <v>386</v>
      </c>
      <c r="AT98" s="1" t="s">
        <v>234</v>
      </c>
      <c r="AU98" s="1" t="s">
        <v>232</v>
      </c>
      <c r="AV98" s="1">
        <v>0</v>
      </c>
      <c r="AW98" s="1" t="s">
        <v>232</v>
      </c>
      <c r="AX98" s="1">
        <v>175</v>
      </c>
      <c r="AY98" s="1" t="s">
        <v>232</v>
      </c>
      <c r="AZ98" s="1" t="s">
        <v>232</v>
      </c>
    </row>
    <row r="99" spans="1:52" x14ac:dyDescent="0.2">
      <c r="A99" s="1" t="s">
        <v>598</v>
      </c>
      <c r="B99" s="31">
        <v>46041</v>
      </c>
      <c r="C99" s="31">
        <v>43940</v>
      </c>
      <c r="D99" s="23">
        <v>739115</v>
      </c>
      <c r="E99" s="23">
        <v>625740</v>
      </c>
      <c r="F99" s="23">
        <v>846000</v>
      </c>
      <c r="G99" s="23">
        <v>929000</v>
      </c>
      <c r="H99" s="31">
        <v>46041</v>
      </c>
      <c r="I99" s="24">
        <v>0.87365818917751314</v>
      </c>
      <c r="J99" s="24">
        <v>0.67356297093649087</v>
      </c>
      <c r="K99" s="1" t="s">
        <v>361</v>
      </c>
      <c r="L99" s="5">
        <v>5.9872212409973147E-2</v>
      </c>
      <c r="M99" s="5">
        <v>1.9872212409973146E-2</v>
      </c>
      <c r="N99" s="1" t="s">
        <v>362</v>
      </c>
      <c r="P99" s="1" t="s">
        <v>227</v>
      </c>
      <c r="R99" s="1">
        <v>376</v>
      </c>
      <c r="S99" s="1">
        <v>307</v>
      </c>
      <c r="T99" s="31">
        <v>55384</v>
      </c>
      <c r="U99" s="1" t="s">
        <v>456</v>
      </c>
      <c r="V99" s="1" t="s">
        <v>372</v>
      </c>
      <c r="W99" s="1" t="s">
        <v>85</v>
      </c>
      <c r="X99" s="1" t="s">
        <v>572</v>
      </c>
      <c r="Y99" s="1" t="s">
        <v>599</v>
      </c>
      <c r="Z99" s="1">
        <v>2</v>
      </c>
      <c r="AA99" s="1" t="s">
        <v>230</v>
      </c>
      <c r="AB99" s="1" t="s">
        <v>231</v>
      </c>
      <c r="AC99" s="23">
        <v>88934</v>
      </c>
      <c r="AD99" s="24">
        <v>0.54451928138732919</v>
      </c>
      <c r="AE99" s="1" t="s">
        <v>232</v>
      </c>
      <c r="AF99" s="1">
        <v>0</v>
      </c>
      <c r="AG99" s="1">
        <v>0</v>
      </c>
      <c r="AI99" s="23">
        <v>0</v>
      </c>
      <c r="AJ99" s="1" t="s">
        <v>232</v>
      </c>
      <c r="AK99" s="1">
        <v>0</v>
      </c>
      <c r="AL99" s="1" t="s">
        <v>233</v>
      </c>
      <c r="AM99" s="1">
        <v>0</v>
      </c>
      <c r="AN99" s="1">
        <v>0</v>
      </c>
      <c r="AO99" s="1" t="s">
        <v>19</v>
      </c>
      <c r="AP99" s="31">
        <v>45310</v>
      </c>
      <c r="AQ99" s="1" t="s">
        <v>412</v>
      </c>
      <c r="AR99" s="1" t="s">
        <v>399</v>
      </c>
      <c r="AS99" s="1" t="s">
        <v>369</v>
      </c>
      <c r="AT99" s="1" t="s">
        <v>234</v>
      </c>
      <c r="AU99" s="1" t="s">
        <v>232</v>
      </c>
      <c r="AV99" s="1">
        <v>0</v>
      </c>
      <c r="AW99" s="1" t="s">
        <v>232</v>
      </c>
      <c r="AX99" s="1">
        <v>999</v>
      </c>
      <c r="AY99" s="1" t="s">
        <v>19</v>
      </c>
      <c r="AZ99" s="1" t="s">
        <v>232</v>
      </c>
    </row>
    <row r="100" spans="1:52" x14ac:dyDescent="0.2">
      <c r="A100" s="1" t="s">
        <v>600</v>
      </c>
      <c r="B100" s="31">
        <v>46041</v>
      </c>
      <c r="C100" s="31">
        <v>45310</v>
      </c>
      <c r="D100" s="23">
        <v>1060408</v>
      </c>
      <c r="E100" s="23">
        <v>1060408</v>
      </c>
      <c r="F100" s="23">
        <v>1295000</v>
      </c>
      <c r="G100" s="23">
        <v>1297000</v>
      </c>
      <c r="H100" s="31">
        <v>46041</v>
      </c>
      <c r="I100" s="24">
        <v>0.81884793341159823</v>
      </c>
      <c r="J100" s="24">
        <v>0.81758519660755591</v>
      </c>
      <c r="K100" s="1" t="s">
        <v>361</v>
      </c>
      <c r="L100" s="5">
        <v>5.5922095775604252E-2</v>
      </c>
      <c r="M100" s="5">
        <v>1.5922095775604252E-2</v>
      </c>
      <c r="N100" s="1" t="s">
        <v>362</v>
      </c>
      <c r="P100" s="1" t="s">
        <v>363</v>
      </c>
      <c r="Q100" s="31">
        <v>49693</v>
      </c>
      <c r="R100" s="1">
        <v>311</v>
      </c>
      <c r="S100" s="1">
        <v>287</v>
      </c>
      <c r="T100" s="31">
        <v>54776</v>
      </c>
      <c r="U100" s="1" t="s">
        <v>456</v>
      </c>
      <c r="V100" s="1" t="s">
        <v>379</v>
      </c>
      <c r="W100" s="1" t="s">
        <v>85</v>
      </c>
      <c r="X100" s="1" t="s">
        <v>147</v>
      </c>
      <c r="Y100" s="1" t="s">
        <v>601</v>
      </c>
      <c r="Z100" s="1">
        <v>2</v>
      </c>
      <c r="AA100" s="1" t="s">
        <v>382</v>
      </c>
      <c r="AB100" s="1" t="s">
        <v>231</v>
      </c>
      <c r="AC100" s="23">
        <v>140722</v>
      </c>
      <c r="AD100" s="24">
        <v>0.43742208480834965</v>
      </c>
      <c r="AE100" s="1" t="s">
        <v>19</v>
      </c>
      <c r="AF100" s="1">
        <v>0</v>
      </c>
      <c r="AG100" s="1">
        <v>0</v>
      </c>
      <c r="AI100" s="23">
        <v>0</v>
      </c>
      <c r="AJ100" s="1" t="s">
        <v>232</v>
      </c>
      <c r="AK100" s="1">
        <v>0</v>
      </c>
      <c r="AL100" s="1" t="s">
        <v>233</v>
      </c>
      <c r="AM100" s="1">
        <v>0</v>
      </c>
      <c r="AN100" s="1">
        <v>0</v>
      </c>
      <c r="AO100" s="1" t="s">
        <v>232</v>
      </c>
      <c r="AR100" s="1" t="s">
        <v>376</v>
      </c>
      <c r="AS100" s="1" t="s">
        <v>369</v>
      </c>
      <c r="AT100" s="1" t="s">
        <v>234</v>
      </c>
      <c r="AU100" s="1" t="s">
        <v>232</v>
      </c>
      <c r="AV100" s="1">
        <v>0</v>
      </c>
      <c r="AW100" s="1" t="s">
        <v>232</v>
      </c>
      <c r="AX100" s="1">
        <v>112</v>
      </c>
      <c r="AY100" s="1" t="s">
        <v>232</v>
      </c>
      <c r="AZ100" s="1" t="s">
        <v>19</v>
      </c>
    </row>
    <row r="101" spans="1:52" x14ac:dyDescent="0.2">
      <c r="A101" s="1" t="s">
        <v>602</v>
      </c>
      <c r="B101" s="31">
        <v>46041</v>
      </c>
      <c r="C101" s="31">
        <v>42357</v>
      </c>
      <c r="D101" s="23">
        <v>1248745</v>
      </c>
      <c r="E101" s="23">
        <v>912874</v>
      </c>
      <c r="F101" s="23">
        <v>1511000</v>
      </c>
      <c r="G101" s="23">
        <v>1758000</v>
      </c>
      <c r="H101" s="31">
        <v>46041</v>
      </c>
      <c r="I101" s="24">
        <v>0.82643598914146432</v>
      </c>
      <c r="J101" s="24">
        <v>0.51926848691695104</v>
      </c>
      <c r="K101" s="1" t="s">
        <v>361</v>
      </c>
      <c r="L101" s="5">
        <v>4.3183740377426151E-2</v>
      </c>
      <c r="M101" s="5">
        <v>3.1837403774261502E-3</v>
      </c>
      <c r="N101" s="1" t="s">
        <v>362</v>
      </c>
      <c r="P101" s="1" t="s">
        <v>227</v>
      </c>
      <c r="R101" s="1">
        <v>415</v>
      </c>
      <c r="S101" s="1">
        <v>294</v>
      </c>
      <c r="T101" s="31">
        <v>54988</v>
      </c>
      <c r="U101" s="1" t="s">
        <v>371</v>
      </c>
      <c r="V101" s="1" t="s">
        <v>229</v>
      </c>
      <c r="W101" s="1" t="s">
        <v>85</v>
      </c>
      <c r="X101" s="1" t="s">
        <v>392</v>
      </c>
      <c r="Y101" s="1" t="s">
        <v>603</v>
      </c>
      <c r="Z101" s="1">
        <v>2</v>
      </c>
      <c r="AA101" s="1" t="s">
        <v>230</v>
      </c>
      <c r="AB101" s="1" t="s">
        <v>231</v>
      </c>
      <c r="AC101" s="23">
        <v>69980</v>
      </c>
      <c r="AD101" s="24">
        <v>0.50346701145172124</v>
      </c>
      <c r="AE101" s="1" t="s">
        <v>232</v>
      </c>
      <c r="AF101" s="1">
        <v>0</v>
      </c>
      <c r="AG101" s="1">
        <v>0</v>
      </c>
      <c r="AI101" s="23">
        <v>0</v>
      </c>
      <c r="AJ101" s="1" t="s">
        <v>232</v>
      </c>
      <c r="AK101" s="1">
        <v>0</v>
      </c>
      <c r="AL101" s="1" t="s">
        <v>471</v>
      </c>
      <c r="AM101" s="1">
        <v>34</v>
      </c>
      <c r="AN101" s="1">
        <v>1.1000000000000001</v>
      </c>
      <c r="AO101" s="1" t="s">
        <v>232</v>
      </c>
      <c r="AR101" s="1" t="s">
        <v>368</v>
      </c>
      <c r="AS101" s="1" t="s">
        <v>369</v>
      </c>
      <c r="AT101" s="1" t="s">
        <v>234</v>
      </c>
      <c r="AU101" s="1" t="s">
        <v>232</v>
      </c>
      <c r="AV101" s="1">
        <v>0</v>
      </c>
      <c r="AW101" s="1" t="s">
        <v>232</v>
      </c>
      <c r="AX101" s="1">
        <v>100</v>
      </c>
      <c r="AY101" s="1" t="s">
        <v>232</v>
      </c>
      <c r="AZ101" s="1" t="s">
        <v>232</v>
      </c>
    </row>
  </sheetData>
  <pageMargins left="0.7" right="0.7" top="0.75" bottom="0.75" header="0.3" footer="0.3"/>
  <pageSetup paperSize="9" fitToHeight="0" orientation="landscape" horizontalDpi="0" verticalDpi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1C4F4-1FFE-CB4E-A622-8C338B7EEA83}">
  <sheetPr codeName="Sheet21">
    <tabColor rgb="FFFF9900"/>
  </sheetPr>
  <dimension ref="A1"/>
  <sheetViews>
    <sheetView workbookViewId="0"/>
  </sheetViews>
  <sheetFormatPr baseColWidth="10" defaultRowHeight="14" x14ac:dyDescent="0.2"/>
  <cols>
    <col min="1" max="16384" width="10.83203125" style="1"/>
  </cols>
  <sheetData/>
  <pageMargins left="0.7" right="0.7" top="0.75" bottom="0.75" header="0.3" footer="0.3"/>
  <pageSetup paperSize="9" fitToHeight="0" orientation="landscape" horizontalDpi="0" verticalDpi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26779-E3B5-334E-B652-CB837DC245FC}">
  <sheetPr codeName="Sheet22">
    <tabColor rgb="FFFF9900"/>
  </sheetPr>
  <dimension ref="A1"/>
  <sheetViews>
    <sheetView workbookViewId="0"/>
  </sheetViews>
  <sheetFormatPr baseColWidth="10" defaultRowHeight="14" x14ac:dyDescent="0.2"/>
  <cols>
    <col min="1" max="16384" width="10.83203125" style="1"/>
  </cols>
  <sheetData/>
  <pageMargins left="0.7" right="0.7" top="0.75" bottom="0.75" header="0.3" footer="0.3"/>
  <pageSetup paperSize="9" fitToHeight="0" orientation="landscape" horizontalDpi="0" verticalDpi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37E93-829F-7743-A85A-52F599A0B3C8}">
  <sheetPr codeName="Sheet23">
    <tabColor rgb="FFFF9900"/>
  </sheetPr>
  <dimension ref="A1"/>
  <sheetViews>
    <sheetView workbookViewId="0"/>
  </sheetViews>
  <sheetFormatPr baseColWidth="10" defaultRowHeight="14" x14ac:dyDescent="0.2"/>
  <cols>
    <col min="1" max="16384" width="10.83203125" style="1"/>
  </cols>
  <sheetData/>
  <pageMargins left="0.7" right="0.7" top="0.75" bottom="0.75" header="0.3" footer="0.3"/>
  <pageSetup paperSize="9" fitToHeight="0" orientation="landscape" horizontalDpi="0" verticalDpi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34F0F-6C64-4E49-B827-04EDA33804BC}">
  <sheetPr codeName="Sheet24">
    <tabColor rgb="FFFF9900"/>
  </sheetPr>
  <dimension ref="A1"/>
  <sheetViews>
    <sheetView workbookViewId="0"/>
  </sheetViews>
  <sheetFormatPr baseColWidth="10" defaultRowHeight="14" x14ac:dyDescent="0.2"/>
  <cols>
    <col min="1" max="16384" width="10.83203125" style="1"/>
  </cols>
  <sheetData/>
  <pageMargins left="0.7" right="0.7" top="0.75" bottom="0.75" header="0.3" footer="0.3"/>
  <pageSetup paperSize="9" fitToHeight="0" orientation="landscape" horizontalDpi="0" verticalDpi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B1B85-AF21-3B4A-BE90-44439AC0A4A1}">
  <sheetPr codeName="Sheet25">
    <tabColor rgb="FF660099"/>
  </sheetPr>
  <dimension ref="A1"/>
  <sheetViews>
    <sheetView workbookViewId="0"/>
  </sheetViews>
  <sheetFormatPr baseColWidth="10" defaultRowHeight="14" x14ac:dyDescent="0.2"/>
  <cols>
    <col min="1" max="16384" width="10.83203125" style="1"/>
  </cols>
  <sheetData/>
  <pageMargins left="0.7" right="0.7" top="0.75" bottom="0.75" header="0.3" footer="0.3"/>
  <pageSetup paperSize="9" fitToHeight="0" orientation="landscape" horizontalDpi="0" verticalDpi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B5899-65F9-7142-A2CB-DECABEEB4BA1}">
  <sheetPr codeName="Sheet26">
    <tabColor rgb="FF660099"/>
  </sheetPr>
  <dimension ref="A1:Q4"/>
  <sheetViews>
    <sheetView workbookViewId="0">
      <selection activeCell="D4" sqref="D4"/>
    </sheetView>
  </sheetViews>
  <sheetFormatPr baseColWidth="10" defaultRowHeight="14" x14ac:dyDescent="0.2"/>
  <cols>
    <col min="1" max="1" width="51.33203125" style="1" bestFit="1" customWidth="1"/>
    <col min="2" max="2" width="6.83203125" style="1" bestFit="1" customWidth="1"/>
    <col min="3" max="3" width="6.6640625" style="1" bestFit="1" customWidth="1"/>
    <col min="4" max="4" width="11.1640625" style="1" bestFit="1" customWidth="1"/>
    <col min="5" max="5" width="12.83203125" style="1" bestFit="1" customWidth="1"/>
    <col min="6" max="6" width="9.83203125" style="1" bestFit="1" customWidth="1"/>
    <col min="7" max="7" width="11.6640625" style="1" bestFit="1" customWidth="1"/>
    <col min="8" max="8" width="9.83203125" style="1" bestFit="1" customWidth="1"/>
    <col min="9" max="9" width="9.5" style="1" bestFit="1" customWidth="1"/>
    <col min="10" max="10" width="9.6640625" style="1" bestFit="1" customWidth="1"/>
    <col min="11" max="11" width="14" style="1" bestFit="1" customWidth="1"/>
    <col min="12" max="12" width="12" style="1" bestFit="1" customWidth="1"/>
    <col min="13" max="13" width="8" style="1" bestFit="1" customWidth="1"/>
    <col min="14" max="14" width="11.1640625" style="1" bestFit="1" customWidth="1"/>
    <col min="15" max="15" width="8.33203125" style="1" bestFit="1" customWidth="1"/>
    <col min="16" max="16" width="11" style="1" bestFit="1" customWidth="1"/>
    <col min="17" max="17" width="9.33203125" style="1" bestFit="1" customWidth="1"/>
    <col min="18" max="16384" width="10.83203125" style="1"/>
  </cols>
  <sheetData>
    <row r="1" spans="1:17" ht="19" x14ac:dyDescent="0.25">
      <c r="A1" s="2" t="s">
        <v>235</v>
      </c>
    </row>
    <row r="3" spans="1:17" x14ac:dyDescent="0.2">
      <c r="A3" s="30" t="s">
        <v>169</v>
      </c>
      <c r="B3" s="30" t="s">
        <v>236</v>
      </c>
      <c r="C3" s="30" t="s">
        <v>237</v>
      </c>
      <c r="D3" s="30" t="s">
        <v>238</v>
      </c>
      <c r="E3" s="30" t="s">
        <v>239</v>
      </c>
      <c r="F3" s="30" t="s">
        <v>240</v>
      </c>
      <c r="G3" s="30" t="s">
        <v>241</v>
      </c>
      <c r="H3" s="30" t="s">
        <v>242</v>
      </c>
      <c r="I3" s="30" t="s">
        <v>243</v>
      </c>
      <c r="J3" s="30" t="s">
        <v>244</v>
      </c>
      <c r="K3" s="30" t="s">
        <v>245</v>
      </c>
      <c r="L3" s="30" t="s">
        <v>246</v>
      </c>
      <c r="M3" s="30" t="s">
        <v>247</v>
      </c>
      <c r="N3" s="30" t="s">
        <v>248</v>
      </c>
      <c r="O3" s="30" t="s">
        <v>249</v>
      </c>
      <c r="P3" s="30" t="s">
        <v>250</v>
      </c>
      <c r="Q3" s="30" t="s">
        <v>251</v>
      </c>
    </row>
    <row r="4" spans="1:17" x14ac:dyDescent="0.2">
      <c r="A4" s="1" t="s">
        <v>225</v>
      </c>
      <c r="B4" s="10">
        <v>0.99890909090909086</v>
      </c>
      <c r="C4" s="10">
        <v>0.97</v>
      </c>
      <c r="D4" s="10">
        <v>1</v>
      </c>
      <c r="E4" s="10">
        <v>1</v>
      </c>
      <c r="F4" s="10">
        <v>1</v>
      </c>
      <c r="G4" s="10">
        <v>1</v>
      </c>
      <c r="H4" s="10">
        <v>1</v>
      </c>
      <c r="I4" s="10">
        <v>0.9</v>
      </c>
      <c r="J4" s="10">
        <v>1</v>
      </c>
      <c r="K4" s="10">
        <v>1</v>
      </c>
      <c r="L4" s="10">
        <v>1</v>
      </c>
      <c r="M4" s="10">
        <v>1</v>
      </c>
      <c r="N4" s="10">
        <v>1</v>
      </c>
      <c r="O4" s="10">
        <v>1</v>
      </c>
      <c r="P4" s="10">
        <v>0.87204763636363636</v>
      </c>
      <c r="Q4" s="10">
        <v>0.87204763636363636</v>
      </c>
    </row>
  </sheetData>
  <pageMargins left="0.7" right="0.7" top="0.75" bottom="0.75" header="0.3" footer="0.3"/>
  <pageSetup paperSize="9" fitToHeight="0" orientation="landscape" horizontalDpi="0" verticalDpi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AA426-18F4-7947-8E50-ACDF38F311F7}">
  <sheetPr codeName="Sheet27">
    <tabColor rgb="FF660099"/>
  </sheetPr>
  <dimension ref="A1:I4"/>
  <sheetViews>
    <sheetView workbookViewId="0"/>
  </sheetViews>
  <sheetFormatPr baseColWidth="10" defaultRowHeight="14" x14ac:dyDescent="0.2"/>
  <cols>
    <col min="1" max="1" width="51.5" style="1" bestFit="1" customWidth="1"/>
    <col min="2" max="2" width="14.6640625" style="23" bestFit="1" customWidth="1"/>
    <col min="3" max="3" width="13" style="10" bestFit="1" customWidth="1"/>
    <col min="4" max="4" width="7.6640625" style="5" bestFit="1" customWidth="1"/>
    <col min="5" max="5" width="6.5" style="5" bestFit="1" customWidth="1"/>
    <col min="6" max="6" width="5.33203125" style="5" bestFit="1" customWidth="1"/>
    <col min="7" max="7" width="7.6640625" style="5" bestFit="1" customWidth="1"/>
    <col min="8" max="8" width="6.5" style="5" bestFit="1" customWidth="1"/>
    <col min="9" max="9" width="5.33203125" style="5" bestFit="1" customWidth="1"/>
    <col min="10" max="16384" width="10.83203125" style="1"/>
  </cols>
  <sheetData>
    <row r="1" spans="1:9" x14ac:dyDescent="0.2">
      <c r="A1" s="3" t="s">
        <v>252</v>
      </c>
    </row>
    <row r="3" spans="1:9" x14ac:dyDescent="0.2">
      <c r="A3" s="30" t="s">
        <v>169</v>
      </c>
      <c r="B3" s="32" t="s">
        <v>173</v>
      </c>
      <c r="C3" s="33" t="s">
        <v>250</v>
      </c>
      <c r="D3" s="34" t="s">
        <v>253</v>
      </c>
      <c r="E3" s="34" t="s">
        <v>254</v>
      </c>
      <c r="F3" s="34" t="s">
        <v>255</v>
      </c>
      <c r="G3" s="34" t="s">
        <v>256</v>
      </c>
      <c r="H3" s="34" t="s">
        <v>257</v>
      </c>
      <c r="I3" s="34" t="s">
        <v>258</v>
      </c>
    </row>
    <row r="4" spans="1:9" x14ac:dyDescent="0.2">
      <c r="A4" s="1" t="s">
        <v>225</v>
      </c>
      <c r="B4" s="23">
        <v>180000</v>
      </c>
      <c r="C4" s="10">
        <v>0.87204763636363636</v>
      </c>
      <c r="D4" s="5">
        <v>0.10464571636363636</v>
      </c>
      <c r="E4" s="5">
        <v>8.2870686883636371E-2</v>
      </c>
      <c r="F4" s="5">
        <v>5.6683096363636366E-2</v>
      </c>
      <c r="G4" s="5">
        <v>3.3181412563636367E-2</v>
      </c>
      <c r="H4" s="5">
        <v>1.572301888363636E-2</v>
      </c>
      <c r="I4" s="5">
        <v>8.7204763636363637E-3</v>
      </c>
    </row>
  </sheetData>
  <pageMargins left="0.7" right="0.7" top="0.75" bottom="0.75" header="0.3" footer="0.3"/>
  <pageSetup paperSize="9" fitToHeight="0" orientation="landscape" horizontalDpi="0" verticalDpi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1875C-8A1B-DA4B-BF1D-DBF314BE88DC}">
  <sheetPr codeName="Sheet28">
    <tabColor rgb="FF660099"/>
  </sheetPr>
  <dimension ref="A1:F4"/>
  <sheetViews>
    <sheetView workbookViewId="0">
      <selection activeCell="K16" sqref="K16"/>
    </sheetView>
  </sheetViews>
  <sheetFormatPr baseColWidth="10" defaultRowHeight="14" x14ac:dyDescent="0.2"/>
  <cols>
    <col min="1" max="16384" width="10.83203125" style="1"/>
  </cols>
  <sheetData>
    <row r="1" spans="1:6" ht="19" x14ac:dyDescent="0.25">
      <c r="A1" s="2" t="s">
        <v>350</v>
      </c>
    </row>
    <row r="3" spans="1:6" x14ac:dyDescent="0.2">
      <c r="A3" s="37" t="s">
        <v>351</v>
      </c>
      <c r="B3" s="38"/>
      <c r="C3" s="38"/>
      <c r="D3" s="38"/>
      <c r="E3" s="38"/>
    </row>
    <row r="4" spans="1:6" x14ac:dyDescent="0.2">
      <c r="A4" s="3" t="s">
        <v>144</v>
      </c>
      <c r="B4" s="3" t="s">
        <v>352</v>
      </c>
      <c r="C4" s="3" t="s">
        <v>353</v>
      </c>
      <c r="D4" s="3" t="s">
        <v>145</v>
      </c>
      <c r="E4" s="3" t="s">
        <v>354</v>
      </c>
      <c r="F4" s="3" t="s">
        <v>355</v>
      </c>
    </row>
  </sheetData>
  <pageMargins left="0.7" right="0.7" top="0.75" bottom="0.75" header="0.3" footer="0.3"/>
  <pageSetup paperSize="9" fitToHeight="0" orientation="landscape" horizontalDpi="0" verticalDpi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D7AB6-956F-3444-9E0E-98AFD4753F48}">
  <sheetPr codeName="Sheet29">
    <tabColor rgb="FF660099"/>
  </sheetPr>
  <dimension ref="A1"/>
  <sheetViews>
    <sheetView workbookViewId="0"/>
  </sheetViews>
  <sheetFormatPr baseColWidth="10" defaultRowHeight="14" x14ac:dyDescent="0.2"/>
  <cols>
    <col min="1" max="16384" width="10.83203125" style="1"/>
  </cols>
  <sheetData/>
  <pageMargins left="0.7" right="0.7" top="0.75" bottom="0.75" header="0.3" footer="0.3"/>
  <pageSetup paperSize="9" fitToHeight="0" orientation="landscape" horizontalDpi="0" verticalDpi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EC4D3-9440-1E44-A36F-F8B8BEB857E7}">
  <sheetPr codeName="Sheet30">
    <tabColor rgb="FF660099"/>
  </sheetPr>
  <dimension ref="A1:S4"/>
  <sheetViews>
    <sheetView workbookViewId="0"/>
  </sheetViews>
  <sheetFormatPr baseColWidth="10" defaultRowHeight="14" x14ac:dyDescent="0.2"/>
  <cols>
    <col min="1" max="1" width="39.6640625" style="1" bestFit="1" customWidth="1"/>
    <col min="2" max="2" width="14.6640625" style="23" bestFit="1" customWidth="1"/>
    <col min="3" max="3" width="21.6640625" style="23" bestFit="1" customWidth="1"/>
    <col min="4" max="4" width="6.83203125" style="1" bestFit="1" customWidth="1"/>
    <col min="5" max="5" width="9.83203125" style="24" bestFit="1" customWidth="1"/>
    <col min="6" max="6" width="8.6640625" style="24" bestFit="1" customWidth="1"/>
    <col min="7" max="7" width="7.5" style="24" bestFit="1" customWidth="1"/>
    <col min="8" max="8" width="9.83203125" style="24" bestFit="1" customWidth="1"/>
    <col min="9" max="9" width="8.6640625" style="24" bestFit="1" customWidth="1"/>
    <col min="10" max="10" width="7.5" style="24" bestFit="1" customWidth="1"/>
    <col min="11" max="11" width="20.1640625" style="23" bestFit="1" customWidth="1"/>
    <col min="12" max="12" width="16" style="23" bestFit="1" customWidth="1"/>
    <col min="13" max="13" width="15" style="23" bestFit="1" customWidth="1"/>
    <col min="14" max="14" width="7.5" style="24" bestFit="1" customWidth="1"/>
    <col min="15" max="15" width="6.33203125" style="24" bestFit="1" customWidth="1"/>
    <col min="16" max="16" width="5.1640625" style="24" bestFit="1" customWidth="1"/>
    <col min="17" max="17" width="7.5" style="24" bestFit="1" customWidth="1"/>
    <col min="18" max="18" width="6.33203125" style="24" bestFit="1" customWidth="1"/>
    <col min="19" max="19" width="5.1640625" style="24" bestFit="1" customWidth="1"/>
    <col min="20" max="16384" width="10.83203125" style="1"/>
  </cols>
  <sheetData>
    <row r="1" spans="1:19" x14ac:dyDescent="0.2">
      <c r="A1" s="3" t="s">
        <v>259</v>
      </c>
    </row>
    <row r="3" spans="1:19" x14ac:dyDescent="0.2">
      <c r="A3" s="30" t="s">
        <v>169</v>
      </c>
      <c r="B3" s="32" t="s">
        <v>173</v>
      </c>
      <c r="C3" s="32" t="s">
        <v>221</v>
      </c>
      <c r="D3" s="30" t="s">
        <v>144</v>
      </c>
      <c r="E3" s="35" t="s">
        <v>260</v>
      </c>
      <c r="F3" s="35" t="s">
        <v>261</v>
      </c>
      <c r="G3" s="35" t="s">
        <v>262</v>
      </c>
      <c r="H3" s="35" t="s">
        <v>263</v>
      </c>
      <c r="I3" s="35" t="s">
        <v>264</v>
      </c>
      <c r="J3" s="35" t="s">
        <v>265</v>
      </c>
      <c r="K3" s="32" t="s">
        <v>266</v>
      </c>
      <c r="L3" s="32" t="s">
        <v>267</v>
      </c>
      <c r="M3" s="32" t="s">
        <v>268</v>
      </c>
      <c r="N3" s="35" t="s">
        <v>269</v>
      </c>
      <c r="O3" s="35" t="s">
        <v>270</v>
      </c>
      <c r="P3" s="35" t="s">
        <v>271</v>
      </c>
      <c r="Q3" s="35" t="s">
        <v>272</v>
      </c>
      <c r="R3" s="35" t="s">
        <v>273</v>
      </c>
      <c r="S3" s="35" t="s">
        <v>274</v>
      </c>
    </row>
    <row r="4" spans="1:19" x14ac:dyDescent="0.2">
      <c r="A4" s="1" t="s">
        <v>225</v>
      </c>
      <c r="B4" s="23">
        <v>180000</v>
      </c>
      <c r="C4" s="23">
        <v>275000</v>
      </c>
      <c r="D4" s="1" t="s">
        <v>147</v>
      </c>
      <c r="E4" s="24">
        <v>0.48250000000000004</v>
      </c>
      <c r="F4" s="24">
        <v>0.44953499999999991</v>
      </c>
      <c r="G4" s="24">
        <v>0.38224000000000002</v>
      </c>
      <c r="H4" s="24">
        <v>0.34314999999999996</v>
      </c>
      <c r="I4" s="24">
        <v>0.31415000000000004</v>
      </c>
      <c r="J4" s="24">
        <v>0.28600000000000003</v>
      </c>
      <c r="K4" s="23">
        <v>142312.5</v>
      </c>
      <c r="L4" s="23">
        <v>10115.625</v>
      </c>
      <c r="M4" s="23">
        <v>12600.000000000002</v>
      </c>
      <c r="N4" s="24">
        <v>0.33557291666666667</v>
      </c>
      <c r="O4" s="24">
        <v>0.28520972222222207</v>
      </c>
      <c r="P4" s="24">
        <v>0.18239791666666666</v>
      </c>
      <c r="Q4" s="24">
        <v>0.12267708333333334</v>
      </c>
      <c r="R4" s="24">
        <v>7.8371527777777783E-2</v>
      </c>
      <c r="S4" s="24">
        <v>3.5364583333333331E-2</v>
      </c>
    </row>
  </sheetData>
  <pageMargins left="0.7" right="0.7" top="0.75" bottom="0.75" header="0.3" footer="0.3"/>
  <pageSetup paperSize="9" fitToHeight="0" orientation="landscape" horizontalDpi="0" verticalDpi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85DE0-F5A3-1248-A5EB-957F5C96DF1A}">
  <sheetPr codeName="Sheet31">
    <tabColor rgb="FF660099"/>
  </sheetPr>
  <dimension ref="A1:F31"/>
  <sheetViews>
    <sheetView workbookViewId="0">
      <selection activeCell="C16" sqref="C16"/>
    </sheetView>
  </sheetViews>
  <sheetFormatPr baseColWidth="10" defaultRowHeight="14" x14ac:dyDescent="0.2"/>
  <cols>
    <col min="1" max="1" width="30.6640625" style="1" bestFit="1" customWidth="1"/>
    <col min="2" max="2" width="12.5" style="1" bestFit="1" customWidth="1"/>
    <col min="3" max="3" width="11.83203125" style="1" bestFit="1" customWidth="1"/>
    <col min="4" max="4" width="12.6640625" style="1" bestFit="1" customWidth="1"/>
    <col min="5" max="5" width="11.6640625" style="23" bestFit="1" customWidth="1"/>
    <col min="6" max="6" width="10.5" style="23" bestFit="1" customWidth="1"/>
    <col min="7" max="16384" width="10.83203125" style="1"/>
  </cols>
  <sheetData>
    <row r="1" spans="1:6" x14ac:dyDescent="0.2">
      <c r="A1" s="3" t="s">
        <v>275</v>
      </c>
    </row>
    <row r="4" spans="1:6" x14ac:dyDescent="0.2">
      <c r="A4" s="3" t="s">
        <v>276</v>
      </c>
    </row>
    <row r="5" spans="1:6" x14ac:dyDescent="0.2">
      <c r="A5" s="4" t="s">
        <v>21</v>
      </c>
      <c r="B5" s="4" t="s">
        <v>277</v>
      </c>
      <c r="C5" s="4" t="s">
        <v>278</v>
      </c>
      <c r="D5" s="4" t="s">
        <v>279</v>
      </c>
      <c r="E5" s="36" t="s">
        <v>280</v>
      </c>
    </row>
    <row r="6" spans="1:6" x14ac:dyDescent="0.2">
      <c r="A6" s="1" t="s">
        <v>29</v>
      </c>
      <c r="B6" s="5">
        <v>0.12</v>
      </c>
      <c r="C6" s="23">
        <v>18836.228945454543</v>
      </c>
      <c r="D6" s="23">
        <v>180000</v>
      </c>
      <c r="E6" s="5">
        <v>0.10464571636363634</v>
      </c>
    </row>
    <row r="7" spans="1:6" x14ac:dyDescent="0.2">
      <c r="A7" s="1" t="s">
        <v>28</v>
      </c>
      <c r="B7" s="5">
        <v>9.5030000000000003E-2</v>
      </c>
      <c r="C7" s="23">
        <v>14916.723639054548</v>
      </c>
      <c r="D7" s="23">
        <v>180000</v>
      </c>
      <c r="E7" s="5">
        <v>8.2870686883636371E-2</v>
      </c>
    </row>
    <row r="8" spans="1:6" x14ac:dyDescent="0.2">
      <c r="A8" s="1" t="s">
        <v>27</v>
      </c>
      <c r="B8" s="5">
        <v>6.5000000000000002E-2</v>
      </c>
      <c r="C8" s="23">
        <v>10202.957345454546</v>
      </c>
      <c r="D8" s="23">
        <v>180000</v>
      </c>
      <c r="E8" s="5">
        <v>5.6683096363636366E-2</v>
      </c>
    </row>
    <row r="9" spans="1:6" x14ac:dyDescent="0.2">
      <c r="A9" s="1" t="s">
        <v>26</v>
      </c>
      <c r="B9" s="5">
        <v>3.805E-2</v>
      </c>
      <c r="C9" s="23">
        <v>5972.654261454546</v>
      </c>
      <c r="D9" s="23">
        <v>180000</v>
      </c>
      <c r="E9" s="5">
        <v>3.3181412563636367E-2</v>
      </c>
    </row>
    <row r="10" spans="1:6" x14ac:dyDescent="0.2">
      <c r="A10" s="1" t="s">
        <v>25</v>
      </c>
      <c r="B10" s="5">
        <v>1.8029999999999997E-2</v>
      </c>
      <c r="C10" s="23">
        <v>2830.1433990545447</v>
      </c>
      <c r="D10" s="23">
        <v>180000</v>
      </c>
      <c r="E10" s="5">
        <v>1.572301888363636E-2</v>
      </c>
    </row>
    <row r="11" spans="1:6" x14ac:dyDescent="0.2">
      <c r="A11" s="1" t="s">
        <v>24</v>
      </c>
      <c r="B11" s="5">
        <v>0.01</v>
      </c>
      <c r="C11" s="23">
        <v>1569.6857454545454</v>
      </c>
      <c r="D11" s="23">
        <v>180000</v>
      </c>
      <c r="E11" s="5">
        <v>8.7204763636363637E-3</v>
      </c>
    </row>
    <row r="14" spans="1:6" x14ac:dyDescent="0.2">
      <c r="A14" s="3" t="s">
        <v>281</v>
      </c>
    </row>
    <row r="15" spans="1:6" x14ac:dyDescent="0.2">
      <c r="A15" s="4" t="s">
        <v>21</v>
      </c>
      <c r="B15" s="4" t="s">
        <v>282</v>
      </c>
      <c r="C15" s="4" t="s">
        <v>279</v>
      </c>
      <c r="D15" s="4" t="s">
        <v>283</v>
      </c>
      <c r="E15" s="36" t="s">
        <v>42</v>
      </c>
      <c r="F15" s="36" t="s">
        <v>284</v>
      </c>
    </row>
    <row r="16" spans="1:6" x14ac:dyDescent="0.2">
      <c r="A16" s="1" t="s">
        <v>29</v>
      </c>
      <c r="B16" s="23">
        <v>60403.125</v>
      </c>
      <c r="C16" s="23">
        <v>180000</v>
      </c>
      <c r="D16" s="5">
        <v>0.33557291666666667</v>
      </c>
      <c r="E16" s="5">
        <v>0.02</v>
      </c>
      <c r="F16" s="5">
        <v>0.33557291666666667</v>
      </c>
    </row>
    <row r="17" spans="1:6" x14ac:dyDescent="0.2">
      <c r="A17" s="1" t="s">
        <v>28</v>
      </c>
      <c r="B17" s="23">
        <v>51337.749999999971</v>
      </c>
      <c r="C17" s="23">
        <v>180000</v>
      </c>
      <c r="D17" s="5">
        <v>0.28520972222222207</v>
      </c>
      <c r="E17" s="5">
        <v>0.02</v>
      </c>
      <c r="F17" s="5">
        <v>0.28520972222222207</v>
      </c>
    </row>
    <row r="18" spans="1:6" x14ac:dyDescent="0.2">
      <c r="A18" s="1" t="s">
        <v>27</v>
      </c>
      <c r="B18" s="23">
        <v>32831.625</v>
      </c>
      <c r="C18" s="23">
        <v>180000</v>
      </c>
      <c r="D18" s="5">
        <v>0.18239791666666666</v>
      </c>
      <c r="E18" s="5">
        <v>0.02</v>
      </c>
      <c r="F18" s="5">
        <v>0.18239791666666666</v>
      </c>
    </row>
    <row r="19" spans="1:6" x14ac:dyDescent="0.2">
      <c r="A19" s="1" t="s">
        <v>26</v>
      </c>
      <c r="B19" s="23">
        <v>22081.875</v>
      </c>
      <c r="C19" s="23">
        <v>180000</v>
      </c>
      <c r="D19" s="5">
        <v>0.12267708333333334</v>
      </c>
      <c r="E19" s="5">
        <v>0.02</v>
      </c>
      <c r="F19" s="5">
        <v>0.12267708333333334</v>
      </c>
    </row>
    <row r="20" spans="1:6" x14ac:dyDescent="0.2">
      <c r="A20" s="1" t="s">
        <v>25</v>
      </c>
      <c r="B20" s="23">
        <v>14106.875000000002</v>
      </c>
      <c r="C20" s="23">
        <v>180000</v>
      </c>
      <c r="D20" s="5">
        <v>7.8371527777777783E-2</v>
      </c>
      <c r="E20" s="5">
        <v>0.02</v>
      </c>
      <c r="F20" s="5">
        <v>7.8371527777777783E-2</v>
      </c>
    </row>
    <row r="21" spans="1:6" x14ac:dyDescent="0.2">
      <c r="A21" s="1" t="s">
        <v>24</v>
      </c>
      <c r="B21" s="23">
        <v>6365.625</v>
      </c>
      <c r="C21" s="23">
        <v>180000</v>
      </c>
      <c r="D21" s="5">
        <v>3.5364583333333331E-2</v>
      </c>
      <c r="E21" s="5">
        <v>0.02</v>
      </c>
      <c r="F21" s="5">
        <v>3.5364583333333331E-2</v>
      </c>
    </row>
    <row r="24" spans="1:6" x14ac:dyDescent="0.2">
      <c r="A24" s="3" t="s">
        <v>285</v>
      </c>
    </row>
    <row r="25" spans="1:6" x14ac:dyDescent="0.2">
      <c r="A25" s="4" t="s">
        <v>21</v>
      </c>
      <c r="B25" s="4" t="s">
        <v>280</v>
      </c>
      <c r="C25" s="4" t="s">
        <v>283</v>
      </c>
      <c r="D25" s="4" t="s">
        <v>286</v>
      </c>
      <c r="E25" s="36" t="s">
        <v>287</v>
      </c>
      <c r="F25" s="36" t="s">
        <v>288</v>
      </c>
    </row>
    <row r="26" spans="1:6" x14ac:dyDescent="0.2">
      <c r="A26" s="1" t="s">
        <v>29</v>
      </c>
      <c r="B26" s="5">
        <v>0.10464571636363634</v>
      </c>
      <c r="C26" s="5">
        <v>0.33557291666666667</v>
      </c>
      <c r="D26" s="5">
        <v>3.5116268256818177E-2</v>
      </c>
      <c r="E26" s="23">
        <v>180000</v>
      </c>
      <c r="F26" s="23">
        <v>6320.9282862272721</v>
      </c>
    </row>
    <row r="27" spans="1:6" x14ac:dyDescent="0.2">
      <c r="A27" s="1" t="s">
        <v>28</v>
      </c>
      <c r="B27" s="5">
        <v>8.2870686883636371E-2</v>
      </c>
      <c r="C27" s="5">
        <v>0.28520972222222207</v>
      </c>
      <c r="D27" s="5">
        <v>2.363552558644667E-2</v>
      </c>
      <c r="E27" s="23">
        <v>180000</v>
      </c>
      <c r="F27" s="23">
        <v>4254.394605560401</v>
      </c>
    </row>
    <row r="28" spans="1:6" x14ac:dyDescent="0.2">
      <c r="A28" s="1" t="s">
        <v>27</v>
      </c>
      <c r="B28" s="5">
        <v>5.6683096363636366E-2</v>
      </c>
      <c r="C28" s="5">
        <v>0.18239791666666666</v>
      </c>
      <c r="D28" s="5">
        <v>1.0338878686943182E-2</v>
      </c>
      <c r="E28" s="23">
        <v>180000</v>
      </c>
      <c r="F28" s="23">
        <v>1860.9981636497728</v>
      </c>
    </row>
    <row r="29" spans="1:6" x14ac:dyDescent="0.2">
      <c r="A29" s="1" t="s">
        <v>26</v>
      </c>
      <c r="B29" s="5">
        <v>3.3181412563636367E-2</v>
      </c>
      <c r="C29" s="5">
        <v>0.12267708333333334</v>
      </c>
      <c r="D29" s="5">
        <v>4.0705989141869327E-3</v>
      </c>
      <c r="E29" s="23">
        <v>180000</v>
      </c>
      <c r="F29" s="23">
        <v>732.70780455364786</v>
      </c>
    </row>
    <row r="30" spans="1:6" x14ac:dyDescent="0.2">
      <c r="A30" s="1" t="s">
        <v>25</v>
      </c>
      <c r="B30" s="5">
        <v>1.572301888363636E-2</v>
      </c>
      <c r="C30" s="5">
        <v>7.8371527777777783E-2</v>
      </c>
      <c r="D30" s="5">
        <v>1.2322370111894317E-3</v>
      </c>
      <c r="E30" s="23">
        <v>180000</v>
      </c>
      <c r="F30" s="23">
        <v>221.80266201409771</v>
      </c>
    </row>
    <row r="31" spans="1:6" x14ac:dyDescent="0.2">
      <c r="A31" s="1" t="s">
        <v>24</v>
      </c>
      <c r="B31" s="5">
        <v>8.7204763636363637E-3</v>
      </c>
      <c r="C31" s="5">
        <v>3.5364583333333331E-2</v>
      </c>
      <c r="D31" s="5">
        <v>3.083960130681818E-4</v>
      </c>
      <c r="E31" s="23">
        <v>180000</v>
      </c>
      <c r="F31" s="23">
        <v>55.511282352272723</v>
      </c>
    </row>
  </sheetData>
  <pageMargins left="0.7" right="0.7" top="0.75" bottom="0.75" header="0.3" footer="0.3"/>
  <pageSetup paperSize="9" fitToHeight="0" orientation="landscape" horizontalDpi="0" verticalDpi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7F03F-58AF-704D-A56C-41365D702648}">
  <sheetPr codeName="Sheet32">
    <tabColor rgb="FF660099"/>
  </sheetPr>
  <dimension ref="A1:F10"/>
  <sheetViews>
    <sheetView workbookViewId="0"/>
  </sheetViews>
  <sheetFormatPr baseColWidth="10" defaultRowHeight="14" x14ac:dyDescent="0.2"/>
  <cols>
    <col min="1" max="1" width="41" style="1" bestFit="1" customWidth="1"/>
    <col min="2" max="2" width="10.5" style="1" bestFit="1" customWidth="1"/>
    <col min="3" max="3" width="10" style="1" bestFit="1" customWidth="1"/>
    <col min="4" max="4" width="6.5" style="1" bestFit="1" customWidth="1"/>
    <col min="5" max="5" width="11.5" style="1" bestFit="1" customWidth="1"/>
    <col min="6" max="6" width="9.33203125" style="1" bestFit="1" customWidth="1"/>
    <col min="7" max="16384" width="10.83203125" style="1"/>
  </cols>
  <sheetData>
    <row r="1" spans="1:6" ht="19" x14ac:dyDescent="0.25">
      <c r="A1" s="2" t="s">
        <v>346</v>
      </c>
    </row>
    <row r="4" spans="1:6" x14ac:dyDescent="0.2">
      <c r="A4" s="4" t="s">
        <v>21</v>
      </c>
      <c r="B4" s="4" t="s">
        <v>286</v>
      </c>
      <c r="C4" s="4" t="s">
        <v>347</v>
      </c>
      <c r="D4" s="4" t="s">
        <v>348</v>
      </c>
      <c r="E4" s="4" t="s">
        <v>349</v>
      </c>
      <c r="F4" s="4" t="s">
        <v>303</v>
      </c>
    </row>
    <row r="5" spans="1:6" x14ac:dyDescent="0.2">
      <c r="A5" s="1" t="s">
        <v>29</v>
      </c>
      <c r="B5" s="5">
        <v>3.5116268256818177E-2</v>
      </c>
      <c r="C5" s="10">
        <v>1.5</v>
      </c>
      <c r="D5" s="5">
        <v>5.2674402385227262E-2</v>
      </c>
      <c r="E5" s="5">
        <v>0.04</v>
      </c>
      <c r="F5" s="5">
        <v>5.2674402385227262E-2</v>
      </c>
    </row>
    <row r="6" spans="1:6" x14ac:dyDescent="0.2">
      <c r="A6" s="1" t="s">
        <v>28</v>
      </c>
      <c r="B6" s="5">
        <v>2.363552558644667E-2</v>
      </c>
      <c r="C6" s="10">
        <v>1.4</v>
      </c>
      <c r="D6" s="5">
        <v>3.3089735821025333E-2</v>
      </c>
      <c r="E6" s="5">
        <v>0.02</v>
      </c>
      <c r="F6" s="5">
        <v>3.3089735821025333E-2</v>
      </c>
    </row>
    <row r="7" spans="1:6" x14ac:dyDescent="0.2">
      <c r="A7" s="1" t="s">
        <v>27</v>
      </c>
      <c r="B7" s="5">
        <v>1.0338878686943182E-2</v>
      </c>
      <c r="C7" s="10">
        <v>1.3</v>
      </c>
      <c r="D7" s="5">
        <v>1.3440542293026138E-2</v>
      </c>
      <c r="E7" s="5">
        <v>1.4999999999999999E-2</v>
      </c>
      <c r="F7" s="5">
        <v>1.4999999999999999E-2</v>
      </c>
    </row>
    <row r="8" spans="1:6" x14ac:dyDescent="0.2">
      <c r="A8" s="1" t="s">
        <v>26</v>
      </c>
      <c r="B8" s="5">
        <v>4.0705989141869327E-3</v>
      </c>
      <c r="C8" s="10">
        <v>1.2</v>
      </c>
      <c r="D8" s="5">
        <v>4.884718697024319E-3</v>
      </c>
      <c r="E8" s="5">
        <v>0.01</v>
      </c>
      <c r="F8" s="5">
        <v>0.01</v>
      </c>
    </row>
    <row r="9" spans="1:6" x14ac:dyDescent="0.2">
      <c r="A9" s="1" t="s">
        <v>25</v>
      </c>
      <c r="B9" s="5">
        <v>1.2322370111894317E-3</v>
      </c>
      <c r="C9" s="10">
        <v>1.1000000000000001</v>
      </c>
      <c r="D9" s="5">
        <v>1.355460712308375E-3</v>
      </c>
      <c r="E9" s="5">
        <v>5.0000000000000001E-3</v>
      </c>
      <c r="F9" s="5">
        <v>5.0000000000000001E-3</v>
      </c>
    </row>
    <row r="10" spans="1:6" x14ac:dyDescent="0.2">
      <c r="A10" s="1" t="s">
        <v>24</v>
      </c>
      <c r="B10" s="5">
        <v>3.083960130681818E-4</v>
      </c>
      <c r="C10" s="10">
        <v>1</v>
      </c>
      <c r="D10" s="5">
        <v>3.083960130681818E-4</v>
      </c>
      <c r="E10" s="5">
        <v>3.5000000000000001E-3</v>
      </c>
      <c r="F10" s="5">
        <v>3.5000000000000001E-3</v>
      </c>
    </row>
  </sheetData>
  <pageMargins left="0.7" right="0.7" top="0.75" bottom="0.75" header="0.3" footer="0.3"/>
  <pageSetup paperSize="9" fitToHeight="0" orientation="landscape" horizontalDpi="0" verticalDpi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63FDF-66DA-EA48-97D7-48290B56AE44}">
  <sheetPr codeName="Sheet33">
    <tabColor rgb="FFC00000"/>
  </sheetPr>
  <dimension ref="A1:F25"/>
  <sheetViews>
    <sheetView workbookViewId="0"/>
  </sheetViews>
  <sheetFormatPr baseColWidth="10" defaultRowHeight="14" x14ac:dyDescent="0.2"/>
  <cols>
    <col min="1" max="1" width="25.83203125" style="1" customWidth="1"/>
    <col min="2" max="5" width="15.83203125" style="1" customWidth="1"/>
    <col min="6" max="16384" width="10.83203125" style="1"/>
  </cols>
  <sheetData>
    <row r="1" spans="1:3" x14ac:dyDescent="0.2">
      <c r="A1" s="3" t="s">
        <v>289</v>
      </c>
    </row>
    <row r="3" spans="1:3" x14ac:dyDescent="0.2">
      <c r="A3" s="37" t="s">
        <v>290</v>
      </c>
      <c r="B3" s="38"/>
      <c r="C3" s="38"/>
    </row>
    <row r="4" spans="1:3" x14ac:dyDescent="0.2">
      <c r="A4" s="1" t="s">
        <v>291</v>
      </c>
      <c r="B4" s="1">
        <f>COUNTA('30_Loan_Tape'!A:A)-1</f>
        <v>100</v>
      </c>
    </row>
    <row r="5" spans="1:3" x14ac:dyDescent="0.2">
      <c r="A5" s="1" t="s">
        <v>292</v>
      </c>
      <c r="B5" s="23">
        <f>SUM('30_Loan_Tape'!E:E)</f>
        <v>65243687</v>
      </c>
    </row>
    <row r="6" spans="1:3" x14ac:dyDescent="0.2">
      <c r="A6" s="1" t="s">
        <v>293</v>
      </c>
      <c r="B6" s="23">
        <f>AVERAGE('30_Loan_Tape'!E:E)</f>
        <v>652436.87</v>
      </c>
    </row>
    <row r="7" spans="1:3" x14ac:dyDescent="0.2">
      <c r="A7" s="1" t="s">
        <v>294</v>
      </c>
      <c r="B7" s="23">
        <f>MAX('30_Loan_Tape'!E:E)</f>
        <v>1721380</v>
      </c>
    </row>
    <row r="10" spans="1:3" x14ac:dyDescent="0.2">
      <c r="A10" s="37" t="s">
        <v>295</v>
      </c>
      <c r="B10" s="38"/>
      <c r="C10" s="38"/>
    </row>
    <row r="11" spans="1:3" x14ac:dyDescent="0.2">
      <c r="A11" s="1" t="s">
        <v>296</v>
      </c>
      <c r="B11" s="1" t="s">
        <v>297</v>
      </c>
    </row>
    <row r="12" spans="1:3" x14ac:dyDescent="0.2">
      <c r="A12" s="1" t="s">
        <v>298</v>
      </c>
      <c r="B12" s="1" t="s">
        <v>297</v>
      </c>
    </row>
    <row r="13" spans="1:3" x14ac:dyDescent="0.2">
      <c r="A13" s="1" t="s">
        <v>299</v>
      </c>
      <c r="B13" s="1" t="s">
        <v>297</v>
      </c>
    </row>
    <row r="14" spans="1:3" x14ac:dyDescent="0.2">
      <c r="A14" s="1" t="s">
        <v>300</v>
      </c>
      <c r="B14" s="1" t="s">
        <v>297</v>
      </c>
    </row>
    <row r="15" spans="1:3" x14ac:dyDescent="0.2">
      <c r="A15" s="1" t="s">
        <v>301</v>
      </c>
      <c r="B15" s="1" t="s">
        <v>297</v>
      </c>
    </row>
    <row r="18" spans="1:6" x14ac:dyDescent="0.2">
      <c r="A18" s="37" t="s">
        <v>302</v>
      </c>
      <c r="B18" s="38"/>
      <c r="C18" s="38"/>
      <c r="D18" s="38"/>
      <c r="E18" s="38"/>
      <c r="F18" s="38"/>
    </row>
    <row r="19" spans="1:6" x14ac:dyDescent="0.2">
      <c r="A19" s="4" t="s">
        <v>21</v>
      </c>
      <c r="B19" s="4" t="s">
        <v>280</v>
      </c>
      <c r="C19" s="4" t="s">
        <v>283</v>
      </c>
      <c r="D19" s="4" t="s">
        <v>286</v>
      </c>
      <c r="E19" s="4" t="s">
        <v>303</v>
      </c>
    </row>
    <row r="20" spans="1:6" x14ac:dyDescent="0.2">
      <c r="A20" s="1" t="s">
        <v>29</v>
      </c>
      <c r="B20" s="5"/>
      <c r="C20" s="5"/>
      <c r="D20" s="5"/>
      <c r="E20" s="5"/>
    </row>
    <row r="21" spans="1:6" x14ac:dyDescent="0.2">
      <c r="A21" s="1" t="s">
        <v>28</v>
      </c>
      <c r="B21" s="5"/>
      <c r="C21" s="5"/>
      <c r="D21" s="5"/>
      <c r="E21" s="5"/>
    </row>
    <row r="22" spans="1:6" x14ac:dyDescent="0.2">
      <c r="A22" s="1" t="s">
        <v>27</v>
      </c>
      <c r="B22" s="5"/>
      <c r="C22" s="5"/>
      <c r="D22" s="5"/>
      <c r="E22" s="5"/>
    </row>
    <row r="23" spans="1:6" x14ac:dyDescent="0.2">
      <c r="A23" s="1" t="s">
        <v>26</v>
      </c>
      <c r="B23" s="5"/>
      <c r="C23" s="5"/>
      <c r="D23" s="5"/>
      <c r="E23" s="5"/>
    </row>
    <row r="24" spans="1:6" x14ac:dyDescent="0.2">
      <c r="A24" s="1" t="s">
        <v>25</v>
      </c>
      <c r="B24" s="5"/>
      <c r="C24" s="5"/>
      <c r="D24" s="5"/>
      <c r="E24" s="5"/>
    </row>
    <row r="25" spans="1:6" x14ac:dyDescent="0.2">
      <c r="A25" s="1" t="s">
        <v>24</v>
      </c>
      <c r="B25" s="5"/>
      <c r="C25" s="5"/>
      <c r="D25" s="5"/>
      <c r="E25" s="5"/>
    </row>
  </sheetData>
  <pageMargins left="0.7" right="0.7" top="0.75" bottom="0.75" header="0.3" footer="0.3"/>
  <pageSetup paperSize="9" fitToHeight="0" orientation="landscape" horizontalDpi="0" verticalDpi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1FD6-A36A-9F48-8E49-13E36547219D}">
  <sheetPr codeName="Sheet34">
    <tabColor rgb="FFC00000"/>
  </sheetPr>
  <dimension ref="A1"/>
  <sheetViews>
    <sheetView workbookViewId="0"/>
  </sheetViews>
  <sheetFormatPr baseColWidth="10" defaultRowHeight="14" x14ac:dyDescent="0.2"/>
  <cols>
    <col min="1" max="16384" width="10.83203125" style="1"/>
  </cols>
  <sheetData/>
  <pageMargins left="0.7" right="0.7" top="0.75" bottom="0.75" header="0.3" footer="0.3"/>
  <pageSetup paperSize="9" fitToHeight="0" orientation="landscape" horizontalDpi="0" verticalDpi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0AFB-EF60-7C47-B839-D28E387B8238}">
  <sheetPr codeName="Sheet35">
    <tabColor rgb="FFC00000"/>
  </sheetPr>
  <dimension ref="A1"/>
  <sheetViews>
    <sheetView workbookViewId="0"/>
  </sheetViews>
  <sheetFormatPr baseColWidth="10" defaultRowHeight="14" x14ac:dyDescent="0.2"/>
  <cols>
    <col min="1" max="16384" width="10.83203125" style="1"/>
  </cols>
  <sheetData/>
  <pageMargins left="0.7" right="0.7" top="0.75" bottom="0.75" header="0.3" footer="0.3"/>
  <pageSetup paperSize="9" fitToHeight="0" orientation="landscape" horizontalDpi="0" verticalDpi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5626D-F80B-1146-ACDC-E6142C663662}">
  <sheetPr codeName="Sheet36">
    <tabColor rgb="FFC00000"/>
  </sheetPr>
  <dimension ref="A1"/>
  <sheetViews>
    <sheetView workbookViewId="0"/>
  </sheetViews>
  <sheetFormatPr baseColWidth="10" defaultRowHeight="14" x14ac:dyDescent="0.2"/>
  <cols>
    <col min="1" max="16384" width="10.83203125" style="1"/>
  </cols>
  <sheetData/>
  <pageMargins left="0.7" right="0.7" top="0.75" bottom="0.75" header="0.3" footer="0.3"/>
  <pageSetup paperSize="9" fitToHeight="0" orientation="landscape" horizontalDpi="0" verticalDpi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D8E80-601B-4C4D-88C4-9B23939F1D31}">
  <sheetPr codeName="Sheet37">
    <tabColor rgb="FFC00000"/>
  </sheetPr>
  <dimension ref="A1"/>
  <sheetViews>
    <sheetView workbookViewId="0"/>
  </sheetViews>
  <sheetFormatPr baseColWidth="10" defaultRowHeight="14" x14ac:dyDescent="0.2"/>
  <cols>
    <col min="1" max="16384" width="10.83203125" style="1"/>
  </cols>
  <sheetData/>
  <pageMargins left="0.7" right="0.7" top="0.75" bottom="0.75" header="0.3" footer="0.3"/>
  <pageSetup paperSize="9" fitToHeight="0" orientation="landscape" horizontalDpi="0" verticalDpi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CC558-89C1-B643-93C1-D32E92820B19}">
  <sheetPr codeName="Sheet38">
    <tabColor rgb="FFC00000"/>
  </sheetPr>
  <dimension ref="A4:D28"/>
  <sheetViews>
    <sheetView workbookViewId="0"/>
  </sheetViews>
  <sheetFormatPr baseColWidth="10" defaultRowHeight="14" x14ac:dyDescent="0.2"/>
  <cols>
    <col min="1" max="1" width="10.83203125" style="1"/>
    <col min="2" max="2" width="15.6640625" style="1" bestFit="1" customWidth="1"/>
    <col min="3" max="16384" width="10.83203125" style="1"/>
  </cols>
  <sheetData>
    <row r="4" spans="1:4" x14ac:dyDescent="0.2">
      <c r="A4" s="37" t="s">
        <v>339</v>
      </c>
      <c r="B4" s="38"/>
      <c r="C4" s="38"/>
      <c r="D4" s="38"/>
    </row>
    <row r="5" spans="1:4" x14ac:dyDescent="0.2">
      <c r="A5" s="1" t="s">
        <v>313</v>
      </c>
      <c r="B5" s="47">
        <v>0</v>
      </c>
    </row>
    <row r="6" spans="1:4" x14ac:dyDescent="0.2">
      <c r="A6" s="1" t="s">
        <v>315</v>
      </c>
    </row>
    <row r="7" spans="1:4" x14ac:dyDescent="0.2">
      <c r="A7" s="1" t="s">
        <v>340</v>
      </c>
      <c r="B7" s="5">
        <v>0.12</v>
      </c>
    </row>
    <row r="8" spans="1:4" x14ac:dyDescent="0.2">
      <c r="A8" s="1" t="s">
        <v>341</v>
      </c>
      <c r="B8" s="5">
        <v>0</v>
      </c>
    </row>
    <row r="9" spans="1:4" x14ac:dyDescent="0.2">
      <c r="A9" s="1" t="s">
        <v>342</v>
      </c>
      <c r="B9" s="5">
        <v>0</v>
      </c>
    </row>
    <row r="10" spans="1:4" x14ac:dyDescent="0.2">
      <c r="A10" s="1" t="s">
        <v>343</v>
      </c>
      <c r="B10" s="5">
        <v>0</v>
      </c>
    </row>
    <row r="11" spans="1:4" x14ac:dyDescent="0.2">
      <c r="A11" s="1" t="s">
        <v>344</v>
      </c>
      <c r="B11" s="5">
        <v>0</v>
      </c>
    </row>
    <row r="13" spans="1:4" x14ac:dyDescent="0.2">
      <c r="A13" s="1" t="s">
        <v>345</v>
      </c>
      <c r="B13" s="48">
        <v>46041.976921296293</v>
      </c>
    </row>
    <row r="16" spans="1:4" x14ac:dyDescent="0.2">
      <c r="A16" s="37" t="s">
        <v>339</v>
      </c>
      <c r="B16" s="38"/>
      <c r="C16" s="38"/>
      <c r="D16" s="38"/>
    </row>
    <row r="17" spans="1:4" x14ac:dyDescent="0.2">
      <c r="A17" s="1" t="s">
        <v>313</v>
      </c>
      <c r="B17" s="47">
        <v>0</v>
      </c>
    </row>
    <row r="18" spans="1:4" x14ac:dyDescent="0.2">
      <c r="A18" s="1" t="s">
        <v>315</v>
      </c>
    </row>
    <row r="19" spans="1:4" x14ac:dyDescent="0.2">
      <c r="A19" s="1" t="s">
        <v>340</v>
      </c>
      <c r="B19" s="5">
        <v>0.12</v>
      </c>
    </row>
    <row r="20" spans="1:4" x14ac:dyDescent="0.2">
      <c r="A20" s="1" t="s">
        <v>341</v>
      </c>
      <c r="B20" s="5">
        <v>0</v>
      </c>
    </row>
    <row r="21" spans="1:4" x14ac:dyDescent="0.2">
      <c r="A21" s="1" t="s">
        <v>342</v>
      </c>
      <c r="B21" s="5">
        <v>0</v>
      </c>
    </row>
    <row r="22" spans="1:4" x14ac:dyDescent="0.2">
      <c r="A22" s="1" t="s">
        <v>343</v>
      </c>
      <c r="B22" s="5">
        <v>0</v>
      </c>
    </row>
    <row r="23" spans="1:4" x14ac:dyDescent="0.2">
      <c r="A23" s="1" t="s">
        <v>344</v>
      </c>
      <c r="B23" s="5">
        <v>0</v>
      </c>
    </row>
    <row r="25" spans="1:4" x14ac:dyDescent="0.2">
      <c r="A25" s="1" t="s">
        <v>345</v>
      </c>
      <c r="B25" s="48">
        <v>46041.97693287037</v>
      </c>
    </row>
    <row r="26" spans="1:4" x14ac:dyDescent="0.2">
      <c r="A26" s="49" t="s">
        <v>356</v>
      </c>
      <c r="B26" s="50">
        <v>46041.977789351855</v>
      </c>
      <c r="C26" s="49" t="s">
        <v>357</v>
      </c>
      <c r="D26" s="49" t="s">
        <v>358</v>
      </c>
    </row>
    <row r="27" spans="1:4" x14ac:dyDescent="0.2">
      <c r="A27" s="49" t="s">
        <v>356</v>
      </c>
      <c r="B27" s="50">
        <v>46041.977916666663</v>
      </c>
      <c r="C27" s="49" t="s">
        <v>357</v>
      </c>
      <c r="D27" s="49" t="s">
        <v>358</v>
      </c>
    </row>
    <row r="28" spans="1:4" x14ac:dyDescent="0.2">
      <c r="A28" s="49" t="s">
        <v>356</v>
      </c>
      <c r="B28" s="50">
        <v>46041.978321759256</v>
      </c>
      <c r="C28" s="49" t="s">
        <v>357</v>
      </c>
      <c r="D28" s="49" t="s">
        <v>358</v>
      </c>
    </row>
  </sheetData>
  <pageMargins left="0.7" right="0.7" top="0.75" bottom="0.75" header="0.3" footer="0.3"/>
  <pageSetup paperSize="9" fitToHeight="0" orientation="landscape" horizontalDpi="0" verticalDpi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C96D9-6DC6-9F4A-9505-1D91503FE807}">
  <sheetPr codeName="Sheet39">
    <tabColor rgb="FFC00000"/>
  </sheetPr>
  <dimension ref="A1"/>
  <sheetViews>
    <sheetView workbookViewId="0"/>
  </sheetViews>
  <sheetFormatPr baseColWidth="10" defaultRowHeight="14" x14ac:dyDescent="0.2"/>
  <cols>
    <col min="1" max="16384" width="10.83203125" style="1"/>
  </cols>
  <sheetData/>
  <pageMargins left="0.7" right="0.7" top="0.75" bottom="0.75" header="0.3" footer="0.3"/>
  <pageSetup paperSize="9" fitToHeight="0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44</vt:i4>
      </vt:variant>
    </vt:vector>
  </HeadingPairs>
  <TitlesOfParts>
    <vt:vector size="83" baseType="lpstr">
      <vt:lpstr>01_Cover</vt:lpstr>
      <vt:lpstr>02_Config</vt:lpstr>
      <vt:lpstr>03_MMA_Parameters</vt:lpstr>
      <vt:lpstr>04_Archetypal_Params</vt:lpstr>
      <vt:lpstr>05_Validation_Rules</vt:lpstr>
      <vt:lpstr>10_LTV_Curves</vt:lpstr>
      <vt:lpstr>11_DTI_Adjustments</vt:lpstr>
      <vt:lpstr>12_Seasoning_Adj</vt:lpstr>
      <vt:lpstr>13_Employment_Adj</vt:lpstr>
      <vt:lpstr>14_Security_Adj</vt:lpstr>
      <vt:lpstr>15_Occupancy_Adj</vt:lpstr>
      <vt:lpstr>16_Purpose_Adj</vt:lpstr>
      <vt:lpstr>17_Product_Adj</vt:lpstr>
      <vt:lpstr>18_Arrears_Adj</vt:lpstr>
      <vt:lpstr>19_Credit_History_Adj</vt:lpstr>
      <vt:lpstr>20_Other_Adj</vt:lpstr>
      <vt:lpstr>21_MVD_Parameters</vt:lpstr>
      <vt:lpstr>22_Foreclosure_Params</vt:lpstr>
      <vt:lpstr>23_Jurisdiction_Master</vt:lpstr>
      <vt:lpstr>30_Loan_Tape</vt:lpstr>
      <vt:lpstr>31_Property_Data</vt:lpstr>
      <vt:lpstr>32_Borrower_Data</vt:lpstr>
      <vt:lpstr>33_Performance_Data</vt:lpstr>
      <vt:lpstr>34_Market_Data</vt:lpstr>
      <vt:lpstr>40_LTV_Calculation</vt:lpstr>
      <vt:lpstr>41_FF_Adjustments</vt:lpstr>
      <vt:lpstr>42_Loan_FF</vt:lpstr>
      <vt:lpstr>43_Pool_Adjustments</vt:lpstr>
      <vt:lpstr>44_MVD_Calculation</vt:lpstr>
      <vt:lpstr>45_Loss_Severity</vt:lpstr>
      <vt:lpstr>46_Expected_Loss</vt:lpstr>
      <vt:lpstr>47_CE_Calculation</vt:lpstr>
      <vt:lpstr>50_Pool_Summary</vt:lpstr>
      <vt:lpstr>51_WAFF_WALS_Summary</vt:lpstr>
      <vt:lpstr>52_Stratification</vt:lpstr>
      <vt:lpstr>53_CE_Requirements</vt:lpstr>
      <vt:lpstr>54_Sensitivity</vt:lpstr>
      <vt:lpstr>55_Audit_Trail</vt:lpstr>
      <vt:lpstr>56_Dashboard</vt:lpstr>
      <vt:lpstr>cfg_AnalysisDate</vt:lpstr>
      <vt:lpstr>cfg_CLTV_Weight</vt:lpstr>
      <vt:lpstr>cfg_CutoffDate</vt:lpstr>
      <vt:lpstr>cfg_Jurisdiction</vt:lpstr>
      <vt:lpstr>cfg_OLTV_Weight</vt:lpstr>
      <vt:lpstr>mvd_fixed_A</vt:lpstr>
      <vt:lpstr>mvd_fixed_AA</vt:lpstr>
      <vt:lpstr>mvd_fixed_AAA</vt:lpstr>
      <vt:lpstr>mvd_fixed_B</vt:lpstr>
      <vt:lpstr>mvd_fixed_BB</vt:lpstr>
      <vt:lpstr>mvd_fixed_BBB</vt:lpstr>
      <vt:lpstr>mvd_fsd_A</vt:lpstr>
      <vt:lpstr>mvd_fsd_AA</vt:lpstr>
      <vt:lpstr>mvd_fsd_AAA</vt:lpstr>
      <vt:lpstr>mvd_fsd_B</vt:lpstr>
      <vt:lpstr>mvd_fsd_BB</vt:lpstr>
      <vt:lpstr>mvd_fsd_BBB</vt:lpstr>
      <vt:lpstr>'03_MMA_Parameters'!Print_Area</vt:lpstr>
      <vt:lpstr>'10_LTV_Curves'!Print_Area</vt:lpstr>
      <vt:lpstr>'11_DTI_Adjustments'!Print_Area</vt:lpstr>
      <vt:lpstr>'12_Seasoning_Adj'!Print_Area</vt:lpstr>
      <vt:lpstr>'13_Employment_Adj'!Print_Area</vt:lpstr>
      <vt:lpstr>'15_Occupancy_Adj'!Print_Area</vt:lpstr>
      <vt:lpstr>'19_Credit_History_Adj'!Print_Area</vt:lpstr>
      <vt:lpstr>'21_MVD_Parameters'!Print_Area</vt:lpstr>
      <vt:lpstr>'22_Foreclosure_Params'!Print_Area</vt:lpstr>
      <vt:lpstr>'30_Loan_Tape'!Print_Area</vt:lpstr>
      <vt:lpstr>'41_FF_Adjustments'!Print_Area</vt:lpstr>
      <vt:lpstr>'42_Loan_FF'!Print_Area</vt:lpstr>
      <vt:lpstr>'45_Loss_Severity'!Print_Area</vt:lpstr>
      <vt:lpstr>'46_Expected_Loss'!Print_Area</vt:lpstr>
      <vt:lpstr>'50_Pool_Summary'!Print_Area</vt:lpstr>
      <vt:lpstr>uk_AAA_Anchor</vt:lpstr>
      <vt:lpstr>uk_B_Minimum</vt:lpstr>
      <vt:lpstr>uk_current_OU</vt:lpstr>
      <vt:lpstr>uk_FF_A</vt:lpstr>
      <vt:lpstr>uk_FF_AA</vt:lpstr>
      <vt:lpstr>uk_FF_AAA</vt:lpstr>
      <vt:lpstr>uk_FF_B</vt:lpstr>
      <vt:lpstr>uk_FF_BB</vt:lpstr>
      <vt:lpstr>uk_FF_BBB</vt:lpstr>
      <vt:lpstr>uk_foreclosure_fixed_cost</vt:lpstr>
      <vt:lpstr>uk_foreclosure_period_months</vt:lpstr>
      <vt:lpstr>uk_foreclosure_var_pct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Monique St.Claire</dc:creator>
  <cp:lastModifiedBy>Monique St.Claire</cp:lastModifiedBy>
  <dcterms:created xsi:type="dcterms:W3CDTF">2026-01-19T21:53:13Z</dcterms:created>
  <dcterms:modified xsi:type="dcterms:W3CDTF">2026-01-19T23:37:41Z</dcterms:modified>
</cp:coreProperties>
</file>