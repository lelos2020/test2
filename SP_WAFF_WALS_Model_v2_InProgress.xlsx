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Panel" sheetId="1" state="visible" r:id="rId1"/>
    <sheet xmlns:r="http://schemas.openxmlformats.org/officeDocument/2006/relationships" name="BoE Mapping" sheetId="2" state="visible" r:id="rId2"/>
    <sheet xmlns:r="http://schemas.openxmlformats.org/officeDocument/2006/relationships" name="Loan Tape (BoE)" sheetId="3" state="visible" r:id="rId3"/>
    <sheet xmlns:r="http://schemas.openxmlformats.org/officeDocument/2006/relationships" name="Loan Tape (S&amp;P)" sheetId="4" state="visible" r:id="rId4"/>
    <sheet xmlns:r="http://schemas.openxmlformats.org/officeDocument/2006/relationships" name="FF Parameters" sheetId="5" state="visible" r:id="rId5"/>
    <sheet xmlns:r="http://schemas.openxmlformats.org/officeDocument/2006/relationships" name="LS Parameters" sheetId="6" state="visible" r:id="rId6"/>
    <sheet xmlns:r="http://schemas.openxmlformats.org/officeDocument/2006/relationships" name="Rating Parameters" sheetId="7" state="visible" r:id="rId7"/>
    <sheet xmlns:r="http://schemas.openxmlformats.org/officeDocument/2006/relationships" name="FF Calculations" sheetId="8" state="visible" r:id="rId8"/>
    <sheet xmlns:r="http://schemas.openxmlformats.org/officeDocument/2006/relationships" name="LS Calculations" sheetId="9" state="visible" r:id="rId9"/>
    <sheet xmlns:r="http://schemas.openxmlformats.org/officeDocument/2006/relationships" name="Adjustment Overview" sheetId="10" state="visible" r:id="rId10"/>
    <sheet xmlns:r="http://schemas.openxmlformats.org/officeDocument/2006/relationships" name="Pool Summary" sheetId="11" state="visible" r:id="rId11"/>
    <sheet xmlns:r="http://schemas.openxmlformats.org/officeDocument/2006/relationships" name="Rating CE" sheetId="12" state="visible" r:id="rId12"/>
    <sheet xmlns:r="http://schemas.openxmlformats.org/officeDocument/2006/relationships" name="Document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-MMM-YYYY"/>
    <numFmt numFmtId="165" formatCode="£#,##0,,&quot;M&quot;"/>
    <numFmt numFmtId="166" formatCode="0.000%"/>
    <numFmt numFmtId="167" formatCode="0.0&quot;x&quot;"/>
    <numFmt numFmtId="168" formatCode="0.00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i val="1"/>
      <sz val="9"/>
    </font>
    <font>
      <b val="1"/>
      <sz val="11"/>
    </font>
    <font>
      <b val="1"/>
      <color rgb="00FFFFFF"/>
      <sz val="13"/>
    </font>
    <font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5B9BD5"/>
        <bgColor rgb="005B9BD5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C6E0B4"/>
        <bgColor rgb="00C6E0B4"/>
      </patternFill>
    </fill>
    <fill>
      <patternFill patternType="solid">
        <fgColor rgb="00F2F2F2"/>
        <bgColor rgb="00F2F2F2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4" borderId="0" pivotButton="0" quotePrefix="0" xfId="0"/>
    <xf numFmtId="0" fontId="2" fillId="3" borderId="0" pivotButton="0" quotePrefix="0" xfId="0"/>
    <xf numFmtId="0" fontId="0" fillId="5" borderId="1" pivotButton="0" quotePrefix="0" xfId="0"/>
    <xf numFmtId="0" fontId="0" fillId="6" borderId="1" pivotButton="0" quotePrefix="0" xfId="0"/>
    <xf numFmtId="164" fontId="0" fillId="5" borderId="1" pivotButton="0" quotePrefix="0" xfId="0"/>
    <xf numFmtId="165" fontId="0" fillId="6" borderId="1" pivotButton="0" quotePrefix="0" xfId="0"/>
    <xf numFmtId="166" fontId="0" fillId="6" borderId="1" pivotButton="0" quotePrefix="0" xfId="0"/>
    <xf numFmtId="2" fontId="0" fillId="5" borderId="1" pivotButton="0" quotePrefix="0" xfId="0"/>
    <xf numFmtId="10" fontId="0" fillId="6" borderId="1" pivotButton="0" quotePrefix="0" xfId="0"/>
    <xf numFmtId="167" fontId="0" fillId="6" borderId="1" pivotButton="0" quotePrefix="0" xfId="0"/>
    <xf numFmtId="0" fontId="5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0" fillId="7" borderId="1" pivotButton="0" quotePrefix="0" xfId="0"/>
    <xf numFmtId="164" fontId="0" fillId="5" borderId="1" pivotButton="0" quotePrefix="0" xfId="0"/>
    <xf numFmtId="165" fontId="0" fillId="6" borderId="1" pivotButton="0" quotePrefix="0" xfId="0"/>
    <xf numFmtId="166" fontId="0" fillId="6" borderId="1" pivotButton="0" quotePrefix="0" xfId="0"/>
    <xf numFmtId="167" fontId="0" fillId="6" borderId="1" pivotButton="0" quotePrefix="0" xfId="0"/>
    <xf numFmtId="0" fontId="6" fillId="2" borderId="0" applyAlignment="1" pivotButton="0" quotePrefix="0" xfId="0">
      <alignment horizontal="center" vertical="center"/>
    </xf>
    <xf numFmtId="0" fontId="2" fillId="2" borderId="1" pivotButton="0" quotePrefix="0" xfId="0"/>
    <xf numFmtId="168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" customWidth="1" min="4" max="4"/>
    <col width="20" customWidth="1" min="5" max="5"/>
    <col width="15" customWidth="1" min="6" max="6"/>
    <col width="25" customWidth="1" min="7" max="7"/>
  </cols>
  <sheetData>
    <row r="1">
      <c r="A1" s="1" t="inlineStr">
        <is>
          <t>S&amp;P WAFF/WALS CALCULATION MODEL</t>
        </is>
      </c>
    </row>
    <row r="2">
      <c r="A2" s="2" t="inlineStr">
        <is>
          <t>UK RMBS - Bank of England Loan Tape Format</t>
        </is>
      </c>
    </row>
    <row r="3">
      <c r="A3" s="3" t="inlineStr">
        <is>
          <t>Version: 2.0 - Dynamic Parameter Lookups</t>
        </is>
      </c>
    </row>
    <row r="4">
      <c r="A4" s="3" t="inlineStr">
        <is>
          <t>Created: 14-Jan-2026</t>
        </is>
      </c>
    </row>
    <row r="6">
      <c r="A6" s="4" t="inlineStr">
        <is>
          <t>MODEL SETTINGS</t>
        </is>
      </c>
      <c r="E6" s="4" t="inlineStr">
        <is>
          <t>POOL STATISTICS</t>
        </is>
      </c>
    </row>
    <row r="8">
      <c r="A8" s="5" t="inlineStr">
        <is>
          <t>Parameter</t>
        </is>
      </c>
      <c r="B8" s="5" t="inlineStr">
        <is>
          <t>Value</t>
        </is>
      </c>
      <c r="C8" s="5" t="inlineStr">
        <is>
          <t>Description</t>
        </is>
      </c>
      <c r="E8" s="5" t="inlineStr">
        <is>
          <t>Metric</t>
        </is>
      </c>
      <c r="F8" s="5" t="inlineStr">
        <is>
          <t>Value</t>
        </is>
      </c>
      <c r="G8" s="5" t="inlineStr">
        <is>
          <t>Note</t>
        </is>
      </c>
    </row>
    <row r="9">
      <c r="A9" t="inlineStr">
        <is>
          <t>Target Rating Level</t>
        </is>
      </c>
      <c r="B9" s="6" t="inlineStr">
        <is>
          <t>AAA</t>
        </is>
      </c>
      <c r="C9" t="inlineStr">
        <is>
          <t>Drives FF anchor, MVD, stress multiple</t>
        </is>
      </c>
      <c r="E9" t="inlineStr">
        <is>
          <t>Loan Count</t>
        </is>
      </c>
      <c r="F9" s="7">
        <f>COUNTA('Loan Tape (S&amp;P)'!A:A)-1</f>
        <v/>
      </c>
      <c r="G9" t="inlineStr">
        <is>
          <t>After mapping</t>
        </is>
      </c>
    </row>
    <row r="10">
      <c r="A10" t="inlineStr">
        <is>
          <t>Analysis Date</t>
        </is>
      </c>
      <c r="B10" s="19" t="n">
        <v>46036.3779074074</v>
      </c>
      <c r="C10" t="inlineStr">
        <is>
          <t>For seasoning and CCJ age calculations</t>
        </is>
      </c>
      <c r="E10" t="inlineStr">
        <is>
          <t>Total Balance</t>
        </is>
      </c>
      <c r="F10" s="20">
        <f>SUM('Loan Tape (S&amp;P)'!D:D)</f>
        <v/>
      </c>
      <c r="G10" t="inlineStr">
        <is>
          <t>£ millions</t>
        </is>
      </c>
    </row>
    <row r="11">
      <c r="A11" t="inlineStr">
        <is>
          <t>Portfolio Cutoff Date</t>
        </is>
      </c>
      <c r="B11" s="19" t="n">
        <v>46036.3779074074</v>
      </c>
      <c r="C11" t="inlineStr">
        <is>
          <t>Loan tape as-of date</t>
        </is>
      </c>
      <c r="E11" t="inlineStr">
        <is>
          <t>Pool WAFF (%)</t>
        </is>
      </c>
      <c r="F11" s="21">
        <f>'Pool Summary'!B5</f>
        <v/>
      </c>
      <c r="G11" t="inlineStr">
        <is>
          <t>From Pool Summary</t>
        </is>
      </c>
    </row>
    <row r="12">
      <c r="A12" t="inlineStr">
        <is>
          <t>OLTV Weight</t>
        </is>
      </c>
      <c r="B12" s="11" t="n">
        <v>0.8</v>
      </c>
      <c r="C12" t="inlineStr">
        <is>
          <t>S&amp;P LTV: OLTV weight</t>
        </is>
      </c>
      <c r="E12" t="inlineStr">
        <is>
          <t>Pool WALS (%)</t>
        </is>
      </c>
      <c r="F12" s="21">
        <f>'Pool Summary'!B6</f>
        <v/>
      </c>
      <c r="G12" t="inlineStr">
        <is>
          <t>From Pool Summary</t>
        </is>
      </c>
    </row>
    <row r="13">
      <c r="A13" t="inlineStr">
        <is>
          <t>CLTV Weight</t>
        </is>
      </c>
      <c r="B13" s="11" t="n">
        <v>0.2</v>
      </c>
      <c r="C13" t="inlineStr">
        <is>
          <t>S&amp;P LTV: CLTV weight</t>
        </is>
      </c>
      <c r="E13" t="inlineStr">
        <is>
          <t>Pool EL (%)</t>
        </is>
      </c>
      <c r="F13" s="21">
        <f>'Pool Summary'!B7</f>
        <v/>
      </c>
      <c r="G13" t="inlineStr">
        <is>
          <t>WAFF × WALS</t>
        </is>
      </c>
    </row>
    <row r="14">
      <c r="A14" t="inlineStr">
        <is>
          <t>Originator Adjustment</t>
        </is>
      </c>
      <c r="B14" s="11" t="n">
        <v>1</v>
      </c>
      <c r="C14" t="inlineStr">
        <is>
          <t>Global originator quality (0.70-1.30)</t>
        </is>
      </c>
      <c r="E14" t="inlineStr">
        <is>
          <t>Required CE (%)</t>
        </is>
      </c>
      <c r="F14" s="21">
        <f>VLOOKUP($B$9,'Rating CE'!$A$4:$E$13,5,FALSE)</f>
        <v/>
      </c>
      <c r="G14" t="inlineStr">
        <is>
          <t>For selected rating</t>
        </is>
      </c>
    </row>
    <row r="16">
      <c r="A16" s="4" t="inlineStr">
        <is>
          <t>RATING-DRIVEN PARAMETERS (AUTO-POPULATED)</t>
        </is>
      </c>
    </row>
    <row r="18">
      <c r="A18" s="5" t="inlineStr">
        <is>
          <t>Parameter</t>
        </is>
      </c>
      <c r="B18" s="5" t="inlineStr">
        <is>
          <t>Value</t>
        </is>
      </c>
      <c r="C18" s="5" t="inlineStr">
        <is>
          <t>Source</t>
        </is>
      </c>
    </row>
    <row r="19">
      <c r="A19" t="inlineStr">
        <is>
          <t>Base FF (%)</t>
        </is>
      </c>
      <c r="B19" s="12">
        <f>VLOOKUP($B$9,'Rating Parameters'!$A$5:$C$14,2,FALSE)</f>
        <v/>
      </c>
      <c r="C19" t="inlineStr">
        <is>
          <t>Rating Parameters table</t>
        </is>
      </c>
    </row>
    <row r="20">
      <c r="A20" t="inlineStr">
        <is>
          <t>MVD (%)</t>
        </is>
      </c>
      <c r="B20" s="12">
        <f>VLOOKUP($B$9,'Rating Parameters'!$A$5:$C$14,3,FALSE)</f>
        <v/>
      </c>
      <c r="C20" t="inlineStr">
        <is>
          <t>Rating Parameters table</t>
        </is>
      </c>
    </row>
    <row r="21">
      <c r="A21" t="inlineStr">
        <is>
          <t>Stress Multiple</t>
        </is>
      </c>
      <c r="B21" s="22">
        <f>VLOOKUP($B$9,'Rating Parameters'!$F$5:$G$14,2,FALSE)</f>
        <v/>
      </c>
      <c r="C21" t="inlineStr">
        <is>
          <t>Rating Parameters table</t>
        </is>
      </c>
    </row>
  </sheetData>
  <mergeCells count="5">
    <mergeCell ref="A16:C16"/>
    <mergeCell ref="A2:H2"/>
    <mergeCell ref="A6:C6"/>
    <mergeCell ref="A1:H1"/>
    <mergeCell ref="E6:G6"/>
  </mergeCells>
  <dataValidations count="1">
    <dataValidation sqref="B9" showDropDown="0" showInputMessage="0" showErrorMessage="0" allowBlank="0" type="list">
      <formula1>"AAA,AA+,AA,AA-,A+,A,A-,BBB+,BBB,BBB-"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20" customWidth="1" min="4" max="4"/>
    <col width="40" customWidth="1" min="5" max="5"/>
  </cols>
  <sheetData>
    <row r="1">
      <c r="A1" s="14" t="inlineStr">
        <is>
          <t>BANK OF ENGLAND TO S&amp;P FIELD MAPPING</t>
        </is>
      </c>
    </row>
    <row r="2">
      <c r="A2" s="15" t="inlineStr">
        <is>
          <t>This sheet defines how BoE loan tape fields map to S&amp;P WAFF/WALS inputs</t>
        </is>
      </c>
    </row>
    <row r="4">
      <c r="A4" s="16" t="inlineStr">
        <is>
          <t>BoE Field Code</t>
        </is>
      </c>
      <c r="B4" s="16" t="inlineStr">
        <is>
          <t>BoE Field Name</t>
        </is>
      </c>
      <c r="C4" s="16" t="inlineStr">
        <is>
          <t>BoE Value</t>
        </is>
      </c>
      <c r="D4" s="16" t="inlineStr">
        <is>
          <t>S&amp;P Mapped Value</t>
        </is>
      </c>
      <c r="E4" s="16" t="inlineStr">
        <is>
          <t>Notes</t>
        </is>
      </c>
    </row>
    <row r="5">
      <c r="A5" s="17" t="inlineStr">
        <is>
          <t>BV28</t>
        </is>
      </c>
      <c r="B5" s="17" t="inlineStr">
        <is>
          <t>Loan Purpose</t>
        </is>
      </c>
      <c r="C5" s="17" t="inlineStr">
        <is>
          <t>1</t>
        </is>
      </c>
      <c r="D5" s="17" t="inlineStr">
        <is>
          <t>Purchase</t>
        </is>
      </c>
      <c r="E5" s="17" t="inlineStr">
        <is>
          <t>House purchase</t>
        </is>
      </c>
    </row>
    <row r="6">
      <c r="A6" s="17" t="inlineStr">
        <is>
          <t>BV28</t>
        </is>
      </c>
      <c r="B6" s="17" t="inlineStr">
        <is>
          <t>Loan Purpose</t>
        </is>
      </c>
      <c r="C6" s="17" t="inlineStr">
        <is>
          <t>2</t>
        </is>
      </c>
      <c r="D6" s="17" t="inlineStr">
        <is>
          <t>Remortgage</t>
        </is>
      </c>
      <c r="E6" s="17" t="inlineStr">
        <is>
          <t>Remortgage - no cash out</t>
        </is>
      </c>
    </row>
    <row r="7">
      <c r="A7" s="17" t="inlineStr">
        <is>
          <t>BV28</t>
        </is>
      </c>
      <c r="B7" s="17" t="inlineStr">
        <is>
          <t>Loan Purpose</t>
        </is>
      </c>
      <c r="C7" s="17" t="inlineStr">
        <is>
          <t>3</t>
        </is>
      </c>
      <c r="D7" s="17" t="inlineStr">
        <is>
          <t>Cash-out</t>
        </is>
      </c>
      <c r="E7" s="17" t="inlineStr">
        <is>
          <t>Further advance/equity release</t>
        </is>
      </c>
    </row>
    <row r="8">
      <c r="A8" s="17" t="inlineStr">
        <is>
          <t>BV28</t>
        </is>
      </c>
      <c r="B8" s="17" t="inlineStr">
        <is>
          <t>Loan Purpose</t>
        </is>
      </c>
      <c r="C8" s="17" t="inlineStr">
        <is>
          <t>4</t>
        </is>
      </c>
      <c r="D8" s="17" t="inlineStr">
        <is>
          <t>Cash-out</t>
        </is>
      </c>
      <c r="E8" s="17" t="inlineStr">
        <is>
          <t>Debt consolidation</t>
        </is>
      </c>
    </row>
    <row r="9">
      <c r="A9" s="18" t="inlineStr"/>
      <c r="B9" s="18" t="inlineStr"/>
      <c r="C9" s="18" t="inlineStr"/>
      <c r="D9" s="18" t="inlineStr"/>
      <c r="E9" s="18" t="inlineStr"/>
    </row>
    <row r="10">
      <c r="A10" s="17" t="inlineStr">
        <is>
          <t>BV27</t>
        </is>
      </c>
      <c r="B10" s="17" t="inlineStr">
        <is>
          <t>Occupancy Status</t>
        </is>
      </c>
      <c r="C10" s="17" t="inlineStr">
        <is>
          <t>1</t>
        </is>
      </c>
      <c r="D10" s="17" t="inlineStr">
        <is>
          <t>Owner Occupied</t>
        </is>
      </c>
      <c r="E10" s="17" t="inlineStr">
        <is>
          <t>Borrower occupies</t>
        </is>
      </c>
    </row>
    <row r="11">
      <c r="A11" s="17" t="inlineStr">
        <is>
          <t>BV27</t>
        </is>
      </c>
      <c r="B11" s="17" t="inlineStr">
        <is>
          <t>Occupancy Status</t>
        </is>
      </c>
      <c r="C11" s="17" t="inlineStr">
        <is>
          <t>2</t>
        </is>
      </c>
      <c r="D11" s="17" t="inlineStr">
        <is>
          <t>BTL</t>
        </is>
      </c>
      <c r="E11" s="17" t="inlineStr">
        <is>
          <t>Buy to let</t>
        </is>
      </c>
    </row>
    <row r="12">
      <c r="A12" s="17" t="inlineStr">
        <is>
          <t>BV27</t>
        </is>
      </c>
      <c r="B12" s="17" t="inlineStr">
        <is>
          <t>Occupancy Status</t>
        </is>
      </c>
      <c r="C12" s="17" t="inlineStr">
        <is>
          <t>3</t>
        </is>
      </c>
      <c r="D12" s="17" t="inlineStr">
        <is>
          <t>Second Home</t>
        </is>
      </c>
      <c r="E12" s="17" t="inlineStr">
        <is>
          <t>Holiday/second home</t>
        </is>
      </c>
    </row>
    <row r="13">
      <c r="A13" s="17" t="inlineStr">
        <is>
          <t>BV27</t>
        </is>
      </c>
      <c r="B13" s="17" t="inlineStr">
        <is>
          <t>Occupancy Status</t>
        </is>
      </c>
      <c r="C13" s="17" t="inlineStr">
        <is>
          <t>4</t>
        </is>
      </c>
      <c r="D13" s="17" t="inlineStr">
        <is>
          <t>Investment</t>
        </is>
      </c>
      <c r="E13" s="17" t="inlineStr">
        <is>
          <t>Other investment</t>
        </is>
      </c>
    </row>
    <row r="14">
      <c r="A14" s="18" t="inlineStr"/>
      <c r="B14" s="18" t="inlineStr"/>
      <c r="C14" s="18" t="inlineStr"/>
      <c r="D14" s="18" t="inlineStr"/>
      <c r="E14" s="18" t="inlineStr"/>
    </row>
    <row r="15">
      <c r="A15" s="17" t="inlineStr">
        <is>
          <t>BV29</t>
        </is>
      </c>
      <c r="B15" s="17" t="inlineStr">
        <is>
          <t>Payment Method</t>
        </is>
      </c>
      <c r="C15" s="17" t="inlineStr">
        <is>
          <t>1</t>
        </is>
      </c>
      <c r="D15" s="17" t="inlineStr">
        <is>
          <t>Repayment</t>
        </is>
      </c>
      <c r="E15" s="17" t="inlineStr">
        <is>
          <t>Capital &amp; interest</t>
        </is>
      </c>
    </row>
    <row r="16">
      <c r="A16" s="17" t="inlineStr">
        <is>
          <t>BV29</t>
        </is>
      </c>
      <c r="B16" s="17" t="inlineStr">
        <is>
          <t>Payment Method</t>
        </is>
      </c>
      <c r="C16" s="17" t="inlineStr">
        <is>
          <t>2</t>
        </is>
      </c>
      <c r="D16" s="17" t="inlineStr">
        <is>
          <t>Interest Only</t>
        </is>
      </c>
      <c r="E16" s="17" t="inlineStr">
        <is>
          <t>Interest only</t>
        </is>
      </c>
    </row>
    <row r="17">
      <c r="A17" s="17" t="inlineStr">
        <is>
          <t>BV29</t>
        </is>
      </c>
      <c r="B17" s="17" t="inlineStr">
        <is>
          <t>Payment Method</t>
        </is>
      </c>
      <c r="C17" s="17" t="inlineStr">
        <is>
          <t>3</t>
        </is>
      </c>
      <c r="D17" s="17" t="inlineStr">
        <is>
          <t>Part &amp; Part</t>
        </is>
      </c>
      <c r="E17" s="17" t="inlineStr">
        <is>
          <t>Mixed repayment/IO</t>
        </is>
      </c>
    </row>
    <row r="18">
      <c r="A18" s="18" t="inlineStr"/>
      <c r="B18" s="18" t="inlineStr"/>
      <c r="C18" s="18" t="inlineStr"/>
      <c r="D18" s="18" t="inlineStr"/>
      <c r="E18" s="18" t="inlineStr"/>
    </row>
    <row r="19">
      <c r="A19" s="17" t="inlineStr">
        <is>
          <t>BV22</t>
        </is>
      </c>
      <c r="B19" s="17" t="inlineStr">
        <is>
          <t>Property Type</t>
        </is>
      </c>
      <c r="C19" s="17" t="inlineStr">
        <is>
          <t>1</t>
        </is>
      </c>
      <c r="D19" s="17" t="inlineStr">
        <is>
          <t>House</t>
        </is>
      </c>
      <c r="E19" s="17" t="inlineStr">
        <is>
          <t>Detached/semi/terraced house</t>
        </is>
      </c>
    </row>
    <row r="20">
      <c r="A20" s="17" t="inlineStr">
        <is>
          <t>BV22</t>
        </is>
      </c>
      <c r="B20" s="17" t="inlineStr">
        <is>
          <t>Property Type</t>
        </is>
      </c>
      <c r="C20" s="17" t="inlineStr">
        <is>
          <t>2</t>
        </is>
      </c>
      <c r="D20" s="17" t="inlineStr">
        <is>
          <t>Flat</t>
        </is>
      </c>
      <c r="E20" s="17" t="inlineStr">
        <is>
          <t>Apartment/flat</t>
        </is>
      </c>
    </row>
    <row r="21">
      <c r="A21" s="17" t="inlineStr">
        <is>
          <t>BV22</t>
        </is>
      </c>
      <c r="B21" s="17" t="inlineStr">
        <is>
          <t>Property Type</t>
        </is>
      </c>
      <c r="C21" s="17" t="inlineStr">
        <is>
          <t>3</t>
        </is>
      </c>
      <c r="D21" s="17" t="inlineStr">
        <is>
          <t>Bungalow</t>
        </is>
      </c>
      <c r="E21" s="17" t="inlineStr">
        <is>
          <t>Bungalow</t>
        </is>
      </c>
    </row>
    <row r="22">
      <c r="A22" s="17" t="inlineStr">
        <is>
          <t>BV22</t>
        </is>
      </c>
      <c r="B22" s="17" t="inlineStr">
        <is>
          <t>Property Type</t>
        </is>
      </c>
      <c r="C22" s="17" t="inlineStr">
        <is>
          <t>4</t>
        </is>
      </c>
      <c r="D22" s="17" t="inlineStr">
        <is>
          <t>Maisonette</t>
        </is>
      </c>
      <c r="E22" s="17" t="inlineStr">
        <is>
          <t>Maisonette</t>
        </is>
      </c>
    </row>
    <row r="23">
      <c r="A23" s="18" t="inlineStr"/>
      <c r="B23" s="18" t="inlineStr"/>
      <c r="C23" s="18" t="inlineStr"/>
      <c r="D23" s="18" t="inlineStr"/>
      <c r="E23" s="18" t="inlineStr"/>
    </row>
    <row r="24">
      <c r="A24" s="17" t="inlineStr">
        <is>
          <t>BV45</t>
        </is>
      </c>
      <c r="B24" s="17" t="inlineStr">
        <is>
          <t>Employment Status</t>
        </is>
      </c>
      <c r="C24" s="17" t="inlineStr">
        <is>
          <t>1</t>
        </is>
      </c>
      <c r="D24" s="17" t="inlineStr">
        <is>
          <t>Employed</t>
        </is>
      </c>
      <c r="E24" s="17" t="inlineStr">
        <is>
          <t>Employed - not self employed</t>
        </is>
      </c>
    </row>
    <row r="25">
      <c r="A25" s="17" t="inlineStr">
        <is>
          <t>BV45</t>
        </is>
      </c>
      <c r="B25" s="17" t="inlineStr">
        <is>
          <t>Employment Status</t>
        </is>
      </c>
      <c r="C25" s="17" t="inlineStr">
        <is>
          <t>2</t>
        </is>
      </c>
      <c r="D25" s="17" t="inlineStr">
        <is>
          <t>Self-Employed</t>
        </is>
      </c>
      <c r="E25" s="17" t="inlineStr">
        <is>
          <t>Self employed</t>
        </is>
      </c>
    </row>
    <row r="26">
      <c r="A26" s="17" t="inlineStr">
        <is>
          <t>BV45</t>
        </is>
      </c>
      <c r="B26" s="17" t="inlineStr">
        <is>
          <t>Employment Status</t>
        </is>
      </c>
      <c r="C26" s="17" t="inlineStr">
        <is>
          <t>3</t>
        </is>
      </c>
      <c r="D26" s="17" t="inlineStr">
        <is>
          <t>Unemployed</t>
        </is>
      </c>
      <c r="E26" s="17" t="inlineStr">
        <is>
          <t>Not employed</t>
        </is>
      </c>
    </row>
    <row r="27">
      <c r="A27" s="17" t="inlineStr">
        <is>
          <t>BV45</t>
        </is>
      </c>
      <c r="B27" s="17" t="inlineStr">
        <is>
          <t>Employment Status</t>
        </is>
      </c>
      <c r="C27" s="17" t="inlineStr">
        <is>
          <t>4</t>
        </is>
      </c>
      <c r="D27" s="17" t="inlineStr">
        <is>
          <t>Retired</t>
        </is>
      </c>
      <c r="E27" s="17" t="inlineStr">
        <is>
          <t>Retired</t>
        </is>
      </c>
    </row>
    <row r="28">
      <c r="A28" s="18" t="inlineStr"/>
      <c r="B28" s="18" t="inlineStr"/>
      <c r="C28" s="18" t="inlineStr"/>
      <c r="D28" s="18" t="inlineStr"/>
      <c r="E28" s="18" t="inlineStr"/>
    </row>
    <row r="29">
      <c r="A29" s="17" t="inlineStr">
        <is>
          <t>BV33</t>
        </is>
      </c>
      <c r="B29" s="17" t="inlineStr">
        <is>
          <t>Right to Buy</t>
        </is>
      </c>
      <c r="C29" s="17" t="inlineStr">
        <is>
          <t>1</t>
        </is>
      </c>
      <c r="D29" s="17" t="inlineStr">
        <is>
          <t>Yes</t>
        </is>
      </c>
      <c r="E29" s="17" t="inlineStr">
        <is>
          <t>Right to buy scheme</t>
        </is>
      </c>
    </row>
    <row r="30">
      <c r="A30" s="17" t="inlineStr">
        <is>
          <t>BV33</t>
        </is>
      </c>
      <c r="B30" s="17" t="inlineStr">
        <is>
          <t>Right to Buy</t>
        </is>
      </c>
      <c r="C30" s="17" t="inlineStr">
        <is>
          <t>2</t>
        </is>
      </c>
      <c r="D30" s="17" t="inlineStr">
        <is>
          <t>No</t>
        </is>
      </c>
      <c r="E30" s="17" t="inlineStr">
        <is>
          <t>Not RTB</t>
        </is>
      </c>
    </row>
    <row r="31">
      <c r="A31" s="18" t="inlineStr"/>
      <c r="B31" s="18" t="inlineStr"/>
      <c r="C31" s="18" t="inlineStr"/>
      <c r="D31" s="18" t="inlineStr"/>
      <c r="E31" s="18" t="inlineStr"/>
    </row>
    <row r="32">
      <c r="A32" s="17" t="inlineStr">
        <is>
          <t>BV34</t>
        </is>
      </c>
      <c r="B32" s="17" t="inlineStr">
        <is>
          <t>Shared Ownership</t>
        </is>
      </c>
      <c r="C32" s="17" t="inlineStr">
        <is>
          <t>1</t>
        </is>
      </c>
      <c r="D32" s="17" t="inlineStr">
        <is>
          <t>Yes</t>
        </is>
      </c>
      <c r="E32" s="17" t="inlineStr">
        <is>
          <t>Shared ownership scheme</t>
        </is>
      </c>
    </row>
    <row r="33">
      <c r="A33" s="17" t="inlineStr">
        <is>
          <t>BV34</t>
        </is>
      </c>
      <c r="B33" s="17" t="inlineStr">
        <is>
          <t>Shared Ownership</t>
        </is>
      </c>
      <c r="C33" s="17" t="inlineStr">
        <is>
          <t>2</t>
        </is>
      </c>
      <c r="D33" s="17" t="inlineStr">
        <is>
          <t>No</t>
        </is>
      </c>
      <c r="E33" s="17" t="inlineStr">
        <is>
          <t>Not shared ownership</t>
        </is>
      </c>
    </row>
    <row r="34">
      <c r="A34" s="18" t="inlineStr"/>
      <c r="B34" s="18" t="inlineStr"/>
      <c r="C34" s="18" t="inlineStr"/>
      <c r="D34" s="18" t="inlineStr"/>
      <c r="E34" s="18" t="inlineStr"/>
    </row>
    <row r="35">
      <c r="A35" s="17" t="inlineStr">
        <is>
          <t>BV35</t>
        </is>
      </c>
      <c r="B35" s="17" t="inlineStr">
        <is>
          <t>Help to Buy</t>
        </is>
      </c>
      <c r="C35" s="17" t="inlineStr">
        <is>
          <t>1</t>
        </is>
      </c>
      <c r="D35" s="17" t="inlineStr">
        <is>
          <t>Yes</t>
        </is>
      </c>
      <c r="E35" s="17" t="inlineStr">
        <is>
          <t>Help to buy equity loan</t>
        </is>
      </c>
    </row>
    <row r="36">
      <c r="A36" s="17" t="inlineStr">
        <is>
          <t>BV35</t>
        </is>
      </c>
      <c r="B36" s="17" t="inlineStr">
        <is>
          <t>Help to Buy</t>
        </is>
      </c>
      <c r="C36" s="17" t="inlineStr">
        <is>
          <t>2</t>
        </is>
      </c>
      <c r="D36" s="17" t="inlineStr">
        <is>
          <t>No</t>
        </is>
      </c>
      <c r="E36" s="17" t="inlineStr">
        <is>
          <t>Not HTB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12" customWidth="1" min="4" max="4"/>
    <col width="12" customWidth="1" min="5" max="5"/>
    <col width="30" customWidth="1" min="6" max="6"/>
  </cols>
  <sheetData>
    <row r="1">
      <c r="A1" s="23" t="inlineStr">
        <is>
          <t>FORECLOSURE FREQUENCY PARAMETERS - All S&amp;P Table 73 Adjustments</t>
        </is>
      </c>
    </row>
    <row r="3">
      <c r="A3" s="24" t="inlineStr">
        <is>
          <t>ADJUSTMENT FACTOR</t>
        </is>
      </c>
      <c r="B3" s="24" t="inlineStr">
        <is>
          <t>CONDITION</t>
        </is>
      </c>
      <c r="C3" s="24" t="inlineStr">
        <is>
          <t>MIN VALUE</t>
        </is>
      </c>
      <c r="D3" s="24" t="inlineStr">
        <is>
          <t>MAX VALUE</t>
        </is>
      </c>
      <c r="E3" s="24" t="inlineStr">
        <is>
          <t>MULTIPLIER</t>
        </is>
      </c>
      <c r="F3" s="24" t="inlineStr">
        <is>
          <t>NOTES</t>
        </is>
      </c>
    </row>
    <row r="4">
      <c r="A4" s="17" t="inlineStr">
        <is>
          <t>LTV</t>
        </is>
      </c>
      <c r="B4" s="17" t="inlineStr">
        <is>
          <t>0%</t>
        </is>
      </c>
      <c r="C4" s="17" t="n">
        <v>0</v>
      </c>
      <c r="D4" s="17" t="n">
        <v>0.2</v>
      </c>
      <c r="E4" s="25" t="n">
        <v>0.1</v>
      </c>
      <c r="F4" s="17" t="inlineStr">
        <is>
          <t>Very low LTV</t>
        </is>
      </c>
    </row>
    <row r="5">
      <c r="A5" s="17" t="inlineStr">
        <is>
          <t>LTV</t>
        </is>
      </c>
      <c r="B5" s="17" t="inlineStr">
        <is>
          <t>20%</t>
        </is>
      </c>
      <c r="C5" s="17" t="n">
        <v>0.2</v>
      </c>
      <c r="D5" s="17" t="n">
        <v>0.3</v>
      </c>
      <c r="E5" s="25" t="n">
        <v>0.2</v>
      </c>
      <c r="F5" s="17" t="inlineStr"/>
    </row>
    <row r="6">
      <c r="A6" s="17" t="inlineStr">
        <is>
          <t>LTV</t>
        </is>
      </c>
      <c r="B6" s="17" t="inlineStr">
        <is>
          <t>30%</t>
        </is>
      </c>
      <c r="C6" s="17" t="n">
        <v>0.3</v>
      </c>
      <c r="D6" s="17" t="n">
        <v>0.4</v>
      </c>
      <c r="E6" s="25" t="n">
        <v>0.3</v>
      </c>
      <c r="F6" s="17" t="inlineStr"/>
    </row>
    <row r="7">
      <c r="A7" s="17" t="inlineStr">
        <is>
          <t>LTV</t>
        </is>
      </c>
      <c r="B7" s="17" t="inlineStr">
        <is>
          <t>40%</t>
        </is>
      </c>
      <c r="C7" s="17" t="n">
        <v>0.4</v>
      </c>
      <c r="D7" s="17" t="n">
        <v>0.5</v>
      </c>
      <c r="E7" s="25" t="n">
        <v>0.45</v>
      </c>
      <c r="F7" s="17" t="inlineStr"/>
    </row>
    <row r="8">
      <c r="A8" s="17" t="inlineStr">
        <is>
          <t>LTV</t>
        </is>
      </c>
      <c r="B8" s="17" t="inlineStr">
        <is>
          <t>50%</t>
        </is>
      </c>
      <c r="C8" s="17" t="n">
        <v>0.5</v>
      </c>
      <c r="D8" s="17" t="n">
        <v>0.6</v>
      </c>
      <c r="E8" s="25" t="n">
        <v>0.65</v>
      </c>
      <c r="F8" s="17" t="inlineStr"/>
    </row>
    <row r="9">
      <c r="A9" s="17" t="inlineStr">
        <is>
          <t>LTV</t>
        </is>
      </c>
      <c r="B9" s="17" t="inlineStr">
        <is>
          <t>60%</t>
        </is>
      </c>
      <c r="C9" s="17" t="n">
        <v>0.6</v>
      </c>
      <c r="D9" s="17" t="n">
        <v>0.7</v>
      </c>
      <c r="E9" s="25" t="n">
        <v>0.9</v>
      </c>
      <c r="F9" s="17" t="inlineStr"/>
    </row>
    <row r="10">
      <c r="A10" s="17" t="inlineStr">
        <is>
          <t>LTV</t>
        </is>
      </c>
      <c r="B10" s="17" t="inlineStr">
        <is>
          <t>70%</t>
        </is>
      </c>
      <c r="C10" s="17" t="n">
        <v>0.7</v>
      </c>
      <c r="D10" s="17" t="n">
        <v>0.75</v>
      </c>
      <c r="E10" s="25" t="n">
        <v>1</v>
      </c>
      <c r="F10" s="17" t="inlineStr">
        <is>
          <t>Archetypal</t>
        </is>
      </c>
    </row>
    <row r="11">
      <c r="A11" s="17" t="inlineStr">
        <is>
          <t>LTV</t>
        </is>
      </c>
      <c r="B11" s="17" t="inlineStr">
        <is>
          <t>75%</t>
        </is>
      </c>
      <c r="C11" s="17" t="n">
        <v>0.75</v>
      </c>
      <c r="D11" s="17" t="n">
        <v>0.8</v>
      </c>
      <c r="E11" s="25" t="n">
        <v>1.15</v>
      </c>
      <c r="F11" s="17" t="inlineStr"/>
    </row>
    <row r="12">
      <c r="A12" s="17" t="inlineStr">
        <is>
          <t>LTV</t>
        </is>
      </c>
      <c r="B12" s="17" t="inlineStr">
        <is>
          <t>80%</t>
        </is>
      </c>
      <c r="C12" s="17" t="n">
        <v>0.8</v>
      </c>
      <c r="D12" s="17" t="n">
        <v>0.85</v>
      </c>
      <c r="E12" s="25" t="n">
        <v>1.35</v>
      </c>
      <c r="F12" s="17" t="inlineStr"/>
    </row>
    <row r="13">
      <c r="A13" s="17" t="inlineStr">
        <is>
          <t>LTV</t>
        </is>
      </c>
      <c r="B13" s="17" t="inlineStr">
        <is>
          <t>85%</t>
        </is>
      </c>
      <c r="C13" s="17" t="n">
        <v>0.85</v>
      </c>
      <c r="D13" s="17" t="n">
        <v>0.9</v>
      </c>
      <c r="E13" s="25" t="n">
        <v>1.7</v>
      </c>
      <c r="F13" s="17" t="inlineStr"/>
    </row>
    <row r="14">
      <c r="A14" s="17" t="inlineStr">
        <is>
          <t>LTV</t>
        </is>
      </c>
      <c r="B14" s="17" t="inlineStr">
        <is>
          <t>90%</t>
        </is>
      </c>
      <c r="C14" s="17" t="n">
        <v>0.9</v>
      </c>
      <c r="D14" s="17" t="n">
        <v>0.95</v>
      </c>
      <c r="E14" s="25" t="n">
        <v>2.15</v>
      </c>
      <c r="F14" s="17" t="inlineStr"/>
    </row>
    <row r="15">
      <c r="A15" s="17" t="inlineStr">
        <is>
          <t>LTV</t>
        </is>
      </c>
      <c r="B15" s="17" t="inlineStr">
        <is>
          <t>95%</t>
        </is>
      </c>
      <c r="C15" s="17" t="n">
        <v>0.95</v>
      </c>
      <c r="D15" s="17" t="n">
        <v>1</v>
      </c>
      <c r="E15" s="25" t="n">
        <v>2.75</v>
      </c>
      <c r="F15" s="17" t="inlineStr"/>
    </row>
    <row r="16">
      <c r="A16" s="17" t="inlineStr">
        <is>
          <t>LTV</t>
        </is>
      </c>
      <c r="B16" s="17" t="inlineStr">
        <is>
          <t>100%</t>
        </is>
      </c>
      <c r="C16" s="17" t="n">
        <v>1</v>
      </c>
      <c r="D16" s="17" t="n">
        <v>1.05</v>
      </c>
      <c r="E16" s="25" t="n">
        <v>3.5</v>
      </c>
      <c r="F16" s="17" t="inlineStr"/>
    </row>
    <row r="17">
      <c r="A17" s="17" t="inlineStr">
        <is>
          <t>LTV</t>
        </is>
      </c>
      <c r="B17" s="17" t="inlineStr">
        <is>
          <t>105%</t>
        </is>
      </c>
      <c r="C17" s="17" t="n">
        <v>1.05</v>
      </c>
      <c r="D17" s="17" t="n">
        <v>1.1</v>
      </c>
      <c r="E17" s="25" t="n">
        <v>4.1</v>
      </c>
      <c r="F17" s="17" t="inlineStr"/>
    </row>
    <row r="18">
      <c r="A18" s="17" t="inlineStr">
        <is>
          <t>LTV</t>
        </is>
      </c>
      <c r="B18" s="17" t="inlineStr">
        <is>
          <t>110%</t>
        </is>
      </c>
      <c r="C18" s="17" t="n">
        <v>1.1</v>
      </c>
      <c r="D18" s="17" t="n">
        <v>1.2</v>
      </c>
      <c r="E18" s="25" t="n">
        <v>4.5</v>
      </c>
      <c r="F18" s="17" t="inlineStr"/>
    </row>
    <row r="19">
      <c r="A19" s="17" t="inlineStr">
        <is>
          <t>LTV</t>
        </is>
      </c>
      <c r="B19" s="17" t="inlineStr">
        <is>
          <t>120%</t>
        </is>
      </c>
      <c r="C19" s="17" t="n">
        <v>1.2</v>
      </c>
      <c r="D19" s="17" t="n">
        <v>1.5</v>
      </c>
      <c r="E19" s="25" t="n">
        <v>4.8</v>
      </c>
      <c r="F19" s="17" t="inlineStr"/>
    </row>
    <row r="20">
      <c r="A20" s="17" t="inlineStr">
        <is>
          <t>LTV</t>
        </is>
      </c>
      <c r="B20" s="17" t="inlineStr">
        <is>
          <t>&gt;150%</t>
        </is>
      </c>
      <c r="C20" s="17" t="n">
        <v>1.5</v>
      </c>
      <c r="D20" s="17" t="n">
        <v>999</v>
      </c>
      <c r="E20" s="25" t="n">
        <v>5</v>
      </c>
      <c r="F20" s="17" t="inlineStr">
        <is>
          <t>Maximum</t>
        </is>
      </c>
    </row>
    <row r="21">
      <c r="A21" s="18" t="inlineStr"/>
      <c r="B21" s="18" t="inlineStr"/>
      <c r="C21" s="18" t="inlineStr"/>
      <c r="D21" s="18" t="inlineStr"/>
      <c r="E21" s="18" t="inlineStr"/>
      <c r="F21" s="18" t="inlineStr"/>
    </row>
    <row r="22">
      <c r="A22" s="17" t="inlineStr">
        <is>
          <t>Income Multiple (Single)</t>
        </is>
      </c>
      <c r="B22" s="17" t="inlineStr">
        <is>
          <t>3.5x-5x</t>
        </is>
      </c>
      <c r="C22" s="17" t="n">
        <v>3.5</v>
      </c>
      <c r="D22" s="17" t="n">
        <v>5</v>
      </c>
      <c r="E22" s="25" t="n">
        <v>1.2</v>
      </c>
      <c r="F22" s="17" t="inlineStr">
        <is>
          <t>No adj if &gt;18mo seasoning</t>
        </is>
      </c>
    </row>
    <row r="23">
      <c r="A23" s="17" t="inlineStr">
        <is>
          <t>Income Multiple (Single)</t>
        </is>
      </c>
      <c r="B23" s="17" t="inlineStr">
        <is>
          <t>&gt;5x</t>
        </is>
      </c>
      <c r="C23" s="17" t="n">
        <v>5</v>
      </c>
      <c r="D23" s="17" t="n">
        <v>999</v>
      </c>
      <c r="E23" s="25" t="n">
        <v>1.5</v>
      </c>
      <c r="F23" s="17" t="inlineStr">
        <is>
          <t>No adj if &gt;18mo seasoning</t>
        </is>
      </c>
    </row>
    <row r="24">
      <c r="A24" s="17" t="inlineStr">
        <is>
          <t>Income Multiple (Joint)</t>
        </is>
      </c>
      <c r="B24" s="17" t="inlineStr">
        <is>
          <t>2.75x-3.25x</t>
        </is>
      </c>
      <c r="C24" s="17" t="n">
        <v>2.75</v>
      </c>
      <c r="D24" s="17" t="n">
        <v>3.25</v>
      </c>
      <c r="E24" s="25" t="n">
        <v>1.2</v>
      </c>
      <c r="F24" s="17" t="inlineStr">
        <is>
          <t>No adj if &gt;18mo seasoning</t>
        </is>
      </c>
    </row>
    <row r="25">
      <c r="A25" s="17" t="inlineStr">
        <is>
          <t>Income Multiple (Joint)</t>
        </is>
      </c>
      <c r="B25" s="17" t="inlineStr">
        <is>
          <t>&gt;3.25x</t>
        </is>
      </c>
      <c r="C25" s="17" t="n">
        <v>3.25</v>
      </c>
      <c r="D25" s="17" t="n">
        <v>999</v>
      </c>
      <c r="E25" s="25" t="n">
        <v>1.5</v>
      </c>
      <c r="F25" s="17" t="inlineStr">
        <is>
          <t>No adj if &gt;18mo seasoning</t>
        </is>
      </c>
    </row>
    <row r="26">
      <c r="A26" s="18" t="inlineStr"/>
      <c r="B26" s="18" t="inlineStr"/>
      <c r="C26" s="18" t="inlineStr"/>
      <c r="D26" s="18" t="inlineStr"/>
      <c r="E26" s="18" t="inlineStr"/>
      <c r="F26" s="18" t="inlineStr"/>
    </row>
    <row r="27">
      <c r="A27" s="17" t="inlineStr">
        <is>
          <t>BTL DSCR</t>
        </is>
      </c>
      <c r="B27" s="17" t="inlineStr">
        <is>
          <t>&gt;135%</t>
        </is>
      </c>
      <c r="C27" s="17" t="n">
        <v>1.35</v>
      </c>
      <c r="D27" s="17" t="n">
        <v>999</v>
      </c>
      <c r="E27" s="25" t="n">
        <v>1.25</v>
      </c>
      <c r="F27" s="17" t="inlineStr"/>
    </row>
    <row r="28">
      <c r="A28" s="17" t="inlineStr">
        <is>
          <t>BTL DSCR</t>
        </is>
      </c>
      <c r="B28" s="17" t="inlineStr">
        <is>
          <t>120%-135%</t>
        </is>
      </c>
      <c r="C28" s="17" t="n">
        <v>1.2</v>
      </c>
      <c r="D28" s="17" t="n">
        <v>1.35</v>
      </c>
      <c r="E28" s="25" t="n">
        <v>1.35</v>
      </c>
      <c r="F28" s="17" t="inlineStr"/>
    </row>
    <row r="29">
      <c r="A29" s="17" t="inlineStr">
        <is>
          <t>BTL DSCR</t>
        </is>
      </c>
      <c r="B29" s="17" t="inlineStr">
        <is>
          <t>100%-120%</t>
        </is>
      </c>
      <c r="C29" s="17" t="n">
        <v>1</v>
      </c>
      <c r="D29" s="17" t="n">
        <v>1.2</v>
      </c>
      <c r="E29" s="25" t="n">
        <v>1.45</v>
      </c>
      <c r="F29" s="17" t="inlineStr"/>
    </row>
    <row r="30">
      <c r="A30" s="17" t="inlineStr">
        <is>
          <t>BTL DSCR</t>
        </is>
      </c>
      <c r="B30" s="17" t="inlineStr">
        <is>
          <t>&lt;100%</t>
        </is>
      </c>
      <c r="C30" s="17" t="n">
        <v>0</v>
      </c>
      <c r="D30" s="17" t="n">
        <v>1</v>
      </c>
      <c r="E30" s="25" t="n">
        <v>1.55</v>
      </c>
      <c r="F30" s="17" t="inlineStr"/>
    </row>
    <row r="31">
      <c r="A31" s="17" t="inlineStr">
        <is>
          <t>BTL DSCR</t>
        </is>
      </c>
      <c r="B31" s="17" t="inlineStr">
        <is>
          <t>No Data</t>
        </is>
      </c>
      <c r="C31" s="17" t="n">
        <v>0</v>
      </c>
      <c r="D31" s="17" t="n">
        <v>0</v>
      </c>
      <c r="E31" s="25" t="n">
        <v>1.7</v>
      </c>
      <c r="F31" s="17" t="inlineStr">
        <is>
          <t>When DSCR unavailable</t>
        </is>
      </c>
    </row>
    <row r="32">
      <c r="A32" s="18" t="inlineStr"/>
      <c r="B32" s="18" t="inlineStr"/>
      <c r="C32" s="18" t="inlineStr"/>
      <c r="D32" s="18" t="inlineStr"/>
      <c r="E32" s="18" t="inlineStr"/>
      <c r="F32" s="18" t="inlineStr"/>
    </row>
    <row r="33">
      <c r="A33" s="17" t="inlineStr">
        <is>
          <t>Lien Position</t>
        </is>
      </c>
      <c r="B33" s="17" t="inlineStr">
        <is>
          <t>First</t>
        </is>
      </c>
      <c r="C33" s="17" t="n">
        <v>0</v>
      </c>
      <c r="D33" s="17" t="n">
        <v>0</v>
      </c>
      <c r="E33" s="25" t="n">
        <v>1</v>
      </c>
      <c r="F33" s="17" t="inlineStr">
        <is>
          <t>Standard</t>
        </is>
      </c>
    </row>
    <row r="34">
      <c r="A34" s="17" t="inlineStr">
        <is>
          <t>Lien Position</t>
        </is>
      </c>
      <c r="B34" s="17" t="inlineStr">
        <is>
          <t>Second - Low Risk</t>
        </is>
      </c>
      <c r="C34" s="17" t="n">
        <v>0</v>
      </c>
      <c r="D34" s="17" t="n">
        <v>0</v>
      </c>
      <c r="E34" s="25" t="n">
        <v>1.3</v>
      </c>
      <c r="F34" s="17" t="inlineStr">
        <is>
          <t>No risk layering</t>
        </is>
      </c>
    </row>
    <row r="35">
      <c r="A35" s="17" t="inlineStr">
        <is>
          <t>Lien Position</t>
        </is>
      </c>
      <c r="B35" s="17" t="inlineStr">
        <is>
          <t>Second - Medium Risk</t>
        </is>
      </c>
      <c r="C35" s="17" t="n">
        <v>0</v>
      </c>
      <c r="D35" s="17" t="n">
        <v>0</v>
      </c>
      <c r="E35" s="25" t="n">
        <v>1.5</v>
      </c>
      <c r="F35" s="17" t="inlineStr">
        <is>
          <t>Risk layering present</t>
        </is>
      </c>
    </row>
    <row r="36">
      <c r="A36" s="17" t="inlineStr">
        <is>
          <t>Lien Position</t>
        </is>
      </c>
      <c r="B36" s="17" t="inlineStr">
        <is>
          <t>Second - High Risk</t>
        </is>
      </c>
      <c r="C36" s="17" t="n">
        <v>0</v>
      </c>
      <c r="D36" s="17" t="n">
        <v>0</v>
      </c>
      <c r="E36" s="25" t="n">
        <v>1.7</v>
      </c>
      <c r="F36" s="17" t="inlineStr">
        <is>
          <t>Insufficient data</t>
        </is>
      </c>
    </row>
    <row r="37">
      <c r="A37" s="17" t="inlineStr">
        <is>
          <t>Lien Position</t>
        </is>
      </c>
      <c r="B37" s="17" t="inlineStr">
        <is>
          <t>Third+</t>
        </is>
      </c>
      <c r="C37" s="17" t="n">
        <v>0</v>
      </c>
      <c r="D37" s="17" t="n">
        <v>0</v>
      </c>
      <c r="E37" s="25" t="n">
        <v>1.7</v>
      </c>
      <c r="F37" s="17" t="inlineStr">
        <is>
          <t>Third and subsequent</t>
        </is>
      </c>
    </row>
    <row r="38">
      <c r="A38" s="18" t="inlineStr"/>
      <c r="B38" s="18" t="inlineStr"/>
      <c r="C38" s="18" t="inlineStr"/>
      <c r="D38" s="18" t="inlineStr"/>
      <c r="E38" s="18" t="inlineStr"/>
      <c r="F38" s="18" t="inlineStr"/>
    </row>
    <row r="39">
      <c r="A39" s="17" t="inlineStr">
        <is>
          <t>Loan Purpose</t>
        </is>
      </c>
      <c r="B39" s="17" t="inlineStr">
        <is>
          <t>Purchase</t>
        </is>
      </c>
      <c r="C39" s="17" t="n">
        <v>0</v>
      </c>
      <c r="D39" s="17" t="n">
        <v>0</v>
      </c>
      <c r="E39" s="25" t="n">
        <v>1</v>
      </c>
      <c r="F39" s="17" t="inlineStr"/>
    </row>
    <row r="40">
      <c r="A40" s="17" t="inlineStr">
        <is>
          <t>Loan Purpose</t>
        </is>
      </c>
      <c r="B40" s="17" t="inlineStr">
        <is>
          <t>Remortgage</t>
        </is>
      </c>
      <c r="C40" s="17" t="n">
        <v>0</v>
      </c>
      <c r="D40" s="17" t="n">
        <v>0</v>
      </c>
      <c r="E40" s="25" t="n">
        <v>1</v>
      </c>
      <c r="F40" s="17" t="inlineStr">
        <is>
          <t>No cash out</t>
        </is>
      </c>
    </row>
    <row r="41">
      <c r="A41" s="17" t="inlineStr">
        <is>
          <t>Loan Purpose</t>
        </is>
      </c>
      <c r="B41" s="17" t="inlineStr">
        <is>
          <t>Cash-out</t>
        </is>
      </c>
      <c r="C41" s="17" t="n">
        <v>0</v>
      </c>
      <c r="D41" s="17" t="n">
        <v>0</v>
      </c>
      <c r="E41" s="25" t="n">
        <v>1.2</v>
      </c>
      <c r="F41" s="17" t="inlineStr">
        <is>
          <t>Debt consol/equity release</t>
        </is>
      </c>
    </row>
    <row r="42">
      <c r="A42" s="18" t="inlineStr"/>
      <c r="B42" s="18" t="inlineStr"/>
      <c r="C42" s="18" t="inlineStr"/>
      <c r="D42" s="18" t="inlineStr"/>
      <c r="E42" s="18" t="inlineStr"/>
      <c r="F42" s="18" t="inlineStr"/>
    </row>
    <row r="43">
      <c r="A43" s="17" t="inlineStr">
        <is>
          <t>Arrears</t>
        </is>
      </c>
      <c r="B43" s="17" t="inlineStr">
        <is>
          <t>0-29 days</t>
        </is>
      </c>
      <c r="C43" s="17" t="n">
        <v>0</v>
      </c>
      <c r="D43" s="17" t="n">
        <v>1</v>
      </c>
      <c r="E43" s="25" t="n">
        <v>1</v>
      </c>
      <c r="F43" s="17" t="inlineStr">
        <is>
          <t>Current</t>
        </is>
      </c>
    </row>
    <row r="44">
      <c r="A44" s="17" t="inlineStr">
        <is>
          <t>Arrears</t>
        </is>
      </c>
      <c r="B44" s="17" t="inlineStr">
        <is>
          <t>30-59 days</t>
        </is>
      </c>
      <c r="C44" s="17" t="n">
        <v>1</v>
      </c>
      <c r="D44" s="17" t="n">
        <v>2</v>
      </c>
      <c r="E44" s="25" t="n">
        <v>2.5</v>
      </c>
      <c r="F44" s="17" t="inlineStr">
        <is>
          <t>1 month arrears</t>
        </is>
      </c>
    </row>
    <row r="45">
      <c r="A45" s="17" t="inlineStr">
        <is>
          <t>Arrears</t>
        </is>
      </c>
      <c r="B45" s="17" t="inlineStr">
        <is>
          <t>60-89 days</t>
        </is>
      </c>
      <c r="C45" s="17" t="n">
        <v>2</v>
      </c>
      <c r="D45" s="17" t="n">
        <v>3</v>
      </c>
      <c r="E45" s="25" t="n">
        <v>5</v>
      </c>
      <c r="F45" s="17" t="inlineStr">
        <is>
          <t>2 months arrears</t>
        </is>
      </c>
    </row>
    <row r="46">
      <c r="A46" s="17" t="inlineStr">
        <is>
          <t>Arrears</t>
        </is>
      </c>
      <c r="B46" s="17" t="inlineStr">
        <is>
          <t>90+ days</t>
        </is>
      </c>
      <c r="C46" s="17" t="n">
        <v>3</v>
      </c>
      <c r="D46" s="17" t="n">
        <v>999</v>
      </c>
      <c r="E46" s="25" t="n">
        <v>100</v>
      </c>
      <c r="F46" s="17" t="inlineStr">
        <is>
          <t>100% FF</t>
        </is>
      </c>
    </row>
    <row r="47">
      <c r="A47" s="18" t="inlineStr"/>
      <c r="B47" s="18" t="inlineStr"/>
      <c r="C47" s="18" t="inlineStr"/>
      <c r="D47" s="18" t="inlineStr"/>
      <c r="E47" s="18" t="inlineStr"/>
      <c r="F47" s="18" t="inlineStr"/>
    </row>
    <row r="48">
      <c r="A48" s="17" t="inlineStr">
        <is>
          <t>Seasoning</t>
        </is>
      </c>
      <c r="B48" s="17" t="inlineStr">
        <is>
          <t>0-5 years</t>
        </is>
      </c>
      <c r="C48" s="17" t="n">
        <v>0</v>
      </c>
      <c r="D48" s="17" t="n">
        <v>5</v>
      </c>
      <c r="E48" s="25" t="n">
        <v>1</v>
      </c>
      <c r="F48" s="17" t="inlineStr">
        <is>
          <t>No benefit</t>
        </is>
      </c>
    </row>
    <row r="49">
      <c r="A49" s="17" t="inlineStr">
        <is>
          <t>Seasoning</t>
        </is>
      </c>
      <c r="B49" s="17" t="inlineStr">
        <is>
          <t>5-6 years</t>
        </is>
      </c>
      <c r="C49" s="17" t="n">
        <v>5</v>
      </c>
      <c r="D49" s="17" t="n">
        <v>6</v>
      </c>
      <c r="E49" s="25" t="n">
        <v>0.75</v>
      </c>
      <c r="F49" s="17" t="inlineStr"/>
    </row>
    <row r="50">
      <c r="A50" s="17" t="inlineStr">
        <is>
          <t>Seasoning</t>
        </is>
      </c>
      <c r="B50" s="17" t="inlineStr">
        <is>
          <t>6-7 years</t>
        </is>
      </c>
      <c r="C50" s="17" t="n">
        <v>6</v>
      </c>
      <c r="D50" s="17" t="n">
        <v>7</v>
      </c>
      <c r="E50" s="25" t="n">
        <v>0.7</v>
      </c>
      <c r="F50" s="17" t="inlineStr"/>
    </row>
    <row r="51">
      <c r="A51" s="17" t="inlineStr">
        <is>
          <t>Seasoning</t>
        </is>
      </c>
      <c r="B51" s="17" t="inlineStr">
        <is>
          <t>7-8 years</t>
        </is>
      </c>
      <c r="C51" s="17" t="n">
        <v>7</v>
      </c>
      <c r="D51" s="17" t="n">
        <v>8</v>
      </c>
      <c r="E51" s="25" t="n">
        <v>0.65</v>
      </c>
      <c r="F51" s="17" t="inlineStr"/>
    </row>
    <row r="52">
      <c r="A52" s="17" t="inlineStr">
        <is>
          <t>Seasoning</t>
        </is>
      </c>
      <c r="B52" s="17" t="inlineStr">
        <is>
          <t>8-9 years</t>
        </is>
      </c>
      <c r="C52" s="17" t="n">
        <v>8</v>
      </c>
      <c r="D52" s="17" t="n">
        <v>9</v>
      </c>
      <c r="E52" s="25" t="n">
        <v>0.6</v>
      </c>
      <c r="F52" s="17" t="inlineStr"/>
    </row>
    <row r="53">
      <c r="A53" s="17" t="inlineStr">
        <is>
          <t>Seasoning</t>
        </is>
      </c>
      <c r="B53" s="17" t="inlineStr">
        <is>
          <t>9-10 years</t>
        </is>
      </c>
      <c r="C53" s="17" t="n">
        <v>9</v>
      </c>
      <c r="D53" s="17" t="n">
        <v>10</v>
      </c>
      <c r="E53" s="25" t="n">
        <v>0.55</v>
      </c>
      <c r="F53" s="17" t="inlineStr"/>
    </row>
    <row r="54">
      <c r="A54" s="17" t="inlineStr">
        <is>
          <t>Seasoning</t>
        </is>
      </c>
      <c r="B54" s="17" t="inlineStr">
        <is>
          <t>&gt;10 years</t>
        </is>
      </c>
      <c r="C54" s="17" t="n">
        <v>10</v>
      </c>
      <c r="D54" s="17" t="n">
        <v>999</v>
      </c>
      <c r="E54" s="25" t="n">
        <v>0.5</v>
      </c>
      <c r="F54" s="17" t="inlineStr">
        <is>
          <t>Maximum benefit</t>
        </is>
      </c>
    </row>
    <row r="55">
      <c r="A55" s="18" t="inlineStr"/>
      <c r="B55" s="18" t="inlineStr"/>
      <c r="C55" s="18" t="inlineStr"/>
      <c r="D55" s="18" t="inlineStr"/>
      <c r="E55" s="18" t="inlineStr"/>
      <c r="F55" s="18" t="inlineStr"/>
    </row>
    <row r="56">
      <c r="A56" s="17" t="inlineStr">
        <is>
          <t>First Time Buyer</t>
        </is>
      </c>
      <c r="B56" s="17" t="inlineStr">
        <is>
          <t>&lt;=18mo seasoning</t>
        </is>
      </c>
      <c r="C56" s="17" t="n">
        <v>0</v>
      </c>
      <c r="D56" s="17" t="n">
        <v>1.5</v>
      </c>
      <c r="E56" s="25" t="n">
        <v>1.1</v>
      </c>
      <c r="F56" s="17" t="inlineStr">
        <is>
          <t>Only if recent</t>
        </is>
      </c>
    </row>
    <row r="57">
      <c r="A57" s="17" t="inlineStr">
        <is>
          <t>Help to Buy</t>
        </is>
      </c>
      <c r="B57" s="17" t="inlineStr">
        <is>
          <t>All HTB loans</t>
        </is>
      </c>
      <c r="C57" s="17" t="n">
        <v>0</v>
      </c>
      <c r="D57" s="17" t="n">
        <v>0</v>
      </c>
      <c r="E57" s="25" t="n">
        <v>1.35</v>
      </c>
      <c r="F57" s="17" t="inlineStr">
        <is>
          <t>Shared equity</t>
        </is>
      </c>
    </row>
    <row r="58">
      <c r="A58" s="17" t="inlineStr">
        <is>
          <t>Shared Ownership</t>
        </is>
      </c>
      <c r="B58" s="17" t="inlineStr">
        <is>
          <t>All</t>
        </is>
      </c>
      <c r="C58" s="17" t="n">
        <v>0</v>
      </c>
      <c r="D58" s="17" t="n">
        <v>0</v>
      </c>
      <c r="E58" s="25" t="n">
        <v>1.2</v>
      </c>
      <c r="F58" s="17" t="inlineStr">
        <is>
          <t>Partial ownership</t>
        </is>
      </c>
    </row>
    <row r="59">
      <c r="A59" s="17" t="inlineStr">
        <is>
          <t>Right to Buy</t>
        </is>
      </c>
      <c r="B59" s="17" t="inlineStr">
        <is>
          <t>All</t>
        </is>
      </c>
      <c r="C59" s="17" t="n">
        <v>0</v>
      </c>
      <c r="D59" s="17" t="n">
        <v>0</v>
      </c>
      <c r="E59" s="25" t="n">
        <v>1.05</v>
      </c>
      <c r="F59" s="17" t="inlineStr">
        <is>
          <t>Former social housing</t>
        </is>
      </c>
    </row>
    <row r="60">
      <c r="A60" s="18" t="inlineStr"/>
      <c r="B60" s="18" t="inlineStr"/>
      <c r="C60" s="18" t="inlineStr"/>
      <c r="D60" s="18" t="inlineStr"/>
      <c r="E60" s="18" t="inlineStr"/>
      <c r="F60" s="18" t="inlineStr"/>
    </row>
    <row r="61">
      <c r="A61" s="17" t="inlineStr">
        <is>
          <t>Self-Certification</t>
        </is>
      </c>
      <c r="B61" s="17" t="inlineStr">
        <is>
          <t>Base</t>
        </is>
      </c>
      <c r="C61" s="17" t="n">
        <v>0</v>
      </c>
      <c r="D61" s="17" t="n">
        <v>0</v>
      </c>
      <c r="E61" s="25" t="n">
        <v>1.5</v>
      </c>
      <c r="F61" s="17" t="inlineStr">
        <is>
          <t>Reduces with seasoning</t>
        </is>
      </c>
    </row>
    <row r="62">
      <c r="A62" s="17" t="inlineStr">
        <is>
          <t>Payment Shock</t>
        </is>
      </c>
      <c r="B62" s="17" t="inlineStr">
        <is>
          <t>Discount/fixed-float</t>
        </is>
      </c>
      <c r="C62" s="17" t="n">
        <v>0</v>
      </c>
      <c r="D62" s="17" t="n">
        <v>0</v>
      </c>
      <c r="E62" s="25" t="n">
        <v>1.1</v>
      </c>
      <c r="F62" s="17" t="inlineStr">
        <is>
          <t>Rate reset risk</t>
        </is>
      </c>
    </row>
    <row r="63">
      <c r="A63" s="17" t="inlineStr">
        <is>
          <t>Self-Employed</t>
        </is>
      </c>
      <c r="B63" s="17" t="inlineStr">
        <is>
          <t>All</t>
        </is>
      </c>
      <c r="C63" s="17" t="n">
        <v>0</v>
      </c>
      <c r="D63" s="17" t="n">
        <v>0</v>
      </c>
      <c r="E63" s="25" t="n">
        <v>1.15</v>
      </c>
      <c r="F63" s="17" t="inlineStr"/>
    </row>
    <row r="64">
      <c r="A64" s="17" t="inlineStr">
        <is>
          <t>Commercial Property</t>
        </is>
      </c>
      <c r="B64" s="17" t="inlineStr">
        <is>
          <t>Mixed/commercial use</t>
        </is>
      </c>
      <c r="C64" s="17" t="n">
        <v>0</v>
      </c>
      <c r="D64" s="17" t="n">
        <v>0</v>
      </c>
      <c r="E64" s="25" t="n">
        <v>1.85</v>
      </c>
      <c r="F64" s="17" t="inlineStr"/>
    </row>
    <row r="65">
      <c r="A65" s="17" t="inlineStr">
        <is>
          <t>Residential Bridging</t>
        </is>
      </c>
      <c r="B65" s="17" t="inlineStr">
        <is>
          <t>Bridging loan</t>
        </is>
      </c>
      <c r="C65" s="17" t="n">
        <v>0</v>
      </c>
      <c r="D65" s="17" t="n">
        <v>0</v>
      </c>
      <c r="E65" s="25" t="n">
        <v>2</v>
      </c>
      <c r="F65" s="17" t="inlineStr"/>
    </row>
    <row r="66">
      <c r="A66" s="18" t="inlineStr"/>
      <c r="B66" s="18" t="inlineStr"/>
      <c r="C66" s="18" t="inlineStr"/>
      <c r="D66" s="18" t="inlineStr"/>
      <c r="E66" s="18" t="inlineStr"/>
      <c r="F66" s="18" t="inlineStr"/>
    </row>
    <row r="67">
      <c r="A67" s="17" t="inlineStr">
        <is>
          <t>Interest Only</t>
        </is>
      </c>
      <c r="B67" s="17" t="inlineStr">
        <is>
          <t>&gt;25 years to maturity</t>
        </is>
      </c>
      <c r="C67" s="17" t="n">
        <v>25</v>
      </c>
      <c r="D67" s="17" t="n">
        <v>999</v>
      </c>
      <c r="E67" s="25" t="n">
        <v>1.1</v>
      </c>
      <c r="F67" s="17" t="inlineStr">
        <is>
          <t>BTL exempt</t>
        </is>
      </c>
    </row>
    <row r="68">
      <c r="A68" s="17" t="inlineStr">
        <is>
          <t>Interest Only</t>
        </is>
      </c>
      <c r="B68" s="17" t="inlineStr">
        <is>
          <t>15-25 years</t>
        </is>
      </c>
      <c r="C68" s="17" t="n">
        <v>15</v>
      </c>
      <c r="D68" s="17" t="n">
        <v>25</v>
      </c>
      <c r="E68" s="25" t="n">
        <v>1.2</v>
      </c>
      <c r="F68" s="17" t="inlineStr">
        <is>
          <t>BTL exempt</t>
        </is>
      </c>
    </row>
    <row r="69">
      <c r="A69" s="17" t="inlineStr">
        <is>
          <t>Interest Only</t>
        </is>
      </c>
      <c r="B69" s="17" t="inlineStr">
        <is>
          <t>5-15 years</t>
        </is>
      </c>
      <c r="C69" s="17" t="n">
        <v>5</v>
      </c>
      <c r="D69" s="17" t="n">
        <v>15</v>
      </c>
      <c r="E69" s="25" t="n">
        <v>1.25</v>
      </c>
      <c r="F69" s="17" t="inlineStr">
        <is>
          <t>BTL exempt</t>
        </is>
      </c>
    </row>
    <row r="70">
      <c r="A70" s="17" t="inlineStr">
        <is>
          <t>Interest Only</t>
        </is>
      </c>
      <c r="B70" s="17" t="inlineStr">
        <is>
          <t>0-5 years</t>
        </is>
      </c>
      <c r="C70" s="17" t="n">
        <v>0</v>
      </c>
      <c r="D70" s="17" t="n">
        <v>5</v>
      </c>
      <c r="E70" s="25" t="n">
        <v>1.25</v>
      </c>
      <c r="F70" s="17" t="inlineStr">
        <is>
          <t>BTL exempt, min</t>
        </is>
      </c>
    </row>
    <row r="71">
      <c r="A71" s="18" t="inlineStr"/>
      <c r="B71" s="18" t="inlineStr"/>
      <c r="C71" s="18" t="inlineStr"/>
      <c r="D71" s="18" t="inlineStr"/>
      <c r="E71" s="18" t="inlineStr"/>
      <c r="F71" s="18" t="inlineStr"/>
    </row>
    <row r="72">
      <c r="A72" s="17" t="inlineStr">
        <is>
          <t>CCJ Count</t>
        </is>
      </c>
      <c r="B72" s="17" t="inlineStr">
        <is>
          <t>1 CCJ &lt;1yr old</t>
        </is>
      </c>
      <c r="C72" s="17" t="n">
        <v>0</v>
      </c>
      <c r="D72" s="17" t="n">
        <v>0</v>
      </c>
      <c r="E72" s="25" t="n">
        <v>1.1</v>
      </c>
      <c r="F72" s="17" t="inlineStr"/>
    </row>
    <row r="73">
      <c r="A73" s="17" t="inlineStr">
        <is>
          <t>CCJ Count</t>
        </is>
      </c>
      <c r="B73" s="17" t="inlineStr">
        <is>
          <t>1 CCJ &gt;=1yr old</t>
        </is>
      </c>
      <c r="C73" s="17" t="n">
        <v>0</v>
      </c>
      <c r="D73" s="17" t="n">
        <v>0</v>
      </c>
      <c r="E73" s="25" t="n">
        <v>1.075</v>
      </c>
      <c r="F73" s="17" t="inlineStr"/>
    </row>
    <row r="74">
      <c r="A74" s="17" t="inlineStr">
        <is>
          <t>CCJ Count</t>
        </is>
      </c>
      <c r="B74" s="17" t="inlineStr">
        <is>
          <t>2 CCJs &lt;1yr old</t>
        </is>
      </c>
      <c r="C74" s="17" t="n">
        <v>0</v>
      </c>
      <c r="D74" s="17" t="n">
        <v>0</v>
      </c>
      <c r="E74" s="25" t="n">
        <v>1.5</v>
      </c>
      <c r="F74" s="17" t="inlineStr"/>
    </row>
    <row r="75">
      <c r="A75" s="17" t="inlineStr">
        <is>
          <t>CCJ Count</t>
        </is>
      </c>
      <c r="B75" s="17" t="inlineStr">
        <is>
          <t>2 CCJs &gt;=1yr old</t>
        </is>
      </c>
      <c r="C75" s="17" t="n">
        <v>0</v>
      </c>
      <c r="D75" s="17" t="n">
        <v>0</v>
      </c>
      <c r="E75" s="25" t="n">
        <v>1.375</v>
      </c>
      <c r="F75" s="17" t="inlineStr"/>
    </row>
    <row r="76">
      <c r="A76" s="17" t="inlineStr">
        <is>
          <t>CCJ Count</t>
        </is>
      </c>
      <c r="B76" s="17" t="inlineStr">
        <is>
          <t>3 CCJs &lt;1yr old</t>
        </is>
      </c>
      <c r="C76" s="17" t="n">
        <v>0</v>
      </c>
      <c r="D76" s="17" t="n">
        <v>0</v>
      </c>
      <c r="E76" s="25" t="n">
        <v>2.5</v>
      </c>
      <c r="F76" s="17" t="inlineStr"/>
    </row>
    <row r="77">
      <c r="A77" s="17" t="inlineStr">
        <is>
          <t>CCJ Count</t>
        </is>
      </c>
      <c r="B77" s="17" t="inlineStr">
        <is>
          <t>3 CCJs &gt;=1yr old</t>
        </is>
      </c>
      <c r="C77" s="17" t="n">
        <v>0</v>
      </c>
      <c r="D77" s="17" t="n">
        <v>0</v>
      </c>
      <c r="E77" s="25" t="n">
        <v>2.125</v>
      </c>
      <c r="F77" s="17" t="inlineStr"/>
    </row>
    <row r="78">
      <c r="A78" s="17" t="inlineStr">
        <is>
          <t>CCJ Count</t>
        </is>
      </c>
      <c r="B78" s="17" t="inlineStr">
        <is>
          <t>4 CCJs &lt;1yr old</t>
        </is>
      </c>
      <c r="C78" s="17" t="n">
        <v>0</v>
      </c>
      <c r="D78" s="17" t="n">
        <v>0</v>
      </c>
      <c r="E78" s="25" t="n">
        <v>3.8</v>
      </c>
      <c r="F78" s="17" t="inlineStr"/>
    </row>
    <row r="79">
      <c r="A79" s="17" t="inlineStr">
        <is>
          <t>CCJ Count</t>
        </is>
      </c>
      <c r="B79" s="17" t="inlineStr">
        <is>
          <t>4 CCJs &gt;=1yr old</t>
        </is>
      </c>
      <c r="C79" s="17" t="n">
        <v>0</v>
      </c>
      <c r="D79" s="17" t="n">
        <v>0</v>
      </c>
      <c r="E79" s="25" t="n">
        <v>3.1</v>
      </c>
      <c r="F79" s="17" t="inlineStr"/>
    </row>
    <row r="80">
      <c r="A80" s="17" t="inlineStr">
        <is>
          <t>CCJ Count</t>
        </is>
      </c>
      <c r="B80" s="17" t="inlineStr">
        <is>
          <t>5+ CCJs &lt;1yr old</t>
        </is>
      </c>
      <c r="C80" s="17" t="n">
        <v>0</v>
      </c>
      <c r="D80" s="17" t="n">
        <v>0</v>
      </c>
      <c r="E80" s="25" t="n">
        <v>4</v>
      </c>
      <c r="F80" s="17" t="inlineStr"/>
    </row>
    <row r="81">
      <c r="A81" s="17" t="inlineStr">
        <is>
          <t>CCJ Count</t>
        </is>
      </c>
      <c r="B81" s="17" t="inlineStr">
        <is>
          <t>5+ CCJs &gt;=1yr old</t>
        </is>
      </c>
      <c r="C81" s="17" t="n">
        <v>0</v>
      </c>
      <c r="D81" s="17" t="n">
        <v>0</v>
      </c>
      <c r="E81" s="25" t="n">
        <v>3.25</v>
      </c>
      <c r="F81" s="17" t="inlineStr"/>
    </row>
    <row r="82">
      <c r="A82" s="17" t="inlineStr">
        <is>
          <t>CCJ Count</t>
        </is>
      </c>
      <c r="B82" s="17" t="inlineStr">
        <is>
          <t>Any &gt;6yrs old</t>
        </is>
      </c>
      <c r="C82" s="17" t="n">
        <v>0</v>
      </c>
      <c r="D82" s="17" t="n">
        <v>0</v>
      </c>
      <c r="E82" s="25" t="n">
        <v>1.075</v>
      </c>
      <c r="F82" s="17" t="inlineStr">
        <is>
          <t>After 6 years</t>
        </is>
      </c>
    </row>
    <row r="83">
      <c r="A83" s="17" t="inlineStr">
        <is>
          <t>CCJ Value</t>
        </is>
      </c>
      <c r="B83" s="17" t="inlineStr">
        <is>
          <t>&gt;=£10k override</t>
        </is>
      </c>
      <c r="C83" s="17" t="n">
        <v>10000</v>
      </c>
      <c r="D83" s="17" t="n">
        <v>999999</v>
      </c>
      <c r="E83" s="25" t="n">
        <v>4</v>
      </c>
      <c r="F83" s="17" t="inlineStr">
        <is>
          <t>Min multiplier</t>
        </is>
      </c>
    </row>
    <row r="84">
      <c r="A84" s="17" t="inlineStr">
        <is>
          <t>CCJ Value</t>
        </is>
      </c>
      <c r="B84" s="17" t="inlineStr">
        <is>
          <t>£5k-£10k override</t>
        </is>
      </c>
      <c r="C84" s="17" t="n">
        <v>5000</v>
      </c>
      <c r="D84" s="17" t="n">
        <v>10000</v>
      </c>
      <c r="E84" s="25" t="n">
        <v>2.5</v>
      </c>
      <c r="F84" s="17" t="inlineStr">
        <is>
          <t>Min multiplier</t>
        </is>
      </c>
    </row>
    <row r="85">
      <c r="A85" s="18" t="inlineStr"/>
      <c r="B85" s="18" t="inlineStr"/>
      <c r="C85" s="18" t="inlineStr"/>
      <c r="D85" s="18" t="inlineStr"/>
      <c r="E85" s="18" t="inlineStr"/>
      <c r="F85" s="18" t="inlineStr"/>
    </row>
    <row r="86">
      <c r="A86" s="17" t="inlineStr">
        <is>
          <t>Reperforming</t>
        </is>
      </c>
      <c r="B86" s="17" t="inlineStr">
        <is>
          <t>0-12mo since 90+dpd</t>
        </is>
      </c>
      <c r="C86" s="17" t="n">
        <v>0</v>
      </c>
      <c r="D86" s="17" t="n">
        <v>12</v>
      </c>
      <c r="E86" s="25" t="n">
        <v>2</v>
      </c>
      <c r="F86" s="17" t="inlineStr"/>
    </row>
    <row r="87">
      <c r="A87" s="17" t="inlineStr">
        <is>
          <t>Reperforming</t>
        </is>
      </c>
      <c r="B87" s="17" t="inlineStr">
        <is>
          <t>12-24mo since 90+dpd</t>
        </is>
      </c>
      <c r="C87" s="17" t="n">
        <v>12</v>
      </c>
      <c r="D87" s="17" t="n">
        <v>24</v>
      </c>
      <c r="E87" s="25" t="n">
        <v>1.5</v>
      </c>
      <c r="F87" s="17" t="inlineStr"/>
    </row>
    <row r="88">
      <c r="A88" s="17" t="inlineStr">
        <is>
          <t>Reperforming</t>
        </is>
      </c>
      <c r="B88" s="17" t="inlineStr">
        <is>
          <t>24-36mo since 90+dpd</t>
        </is>
      </c>
      <c r="C88" s="17" t="n">
        <v>24</v>
      </c>
      <c r="D88" s="17" t="n">
        <v>36</v>
      </c>
      <c r="E88" s="25" t="n">
        <v>1.2</v>
      </c>
      <c r="F88" s="17" t="inlineStr"/>
    </row>
    <row r="89">
      <c r="A89" s="17" t="inlineStr">
        <is>
          <t>Reperforming</t>
        </is>
      </c>
      <c r="B89" s="17" t="inlineStr">
        <is>
          <t>&gt;36mo since 90+dpd</t>
        </is>
      </c>
      <c r="C89" s="17" t="n">
        <v>36</v>
      </c>
      <c r="D89" s="17" t="n">
        <v>999</v>
      </c>
      <c r="E89" s="25" t="n">
        <v>1</v>
      </c>
      <c r="F89" s="17" t="inlineStr">
        <is>
          <t>No adjustment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2026-01-14T09:04:11Z</dcterms:created>
  <dcterms:modified xmlns:dcterms="http://purl.org/dc/terms/" xmlns:xsi="http://www.w3.org/2001/XMLSchema-instance" xsi:type="dcterms:W3CDTF">2026-01-14T09:06:24Z</dcterms:modified>
</cp:coreProperties>
</file>