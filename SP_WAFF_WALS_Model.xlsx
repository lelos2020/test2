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Loan Tape" sheetId="2" state="visible" r:id="rId2"/>
    <sheet xmlns:r="http://schemas.openxmlformats.org/officeDocument/2006/relationships" name="FF Calculations" sheetId="3" state="visible" r:id="rId3"/>
    <sheet xmlns:r="http://schemas.openxmlformats.org/officeDocument/2006/relationships" name="LS Calculations" sheetId="4" state="visible" r:id="rId4"/>
    <sheet xmlns:r="http://schemas.openxmlformats.org/officeDocument/2006/relationships" name="Pool Summary" sheetId="5" state="visible" r:id="rId5"/>
    <sheet xmlns:r="http://schemas.openxmlformats.org/officeDocument/2006/relationships" name="Rating CE" sheetId="6" state="visible" r:id="rId6"/>
    <sheet xmlns:r="http://schemas.openxmlformats.org/officeDocument/2006/relationships" name="Parameter Tables" sheetId="7" state="visible" r:id="rId7"/>
    <sheet xmlns:r="http://schemas.openxmlformats.org/officeDocument/2006/relationships" name="Documen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£#,##0"/>
    <numFmt numFmtId="166" formatCode="0.0"/>
    <numFmt numFmtId="167" formatCode="0.000%"/>
    <numFmt numFmtId="168" formatCode="0.0%"/>
    <numFmt numFmtId="169" formatCode="£#,##0,,&quot;M&quot;"/>
    <numFmt numFmtId="170" formatCode="0.0&quot;x&quot;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b val="1"/>
      <color rgb="00366092"/>
      <sz val="11"/>
    </font>
    <font>
      <b val="1"/>
    </font>
    <font>
      <b val="1"/>
      <sz val="11"/>
    </font>
    <font>
      <b val="1"/>
      <color rgb="00FFFFFF"/>
      <sz val="13"/>
    </font>
    <font>
      <i val="1"/>
      <sz val="8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  <fill>
      <patternFill patternType="solid">
        <fgColor rgb="00F4B183"/>
        <bgColor rgb="00F4B18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5" borderId="1" pivotButton="0" quotePrefix="0" xfId="0"/>
    <xf numFmtId="164" fontId="0" fillId="5" borderId="1" pivotButton="0" quotePrefix="0" xfId="0"/>
    <xf numFmtId="2" fontId="0" fillId="5" borderId="1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6" borderId="1" pivotButton="0" quotePrefix="0" xfId="0"/>
    <xf numFmtId="165" fontId="0" fillId="6" borderId="1" pivotButton="0" quotePrefix="0" xfId="0"/>
    <xf numFmtId="10" fontId="0" fillId="6" borderId="1" pivotButton="0" quotePrefix="0" xfId="0"/>
    <xf numFmtId="1" fontId="0" fillId="6" borderId="1" pivotButton="0" quotePrefix="0" xfId="0"/>
    <xf numFmtId="164" fontId="0" fillId="5" borderId="1" pivotButton="0" quotePrefix="0" xfId="0"/>
    <xf numFmtId="165" fontId="0" fillId="6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0" fillId="7" borderId="1" pivotButton="0" quotePrefix="0" xfId="0"/>
    <xf numFmtId="165" fontId="0" fillId="7" borderId="1" pivotButton="0" quotePrefix="0" xfId="0"/>
    <xf numFmtId="1" fontId="0" fillId="7" borderId="1" pivotButton="0" quotePrefix="0" xfId="0"/>
    <xf numFmtId="10" fontId="0" fillId="7" borderId="1" pivotButton="0" quotePrefix="0" xfId="0"/>
    <xf numFmtId="167" fontId="0" fillId="7" borderId="1" pivotButton="0" quotePrefix="0" xfId="0"/>
    <xf numFmtId="2" fontId="0" fillId="7" borderId="1" pivotButton="0" quotePrefix="0" xfId="0"/>
    <xf numFmtId="2" fontId="0" fillId="8" borderId="1" pivotButton="0" quotePrefix="0" xfId="0"/>
    <xf numFmtId="167" fontId="0" fillId="6" borderId="1" pivotButton="0" quotePrefix="0" xfId="0"/>
    <xf numFmtId="168" fontId="0" fillId="7" borderId="1" pivotButton="0" quotePrefix="0" xfId="0"/>
    <xf numFmtId="0" fontId="2" fillId="2" borderId="1" pivotButton="0" quotePrefix="0" xfId="0"/>
    <xf numFmtId="0" fontId="0" fillId="0" borderId="1" pivotButton="0" quotePrefix="0" xfId="0"/>
    <xf numFmtId="169" fontId="0" fillId="6" borderId="1" pivotButton="0" quotePrefix="0" xfId="0"/>
    <xf numFmtId="170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9" borderId="0" pivotButton="0" quotePrefix="0" xfId="0"/>
    <xf numFmtId="0" fontId="11" fillId="9" borderId="0" applyAlignment="1" pivotButton="0" quotePrefix="0" xfId="0">
      <alignment horizontal="left" wrapText="1"/>
    </xf>
    <xf numFmtId="0" fontId="10" fillId="0" borderId="0" pivotButton="0" quotePrefix="0" xfId="0"/>
    <xf numFmtId="0" fontId="11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3" customWidth="1" min="4" max="4"/>
    <col width="50" customWidth="1" min="5" max="5"/>
    <col width="5" customWidth="1" min="6" max="6"/>
    <col width="5" customWidth="1" min="7" max="7"/>
    <col width="5" customWidth="1" min="8" max="8"/>
  </cols>
  <sheetData>
    <row r="1">
      <c r="A1" s="1" t="inlineStr">
        <is>
          <t>S&amp;P WAFF/WALS CALCULATION MODEL</t>
        </is>
      </c>
    </row>
    <row r="2">
      <c r="A2" s="2" t="inlineStr">
        <is>
          <t>UK Residential Mortgage Pool Analysis - Bank of England Loan Tape Format</t>
        </is>
      </c>
    </row>
    <row r="3">
      <c r="A3" s="3" t="inlineStr">
        <is>
          <t>Version: 1.0</t>
        </is>
      </c>
    </row>
    <row r="4">
      <c r="A4" s="3" t="inlineStr">
        <is>
          <t>Created: 14-Jan-2026</t>
        </is>
      </c>
    </row>
    <row r="6">
      <c r="A6" s="4" t="inlineStr">
        <is>
          <t>MODEL SETTINGS</t>
        </is>
      </c>
      <c r="E6" s="5" t="inlineStr">
        <is>
          <t>INSTRUCTIONS</t>
        </is>
      </c>
    </row>
    <row r="8">
      <c r="A8" s="6" t="inlineStr">
        <is>
          <t>Parameter</t>
        </is>
      </c>
      <c r="B8" s="6" t="inlineStr">
        <is>
          <t>Value</t>
        </is>
      </c>
      <c r="C8" s="6" t="inlineStr">
        <is>
          <t>Description</t>
        </is>
      </c>
      <c r="E8" s="7" t="inlineStr">
        <is>
          <t>1. Input loan tape data in "Loan Tape" sheet using Bank of England format</t>
        </is>
      </c>
    </row>
    <row r="9">
      <c r="A9" t="inlineStr">
        <is>
          <t>Jurisdiction</t>
        </is>
      </c>
      <c r="B9" s="8" t="inlineStr">
        <is>
          <t>UK</t>
        </is>
      </c>
      <c r="C9" t="inlineStr">
        <is>
          <t>UK, Ireland, or Netherlands</t>
        </is>
      </c>
      <c r="E9" s="7" t="inlineStr">
        <is>
          <t>2. Configure model settings in yellow cells above</t>
        </is>
      </c>
    </row>
    <row r="10">
      <c r="A10" t="inlineStr">
        <is>
          <t>Analysis Date</t>
        </is>
      </c>
      <c r="B10" s="18" t="n">
        <v>46036.3422649537</v>
      </c>
      <c r="C10" t="inlineStr">
        <is>
          <t>Date for seasoning and CCJ calculations</t>
        </is>
      </c>
      <c r="E10" s="7" t="inlineStr">
        <is>
          <t>3. Review FF and LS calculations in respective sheets</t>
        </is>
      </c>
    </row>
    <row r="11">
      <c r="A11" t="inlineStr">
        <is>
          <t>Portfolio Cutoff Date</t>
        </is>
      </c>
      <c r="B11" s="18" t="n">
        <v>46036.3422649537</v>
      </c>
      <c r="C11" t="inlineStr">
        <is>
          <t>Loan tape cutoff date</t>
        </is>
      </c>
      <c r="E11" s="7" t="inlineStr">
        <is>
          <t>4. Check "Pool Summary" for WAFF/WALS results</t>
        </is>
      </c>
    </row>
    <row r="12">
      <c r="A12" t="inlineStr">
        <is>
          <t>Use Indexed Property Values</t>
        </is>
      </c>
      <c r="B12" s="8" t="inlineStr">
        <is>
          <t>YES</t>
        </is>
      </c>
      <c r="C12" t="inlineStr">
        <is>
          <t>Use regional HPI to index property values</t>
        </is>
      </c>
      <c r="E12" s="7" t="inlineStr">
        <is>
          <t>5. Review "Rating CE" for credit enhancement by rating</t>
        </is>
      </c>
    </row>
    <row r="13">
      <c r="A13" t="inlineStr">
        <is>
          <t>OLTV Weight</t>
        </is>
      </c>
      <c r="B13" s="10" t="n">
        <v>0.8</v>
      </c>
      <c r="C13" t="inlineStr">
        <is>
          <t>Weight for Original LTV in S&amp;P LTV formula</t>
        </is>
      </c>
      <c r="E13" s="7" t="inlineStr"/>
    </row>
    <row r="14">
      <c r="A14" t="inlineStr">
        <is>
          <t>CLTV Weight</t>
        </is>
      </c>
      <c r="B14" s="10" t="n">
        <v>0.2</v>
      </c>
      <c r="C14" t="inlineStr">
        <is>
          <t>Weight for Current LTV in S&amp;P LTV formula</t>
        </is>
      </c>
      <c r="E14" s="7" t="inlineStr">
        <is>
          <t>Color Coding:</t>
        </is>
      </c>
    </row>
    <row r="15">
      <c r="A15" t="inlineStr">
        <is>
          <t>Apply Valuation Haircuts</t>
        </is>
      </c>
      <c r="B15" s="8" t="inlineStr">
        <is>
          <t>YES</t>
        </is>
      </c>
      <c r="C15" t="inlineStr">
        <is>
          <t>Apply 5% haircut for non-full appraisals</t>
        </is>
      </c>
      <c r="E15" s="7" t="inlineStr">
        <is>
          <t>Yellow = User Input</t>
        </is>
      </c>
      <c r="F15" s="11" t="n"/>
    </row>
    <row r="16">
      <c r="E16" s="7" t="inlineStr">
        <is>
          <t>Grey = Calculated (Do not edit)</t>
        </is>
      </c>
      <c r="F16" s="12" t="n"/>
    </row>
    <row r="17">
      <c r="A17" s="4" t="inlineStr">
        <is>
          <t>POOL STATISTICS (READ-ONLY)</t>
        </is>
      </c>
      <c r="E17" s="7" t="inlineStr">
        <is>
          <t>Green = Output/Results</t>
        </is>
      </c>
      <c r="F17" s="13" t="n"/>
    </row>
    <row r="19">
      <c r="A19" s="6" t="inlineStr">
        <is>
          <t>Metric</t>
        </is>
      </c>
      <c r="B19" s="6" t="inlineStr">
        <is>
          <t>Value</t>
        </is>
      </c>
    </row>
    <row r="20">
      <c r="A20" t="inlineStr">
        <is>
          <t>Total Loans</t>
        </is>
      </c>
      <c r="B20" s="14">
        <f>COUNTA('Loan Tape'!A:A)-1</f>
        <v/>
      </c>
    </row>
    <row r="21">
      <c r="A21" t="inlineStr">
        <is>
          <t>Total Balance</t>
        </is>
      </c>
      <c r="B21" s="19">
        <f>SUM('Loan Tape'!D:D)</f>
        <v/>
      </c>
    </row>
    <row r="22">
      <c r="A22" t="inlineStr">
        <is>
          <t>Weighted Average LTV</t>
        </is>
      </c>
      <c r="B22" s="16">
        <f>IFERROR(SUMPRODUCT('FF Calculations'!E:E,'Loan Tape'!D:D)/SUM('Loan Tape'!D:D),0)</f>
        <v/>
      </c>
    </row>
    <row r="23">
      <c r="A23" t="inlineStr">
        <is>
          <t>Weighted Average FICO</t>
        </is>
      </c>
      <c r="B23" s="17">
        <f>IFERROR(SUMPRODUCT('Loan Tape'!F:F,'Loan Tape'!D:D)/SUM('Loan Tape'!D:D),0)</f>
        <v/>
      </c>
    </row>
    <row r="24">
      <c r="A24" t="inlineStr">
        <is>
          <t>Pool WAFF (%)</t>
        </is>
      </c>
      <c r="B24" s="16">
        <f>'Pool Summary'!B5</f>
        <v/>
      </c>
    </row>
    <row r="25">
      <c r="A25" t="inlineStr">
        <is>
          <t>Pool WALS (%)</t>
        </is>
      </c>
      <c r="B25" s="16">
        <f>'Pool Summary'!B6</f>
        <v/>
      </c>
    </row>
    <row r="26">
      <c r="A26" t="inlineStr">
        <is>
          <t>Pool Expected Loss (%)</t>
        </is>
      </c>
      <c r="B26" s="16">
        <f>'Pool Summary'!B7</f>
        <v/>
      </c>
    </row>
  </sheetData>
  <mergeCells count="3">
    <mergeCell ref="E6:H6"/>
    <mergeCell ref="A2:H2"/>
    <mergeCell ref="A1:H1"/>
  </mergeCells>
  <dataValidations count="1">
    <dataValidation sqref="B12 B1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28" t="inlineStr">
        <is>
          <t>LOAN TAPE - BANK OF ENGLAND FORMAT</t>
        </is>
      </c>
    </row>
    <row r="2">
      <c r="A2" t="inlineStr">
        <is>
          <t>Input loan-level data in yellow cells below. Use Bank of England loan tape field names.</t>
        </is>
      </c>
    </row>
    <row r="3">
      <c r="A3" s="29" t="inlineStr">
        <is>
          <t>loan_id</t>
        </is>
      </c>
      <c r="B3" s="29" t="inlineStr">
        <is>
          <t>property_value_current</t>
        </is>
      </c>
      <c r="C3" s="29" t="inlineStr">
        <is>
          <t>property_value_original</t>
        </is>
      </c>
      <c r="D3" s="29" t="inlineStr">
        <is>
          <t>current_balance</t>
        </is>
      </c>
      <c r="E3" s="29" t="inlineStr">
        <is>
          <t>original_balance</t>
        </is>
      </c>
      <c r="F3" s="29" t="inlineStr">
        <is>
          <t>borrower_credit_score</t>
        </is>
      </c>
      <c r="G3" s="29" t="inlineStr">
        <is>
          <t>origination_date</t>
        </is>
      </c>
      <c r="H3" s="29" t="inlineStr">
        <is>
          <t>maturity_date</t>
        </is>
      </c>
      <c r="I3" s="29" t="inlineStr">
        <is>
          <t>interest_rate</t>
        </is>
      </c>
      <c r="J3" s="29" t="inlineStr">
        <is>
          <t>product_type</t>
        </is>
      </c>
      <c r="K3" s="29" t="inlineStr">
        <is>
          <t>occupancy_type</t>
        </is>
      </c>
      <c r="L3" s="29" t="inlineStr">
        <is>
          <t>property_type</t>
        </is>
      </c>
      <c r="M3" s="29" t="inlineStr">
        <is>
          <t>region</t>
        </is>
      </c>
      <c r="N3" s="29" t="inlineStr">
        <is>
          <t>postcode</t>
        </is>
      </c>
      <c r="O3" s="29" t="inlineStr">
        <is>
          <t>borrower_income</t>
        </is>
      </c>
      <c r="P3" s="29" t="inlineStr">
        <is>
          <t>rental_income</t>
        </is>
      </c>
      <c r="Q3" s="29" t="inlineStr">
        <is>
          <t>arrears_balance</t>
        </is>
      </c>
      <c r="R3" s="29" t="inlineStr">
        <is>
          <t>borrower_employment_status</t>
        </is>
      </c>
      <c r="S3" s="29" t="inlineStr">
        <is>
          <t>num_borrowers</t>
        </is>
      </c>
      <c r="T3" s="29" t="inlineStr">
        <is>
          <t>first_time_buyer</t>
        </is>
      </c>
      <c r="U3" s="29" t="inlineStr">
        <is>
          <t>lien_position</t>
        </is>
      </c>
      <c r="V3" s="29" t="inlineStr">
        <is>
          <t>loan_purpose</t>
        </is>
      </c>
      <c r="W3" s="29" t="inlineStr">
        <is>
          <t>valuation_type</t>
        </is>
      </c>
      <c r="X3" s="29" t="inlineStr">
        <is>
          <t>ccj_count</t>
        </is>
      </c>
      <c r="Y3" s="29" t="inlineStr">
        <is>
          <t>ccj_date_most_recent</t>
        </is>
      </c>
      <c r="Z3" s="29" t="inlineStr">
        <is>
          <t>ccj_total_value</t>
        </is>
      </c>
      <c r="AA3" s="29" t="inlineStr">
        <is>
          <t>bankruptcy_flag</t>
        </is>
      </c>
      <c r="AB3" s="29" t="inlineStr">
        <is>
          <t>bankruptcy_date</t>
        </is>
      </c>
      <c r="AC3" s="29" t="inlineStr">
        <is>
          <t>prior_repossession_flag</t>
        </is>
      </c>
      <c r="AD3" s="29" t="inlineStr">
        <is>
          <t>self_certified_flag</t>
        </is>
      </c>
      <c r="AE3" s="29" t="inlineStr">
        <is>
          <t>help_to_buy_flag</t>
        </is>
      </c>
      <c r="AF3" s="29" t="inlineStr">
        <is>
          <t>payment_shock_flag</t>
        </is>
      </c>
      <c r="AG3" s="29" t="inlineStr">
        <is>
          <t>commercial_property_flag</t>
        </is>
      </c>
      <c r="AH3" s="29" t="inlineStr">
        <is>
          <t>reperforming_flag</t>
        </is>
      </c>
      <c r="AI3" s="29" t="inlineStr">
        <is>
          <t>date_last_90dpd</t>
        </is>
      </c>
    </row>
    <row r="4">
      <c r="A4" s="30" t="inlineStr">
        <is>
          <t>Unique loan identifier</t>
        </is>
      </c>
      <c r="B4" s="30" t="inlineStr">
        <is>
          <t>Current property value</t>
        </is>
      </c>
      <c r="C4" s="30" t="inlineStr">
        <is>
          <t>Original property valuation</t>
        </is>
      </c>
      <c r="D4" s="30" t="inlineStr">
        <is>
          <t>Current loan balance</t>
        </is>
      </c>
      <c r="E4" s="30" t="inlineStr">
        <is>
          <t>Original loan amount</t>
        </is>
      </c>
      <c r="F4" s="30" t="inlineStr">
        <is>
          <t>Credit score (e.g., Equifax)</t>
        </is>
      </c>
      <c r="G4" s="30" t="inlineStr">
        <is>
          <t>Loan origination date</t>
        </is>
      </c>
      <c r="H4" s="30" t="inlineStr">
        <is>
          <t>Loan maturity date</t>
        </is>
      </c>
      <c r="I4" s="30" t="inlineStr">
        <is>
          <t>Current interest rate</t>
        </is>
      </c>
      <c r="J4" s="30" t="inlineStr">
        <is>
          <t>Repayment/Interest Only/BTL</t>
        </is>
      </c>
      <c r="K4" s="30" t="inlineStr">
        <is>
          <t>Owner Occupied/BTL/Second Home</t>
        </is>
      </c>
      <c r="L4" s="30" t="inlineStr">
        <is>
          <t>House/Flat/Bungalow/Maisonette</t>
        </is>
      </c>
      <c r="M4" s="30" t="inlineStr">
        <is>
          <t>UK region</t>
        </is>
      </c>
      <c r="N4" s="30" t="inlineStr">
        <is>
          <t>Property postcode</t>
        </is>
      </c>
      <c r="O4" s="30" t="inlineStr">
        <is>
          <t>Annual income (£)</t>
        </is>
      </c>
      <c r="P4" s="30" t="inlineStr">
        <is>
          <t>Annual rental income (BTL)</t>
        </is>
      </c>
      <c r="Q4" s="30" t="inlineStr">
        <is>
          <t>Current arrears balance</t>
        </is>
      </c>
      <c r="R4" s="30" t="inlineStr">
        <is>
          <t>Employed/Self-Employed</t>
        </is>
      </c>
      <c r="S4" s="30" t="inlineStr">
        <is>
          <t>Number of borrowers (1/2)</t>
        </is>
      </c>
      <c r="T4" s="30" t="inlineStr">
        <is>
          <t>Yes/No</t>
        </is>
      </c>
      <c r="U4" s="30" t="inlineStr">
        <is>
          <t>First/Second/Third+</t>
        </is>
      </c>
      <c r="V4" s="30" t="inlineStr">
        <is>
          <t>Purchase/Remortgage/Cash-out</t>
        </is>
      </c>
      <c r="W4" s="30" t="inlineStr">
        <is>
          <t>Full/AVM/Drive-by</t>
        </is>
      </c>
      <c r="X4" s="30" t="inlineStr">
        <is>
          <t>Number of CCJs</t>
        </is>
      </c>
      <c r="Y4" s="30" t="inlineStr">
        <is>
          <t>Date of most recent CCJ</t>
        </is>
      </c>
      <c r="Z4" s="30" t="inlineStr">
        <is>
          <t>Total value of CCJs (£)</t>
        </is>
      </c>
      <c r="AA4" s="30" t="inlineStr">
        <is>
          <t>Yes/No</t>
        </is>
      </c>
      <c r="AB4" s="30" t="inlineStr">
        <is>
          <t>Date of bankruptcy</t>
        </is>
      </c>
      <c r="AC4" s="30" t="inlineStr">
        <is>
          <t>Yes/No</t>
        </is>
      </c>
      <c r="AD4" s="30" t="inlineStr">
        <is>
          <t>Yes/No</t>
        </is>
      </c>
      <c r="AE4" s="30" t="inlineStr">
        <is>
          <t>Yes/No</t>
        </is>
      </c>
      <c r="AF4" s="30" t="inlineStr">
        <is>
          <t>Yes/No (discount/fixed-float)</t>
        </is>
      </c>
      <c r="AG4" s="30" t="inlineStr">
        <is>
          <t>Yes/No</t>
        </is>
      </c>
      <c r="AH4" s="30" t="inlineStr">
        <is>
          <t>Yes/No</t>
        </is>
      </c>
      <c r="AI4" s="30" t="inlineStr">
        <is>
          <t>Date last 90+ days past due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28" t="inlineStr">
        <is>
          <t>FORECLOSURE FREQUENCY CALCULATIONS</t>
        </is>
      </c>
    </row>
    <row r="2">
      <c r="A2" s="31" t="inlineStr">
        <is>
          <t>S&amp;P Global Ratings - UK RMBS Methodology - All formulas are dynamic</t>
        </is>
      </c>
    </row>
    <row r="3">
      <c r="A3" s="29" t="inlineStr">
        <is>
          <t>Loan ID</t>
        </is>
      </c>
      <c r="B3" s="29" t="inlineStr">
        <is>
          <t>Current Balance</t>
        </is>
      </c>
      <c r="C3" s="29" t="inlineStr">
        <is>
          <t>FICO Score</t>
        </is>
      </c>
      <c r="D3" s="29" t="inlineStr">
        <is>
          <t>OLTV (%)</t>
        </is>
      </c>
      <c r="E3" s="29" t="inlineStr">
        <is>
          <t>CLTV (%)</t>
        </is>
      </c>
      <c r="F3" s="29" t="inlineStr">
        <is>
          <t>S&amp;P LTV (%)</t>
        </is>
      </c>
      <c r="G3" s="29" t="inlineStr">
        <is>
          <t>Base FF (%)</t>
        </is>
      </c>
      <c r="H3" s="29" t="inlineStr">
        <is>
          <t>LTV Mult</t>
        </is>
      </c>
      <c r="I3" s="29" t="inlineStr">
        <is>
          <t>Originator Adj</t>
        </is>
      </c>
      <c r="J3" s="29" t="inlineStr">
        <is>
          <t>Income Mult Adj</t>
        </is>
      </c>
      <c r="K3" s="29" t="inlineStr">
        <is>
          <t>BTL/DSCR Adj</t>
        </is>
      </c>
      <c r="L3" s="29" t="inlineStr">
        <is>
          <t>Lien Position Adj</t>
        </is>
      </c>
      <c r="M3" s="29" t="inlineStr">
        <is>
          <t>Loan Purpose Adj</t>
        </is>
      </c>
      <c r="N3" s="29" t="inlineStr">
        <is>
          <t>Arrears Adj</t>
        </is>
      </c>
      <c r="O3" s="29" t="inlineStr">
        <is>
          <t>Seasoning Adj</t>
        </is>
      </c>
      <c r="P3" s="29" t="inlineStr">
        <is>
          <t>First Time Buyer Adj</t>
        </is>
      </c>
      <c r="Q3" s="29" t="inlineStr">
        <is>
          <t>Help to Buy Adj</t>
        </is>
      </c>
      <c r="R3" s="29" t="inlineStr">
        <is>
          <t>Self-Cert Adj</t>
        </is>
      </c>
      <c r="S3" s="29" t="inlineStr">
        <is>
          <t>Payment Shock Adj</t>
        </is>
      </c>
      <c r="T3" s="29" t="inlineStr">
        <is>
          <t>Interest Only Adj</t>
        </is>
      </c>
      <c r="U3" s="29" t="inlineStr">
        <is>
          <t>Geographic Adj</t>
        </is>
      </c>
      <c r="V3" s="29" t="inlineStr">
        <is>
          <t>Commercial Adj</t>
        </is>
      </c>
      <c r="W3" s="29" t="inlineStr">
        <is>
          <t>Self-Employed Adj</t>
        </is>
      </c>
      <c r="X3" s="29" t="inlineStr">
        <is>
          <t>CCJ Adj</t>
        </is>
      </c>
      <c r="Y3" s="29" t="inlineStr">
        <is>
          <t>Reperforming Adj</t>
        </is>
      </c>
      <c r="Z3" s="29" t="inlineStr">
        <is>
          <t>Adjusted FF (%)</t>
        </is>
      </c>
    </row>
    <row r="4">
      <c r="A4" s="32">
        <f>'Loan Tape'!A5</f>
        <v/>
      </c>
      <c r="B4" s="33">
        <f>'Loan Tape'!D5</f>
        <v/>
      </c>
      <c r="C4" s="34">
        <f>'Loan Tape'!F5</f>
        <v/>
      </c>
      <c r="D4" s="35">
        <f>IFERROR('Loan Tape'!E5/'Loan Tape'!C5,0)</f>
        <v/>
      </c>
      <c r="E4" s="35">
        <f>IFERROR(
        'Loan Tape'!D5/
        ('Loan Tape'!B5*
        (1-IF(AND('Control Panel'!$B$15="YES",'Loan Tape'!W5&lt;&gt;"Full"),0.05,0))),
    0)</f>
        <v/>
      </c>
      <c r="F4" s="35">
        <f>'Control Panel'!$B$13*D4+'Control Panel'!$B$14*E4</f>
        <v/>
      </c>
      <c r="G4" s="36">
        <f>'Parameter Tables'!$B$5</f>
        <v/>
      </c>
      <c r="H4" s="37">
        <f>IFERROR(
        IF(F4&lt;=0.70,
            0.1+F4*1.2857,
            IF(F4&lt;=1.00,
                1+F4*2.5,
                IF(F4&lt;=1.50,
                    MIN(3.5+F4*1.5,5),
                    5
                )
            )
        ),
    1)</f>
        <v/>
      </c>
      <c r="I4" s="38">
        <f>1.00</f>
        <v/>
      </c>
      <c r="J4" s="37">
        <f>IFERROR(
        LET(
            income_mult,'Loan Tape'!D5/'Loan Tape'!O5,
            num_borr,'Loan Tape'!S5,
            seasoning,(DATE('Control Panel'!$B$10,1,1)-'Loan Tape'!G5)/365.25,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" s="37">
        <f>IFERROR(
        IF('Loan Tape'!K5="BTL",
            LET(
                rental,'Loan Tape'!P5,
                int_cost,'Loan Tape'!D5*0.055,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" s="37">
        <f>IFERROR(
        IF('Loan Tape'!U5="Second",1.5,
            IF('Loan Tape'!U5="Third+",1.7,1)
        ),
    1)</f>
        <v/>
      </c>
      <c r="M4" s="37">
        <f>IFERROR(
        IF(AND('Loan Tape'!V5="Cash-out",'Loan Tape'!U5="First"),1.2,1),
    1)</f>
        <v/>
      </c>
      <c r="N4" s="37">
        <f>IFERROR(
        LET(
            arrears,'Loan Tape'!Q5,
            monthly_pmt,'Loan Tape'!D5*'Loan Tape'!I5/12,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" s="37">
        <f>IFERROR(
        IF('Loan Tape'!Q5=0,
            LET(
                seasoning,(DATE('Control Panel'!$B$10,1,1)-'Loan Tape'!G5)/365.25,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" s="37">
        <f>IFERROR(
        IF(AND('Loan Tape'!T5="Yes",
            (DATE('Control Panel'!$B$10,1,1)-'Loan Tape'!G5)/365.25&lt;=1.5),
            1.10,1),
    1)</f>
        <v/>
      </c>
      <c r="Q4" s="37">
        <f>IFERROR(IF('Loan Tape'!AE5="Yes",1.35,1),1)</f>
        <v/>
      </c>
      <c r="R4" s="37">
        <f>IFERROR(
        IF('Loan Tape'!AD5="Yes",
            LET(
                seasoning,(DATE('Control Panel'!$B$10,1,1)-'Loan Tape'!G5)/365.25*12,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" s="37">
        <f>IFERROR(IF('Loan Tape'!AF5="Yes",1.10,1),1)</f>
        <v/>
      </c>
      <c r="T4" s="37">
        <f>IFERROR(
        IF('Loan Tape'!J5="Interest Only",
            LET(
                yrs_to_mat,('Loan Tape'!H5-DATE('Control Panel'!$B$10,1,1))/365.25,
                is_btl,'Loan Tape'!K5="BTL",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" s="37">
        <f>1.00</f>
        <v/>
      </c>
      <c r="V4" s="37">
        <f>IFERROR(IF('Loan Tape'!AG5="Yes",1.85,1),1)</f>
        <v/>
      </c>
      <c r="W4" s="37">
        <f>IFERROR(IF('Loan Tape'!R5="Self-Employed",1.15,1),1)</f>
        <v/>
      </c>
      <c r="X4" s="37">
        <f>IFERROR(
        LET(
            ccj_count,'Loan Tape'!X5,
            ccj_date,'Loan Tape'!Y5,
            ccj_value,'Loan Tape'!Z5,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" s="37">
        <f>IFERROR(
        IF('Loan Tape'!AH5="Yes",
            LET(
                months_since,(DATE('Control Panel'!$B$10,1,1)-'Loan Tape'!AI5)/30.44,
                IF(months_since&lt;=12,2.0,
                    IF(months_since&lt;=24,1.5,
                        IF(months_since&lt;=36,1.2,1)
                    )
                )
            ),
        1),
    1)</f>
        <v/>
      </c>
      <c r="Z4" s="39">
        <f>IFERROR(
        IF(N4&gt;=100,1,
            G4*H4*I4*J4*K4*L4*M4*N4*O4*P4*Q4*R4*S4*T4*U4*V4*W4*X4*Y4
        ),
    0)</f>
        <v/>
      </c>
    </row>
    <row r="5">
      <c r="A5" s="32">
        <f>'Loan Tape'!A6</f>
        <v/>
      </c>
      <c r="B5" s="33">
        <f>'Loan Tape'!D6</f>
        <v/>
      </c>
      <c r="C5" s="34">
        <f>'Loan Tape'!F6</f>
        <v/>
      </c>
      <c r="D5" s="35">
        <f>IFERROR('Loan Tape'!E6/'Loan Tape'!C6,0)</f>
        <v/>
      </c>
      <c r="E5" s="35">
        <f>IFERROR(
        'Loan Tape'!D6/
        ('Loan Tape'!B6*
        (1-IF(AND('Control Panel'!$B$15="YES",'Loan Tape'!W6&lt;&gt;"Full"),0.05,0))),
    0)</f>
        <v/>
      </c>
      <c r="F5" s="35">
        <f>'Control Panel'!$B$13*D5+'Control Panel'!$B$14*E5</f>
        <v/>
      </c>
      <c r="G5" s="36">
        <f>'Parameter Tables'!$B$5</f>
        <v/>
      </c>
      <c r="H5" s="37">
        <f>IFERROR(
        IF(F5&lt;=0.70,
            0.1+F5*1.2857,
            IF(F5&lt;=1.00,
                1+F5*2.5,
                IF(F5&lt;=1.50,
                    MIN(3.5+F5*1.5,5),
                    5
                )
            )
        ),
    1)</f>
        <v/>
      </c>
      <c r="I5" s="38">
        <f>1.00</f>
        <v/>
      </c>
      <c r="J5" s="37">
        <f>IFERROR(
        LET(
            income_mult,'Loan Tape'!D6/'Loan Tape'!O6,
            num_borr,'Loan Tape'!S6,
            seasoning,(DATE('Control Panel'!$B$10,1,1)-'Loan Tape'!G6)/365.25,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" s="37">
        <f>IFERROR(
        IF('Loan Tape'!K6="BTL",
            LET(
                rental,'Loan Tape'!P6,
                int_cost,'Loan Tape'!D6*0.055,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" s="37">
        <f>IFERROR(
        IF('Loan Tape'!U6="Second",1.5,
            IF('Loan Tape'!U6="Third+",1.7,1)
        ),
    1)</f>
        <v/>
      </c>
      <c r="M5" s="37">
        <f>IFERROR(
        IF(AND('Loan Tape'!V6="Cash-out",'Loan Tape'!U6="First"),1.2,1),
    1)</f>
        <v/>
      </c>
      <c r="N5" s="37">
        <f>IFERROR(
        LET(
            arrears,'Loan Tape'!Q6,
            monthly_pmt,'Loan Tape'!D6*'Loan Tape'!I6/12,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" s="37">
        <f>IFERROR(
        IF('Loan Tape'!Q6=0,
            LET(
                seasoning,(DATE('Control Panel'!$B$10,1,1)-'Loan Tape'!G6)/365.25,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" s="37">
        <f>IFERROR(
        IF(AND('Loan Tape'!T6="Yes",
            (DATE('Control Panel'!$B$10,1,1)-'Loan Tape'!G6)/365.25&lt;=1.5),
            1.10,1),
    1)</f>
        <v/>
      </c>
      <c r="Q5" s="37">
        <f>IFERROR(IF('Loan Tape'!AE6="Yes",1.35,1),1)</f>
        <v/>
      </c>
      <c r="R5" s="37">
        <f>IFERROR(
        IF('Loan Tape'!AD6="Yes",
            LET(
                seasoning,(DATE('Control Panel'!$B$10,1,1)-'Loan Tape'!G6)/365.25*12,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" s="37">
        <f>IFERROR(IF('Loan Tape'!AF6="Yes",1.10,1),1)</f>
        <v/>
      </c>
      <c r="T5" s="37">
        <f>IFERROR(
        IF('Loan Tape'!J6="Interest Only",
            LET(
                yrs_to_mat,('Loan Tape'!H6-DATE('Control Panel'!$B$10,1,1))/365.25,
                is_btl,'Loan Tape'!K6="BTL",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" s="37">
        <f>1.00</f>
        <v/>
      </c>
      <c r="V5" s="37">
        <f>IFERROR(IF('Loan Tape'!AG6="Yes",1.85,1),1)</f>
        <v/>
      </c>
      <c r="W5" s="37">
        <f>IFERROR(IF('Loan Tape'!R6="Self-Employed",1.15,1),1)</f>
        <v/>
      </c>
      <c r="X5" s="37">
        <f>IFERROR(
        LET(
            ccj_count,'Loan Tape'!X6,
            ccj_date,'Loan Tape'!Y6,
            ccj_value,'Loan Tape'!Z6,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" s="37">
        <f>IFERROR(
        IF('Loan Tape'!AH6="Yes",
            LET(
                months_since,(DATE('Control Panel'!$B$10,1,1)-'Loan Tape'!AI6)/30.44,
                IF(months_since&lt;=12,2.0,
                    IF(months_since&lt;=24,1.5,
                        IF(months_since&lt;=36,1.2,1)
                    )
                )
            ),
        1),
    1)</f>
        <v/>
      </c>
      <c r="Z5" s="39">
        <f>IFERROR(
        IF(N5&gt;=100,1,
            G5*H5*I5*J5*K5*L5*M5*N5*O5*P5*Q5*R5*S5*T5*U5*V5*W5*X5*Y5
        ),
    0)</f>
        <v/>
      </c>
    </row>
    <row r="6">
      <c r="A6" s="32">
        <f>'Loan Tape'!A7</f>
        <v/>
      </c>
      <c r="B6" s="33">
        <f>'Loan Tape'!D7</f>
        <v/>
      </c>
      <c r="C6" s="34">
        <f>'Loan Tape'!F7</f>
        <v/>
      </c>
      <c r="D6" s="35">
        <f>IFERROR('Loan Tape'!E7/'Loan Tape'!C7,0)</f>
        <v/>
      </c>
      <c r="E6" s="35">
        <f>IFERROR(
        'Loan Tape'!D7/
        ('Loan Tape'!B7*
        (1-IF(AND('Control Panel'!$B$15="YES",'Loan Tape'!W7&lt;&gt;"Full"),0.05,0))),
    0)</f>
        <v/>
      </c>
      <c r="F6" s="35">
        <f>'Control Panel'!$B$13*D6+'Control Panel'!$B$14*E6</f>
        <v/>
      </c>
      <c r="G6" s="36">
        <f>'Parameter Tables'!$B$5</f>
        <v/>
      </c>
      <c r="H6" s="37">
        <f>IFERROR(
        IF(F6&lt;=0.70,
            0.1+F6*1.2857,
            IF(F6&lt;=1.00,
                1+F6*2.5,
                IF(F6&lt;=1.50,
                    MIN(3.5+F6*1.5,5),
                    5
                )
            )
        ),
    1)</f>
        <v/>
      </c>
      <c r="I6" s="38">
        <f>1.00</f>
        <v/>
      </c>
      <c r="J6" s="37">
        <f>IFERROR(
        LET(
            income_mult,'Loan Tape'!D7/'Loan Tape'!O7,
            num_borr,'Loan Tape'!S7,
            seasoning,(DATE('Control Panel'!$B$10,1,1)-'Loan Tape'!G7)/365.25,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" s="37">
        <f>IFERROR(
        IF('Loan Tape'!K7="BTL",
            LET(
                rental,'Loan Tape'!P7,
                int_cost,'Loan Tape'!D7*0.055,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" s="37">
        <f>IFERROR(
        IF('Loan Tape'!U7="Second",1.5,
            IF('Loan Tape'!U7="Third+",1.7,1)
        ),
    1)</f>
        <v/>
      </c>
      <c r="M6" s="37">
        <f>IFERROR(
        IF(AND('Loan Tape'!V7="Cash-out",'Loan Tape'!U7="First"),1.2,1),
    1)</f>
        <v/>
      </c>
      <c r="N6" s="37">
        <f>IFERROR(
        LET(
            arrears,'Loan Tape'!Q7,
            monthly_pmt,'Loan Tape'!D7*'Loan Tape'!I7/12,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" s="37">
        <f>IFERROR(
        IF('Loan Tape'!Q7=0,
            LET(
                seasoning,(DATE('Control Panel'!$B$10,1,1)-'Loan Tape'!G7)/365.25,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" s="37">
        <f>IFERROR(
        IF(AND('Loan Tape'!T7="Yes",
            (DATE('Control Panel'!$B$10,1,1)-'Loan Tape'!G7)/365.25&lt;=1.5),
            1.10,1),
    1)</f>
        <v/>
      </c>
      <c r="Q6" s="37">
        <f>IFERROR(IF('Loan Tape'!AE7="Yes",1.35,1),1)</f>
        <v/>
      </c>
      <c r="R6" s="37">
        <f>IFERROR(
        IF('Loan Tape'!AD7="Yes",
            LET(
                seasoning,(DATE('Control Panel'!$B$10,1,1)-'Loan Tape'!G7)/365.25*12,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" s="37">
        <f>IFERROR(IF('Loan Tape'!AF7="Yes",1.10,1),1)</f>
        <v/>
      </c>
      <c r="T6" s="37">
        <f>IFERROR(
        IF('Loan Tape'!J7="Interest Only",
            LET(
                yrs_to_mat,('Loan Tape'!H7-DATE('Control Panel'!$B$10,1,1))/365.25,
                is_btl,'Loan Tape'!K7="BTL",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" s="37">
        <f>1.00</f>
        <v/>
      </c>
      <c r="V6" s="37">
        <f>IFERROR(IF('Loan Tape'!AG7="Yes",1.85,1),1)</f>
        <v/>
      </c>
      <c r="W6" s="37">
        <f>IFERROR(IF('Loan Tape'!R7="Self-Employed",1.15,1),1)</f>
        <v/>
      </c>
      <c r="X6" s="37">
        <f>IFERROR(
        LET(
            ccj_count,'Loan Tape'!X7,
            ccj_date,'Loan Tape'!Y7,
            ccj_value,'Loan Tape'!Z7,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" s="37">
        <f>IFERROR(
        IF('Loan Tape'!AH7="Yes",
            LET(
                months_since,(DATE('Control Panel'!$B$10,1,1)-'Loan Tape'!AI7)/30.44,
                IF(months_since&lt;=12,2.0,
                    IF(months_since&lt;=24,1.5,
                        IF(months_since&lt;=36,1.2,1)
                    )
                )
            ),
        1),
    1)</f>
        <v/>
      </c>
      <c r="Z6" s="39">
        <f>IFERROR(
        IF(N6&gt;=100,1,
            G6*H6*I6*J6*K6*L6*M6*N6*O6*P6*Q6*R6*S6*T6*U6*V6*W6*X6*Y6
        ),
    0)</f>
        <v/>
      </c>
    </row>
    <row r="7">
      <c r="A7" s="32">
        <f>'Loan Tape'!A8</f>
        <v/>
      </c>
      <c r="B7" s="33">
        <f>'Loan Tape'!D8</f>
        <v/>
      </c>
      <c r="C7" s="34">
        <f>'Loan Tape'!F8</f>
        <v/>
      </c>
      <c r="D7" s="35">
        <f>IFERROR('Loan Tape'!E8/'Loan Tape'!C8,0)</f>
        <v/>
      </c>
      <c r="E7" s="35">
        <f>IFERROR(
        'Loan Tape'!D8/
        ('Loan Tape'!B8*
        (1-IF(AND('Control Panel'!$B$15="YES",'Loan Tape'!W8&lt;&gt;"Full"),0.05,0))),
    0)</f>
        <v/>
      </c>
      <c r="F7" s="35">
        <f>'Control Panel'!$B$13*D7+'Control Panel'!$B$14*E7</f>
        <v/>
      </c>
      <c r="G7" s="36">
        <f>'Parameter Tables'!$B$5</f>
        <v/>
      </c>
      <c r="H7" s="37">
        <f>IFERROR(
        IF(F7&lt;=0.70,
            0.1+F7*1.2857,
            IF(F7&lt;=1.00,
                1+F7*2.5,
                IF(F7&lt;=1.50,
                    MIN(3.5+F7*1.5,5),
                    5
                )
            )
        ),
    1)</f>
        <v/>
      </c>
      <c r="I7" s="38">
        <f>1.00</f>
        <v/>
      </c>
      <c r="J7" s="37">
        <f>IFERROR(
        LET(
            income_mult,'Loan Tape'!D8/'Loan Tape'!O8,
            num_borr,'Loan Tape'!S8,
            seasoning,(DATE('Control Panel'!$B$10,1,1)-'Loan Tape'!G8)/365.25,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" s="37">
        <f>IFERROR(
        IF('Loan Tape'!K8="BTL",
            LET(
                rental,'Loan Tape'!P8,
                int_cost,'Loan Tape'!D8*0.055,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" s="37">
        <f>IFERROR(
        IF('Loan Tape'!U8="Second",1.5,
            IF('Loan Tape'!U8="Third+",1.7,1)
        ),
    1)</f>
        <v/>
      </c>
      <c r="M7" s="37">
        <f>IFERROR(
        IF(AND('Loan Tape'!V8="Cash-out",'Loan Tape'!U8="First"),1.2,1),
    1)</f>
        <v/>
      </c>
      <c r="N7" s="37">
        <f>IFERROR(
        LET(
            arrears,'Loan Tape'!Q8,
            monthly_pmt,'Loan Tape'!D8*'Loan Tape'!I8/12,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" s="37">
        <f>IFERROR(
        IF('Loan Tape'!Q8=0,
            LET(
                seasoning,(DATE('Control Panel'!$B$10,1,1)-'Loan Tape'!G8)/365.25,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" s="37">
        <f>IFERROR(
        IF(AND('Loan Tape'!T8="Yes",
            (DATE('Control Panel'!$B$10,1,1)-'Loan Tape'!G8)/365.25&lt;=1.5),
            1.10,1),
    1)</f>
        <v/>
      </c>
      <c r="Q7" s="37">
        <f>IFERROR(IF('Loan Tape'!AE8="Yes",1.35,1),1)</f>
        <v/>
      </c>
      <c r="R7" s="37">
        <f>IFERROR(
        IF('Loan Tape'!AD8="Yes",
            LET(
                seasoning,(DATE('Control Panel'!$B$10,1,1)-'Loan Tape'!G8)/365.25*12,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" s="37">
        <f>IFERROR(IF('Loan Tape'!AF8="Yes",1.10,1),1)</f>
        <v/>
      </c>
      <c r="T7" s="37">
        <f>IFERROR(
        IF('Loan Tape'!J8="Interest Only",
            LET(
                yrs_to_mat,('Loan Tape'!H8-DATE('Control Panel'!$B$10,1,1))/365.25,
                is_btl,'Loan Tape'!K8="BTL",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" s="37">
        <f>1.00</f>
        <v/>
      </c>
      <c r="V7" s="37">
        <f>IFERROR(IF('Loan Tape'!AG8="Yes",1.85,1),1)</f>
        <v/>
      </c>
      <c r="W7" s="37">
        <f>IFERROR(IF('Loan Tape'!R8="Self-Employed",1.15,1),1)</f>
        <v/>
      </c>
      <c r="X7" s="37">
        <f>IFERROR(
        LET(
            ccj_count,'Loan Tape'!X8,
            ccj_date,'Loan Tape'!Y8,
            ccj_value,'Loan Tape'!Z8,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" s="37">
        <f>IFERROR(
        IF('Loan Tape'!AH8="Yes",
            LET(
                months_since,(DATE('Control Panel'!$B$10,1,1)-'Loan Tape'!AI8)/30.44,
                IF(months_since&lt;=12,2.0,
                    IF(months_since&lt;=24,1.5,
                        IF(months_since&lt;=36,1.2,1)
                    )
                )
            ),
        1),
    1)</f>
        <v/>
      </c>
      <c r="Z7" s="39">
        <f>IFERROR(
        IF(N7&gt;=100,1,
            G7*H7*I7*J7*K7*L7*M7*N7*O7*P7*Q7*R7*S7*T7*U7*V7*W7*X7*Y7
        ),
    0)</f>
        <v/>
      </c>
    </row>
    <row r="8">
      <c r="A8" s="32">
        <f>'Loan Tape'!A9</f>
        <v/>
      </c>
      <c r="B8" s="33">
        <f>'Loan Tape'!D9</f>
        <v/>
      </c>
      <c r="C8" s="34">
        <f>'Loan Tape'!F9</f>
        <v/>
      </c>
      <c r="D8" s="35">
        <f>IFERROR('Loan Tape'!E9/'Loan Tape'!C9,0)</f>
        <v/>
      </c>
      <c r="E8" s="35">
        <f>IFERROR(
        'Loan Tape'!D9/
        ('Loan Tape'!B9*
        (1-IF(AND('Control Panel'!$B$15="YES",'Loan Tape'!W9&lt;&gt;"Full"),0.05,0))),
    0)</f>
        <v/>
      </c>
      <c r="F8" s="35">
        <f>'Control Panel'!$B$13*D8+'Control Panel'!$B$14*E8</f>
        <v/>
      </c>
      <c r="G8" s="36">
        <f>'Parameter Tables'!$B$5</f>
        <v/>
      </c>
      <c r="H8" s="37">
        <f>IFERROR(
        IF(F8&lt;=0.70,
            0.1+F8*1.2857,
            IF(F8&lt;=1.00,
                1+F8*2.5,
                IF(F8&lt;=1.50,
                    MIN(3.5+F8*1.5,5),
                    5
                )
            )
        ),
    1)</f>
        <v/>
      </c>
      <c r="I8" s="38">
        <f>1.00</f>
        <v/>
      </c>
      <c r="J8" s="37">
        <f>IFERROR(
        LET(
            income_mult,'Loan Tape'!D9/'Loan Tape'!O9,
            num_borr,'Loan Tape'!S9,
            seasoning,(DATE('Control Panel'!$B$10,1,1)-'Loan Tape'!G9)/365.25,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" s="37">
        <f>IFERROR(
        IF('Loan Tape'!K9="BTL",
            LET(
                rental,'Loan Tape'!P9,
                int_cost,'Loan Tape'!D9*0.055,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" s="37">
        <f>IFERROR(
        IF('Loan Tape'!U9="Second",1.5,
            IF('Loan Tape'!U9="Third+",1.7,1)
        ),
    1)</f>
        <v/>
      </c>
      <c r="M8" s="37">
        <f>IFERROR(
        IF(AND('Loan Tape'!V9="Cash-out",'Loan Tape'!U9="First"),1.2,1),
    1)</f>
        <v/>
      </c>
      <c r="N8" s="37">
        <f>IFERROR(
        LET(
            arrears,'Loan Tape'!Q9,
            monthly_pmt,'Loan Tape'!D9*'Loan Tape'!I9/12,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" s="37">
        <f>IFERROR(
        IF('Loan Tape'!Q9=0,
            LET(
                seasoning,(DATE('Control Panel'!$B$10,1,1)-'Loan Tape'!G9)/365.25,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" s="37">
        <f>IFERROR(
        IF(AND('Loan Tape'!T9="Yes",
            (DATE('Control Panel'!$B$10,1,1)-'Loan Tape'!G9)/365.25&lt;=1.5),
            1.10,1),
    1)</f>
        <v/>
      </c>
      <c r="Q8" s="37">
        <f>IFERROR(IF('Loan Tape'!AE9="Yes",1.35,1),1)</f>
        <v/>
      </c>
      <c r="R8" s="37">
        <f>IFERROR(
        IF('Loan Tape'!AD9="Yes",
            LET(
                seasoning,(DATE('Control Panel'!$B$10,1,1)-'Loan Tape'!G9)/365.25*12,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" s="37">
        <f>IFERROR(IF('Loan Tape'!AF9="Yes",1.10,1),1)</f>
        <v/>
      </c>
      <c r="T8" s="37">
        <f>IFERROR(
        IF('Loan Tape'!J9="Interest Only",
            LET(
                yrs_to_mat,('Loan Tape'!H9-DATE('Control Panel'!$B$10,1,1))/365.25,
                is_btl,'Loan Tape'!K9="BTL",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" s="37">
        <f>1.00</f>
        <v/>
      </c>
      <c r="V8" s="37">
        <f>IFERROR(IF('Loan Tape'!AG9="Yes",1.85,1),1)</f>
        <v/>
      </c>
      <c r="W8" s="37">
        <f>IFERROR(IF('Loan Tape'!R9="Self-Employed",1.15,1),1)</f>
        <v/>
      </c>
      <c r="X8" s="37">
        <f>IFERROR(
        LET(
            ccj_count,'Loan Tape'!X9,
            ccj_date,'Loan Tape'!Y9,
            ccj_value,'Loan Tape'!Z9,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" s="37">
        <f>IFERROR(
        IF('Loan Tape'!AH9="Yes",
            LET(
                months_since,(DATE('Control Panel'!$B$10,1,1)-'Loan Tape'!AI9)/30.44,
                IF(months_since&lt;=12,2.0,
                    IF(months_since&lt;=24,1.5,
                        IF(months_since&lt;=36,1.2,1)
                    )
                )
            ),
        1),
    1)</f>
        <v/>
      </c>
      <c r="Z8" s="39">
        <f>IFERROR(
        IF(N8&gt;=100,1,
            G8*H8*I8*J8*K8*L8*M8*N8*O8*P8*Q8*R8*S8*T8*U8*V8*W8*X8*Y8
        ),
    0)</f>
        <v/>
      </c>
    </row>
    <row r="9">
      <c r="A9" s="32">
        <f>'Loan Tape'!A10</f>
        <v/>
      </c>
      <c r="B9" s="33">
        <f>'Loan Tape'!D10</f>
        <v/>
      </c>
      <c r="C9" s="34">
        <f>'Loan Tape'!F10</f>
        <v/>
      </c>
      <c r="D9" s="35">
        <f>IFERROR('Loan Tape'!E10/'Loan Tape'!C10,0)</f>
        <v/>
      </c>
      <c r="E9" s="35">
        <f>IFERROR(
        'Loan Tape'!D10/
        ('Loan Tape'!B10*
        (1-IF(AND('Control Panel'!$B$15="YES",'Loan Tape'!W10&lt;&gt;"Full"),0.05,0))),
    0)</f>
        <v/>
      </c>
      <c r="F9" s="35">
        <f>'Control Panel'!$B$13*D9+'Control Panel'!$B$14*E9</f>
        <v/>
      </c>
      <c r="G9" s="36">
        <f>'Parameter Tables'!$B$5</f>
        <v/>
      </c>
      <c r="H9" s="37">
        <f>IFERROR(
        IF(F9&lt;=0.70,
            0.1+F9*1.2857,
            IF(F9&lt;=1.00,
                1+F9*2.5,
                IF(F9&lt;=1.50,
                    MIN(3.5+F9*1.5,5),
                    5
                )
            )
        ),
    1)</f>
        <v/>
      </c>
      <c r="I9" s="38">
        <f>1.00</f>
        <v/>
      </c>
      <c r="J9" s="37">
        <f>IFERROR(
        LET(
            income_mult,'Loan Tape'!D10/'Loan Tape'!O10,
            num_borr,'Loan Tape'!S10,
            seasoning,(DATE('Control Panel'!$B$10,1,1)-'Loan Tape'!G10)/365.25,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" s="37">
        <f>IFERROR(
        IF('Loan Tape'!K10="BTL",
            LET(
                rental,'Loan Tape'!P10,
                int_cost,'Loan Tape'!D10*0.055,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" s="37">
        <f>IFERROR(
        IF('Loan Tape'!U10="Second",1.5,
            IF('Loan Tape'!U10="Third+",1.7,1)
        ),
    1)</f>
        <v/>
      </c>
      <c r="M9" s="37">
        <f>IFERROR(
        IF(AND('Loan Tape'!V10="Cash-out",'Loan Tape'!U10="First"),1.2,1),
    1)</f>
        <v/>
      </c>
      <c r="N9" s="37">
        <f>IFERROR(
        LET(
            arrears,'Loan Tape'!Q10,
            monthly_pmt,'Loan Tape'!D10*'Loan Tape'!I10/12,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" s="37">
        <f>IFERROR(
        IF('Loan Tape'!Q10=0,
            LET(
                seasoning,(DATE('Control Panel'!$B$10,1,1)-'Loan Tape'!G10)/365.25,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" s="37">
        <f>IFERROR(
        IF(AND('Loan Tape'!T10="Yes",
            (DATE('Control Panel'!$B$10,1,1)-'Loan Tape'!G10)/365.25&lt;=1.5),
            1.10,1),
    1)</f>
        <v/>
      </c>
      <c r="Q9" s="37">
        <f>IFERROR(IF('Loan Tape'!AE10="Yes",1.35,1),1)</f>
        <v/>
      </c>
      <c r="R9" s="37">
        <f>IFERROR(
        IF('Loan Tape'!AD10="Yes",
            LET(
                seasoning,(DATE('Control Panel'!$B$10,1,1)-'Loan Tape'!G10)/365.25*12,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" s="37">
        <f>IFERROR(IF('Loan Tape'!AF10="Yes",1.10,1),1)</f>
        <v/>
      </c>
      <c r="T9" s="37">
        <f>IFERROR(
        IF('Loan Tape'!J10="Interest Only",
            LET(
                yrs_to_mat,('Loan Tape'!H10-DATE('Control Panel'!$B$10,1,1))/365.25,
                is_btl,'Loan Tape'!K10="BTL",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" s="37">
        <f>1.00</f>
        <v/>
      </c>
      <c r="V9" s="37">
        <f>IFERROR(IF('Loan Tape'!AG10="Yes",1.85,1),1)</f>
        <v/>
      </c>
      <c r="W9" s="37">
        <f>IFERROR(IF('Loan Tape'!R10="Self-Employed",1.15,1),1)</f>
        <v/>
      </c>
      <c r="X9" s="37">
        <f>IFERROR(
        LET(
            ccj_count,'Loan Tape'!X10,
            ccj_date,'Loan Tape'!Y10,
            ccj_value,'Loan Tape'!Z10,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" s="37">
        <f>IFERROR(
        IF('Loan Tape'!AH10="Yes",
            LET(
                months_since,(DATE('Control Panel'!$B$10,1,1)-'Loan Tape'!AI10)/30.44,
                IF(months_since&lt;=12,2.0,
                    IF(months_since&lt;=24,1.5,
                        IF(months_since&lt;=36,1.2,1)
                    )
                )
            ),
        1),
    1)</f>
        <v/>
      </c>
      <c r="Z9" s="39">
        <f>IFERROR(
        IF(N9&gt;=100,1,
            G9*H9*I9*J9*K9*L9*M9*N9*O9*P9*Q9*R9*S9*T9*U9*V9*W9*X9*Y9
        ),
    0)</f>
        <v/>
      </c>
    </row>
    <row r="10">
      <c r="A10" s="32">
        <f>'Loan Tape'!A11</f>
        <v/>
      </c>
      <c r="B10" s="33">
        <f>'Loan Tape'!D11</f>
        <v/>
      </c>
      <c r="C10" s="34">
        <f>'Loan Tape'!F11</f>
        <v/>
      </c>
      <c r="D10" s="35">
        <f>IFERROR('Loan Tape'!E11/'Loan Tape'!C11,0)</f>
        <v/>
      </c>
      <c r="E10" s="35">
        <f>IFERROR(
        'Loan Tape'!D11/
        ('Loan Tape'!B11*
        (1-IF(AND('Control Panel'!$B$15="YES",'Loan Tape'!W11&lt;&gt;"Full"),0.05,0))),
    0)</f>
        <v/>
      </c>
      <c r="F10" s="35">
        <f>'Control Panel'!$B$13*D10+'Control Panel'!$B$14*E10</f>
        <v/>
      </c>
      <c r="G10" s="36">
        <f>'Parameter Tables'!$B$5</f>
        <v/>
      </c>
      <c r="H10" s="37">
        <f>IFERROR(
        IF(F10&lt;=0.70,
            0.1+F10*1.2857,
            IF(F10&lt;=1.00,
                1+F10*2.5,
                IF(F10&lt;=1.50,
                    MIN(3.5+F10*1.5,5),
                    5
                )
            )
        ),
    1)</f>
        <v/>
      </c>
      <c r="I10" s="38">
        <f>1.00</f>
        <v/>
      </c>
      <c r="J10" s="37">
        <f>IFERROR(
        LET(
            income_mult,'Loan Tape'!D11/'Loan Tape'!O11,
            num_borr,'Loan Tape'!S11,
            seasoning,(DATE('Control Panel'!$B$10,1,1)-'Loan Tape'!G11)/365.25,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0" s="37">
        <f>IFERROR(
        IF('Loan Tape'!K11="BTL",
            LET(
                rental,'Loan Tape'!P11,
                int_cost,'Loan Tape'!D11*0.055,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0" s="37">
        <f>IFERROR(
        IF('Loan Tape'!U11="Second",1.5,
            IF('Loan Tape'!U11="Third+",1.7,1)
        ),
    1)</f>
        <v/>
      </c>
      <c r="M10" s="37">
        <f>IFERROR(
        IF(AND('Loan Tape'!V11="Cash-out",'Loan Tape'!U11="First"),1.2,1),
    1)</f>
        <v/>
      </c>
      <c r="N10" s="37">
        <f>IFERROR(
        LET(
            arrears,'Loan Tape'!Q11,
            monthly_pmt,'Loan Tape'!D11*'Loan Tape'!I11/12,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0" s="37">
        <f>IFERROR(
        IF('Loan Tape'!Q11=0,
            LET(
                seasoning,(DATE('Control Panel'!$B$10,1,1)-'Loan Tape'!G11)/365.25,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0" s="37">
        <f>IFERROR(
        IF(AND('Loan Tape'!T11="Yes",
            (DATE('Control Panel'!$B$10,1,1)-'Loan Tape'!G11)/365.25&lt;=1.5),
            1.10,1),
    1)</f>
        <v/>
      </c>
      <c r="Q10" s="37">
        <f>IFERROR(IF('Loan Tape'!AE11="Yes",1.35,1),1)</f>
        <v/>
      </c>
      <c r="R10" s="37">
        <f>IFERROR(
        IF('Loan Tape'!AD11="Yes",
            LET(
                seasoning,(DATE('Control Panel'!$B$10,1,1)-'Loan Tape'!G11)/365.25*12,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0" s="37">
        <f>IFERROR(IF('Loan Tape'!AF11="Yes",1.10,1),1)</f>
        <v/>
      </c>
      <c r="T10" s="37">
        <f>IFERROR(
        IF('Loan Tape'!J11="Interest Only",
            LET(
                yrs_to_mat,('Loan Tape'!H11-DATE('Control Panel'!$B$10,1,1))/365.25,
                is_btl,'Loan Tape'!K11="BTL",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0" s="37">
        <f>1.00</f>
        <v/>
      </c>
      <c r="V10" s="37">
        <f>IFERROR(IF('Loan Tape'!AG11="Yes",1.85,1),1)</f>
        <v/>
      </c>
      <c r="W10" s="37">
        <f>IFERROR(IF('Loan Tape'!R11="Self-Employed",1.15,1),1)</f>
        <v/>
      </c>
      <c r="X10" s="37">
        <f>IFERROR(
        LET(
            ccj_count,'Loan Tape'!X11,
            ccj_date,'Loan Tape'!Y11,
            ccj_value,'Loan Tape'!Z11,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0" s="37">
        <f>IFERROR(
        IF('Loan Tape'!AH11="Yes",
            LET(
                months_since,(DATE('Control Panel'!$B$10,1,1)-'Loan Tape'!AI11)/30.44,
                IF(months_since&lt;=12,2.0,
                    IF(months_since&lt;=24,1.5,
                        IF(months_since&lt;=36,1.2,1)
                    )
                )
            ),
        1),
    1)</f>
        <v/>
      </c>
      <c r="Z10" s="39">
        <f>IFERROR(
        IF(N10&gt;=100,1,
            G10*H10*I10*J10*K10*L10*M10*N10*O10*P10*Q10*R10*S10*T10*U10*V10*W10*X10*Y10
        ),
    0)</f>
        <v/>
      </c>
    </row>
    <row r="11">
      <c r="A11" s="32">
        <f>'Loan Tape'!A12</f>
        <v/>
      </c>
      <c r="B11" s="33">
        <f>'Loan Tape'!D12</f>
        <v/>
      </c>
      <c r="C11" s="34">
        <f>'Loan Tape'!F12</f>
        <v/>
      </c>
      <c r="D11" s="35">
        <f>IFERROR('Loan Tape'!E12/'Loan Tape'!C12,0)</f>
        <v/>
      </c>
      <c r="E11" s="35">
        <f>IFERROR(
        'Loan Tape'!D12/
        ('Loan Tape'!B12*
        (1-IF(AND('Control Panel'!$B$15="YES",'Loan Tape'!W12&lt;&gt;"Full"),0.05,0))),
    0)</f>
        <v/>
      </c>
      <c r="F11" s="35">
        <f>'Control Panel'!$B$13*D11+'Control Panel'!$B$14*E11</f>
        <v/>
      </c>
      <c r="G11" s="36">
        <f>'Parameter Tables'!$B$5</f>
        <v/>
      </c>
      <c r="H11" s="37">
        <f>IFERROR(
        IF(F11&lt;=0.70,
            0.1+F11*1.2857,
            IF(F11&lt;=1.00,
                1+F11*2.5,
                IF(F11&lt;=1.50,
                    MIN(3.5+F11*1.5,5),
                    5
                )
            )
        ),
    1)</f>
        <v/>
      </c>
      <c r="I11" s="38">
        <f>1.00</f>
        <v/>
      </c>
      <c r="J11" s="37">
        <f>IFERROR(
        LET(
            income_mult,'Loan Tape'!D12/'Loan Tape'!O12,
            num_borr,'Loan Tape'!S12,
            seasoning,(DATE('Control Panel'!$B$10,1,1)-'Loan Tape'!G12)/365.25,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1" s="37">
        <f>IFERROR(
        IF('Loan Tape'!K12="BTL",
            LET(
                rental,'Loan Tape'!P12,
                int_cost,'Loan Tape'!D12*0.055,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1" s="37">
        <f>IFERROR(
        IF('Loan Tape'!U12="Second",1.5,
            IF('Loan Tape'!U12="Third+",1.7,1)
        ),
    1)</f>
        <v/>
      </c>
      <c r="M11" s="37">
        <f>IFERROR(
        IF(AND('Loan Tape'!V12="Cash-out",'Loan Tape'!U12="First"),1.2,1),
    1)</f>
        <v/>
      </c>
      <c r="N11" s="37">
        <f>IFERROR(
        LET(
            arrears,'Loan Tape'!Q12,
            monthly_pmt,'Loan Tape'!D12*'Loan Tape'!I12/12,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1" s="37">
        <f>IFERROR(
        IF('Loan Tape'!Q12=0,
            LET(
                seasoning,(DATE('Control Panel'!$B$10,1,1)-'Loan Tape'!G12)/365.25,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1" s="37">
        <f>IFERROR(
        IF(AND('Loan Tape'!T12="Yes",
            (DATE('Control Panel'!$B$10,1,1)-'Loan Tape'!G12)/365.25&lt;=1.5),
            1.10,1),
    1)</f>
        <v/>
      </c>
      <c r="Q11" s="37">
        <f>IFERROR(IF('Loan Tape'!AE12="Yes",1.35,1),1)</f>
        <v/>
      </c>
      <c r="R11" s="37">
        <f>IFERROR(
        IF('Loan Tape'!AD12="Yes",
            LET(
                seasoning,(DATE('Control Panel'!$B$10,1,1)-'Loan Tape'!G12)/365.25*12,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1" s="37">
        <f>IFERROR(IF('Loan Tape'!AF12="Yes",1.10,1),1)</f>
        <v/>
      </c>
      <c r="T11" s="37">
        <f>IFERROR(
        IF('Loan Tape'!J12="Interest Only",
            LET(
                yrs_to_mat,('Loan Tape'!H12-DATE('Control Panel'!$B$10,1,1))/365.25,
                is_btl,'Loan Tape'!K12="BTL",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1" s="37">
        <f>1.00</f>
        <v/>
      </c>
      <c r="V11" s="37">
        <f>IFERROR(IF('Loan Tape'!AG12="Yes",1.85,1),1)</f>
        <v/>
      </c>
      <c r="W11" s="37">
        <f>IFERROR(IF('Loan Tape'!R12="Self-Employed",1.15,1),1)</f>
        <v/>
      </c>
      <c r="X11" s="37">
        <f>IFERROR(
        LET(
            ccj_count,'Loan Tape'!X12,
            ccj_date,'Loan Tape'!Y12,
            ccj_value,'Loan Tape'!Z12,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1" s="37">
        <f>IFERROR(
        IF('Loan Tape'!AH12="Yes",
            LET(
                months_since,(DATE('Control Panel'!$B$10,1,1)-'Loan Tape'!AI12)/30.44,
                IF(months_since&lt;=12,2.0,
                    IF(months_since&lt;=24,1.5,
                        IF(months_since&lt;=36,1.2,1)
                    )
                )
            ),
        1),
    1)</f>
        <v/>
      </c>
      <c r="Z11" s="39">
        <f>IFERROR(
        IF(N11&gt;=100,1,
            G11*H11*I11*J11*K11*L11*M11*N11*O11*P11*Q11*R11*S11*T11*U11*V11*W11*X11*Y11
        ),
    0)</f>
        <v/>
      </c>
    </row>
    <row r="12">
      <c r="A12" s="32">
        <f>'Loan Tape'!A13</f>
        <v/>
      </c>
      <c r="B12" s="33">
        <f>'Loan Tape'!D13</f>
        <v/>
      </c>
      <c r="C12" s="34">
        <f>'Loan Tape'!F13</f>
        <v/>
      </c>
      <c r="D12" s="35">
        <f>IFERROR('Loan Tape'!E13/'Loan Tape'!C13,0)</f>
        <v/>
      </c>
      <c r="E12" s="35">
        <f>IFERROR(
        'Loan Tape'!D13/
        ('Loan Tape'!B13*
        (1-IF(AND('Control Panel'!$B$15="YES",'Loan Tape'!W13&lt;&gt;"Full"),0.05,0))),
    0)</f>
        <v/>
      </c>
      <c r="F12" s="35">
        <f>'Control Panel'!$B$13*D12+'Control Panel'!$B$14*E12</f>
        <v/>
      </c>
      <c r="G12" s="36">
        <f>'Parameter Tables'!$B$5</f>
        <v/>
      </c>
      <c r="H12" s="37">
        <f>IFERROR(
        IF(F12&lt;=0.70,
            0.1+F12*1.2857,
            IF(F12&lt;=1.00,
                1+F12*2.5,
                IF(F12&lt;=1.50,
                    MIN(3.5+F12*1.5,5),
                    5
                )
            )
        ),
    1)</f>
        <v/>
      </c>
      <c r="I12" s="38">
        <f>1.00</f>
        <v/>
      </c>
      <c r="J12" s="37">
        <f>IFERROR(
        LET(
            income_mult,'Loan Tape'!D13/'Loan Tape'!O13,
            num_borr,'Loan Tape'!S13,
            seasoning,(DATE('Control Panel'!$B$10,1,1)-'Loan Tape'!G13)/365.25,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2" s="37">
        <f>IFERROR(
        IF('Loan Tape'!K13="BTL",
            LET(
                rental,'Loan Tape'!P13,
                int_cost,'Loan Tape'!D13*0.055,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2" s="37">
        <f>IFERROR(
        IF('Loan Tape'!U13="Second",1.5,
            IF('Loan Tape'!U13="Third+",1.7,1)
        ),
    1)</f>
        <v/>
      </c>
      <c r="M12" s="37">
        <f>IFERROR(
        IF(AND('Loan Tape'!V13="Cash-out",'Loan Tape'!U13="First"),1.2,1),
    1)</f>
        <v/>
      </c>
      <c r="N12" s="37">
        <f>IFERROR(
        LET(
            arrears,'Loan Tape'!Q13,
            monthly_pmt,'Loan Tape'!D13*'Loan Tape'!I13/12,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2" s="37">
        <f>IFERROR(
        IF('Loan Tape'!Q13=0,
            LET(
                seasoning,(DATE('Control Panel'!$B$10,1,1)-'Loan Tape'!G13)/365.25,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2" s="37">
        <f>IFERROR(
        IF(AND('Loan Tape'!T13="Yes",
            (DATE('Control Panel'!$B$10,1,1)-'Loan Tape'!G13)/365.25&lt;=1.5),
            1.10,1),
    1)</f>
        <v/>
      </c>
      <c r="Q12" s="37">
        <f>IFERROR(IF('Loan Tape'!AE13="Yes",1.35,1),1)</f>
        <v/>
      </c>
      <c r="R12" s="37">
        <f>IFERROR(
        IF('Loan Tape'!AD13="Yes",
            LET(
                seasoning,(DATE('Control Panel'!$B$10,1,1)-'Loan Tape'!G13)/365.25*12,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2" s="37">
        <f>IFERROR(IF('Loan Tape'!AF13="Yes",1.10,1),1)</f>
        <v/>
      </c>
      <c r="T12" s="37">
        <f>IFERROR(
        IF('Loan Tape'!J13="Interest Only",
            LET(
                yrs_to_mat,('Loan Tape'!H13-DATE('Control Panel'!$B$10,1,1))/365.25,
                is_btl,'Loan Tape'!K13="BTL",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2" s="37">
        <f>1.00</f>
        <v/>
      </c>
      <c r="V12" s="37">
        <f>IFERROR(IF('Loan Tape'!AG13="Yes",1.85,1),1)</f>
        <v/>
      </c>
      <c r="W12" s="37">
        <f>IFERROR(IF('Loan Tape'!R13="Self-Employed",1.15,1),1)</f>
        <v/>
      </c>
      <c r="X12" s="37">
        <f>IFERROR(
        LET(
            ccj_count,'Loan Tape'!X13,
            ccj_date,'Loan Tape'!Y13,
            ccj_value,'Loan Tape'!Z13,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2" s="37">
        <f>IFERROR(
        IF('Loan Tape'!AH13="Yes",
            LET(
                months_since,(DATE('Control Panel'!$B$10,1,1)-'Loan Tape'!AI13)/30.44,
                IF(months_since&lt;=12,2.0,
                    IF(months_since&lt;=24,1.5,
                        IF(months_since&lt;=36,1.2,1)
                    )
                )
            ),
        1),
    1)</f>
        <v/>
      </c>
      <c r="Z12" s="39">
        <f>IFERROR(
        IF(N12&gt;=100,1,
            G12*H12*I12*J12*K12*L12*M12*N12*O12*P12*Q12*R12*S12*T12*U12*V12*W12*X12*Y12
        ),
    0)</f>
        <v/>
      </c>
    </row>
    <row r="13">
      <c r="A13" s="32">
        <f>'Loan Tape'!A14</f>
        <v/>
      </c>
      <c r="B13" s="33">
        <f>'Loan Tape'!D14</f>
        <v/>
      </c>
      <c r="C13" s="34">
        <f>'Loan Tape'!F14</f>
        <v/>
      </c>
      <c r="D13" s="35">
        <f>IFERROR('Loan Tape'!E14/'Loan Tape'!C14,0)</f>
        <v/>
      </c>
      <c r="E13" s="35">
        <f>IFERROR(
        'Loan Tape'!D14/
        ('Loan Tape'!B14*
        (1-IF(AND('Control Panel'!$B$15="YES",'Loan Tape'!W14&lt;&gt;"Full"),0.05,0))),
    0)</f>
        <v/>
      </c>
      <c r="F13" s="35">
        <f>'Control Panel'!$B$13*D13+'Control Panel'!$B$14*E13</f>
        <v/>
      </c>
      <c r="G13" s="36">
        <f>'Parameter Tables'!$B$5</f>
        <v/>
      </c>
      <c r="H13" s="37">
        <f>IFERROR(
        IF(F13&lt;=0.70,
            0.1+F13*1.2857,
            IF(F13&lt;=1.00,
                1+F13*2.5,
                IF(F13&lt;=1.50,
                    MIN(3.5+F13*1.5,5),
                    5
                )
            )
        ),
    1)</f>
        <v/>
      </c>
      <c r="I13" s="38">
        <f>1.00</f>
        <v/>
      </c>
      <c r="J13" s="37">
        <f>IFERROR(
        LET(
            income_mult,'Loan Tape'!D14/'Loan Tape'!O14,
            num_borr,'Loan Tape'!S14,
            seasoning,(DATE('Control Panel'!$B$10,1,1)-'Loan Tape'!G14)/365.25,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3" s="37">
        <f>IFERROR(
        IF('Loan Tape'!K14="BTL",
            LET(
                rental,'Loan Tape'!P14,
                int_cost,'Loan Tape'!D14*0.055,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3" s="37">
        <f>IFERROR(
        IF('Loan Tape'!U14="Second",1.5,
            IF('Loan Tape'!U14="Third+",1.7,1)
        ),
    1)</f>
        <v/>
      </c>
      <c r="M13" s="37">
        <f>IFERROR(
        IF(AND('Loan Tape'!V14="Cash-out",'Loan Tape'!U14="First"),1.2,1),
    1)</f>
        <v/>
      </c>
      <c r="N13" s="37">
        <f>IFERROR(
        LET(
            arrears,'Loan Tape'!Q14,
            monthly_pmt,'Loan Tape'!D14*'Loan Tape'!I14/12,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3" s="37">
        <f>IFERROR(
        IF('Loan Tape'!Q14=0,
            LET(
                seasoning,(DATE('Control Panel'!$B$10,1,1)-'Loan Tape'!G14)/365.25,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3" s="37">
        <f>IFERROR(
        IF(AND('Loan Tape'!T14="Yes",
            (DATE('Control Panel'!$B$10,1,1)-'Loan Tape'!G14)/365.25&lt;=1.5),
            1.10,1),
    1)</f>
        <v/>
      </c>
      <c r="Q13" s="37">
        <f>IFERROR(IF('Loan Tape'!AE14="Yes",1.35,1),1)</f>
        <v/>
      </c>
      <c r="R13" s="37">
        <f>IFERROR(
        IF('Loan Tape'!AD14="Yes",
            LET(
                seasoning,(DATE('Control Panel'!$B$10,1,1)-'Loan Tape'!G14)/365.25*12,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3" s="37">
        <f>IFERROR(IF('Loan Tape'!AF14="Yes",1.10,1),1)</f>
        <v/>
      </c>
      <c r="T13" s="37">
        <f>IFERROR(
        IF('Loan Tape'!J14="Interest Only",
            LET(
                yrs_to_mat,('Loan Tape'!H14-DATE('Control Panel'!$B$10,1,1))/365.25,
                is_btl,'Loan Tape'!K14="BTL",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3" s="37">
        <f>1.00</f>
        <v/>
      </c>
      <c r="V13" s="37">
        <f>IFERROR(IF('Loan Tape'!AG14="Yes",1.85,1),1)</f>
        <v/>
      </c>
      <c r="W13" s="37">
        <f>IFERROR(IF('Loan Tape'!R14="Self-Employed",1.15,1),1)</f>
        <v/>
      </c>
      <c r="X13" s="37">
        <f>IFERROR(
        LET(
            ccj_count,'Loan Tape'!X14,
            ccj_date,'Loan Tape'!Y14,
            ccj_value,'Loan Tape'!Z14,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3" s="37">
        <f>IFERROR(
        IF('Loan Tape'!AH14="Yes",
            LET(
                months_since,(DATE('Control Panel'!$B$10,1,1)-'Loan Tape'!AI14)/30.44,
                IF(months_since&lt;=12,2.0,
                    IF(months_since&lt;=24,1.5,
                        IF(months_since&lt;=36,1.2,1)
                    )
                )
            ),
        1),
    1)</f>
        <v/>
      </c>
      <c r="Z13" s="39">
        <f>IFERROR(
        IF(N13&gt;=100,1,
            G13*H13*I13*J13*K13*L13*M13*N13*O13*P13*Q13*R13*S13*T13*U13*V13*W13*X13*Y13
        ),
    0)</f>
        <v/>
      </c>
    </row>
    <row r="14">
      <c r="A14" s="32">
        <f>'Loan Tape'!A15</f>
        <v/>
      </c>
      <c r="B14" s="33">
        <f>'Loan Tape'!D15</f>
        <v/>
      </c>
      <c r="C14" s="34">
        <f>'Loan Tape'!F15</f>
        <v/>
      </c>
      <c r="D14" s="35">
        <f>IFERROR('Loan Tape'!E15/'Loan Tape'!C15,0)</f>
        <v/>
      </c>
      <c r="E14" s="35">
        <f>IFERROR(
        'Loan Tape'!D15/
        ('Loan Tape'!B15*
        (1-IF(AND('Control Panel'!$B$15="YES",'Loan Tape'!W15&lt;&gt;"Full"),0.05,0))),
    0)</f>
        <v/>
      </c>
      <c r="F14" s="35">
        <f>'Control Panel'!$B$13*D14+'Control Panel'!$B$14*E14</f>
        <v/>
      </c>
      <c r="G14" s="36">
        <f>'Parameter Tables'!$B$5</f>
        <v/>
      </c>
      <c r="H14" s="37">
        <f>IFERROR(
        IF(F14&lt;=0.70,
            0.1+F14*1.2857,
            IF(F14&lt;=1.00,
                1+F14*2.5,
                IF(F14&lt;=1.50,
                    MIN(3.5+F14*1.5,5),
                    5
                )
            )
        ),
    1)</f>
        <v/>
      </c>
      <c r="I14" s="38">
        <f>1.00</f>
        <v/>
      </c>
      <c r="J14" s="37">
        <f>IFERROR(
        LET(
            income_mult,'Loan Tape'!D15/'Loan Tape'!O15,
            num_borr,'Loan Tape'!S15,
            seasoning,(DATE('Control Panel'!$B$10,1,1)-'Loan Tape'!G15)/365.25,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4" s="37">
        <f>IFERROR(
        IF('Loan Tape'!K15="BTL",
            LET(
                rental,'Loan Tape'!P15,
                int_cost,'Loan Tape'!D15*0.055,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4" s="37">
        <f>IFERROR(
        IF('Loan Tape'!U15="Second",1.5,
            IF('Loan Tape'!U15="Third+",1.7,1)
        ),
    1)</f>
        <v/>
      </c>
      <c r="M14" s="37">
        <f>IFERROR(
        IF(AND('Loan Tape'!V15="Cash-out",'Loan Tape'!U15="First"),1.2,1),
    1)</f>
        <v/>
      </c>
      <c r="N14" s="37">
        <f>IFERROR(
        LET(
            arrears,'Loan Tape'!Q15,
            monthly_pmt,'Loan Tape'!D15*'Loan Tape'!I15/12,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4" s="37">
        <f>IFERROR(
        IF('Loan Tape'!Q15=0,
            LET(
                seasoning,(DATE('Control Panel'!$B$10,1,1)-'Loan Tape'!G15)/365.25,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4" s="37">
        <f>IFERROR(
        IF(AND('Loan Tape'!T15="Yes",
            (DATE('Control Panel'!$B$10,1,1)-'Loan Tape'!G15)/365.25&lt;=1.5),
            1.10,1),
    1)</f>
        <v/>
      </c>
      <c r="Q14" s="37">
        <f>IFERROR(IF('Loan Tape'!AE15="Yes",1.35,1),1)</f>
        <v/>
      </c>
      <c r="R14" s="37">
        <f>IFERROR(
        IF('Loan Tape'!AD15="Yes",
            LET(
                seasoning,(DATE('Control Panel'!$B$10,1,1)-'Loan Tape'!G15)/365.25*12,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4" s="37">
        <f>IFERROR(IF('Loan Tape'!AF15="Yes",1.10,1),1)</f>
        <v/>
      </c>
      <c r="T14" s="37">
        <f>IFERROR(
        IF('Loan Tape'!J15="Interest Only",
            LET(
                yrs_to_mat,('Loan Tape'!H15-DATE('Control Panel'!$B$10,1,1))/365.25,
                is_btl,'Loan Tape'!K15="BTL",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4" s="37">
        <f>1.00</f>
        <v/>
      </c>
      <c r="V14" s="37">
        <f>IFERROR(IF('Loan Tape'!AG15="Yes",1.85,1),1)</f>
        <v/>
      </c>
      <c r="W14" s="37">
        <f>IFERROR(IF('Loan Tape'!R15="Self-Employed",1.15,1),1)</f>
        <v/>
      </c>
      <c r="X14" s="37">
        <f>IFERROR(
        LET(
            ccj_count,'Loan Tape'!X15,
            ccj_date,'Loan Tape'!Y15,
            ccj_value,'Loan Tape'!Z15,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4" s="37">
        <f>IFERROR(
        IF('Loan Tape'!AH15="Yes",
            LET(
                months_since,(DATE('Control Panel'!$B$10,1,1)-'Loan Tape'!AI15)/30.44,
                IF(months_since&lt;=12,2.0,
                    IF(months_since&lt;=24,1.5,
                        IF(months_since&lt;=36,1.2,1)
                    )
                )
            ),
        1),
    1)</f>
        <v/>
      </c>
      <c r="Z14" s="39">
        <f>IFERROR(
        IF(N14&gt;=100,1,
            G14*H14*I14*J14*K14*L14*M14*N14*O14*P14*Q14*R14*S14*T14*U14*V14*W14*X14*Y14
        ),
    0)</f>
        <v/>
      </c>
    </row>
    <row r="15">
      <c r="A15" s="32">
        <f>'Loan Tape'!A16</f>
        <v/>
      </c>
      <c r="B15" s="33">
        <f>'Loan Tape'!D16</f>
        <v/>
      </c>
      <c r="C15" s="34">
        <f>'Loan Tape'!F16</f>
        <v/>
      </c>
      <c r="D15" s="35">
        <f>IFERROR('Loan Tape'!E16/'Loan Tape'!C16,0)</f>
        <v/>
      </c>
      <c r="E15" s="35">
        <f>IFERROR(
        'Loan Tape'!D16/
        ('Loan Tape'!B16*
        (1-IF(AND('Control Panel'!$B$15="YES",'Loan Tape'!W16&lt;&gt;"Full"),0.05,0))),
    0)</f>
        <v/>
      </c>
      <c r="F15" s="35">
        <f>'Control Panel'!$B$13*D15+'Control Panel'!$B$14*E15</f>
        <v/>
      </c>
      <c r="G15" s="36">
        <f>'Parameter Tables'!$B$5</f>
        <v/>
      </c>
      <c r="H15" s="37">
        <f>IFERROR(
        IF(F15&lt;=0.70,
            0.1+F15*1.2857,
            IF(F15&lt;=1.00,
                1+F15*2.5,
                IF(F15&lt;=1.50,
                    MIN(3.5+F15*1.5,5),
                    5
                )
            )
        ),
    1)</f>
        <v/>
      </c>
      <c r="I15" s="38">
        <f>1.00</f>
        <v/>
      </c>
      <c r="J15" s="37">
        <f>IFERROR(
        LET(
            income_mult,'Loan Tape'!D16/'Loan Tape'!O16,
            num_borr,'Loan Tape'!S16,
            seasoning,(DATE('Control Panel'!$B$10,1,1)-'Loan Tape'!G16)/365.25,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5" s="37">
        <f>IFERROR(
        IF('Loan Tape'!K16="BTL",
            LET(
                rental,'Loan Tape'!P16,
                int_cost,'Loan Tape'!D16*0.055,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5" s="37">
        <f>IFERROR(
        IF('Loan Tape'!U16="Second",1.5,
            IF('Loan Tape'!U16="Third+",1.7,1)
        ),
    1)</f>
        <v/>
      </c>
      <c r="M15" s="37">
        <f>IFERROR(
        IF(AND('Loan Tape'!V16="Cash-out",'Loan Tape'!U16="First"),1.2,1),
    1)</f>
        <v/>
      </c>
      <c r="N15" s="37">
        <f>IFERROR(
        LET(
            arrears,'Loan Tape'!Q16,
            monthly_pmt,'Loan Tape'!D16*'Loan Tape'!I16/12,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5" s="37">
        <f>IFERROR(
        IF('Loan Tape'!Q16=0,
            LET(
                seasoning,(DATE('Control Panel'!$B$10,1,1)-'Loan Tape'!G16)/365.25,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5" s="37">
        <f>IFERROR(
        IF(AND('Loan Tape'!T16="Yes",
            (DATE('Control Panel'!$B$10,1,1)-'Loan Tape'!G16)/365.25&lt;=1.5),
            1.10,1),
    1)</f>
        <v/>
      </c>
      <c r="Q15" s="37">
        <f>IFERROR(IF('Loan Tape'!AE16="Yes",1.35,1),1)</f>
        <v/>
      </c>
      <c r="R15" s="37">
        <f>IFERROR(
        IF('Loan Tape'!AD16="Yes",
            LET(
                seasoning,(DATE('Control Panel'!$B$10,1,1)-'Loan Tape'!G16)/365.25*12,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5" s="37">
        <f>IFERROR(IF('Loan Tape'!AF16="Yes",1.10,1),1)</f>
        <v/>
      </c>
      <c r="T15" s="37">
        <f>IFERROR(
        IF('Loan Tape'!J16="Interest Only",
            LET(
                yrs_to_mat,('Loan Tape'!H16-DATE('Control Panel'!$B$10,1,1))/365.25,
                is_btl,'Loan Tape'!K16="BTL",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5" s="37">
        <f>1.00</f>
        <v/>
      </c>
      <c r="V15" s="37">
        <f>IFERROR(IF('Loan Tape'!AG16="Yes",1.85,1),1)</f>
        <v/>
      </c>
      <c r="W15" s="37">
        <f>IFERROR(IF('Loan Tape'!R16="Self-Employed",1.15,1),1)</f>
        <v/>
      </c>
      <c r="X15" s="37">
        <f>IFERROR(
        LET(
            ccj_count,'Loan Tape'!X16,
            ccj_date,'Loan Tape'!Y16,
            ccj_value,'Loan Tape'!Z16,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5" s="37">
        <f>IFERROR(
        IF('Loan Tape'!AH16="Yes",
            LET(
                months_since,(DATE('Control Panel'!$B$10,1,1)-'Loan Tape'!AI16)/30.44,
                IF(months_since&lt;=12,2.0,
                    IF(months_since&lt;=24,1.5,
                        IF(months_since&lt;=36,1.2,1)
                    )
                )
            ),
        1),
    1)</f>
        <v/>
      </c>
      <c r="Z15" s="39">
        <f>IFERROR(
        IF(N15&gt;=100,1,
            G15*H15*I15*J15*K15*L15*M15*N15*O15*P15*Q15*R15*S15*T15*U15*V15*W15*X15*Y15
        ),
    0)</f>
        <v/>
      </c>
    </row>
    <row r="16">
      <c r="A16" s="32">
        <f>'Loan Tape'!A17</f>
        <v/>
      </c>
      <c r="B16" s="33">
        <f>'Loan Tape'!D17</f>
        <v/>
      </c>
      <c r="C16" s="34">
        <f>'Loan Tape'!F17</f>
        <v/>
      </c>
      <c r="D16" s="35">
        <f>IFERROR('Loan Tape'!E17/'Loan Tape'!C17,0)</f>
        <v/>
      </c>
      <c r="E16" s="35">
        <f>IFERROR(
        'Loan Tape'!D17/
        ('Loan Tape'!B17*
        (1-IF(AND('Control Panel'!$B$15="YES",'Loan Tape'!W17&lt;&gt;"Full"),0.05,0))),
    0)</f>
        <v/>
      </c>
      <c r="F16" s="35">
        <f>'Control Panel'!$B$13*D16+'Control Panel'!$B$14*E16</f>
        <v/>
      </c>
      <c r="G16" s="36">
        <f>'Parameter Tables'!$B$5</f>
        <v/>
      </c>
      <c r="H16" s="37">
        <f>IFERROR(
        IF(F16&lt;=0.70,
            0.1+F16*1.2857,
            IF(F16&lt;=1.00,
                1+F16*2.5,
                IF(F16&lt;=1.50,
                    MIN(3.5+F16*1.5,5),
                    5
                )
            )
        ),
    1)</f>
        <v/>
      </c>
      <c r="I16" s="38">
        <f>1.00</f>
        <v/>
      </c>
      <c r="J16" s="37">
        <f>IFERROR(
        LET(
            income_mult,'Loan Tape'!D17/'Loan Tape'!O17,
            num_borr,'Loan Tape'!S17,
            seasoning,(DATE('Control Panel'!$B$10,1,1)-'Loan Tape'!G17)/365.25,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6" s="37">
        <f>IFERROR(
        IF('Loan Tape'!K17="BTL",
            LET(
                rental,'Loan Tape'!P17,
                int_cost,'Loan Tape'!D17*0.055,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6" s="37">
        <f>IFERROR(
        IF('Loan Tape'!U17="Second",1.5,
            IF('Loan Tape'!U17="Third+",1.7,1)
        ),
    1)</f>
        <v/>
      </c>
      <c r="M16" s="37">
        <f>IFERROR(
        IF(AND('Loan Tape'!V17="Cash-out",'Loan Tape'!U17="First"),1.2,1),
    1)</f>
        <v/>
      </c>
      <c r="N16" s="37">
        <f>IFERROR(
        LET(
            arrears,'Loan Tape'!Q17,
            monthly_pmt,'Loan Tape'!D17*'Loan Tape'!I17/12,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6" s="37">
        <f>IFERROR(
        IF('Loan Tape'!Q17=0,
            LET(
                seasoning,(DATE('Control Panel'!$B$10,1,1)-'Loan Tape'!G17)/365.25,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6" s="37">
        <f>IFERROR(
        IF(AND('Loan Tape'!T17="Yes",
            (DATE('Control Panel'!$B$10,1,1)-'Loan Tape'!G17)/365.25&lt;=1.5),
            1.10,1),
    1)</f>
        <v/>
      </c>
      <c r="Q16" s="37">
        <f>IFERROR(IF('Loan Tape'!AE17="Yes",1.35,1),1)</f>
        <v/>
      </c>
      <c r="R16" s="37">
        <f>IFERROR(
        IF('Loan Tape'!AD17="Yes",
            LET(
                seasoning,(DATE('Control Panel'!$B$10,1,1)-'Loan Tape'!G17)/365.25*12,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6" s="37">
        <f>IFERROR(IF('Loan Tape'!AF17="Yes",1.10,1),1)</f>
        <v/>
      </c>
      <c r="T16" s="37">
        <f>IFERROR(
        IF('Loan Tape'!J17="Interest Only",
            LET(
                yrs_to_mat,('Loan Tape'!H17-DATE('Control Panel'!$B$10,1,1))/365.25,
                is_btl,'Loan Tape'!K17="BTL",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6" s="37">
        <f>1.00</f>
        <v/>
      </c>
      <c r="V16" s="37">
        <f>IFERROR(IF('Loan Tape'!AG17="Yes",1.85,1),1)</f>
        <v/>
      </c>
      <c r="W16" s="37">
        <f>IFERROR(IF('Loan Tape'!R17="Self-Employed",1.15,1),1)</f>
        <v/>
      </c>
      <c r="X16" s="37">
        <f>IFERROR(
        LET(
            ccj_count,'Loan Tape'!X17,
            ccj_date,'Loan Tape'!Y17,
            ccj_value,'Loan Tape'!Z17,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6" s="37">
        <f>IFERROR(
        IF('Loan Tape'!AH17="Yes",
            LET(
                months_since,(DATE('Control Panel'!$B$10,1,1)-'Loan Tape'!AI17)/30.44,
                IF(months_since&lt;=12,2.0,
                    IF(months_since&lt;=24,1.5,
                        IF(months_since&lt;=36,1.2,1)
                    )
                )
            ),
        1),
    1)</f>
        <v/>
      </c>
      <c r="Z16" s="39">
        <f>IFERROR(
        IF(N16&gt;=100,1,
            G16*H16*I16*J16*K16*L16*M16*N16*O16*P16*Q16*R16*S16*T16*U16*V16*W16*X16*Y16
        ),
    0)</f>
        <v/>
      </c>
    </row>
    <row r="17">
      <c r="A17" s="32">
        <f>'Loan Tape'!A18</f>
        <v/>
      </c>
      <c r="B17" s="33">
        <f>'Loan Tape'!D18</f>
        <v/>
      </c>
      <c r="C17" s="34">
        <f>'Loan Tape'!F18</f>
        <v/>
      </c>
      <c r="D17" s="35">
        <f>IFERROR('Loan Tape'!E18/'Loan Tape'!C18,0)</f>
        <v/>
      </c>
      <c r="E17" s="35">
        <f>IFERROR(
        'Loan Tape'!D18/
        ('Loan Tape'!B18*
        (1-IF(AND('Control Panel'!$B$15="YES",'Loan Tape'!W18&lt;&gt;"Full"),0.05,0))),
    0)</f>
        <v/>
      </c>
      <c r="F17" s="35">
        <f>'Control Panel'!$B$13*D17+'Control Panel'!$B$14*E17</f>
        <v/>
      </c>
      <c r="G17" s="36">
        <f>'Parameter Tables'!$B$5</f>
        <v/>
      </c>
      <c r="H17" s="37">
        <f>IFERROR(
        IF(F17&lt;=0.70,
            0.1+F17*1.2857,
            IF(F17&lt;=1.00,
                1+F17*2.5,
                IF(F17&lt;=1.50,
                    MIN(3.5+F17*1.5,5),
                    5
                )
            )
        ),
    1)</f>
        <v/>
      </c>
      <c r="I17" s="38">
        <f>1.00</f>
        <v/>
      </c>
      <c r="J17" s="37">
        <f>IFERROR(
        LET(
            income_mult,'Loan Tape'!D18/'Loan Tape'!O18,
            num_borr,'Loan Tape'!S18,
            seasoning,(DATE('Control Panel'!$B$10,1,1)-'Loan Tape'!G18)/365.25,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7" s="37">
        <f>IFERROR(
        IF('Loan Tape'!K18="BTL",
            LET(
                rental,'Loan Tape'!P18,
                int_cost,'Loan Tape'!D18*0.055,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7" s="37">
        <f>IFERROR(
        IF('Loan Tape'!U18="Second",1.5,
            IF('Loan Tape'!U18="Third+",1.7,1)
        ),
    1)</f>
        <v/>
      </c>
      <c r="M17" s="37">
        <f>IFERROR(
        IF(AND('Loan Tape'!V18="Cash-out",'Loan Tape'!U18="First"),1.2,1),
    1)</f>
        <v/>
      </c>
      <c r="N17" s="37">
        <f>IFERROR(
        LET(
            arrears,'Loan Tape'!Q18,
            monthly_pmt,'Loan Tape'!D18*'Loan Tape'!I18/12,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7" s="37">
        <f>IFERROR(
        IF('Loan Tape'!Q18=0,
            LET(
                seasoning,(DATE('Control Panel'!$B$10,1,1)-'Loan Tape'!G18)/365.25,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7" s="37">
        <f>IFERROR(
        IF(AND('Loan Tape'!T18="Yes",
            (DATE('Control Panel'!$B$10,1,1)-'Loan Tape'!G18)/365.25&lt;=1.5),
            1.10,1),
    1)</f>
        <v/>
      </c>
      <c r="Q17" s="37">
        <f>IFERROR(IF('Loan Tape'!AE18="Yes",1.35,1),1)</f>
        <v/>
      </c>
      <c r="R17" s="37">
        <f>IFERROR(
        IF('Loan Tape'!AD18="Yes",
            LET(
                seasoning,(DATE('Control Panel'!$B$10,1,1)-'Loan Tape'!G18)/365.25*12,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7" s="37">
        <f>IFERROR(IF('Loan Tape'!AF18="Yes",1.10,1),1)</f>
        <v/>
      </c>
      <c r="T17" s="37">
        <f>IFERROR(
        IF('Loan Tape'!J18="Interest Only",
            LET(
                yrs_to_mat,('Loan Tape'!H18-DATE('Control Panel'!$B$10,1,1))/365.25,
                is_btl,'Loan Tape'!K18="BTL",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7" s="37">
        <f>1.00</f>
        <v/>
      </c>
      <c r="V17" s="37">
        <f>IFERROR(IF('Loan Tape'!AG18="Yes",1.85,1),1)</f>
        <v/>
      </c>
      <c r="W17" s="37">
        <f>IFERROR(IF('Loan Tape'!R18="Self-Employed",1.15,1),1)</f>
        <v/>
      </c>
      <c r="X17" s="37">
        <f>IFERROR(
        LET(
            ccj_count,'Loan Tape'!X18,
            ccj_date,'Loan Tape'!Y18,
            ccj_value,'Loan Tape'!Z18,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7" s="37">
        <f>IFERROR(
        IF('Loan Tape'!AH18="Yes",
            LET(
                months_since,(DATE('Control Panel'!$B$10,1,1)-'Loan Tape'!AI18)/30.44,
                IF(months_since&lt;=12,2.0,
                    IF(months_since&lt;=24,1.5,
                        IF(months_since&lt;=36,1.2,1)
                    )
                )
            ),
        1),
    1)</f>
        <v/>
      </c>
      <c r="Z17" s="39">
        <f>IFERROR(
        IF(N17&gt;=100,1,
            G17*H17*I17*J17*K17*L17*M17*N17*O17*P17*Q17*R17*S17*T17*U17*V17*W17*X17*Y17
        ),
    0)</f>
        <v/>
      </c>
    </row>
    <row r="18">
      <c r="A18" s="32">
        <f>'Loan Tape'!A19</f>
        <v/>
      </c>
      <c r="B18" s="33">
        <f>'Loan Tape'!D19</f>
        <v/>
      </c>
      <c r="C18" s="34">
        <f>'Loan Tape'!F19</f>
        <v/>
      </c>
      <c r="D18" s="35">
        <f>IFERROR('Loan Tape'!E19/'Loan Tape'!C19,0)</f>
        <v/>
      </c>
      <c r="E18" s="35">
        <f>IFERROR(
        'Loan Tape'!D19/
        ('Loan Tape'!B19*
        (1-IF(AND('Control Panel'!$B$15="YES",'Loan Tape'!W19&lt;&gt;"Full"),0.05,0))),
    0)</f>
        <v/>
      </c>
      <c r="F18" s="35">
        <f>'Control Panel'!$B$13*D18+'Control Panel'!$B$14*E18</f>
        <v/>
      </c>
      <c r="G18" s="36">
        <f>'Parameter Tables'!$B$5</f>
        <v/>
      </c>
      <c r="H18" s="37">
        <f>IFERROR(
        IF(F18&lt;=0.70,
            0.1+F18*1.2857,
            IF(F18&lt;=1.00,
                1+F18*2.5,
                IF(F18&lt;=1.50,
                    MIN(3.5+F18*1.5,5),
                    5
                )
            )
        ),
    1)</f>
        <v/>
      </c>
      <c r="I18" s="38">
        <f>1.00</f>
        <v/>
      </c>
      <c r="J18" s="37">
        <f>IFERROR(
        LET(
            income_mult,'Loan Tape'!D19/'Loan Tape'!O19,
            num_borr,'Loan Tape'!S19,
            seasoning,(DATE('Control Panel'!$B$10,1,1)-'Loan Tape'!G19)/365.25,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8" s="37">
        <f>IFERROR(
        IF('Loan Tape'!K19="BTL",
            LET(
                rental,'Loan Tape'!P19,
                int_cost,'Loan Tape'!D19*0.055,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8" s="37">
        <f>IFERROR(
        IF('Loan Tape'!U19="Second",1.5,
            IF('Loan Tape'!U19="Third+",1.7,1)
        ),
    1)</f>
        <v/>
      </c>
      <c r="M18" s="37">
        <f>IFERROR(
        IF(AND('Loan Tape'!V19="Cash-out",'Loan Tape'!U19="First"),1.2,1),
    1)</f>
        <v/>
      </c>
      <c r="N18" s="37">
        <f>IFERROR(
        LET(
            arrears,'Loan Tape'!Q19,
            monthly_pmt,'Loan Tape'!D19*'Loan Tape'!I19/12,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8" s="37">
        <f>IFERROR(
        IF('Loan Tape'!Q19=0,
            LET(
                seasoning,(DATE('Control Panel'!$B$10,1,1)-'Loan Tape'!G19)/365.25,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8" s="37">
        <f>IFERROR(
        IF(AND('Loan Tape'!T19="Yes",
            (DATE('Control Panel'!$B$10,1,1)-'Loan Tape'!G19)/365.25&lt;=1.5),
            1.10,1),
    1)</f>
        <v/>
      </c>
      <c r="Q18" s="37">
        <f>IFERROR(IF('Loan Tape'!AE19="Yes",1.35,1),1)</f>
        <v/>
      </c>
      <c r="R18" s="37">
        <f>IFERROR(
        IF('Loan Tape'!AD19="Yes",
            LET(
                seasoning,(DATE('Control Panel'!$B$10,1,1)-'Loan Tape'!G19)/365.25*12,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8" s="37">
        <f>IFERROR(IF('Loan Tape'!AF19="Yes",1.10,1),1)</f>
        <v/>
      </c>
      <c r="T18" s="37">
        <f>IFERROR(
        IF('Loan Tape'!J19="Interest Only",
            LET(
                yrs_to_mat,('Loan Tape'!H19-DATE('Control Panel'!$B$10,1,1))/365.25,
                is_btl,'Loan Tape'!K19="BTL",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8" s="37">
        <f>1.00</f>
        <v/>
      </c>
      <c r="V18" s="37">
        <f>IFERROR(IF('Loan Tape'!AG19="Yes",1.85,1),1)</f>
        <v/>
      </c>
      <c r="W18" s="37">
        <f>IFERROR(IF('Loan Tape'!R19="Self-Employed",1.15,1),1)</f>
        <v/>
      </c>
      <c r="X18" s="37">
        <f>IFERROR(
        LET(
            ccj_count,'Loan Tape'!X19,
            ccj_date,'Loan Tape'!Y19,
            ccj_value,'Loan Tape'!Z19,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8" s="37">
        <f>IFERROR(
        IF('Loan Tape'!AH19="Yes",
            LET(
                months_since,(DATE('Control Panel'!$B$10,1,1)-'Loan Tape'!AI19)/30.44,
                IF(months_since&lt;=12,2.0,
                    IF(months_since&lt;=24,1.5,
                        IF(months_since&lt;=36,1.2,1)
                    )
                )
            ),
        1),
    1)</f>
        <v/>
      </c>
      <c r="Z18" s="39">
        <f>IFERROR(
        IF(N18&gt;=100,1,
            G18*H18*I18*J18*K18*L18*M18*N18*O18*P18*Q18*R18*S18*T18*U18*V18*W18*X18*Y18
        ),
    0)</f>
        <v/>
      </c>
    </row>
    <row r="19">
      <c r="A19" s="32">
        <f>'Loan Tape'!A20</f>
        <v/>
      </c>
      <c r="B19" s="33">
        <f>'Loan Tape'!D20</f>
        <v/>
      </c>
      <c r="C19" s="34">
        <f>'Loan Tape'!F20</f>
        <v/>
      </c>
      <c r="D19" s="35">
        <f>IFERROR('Loan Tape'!E20/'Loan Tape'!C20,0)</f>
        <v/>
      </c>
      <c r="E19" s="35">
        <f>IFERROR(
        'Loan Tape'!D20/
        ('Loan Tape'!B20*
        (1-IF(AND('Control Panel'!$B$15="YES",'Loan Tape'!W20&lt;&gt;"Full"),0.05,0))),
    0)</f>
        <v/>
      </c>
      <c r="F19" s="35">
        <f>'Control Panel'!$B$13*D19+'Control Panel'!$B$14*E19</f>
        <v/>
      </c>
      <c r="G19" s="36">
        <f>'Parameter Tables'!$B$5</f>
        <v/>
      </c>
      <c r="H19" s="37">
        <f>IFERROR(
        IF(F19&lt;=0.70,
            0.1+F19*1.2857,
            IF(F19&lt;=1.00,
                1+F19*2.5,
                IF(F19&lt;=1.50,
                    MIN(3.5+F19*1.5,5),
                    5
                )
            )
        ),
    1)</f>
        <v/>
      </c>
      <c r="I19" s="38">
        <f>1.00</f>
        <v/>
      </c>
      <c r="J19" s="37">
        <f>IFERROR(
        LET(
            income_mult,'Loan Tape'!D20/'Loan Tape'!O20,
            num_borr,'Loan Tape'!S20,
            seasoning,(DATE('Control Panel'!$B$10,1,1)-'Loan Tape'!G20)/365.25,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9" s="37">
        <f>IFERROR(
        IF('Loan Tape'!K20="BTL",
            LET(
                rental,'Loan Tape'!P20,
                int_cost,'Loan Tape'!D20*0.055,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9" s="37">
        <f>IFERROR(
        IF('Loan Tape'!U20="Second",1.5,
            IF('Loan Tape'!U20="Third+",1.7,1)
        ),
    1)</f>
        <v/>
      </c>
      <c r="M19" s="37">
        <f>IFERROR(
        IF(AND('Loan Tape'!V20="Cash-out",'Loan Tape'!U20="First"),1.2,1),
    1)</f>
        <v/>
      </c>
      <c r="N19" s="37">
        <f>IFERROR(
        LET(
            arrears,'Loan Tape'!Q20,
            monthly_pmt,'Loan Tape'!D20*'Loan Tape'!I20/12,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9" s="37">
        <f>IFERROR(
        IF('Loan Tape'!Q20=0,
            LET(
                seasoning,(DATE('Control Panel'!$B$10,1,1)-'Loan Tape'!G20)/365.25,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9" s="37">
        <f>IFERROR(
        IF(AND('Loan Tape'!T20="Yes",
            (DATE('Control Panel'!$B$10,1,1)-'Loan Tape'!G20)/365.25&lt;=1.5),
            1.10,1),
    1)</f>
        <v/>
      </c>
      <c r="Q19" s="37">
        <f>IFERROR(IF('Loan Tape'!AE20="Yes",1.35,1),1)</f>
        <v/>
      </c>
      <c r="R19" s="37">
        <f>IFERROR(
        IF('Loan Tape'!AD20="Yes",
            LET(
                seasoning,(DATE('Control Panel'!$B$10,1,1)-'Loan Tape'!G20)/365.25*12,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9" s="37">
        <f>IFERROR(IF('Loan Tape'!AF20="Yes",1.10,1),1)</f>
        <v/>
      </c>
      <c r="T19" s="37">
        <f>IFERROR(
        IF('Loan Tape'!J20="Interest Only",
            LET(
                yrs_to_mat,('Loan Tape'!H20-DATE('Control Panel'!$B$10,1,1))/365.25,
                is_btl,'Loan Tape'!K20="BTL",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9" s="37">
        <f>1.00</f>
        <v/>
      </c>
      <c r="V19" s="37">
        <f>IFERROR(IF('Loan Tape'!AG20="Yes",1.85,1),1)</f>
        <v/>
      </c>
      <c r="W19" s="37">
        <f>IFERROR(IF('Loan Tape'!R20="Self-Employed",1.15,1),1)</f>
        <v/>
      </c>
      <c r="X19" s="37">
        <f>IFERROR(
        LET(
            ccj_count,'Loan Tape'!X20,
            ccj_date,'Loan Tape'!Y20,
            ccj_value,'Loan Tape'!Z20,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9" s="37">
        <f>IFERROR(
        IF('Loan Tape'!AH20="Yes",
            LET(
                months_since,(DATE('Control Panel'!$B$10,1,1)-'Loan Tape'!AI20)/30.44,
                IF(months_since&lt;=12,2.0,
                    IF(months_since&lt;=24,1.5,
                        IF(months_since&lt;=36,1.2,1)
                    )
                )
            ),
        1),
    1)</f>
        <v/>
      </c>
      <c r="Z19" s="39">
        <f>IFERROR(
        IF(N19&gt;=100,1,
            G19*H19*I19*J19*K19*L19*M19*N19*O19*P19*Q19*R19*S19*T19*U19*V19*W19*X19*Y19
        ),
    0)</f>
        <v/>
      </c>
    </row>
    <row r="20">
      <c r="A20" s="32">
        <f>'Loan Tape'!A21</f>
        <v/>
      </c>
      <c r="B20" s="33">
        <f>'Loan Tape'!D21</f>
        <v/>
      </c>
      <c r="C20" s="34">
        <f>'Loan Tape'!F21</f>
        <v/>
      </c>
      <c r="D20" s="35">
        <f>IFERROR('Loan Tape'!E21/'Loan Tape'!C21,0)</f>
        <v/>
      </c>
      <c r="E20" s="35">
        <f>IFERROR(
        'Loan Tape'!D21/
        ('Loan Tape'!B21*
        (1-IF(AND('Control Panel'!$B$15="YES",'Loan Tape'!W21&lt;&gt;"Full"),0.05,0))),
    0)</f>
        <v/>
      </c>
      <c r="F20" s="35">
        <f>'Control Panel'!$B$13*D20+'Control Panel'!$B$14*E20</f>
        <v/>
      </c>
      <c r="G20" s="36">
        <f>'Parameter Tables'!$B$5</f>
        <v/>
      </c>
      <c r="H20" s="37">
        <f>IFERROR(
        IF(F20&lt;=0.70,
            0.1+F20*1.2857,
            IF(F20&lt;=1.00,
                1+F20*2.5,
                IF(F20&lt;=1.50,
                    MIN(3.5+F20*1.5,5),
                    5
                )
            )
        ),
    1)</f>
        <v/>
      </c>
      <c r="I20" s="38">
        <f>1.00</f>
        <v/>
      </c>
      <c r="J20" s="37">
        <f>IFERROR(
        LET(
            income_mult,'Loan Tape'!D21/'Loan Tape'!O21,
            num_borr,'Loan Tape'!S21,
            seasoning,(DATE('Control Panel'!$B$10,1,1)-'Loan Tape'!G21)/365.25,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0" s="37">
        <f>IFERROR(
        IF('Loan Tape'!K21="BTL",
            LET(
                rental,'Loan Tape'!P21,
                int_cost,'Loan Tape'!D21*0.055,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0" s="37">
        <f>IFERROR(
        IF('Loan Tape'!U21="Second",1.5,
            IF('Loan Tape'!U21="Third+",1.7,1)
        ),
    1)</f>
        <v/>
      </c>
      <c r="M20" s="37">
        <f>IFERROR(
        IF(AND('Loan Tape'!V21="Cash-out",'Loan Tape'!U21="First"),1.2,1),
    1)</f>
        <v/>
      </c>
      <c r="N20" s="37">
        <f>IFERROR(
        LET(
            arrears,'Loan Tape'!Q21,
            monthly_pmt,'Loan Tape'!D21*'Loan Tape'!I21/12,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0" s="37">
        <f>IFERROR(
        IF('Loan Tape'!Q21=0,
            LET(
                seasoning,(DATE('Control Panel'!$B$10,1,1)-'Loan Tape'!G21)/365.25,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0" s="37">
        <f>IFERROR(
        IF(AND('Loan Tape'!T21="Yes",
            (DATE('Control Panel'!$B$10,1,1)-'Loan Tape'!G21)/365.25&lt;=1.5),
            1.10,1),
    1)</f>
        <v/>
      </c>
      <c r="Q20" s="37">
        <f>IFERROR(IF('Loan Tape'!AE21="Yes",1.35,1),1)</f>
        <v/>
      </c>
      <c r="R20" s="37">
        <f>IFERROR(
        IF('Loan Tape'!AD21="Yes",
            LET(
                seasoning,(DATE('Control Panel'!$B$10,1,1)-'Loan Tape'!G21)/365.25*12,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0" s="37">
        <f>IFERROR(IF('Loan Tape'!AF21="Yes",1.10,1),1)</f>
        <v/>
      </c>
      <c r="T20" s="37">
        <f>IFERROR(
        IF('Loan Tape'!J21="Interest Only",
            LET(
                yrs_to_mat,('Loan Tape'!H21-DATE('Control Panel'!$B$10,1,1))/365.25,
                is_btl,'Loan Tape'!K21="BTL",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0" s="37">
        <f>1.00</f>
        <v/>
      </c>
      <c r="V20" s="37">
        <f>IFERROR(IF('Loan Tape'!AG21="Yes",1.85,1),1)</f>
        <v/>
      </c>
      <c r="W20" s="37">
        <f>IFERROR(IF('Loan Tape'!R21="Self-Employed",1.15,1),1)</f>
        <v/>
      </c>
      <c r="X20" s="37">
        <f>IFERROR(
        LET(
            ccj_count,'Loan Tape'!X21,
            ccj_date,'Loan Tape'!Y21,
            ccj_value,'Loan Tape'!Z21,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0" s="37">
        <f>IFERROR(
        IF('Loan Tape'!AH21="Yes",
            LET(
                months_since,(DATE('Control Panel'!$B$10,1,1)-'Loan Tape'!AI21)/30.44,
                IF(months_since&lt;=12,2.0,
                    IF(months_since&lt;=24,1.5,
                        IF(months_since&lt;=36,1.2,1)
                    )
                )
            ),
        1),
    1)</f>
        <v/>
      </c>
      <c r="Z20" s="39">
        <f>IFERROR(
        IF(N20&gt;=100,1,
            G20*H20*I20*J20*K20*L20*M20*N20*O20*P20*Q20*R20*S20*T20*U20*V20*W20*X20*Y20
        ),
    0)</f>
        <v/>
      </c>
    </row>
    <row r="21">
      <c r="A21" s="32">
        <f>'Loan Tape'!A22</f>
        <v/>
      </c>
      <c r="B21" s="33">
        <f>'Loan Tape'!D22</f>
        <v/>
      </c>
      <c r="C21" s="34">
        <f>'Loan Tape'!F22</f>
        <v/>
      </c>
      <c r="D21" s="35">
        <f>IFERROR('Loan Tape'!E22/'Loan Tape'!C22,0)</f>
        <v/>
      </c>
      <c r="E21" s="35">
        <f>IFERROR(
        'Loan Tape'!D22/
        ('Loan Tape'!B22*
        (1-IF(AND('Control Panel'!$B$15="YES",'Loan Tape'!W22&lt;&gt;"Full"),0.05,0))),
    0)</f>
        <v/>
      </c>
      <c r="F21" s="35">
        <f>'Control Panel'!$B$13*D21+'Control Panel'!$B$14*E21</f>
        <v/>
      </c>
      <c r="G21" s="36">
        <f>'Parameter Tables'!$B$5</f>
        <v/>
      </c>
      <c r="H21" s="37">
        <f>IFERROR(
        IF(F21&lt;=0.70,
            0.1+F21*1.2857,
            IF(F21&lt;=1.00,
                1+F21*2.5,
                IF(F21&lt;=1.50,
                    MIN(3.5+F21*1.5,5),
                    5
                )
            )
        ),
    1)</f>
        <v/>
      </c>
      <c r="I21" s="38">
        <f>1.00</f>
        <v/>
      </c>
      <c r="J21" s="37">
        <f>IFERROR(
        LET(
            income_mult,'Loan Tape'!D22/'Loan Tape'!O22,
            num_borr,'Loan Tape'!S22,
            seasoning,(DATE('Control Panel'!$B$10,1,1)-'Loan Tape'!G22)/365.25,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1" s="37">
        <f>IFERROR(
        IF('Loan Tape'!K22="BTL",
            LET(
                rental,'Loan Tape'!P22,
                int_cost,'Loan Tape'!D22*0.055,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1" s="37">
        <f>IFERROR(
        IF('Loan Tape'!U22="Second",1.5,
            IF('Loan Tape'!U22="Third+",1.7,1)
        ),
    1)</f>
        <v/>
      </c>
      <c r="M21" s="37">
        <f>IFERROR(
        IF(AND('Loan Tape'!V22="Cash-out",'Loan Tape'!U22="First"),1.2,1),
    1)</f>
        <v/>
      </c>
      <c r="N21" s="37">
        <f>IFERROR(
        LET(
            arrears,'Loan Tape'!Q22,
            monthly_pmt,'Loan Tape'!D22*'Loan Tape'!I22/12,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1" s="37">
        <f>IFERROR(
        IF('Loan Tape'!Q22=0,
            LET(
                seasoning,(DATE('Control Panel'!$B$10,1,1)-'Loan Tape'!G22)/365.25,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1" s="37">
        <f>IFERROR(
        IF(AND('Loan Tape'!T22="Yes",
            (DATE('Control Panel'!$B$10,1,1)-'Loan Tape'!G22)/365.25&lt;=1.5),
            1.10,1),
    1)</f>
        <v/>
      </c>
      <c r="Q21" s="37">
        <f>IFERROR(IF('Loan Tape'!AE22="Yes",1.35,1),1)</f>
        <v/>
      </c>
      <c r="R21" s="37">
        <f>IFERROR(
        IF('Loan Tape'!AD22="Yes",
            LET(
                seasoning,(DATE('Control Panel'!$B$10,1,1)-'Loan Tape'!G22)/365.25*12,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1" s="37">
        <f>IFERROR(IF('Loan Tape'!AF22="Yes",1.10,1),1)</f>
        <v/>
      </c>
      <c r="T21" s="37">
        <f>IFERROR(
        IF('Loan Tape'!J22="Interest Only",
            LET(
                yrs_to_mat,('Loan Tape'!H22-DATE('Control Panel'!$B$10,1,1))/365.25,
                is_btl,'Loan Tape'!K22="BTL",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1" s="37">
        <f>1.00</f>
        <v/>
      </c>
      <c r="V21" s="37">
        <f>IFERROR(IF('Loan Tape'!AG22="Yes",1.85,1),1)</f>
        <v/>
      </c>
      <c r="W21" s="37">
        <f>IFERROR(IF('Loan Tape'!R22="Self-Employed",1.15,1),1)</f>
        <v/>
      </c>
      <c r="X21" s="37">
        <f>IFERROR(
        LET(
            ccj_count,'Loan Tape'!X22,
            ccj_date,'Loan Tape'!Y22,
            ccj_value,'Loan Tape'!Z22,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1" s="37">
        <f>IFERROR(
        IF('Loan Tape'!AH22="Yes",
            LET(
                months_since,(DATE('Control Panel'!$B$10,1,1)-'Loan Tape'!AI22)/30.44,
                IF(months_since&lt;=12,2.0,
                    IF(months_since&lt;=24,1.5,
                        IF(months_since&lt;=36,1.2,1)
                    )
                )
            ),
        1),
    1)</f>
        <v/>
      </c>
      <c r="Z21" s="39">
        <f>IFERROR(
        IF(N21&gt;=100,1,
            G21*H21*I21*J21*K21*L21*M21*N21*O21*P21*Q21*R21*S21*T21*U21*V21*W21*X21*Y21
        ),
    0)</f>
        <v/>
      </c>
    </row>
    <row r="22">
      <c r="A22" s="32">
        <f>'Loan Tape'!A23</f>
        <v/>
      </c>
      <c r="B22" s="33">
        <f>'Loan Tape'!D23</f>
        <v/>
      </c>
      <c r="C22" s="34">
        <f>'Loan Tape'!F23</f>
        <v/>
      </c>
      <c r="D22" s="35">
        <f>IFERROR('Loan Tape'!E23/'Loan Tape'!C23,0)</f>
        <v/>
      </c>
      <c r="E22" s="35">
        <f>IFERROR(
        'Loan Tape'!D23/
        ('Loan Tape'!B23*
        (1-IF(AND('Control Panel'!$B$15="YES",'Loan Tape'!W23&lt;&gt;"Full"),0.05,0))),
    0)</f>
        <v/>
      </c>
      <c r="F22" s="35">
        <f>'Control Panel'!$B$13*D22+'Control Panel'!$B$14*E22</f>
        <v/>
      </c>
      <c r="G22" s="36">
        <f>'Parameter Tables'!$B$5</f>
        <v/>
      </c>
      <c r="H22" s="37">
        <f>IFERROR(
        IF(F22&lt;=0.70,
            0.1+F22*1.2857,
            IF(F22&lt;=1.00,
                1+F22*2.5,
                IF(F22&lt;=1.50,
                    MIN(3.5+F22*1.5,5),
                    5
                )
            )
        ),
    1)</f>
        <v/>
      </c>
      <c r="I22" s="38">
        <f>1.00</f>
        <v/>
      </c>
      <c r="J22" s="37">
        <f>IFERROR(
        LET(
            income_mult,'Loan Tape'!D23/'Loan Tape'!O23,
            num_borr,'Loan Tape'!S23,
            seasoning,(DATE('Control Panel'!$B$10,1,1)-'Loan Tape'!G23)/365.25,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2" s="37">
        <f>IFERROR(
        IF('Loan Tape'!K23="BTL",
            LET(
                rental,'Loan Tape'!P23,
                int_cost,'Loan Tape'!D23*0.055,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2" s="37">
        <f>IFERROR(
        IF('Loan Tape'!U23="Second",1.5,
            IF('Loan Tape'!U23="Third+",1.7,1)
        ),
    1)</f>
        <v/>
      </c>
      <c r="M22" s="37">
        <f>IFERROR(
        IF(AND('Loan Tape'!V23="Cash-out",'Loan Tape'!U23="First"),1.2,1),
    1)</f>
        <v/>
      </c>
      <c r="N22" s="37">
        <f>IFERROR(
        LET(
            arrears,'Loan Tape'!Q23,
            monthly_pmt,'Loan Tape'!D23*'Loan Tape'!I23/12,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2" s="37">
        <f>IFERROR(
        IF('Loan Tape'!Q23=0,
            LET(
                seasoning,(DATE('Control Panel'!$B$10,1,1)-'Loan Tape'!G23)/365.25,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2" s="37">
        <f>IFERROR(
        IF(AND('Loan Tape'!T23="Yes",
            (DATE('Control Panel'!$B$10,1,1)-'Loan Tape'!G23)/365.25&lt;=1.5),
            1.10,1),
    1)</f>
        <v/>
      </c>
      <c r="Q22" s="37">
        <f>IFERROR(IF('Loan Tape'!AE23="Yes",1.35,1),1)</f>
        <v/>
      </c>
      <c r="R22" s="37">
        <f>IFERROR(
        IF('Loan Tape'!AD23="Yes",
            LET(
                seasoning,(DATE('Control Panel'!$B$10,1,1)-'Loan Tape'!G23)/365.25*12,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2" s="37">
        <f>IFERROR(IF('Loan Tape'!AF23="Yes",1.10,1),1)</f>
        <v/>
      </c>
      <c r="T22" s="37">
        <f>IFERROR(
        IF('Loan Tape'!J23="Interest Only",
            LET(
                yrs_to_mat,('Loan Tape'!H23-DATE('Control Panel'!$B$10,1,1))/365.25,
                is_btl,'Loan Tape'!K23="BTL",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2" s="37">
        <f>1.00</f>
        <v/>
      </c>
      <c r="V22" s="37">
        <f>IFERROR(IF('Loan Tape'!AG23="Yes",1.85,1),1)</f>
        <v/>
      </c>
      <c r="W22" s="37">
        <f>IFERROR(IF('Loan Tape'!R23="Self-Employed",1.15,1),1)</f>
        <v/>
      </c>
      <c r="X22" s="37">
        <f>IFERROR(
        LET(
            ccj_count,'Loan Tape'!X23,
            ccj_date,'Loan Tape'!Y23,
            ccj_value,'Loan Tape'!Z23,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2" s="37">
        <f>IFERROR(
        IF('Loan Tape'!AH23="Yes",
            LET(
                months_since,(DATE('Control Panel'!$B$10,1,1)-'Loan Tape'!AI23)/30.44,
                IF(months_since&lt;=12,2.0,
                    IF(months_since&lt;=24,1.5,
                        IF(months_since&lt;=36,1.2,1)
                    )
                )
            ),
        1),
    1)</f>
        <v/>
      </c>
      <c r="Z22" s="39">
        <f>IFERROR(
        IF(N22&gt;=100,1,
            G22*H22*I22*J22*K22*L22*M22*N22*O22*P22*Q22*R22*S22*T22*U22*V22*W22*X22*Y22
        ),
    0)</f>
        <v/>
      </c>
    </row>
    <row r="23">
      <c r="A23" s="32">
        <f>'Loan Tape'!A24</f>
        <v/>
      </c>
      <c r="B23" s="33">
        <f>'Loan Tape'!D24</f>
        <v/>
      </c>
      <c r="C23" s="34">
        <f>'Loan Tape'!F24</f>
        <v/>
      </c>
      <c r="D23" s="35">
        <f>IFERROR('Loan Tape'!E24/'Loan Tape'!C24,0)</f>
        <v/>
      </c>
      <c r="E23" s="35">
        <f>IFERROR(
        'Loan Tape'!D24/
        ('Loan Tape'!B24*
        (1-IF(AND('Control Panel'!$B$15="YES",'Loan Tape'!W24&lt;&gt;"Full"),0.05,0))),
    0)</f>
        <v/>
      </c>
      <c r="F23" s="35">
        <f>'Control Panel'!$B$13*D23+'Control Panel'!$B$14*E23</f>
        <v/>
      </c>
      <c r="G23" s="36">
        <f>'Parameter Tables'!$B$5</f>
        <v/>
      </c>
      <c r="H23" s="37">
        <f>IFERROR(
        IF(F23&lt;=0.70,
            0.1+F23*1.2857,
            IF(F23&lt;=1.00,
                1+F23*2.5,
                IF(F23&lt;=1.50,
                    MIN(3.5+F23*1.5,5),
                    5
                )
            )
        ),
    1)</f>
        <v/>
      </c>
      <c r="I23" s="38">
        <f>1.00</f>
        <v/>
      </c>
      <c r="J23" s="37">
        <f>IFERROR(
        LET(
            income_mult,'Loan Tape'!D24/'Loan Tape'!O24,
            num_borr,'Loan Tape'!S24,
            seasoning,(DATE('Control Panel'!$B$10,1,1)-'Loan Tape'!G24)/365.25,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3" s="37">
        <f>IFERROR(
        IF('Loan Tape'!K24="BTL",
            LET(
                rental,'Loan Tape'!P24,
                int_cost,'Loan Tape'!D24*0.055,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3" s="37">
        <f>IFERROR(
        IF('Loan Tape'!U24="Second",1.5,
            IF('Loan Tape'!U24="Third+",1.7,1)
        ),
    1)</f>
        <v/>
      </c>
      <c r="M23" s="37">
        <f>IFERROR(
        IF(AND('Loan Tape'!V24="Cash-out",'Loan Tape'!U24="First"),1.2,1),
    1)</f>
        <v/>
      </c>
      <c r="N23" s="37">
        <f>IFERROR(
        LET(
            arrears,'Loan Tape'!Q24,
            monthly_pmt,'Loan Tape'!D24*'Loan Tape'!I24/12,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3" s="37">
        <f>IFERROR(
        IF('Loan Tape'!Q24=0,
            LET(
                seasoning,(DATE('Control Panel'!$B$10,1,1)-'Loan Tape'!G24)/365.25,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3" s="37">
        <f>IFERROR(
        IF(AND('Loan Tape'!T24="Yes",
            (DATE('Control Panel'!$B$10,1,1)-'Loan Tape'!G24)/365.25&lt;=1.5),
            1.10,1),
    1)</f>
        <v/>
      </c>
      <c r="Q23" s="37">
        <f>IFERROR(IF('Loan Tape'!AE24="Yes",1.35,1),1)</f>
        <v/>
      </c>
      <c r="R23" s="37">
        <f>IFERROR(
        IF('Loan Tape'!AD24="Yes",
            LET(
                seasoning,(DATE('Control Panel'!$B$10,1,1)-'Loan Tape'!G24)/365.25*12,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3" s="37">
        <f>IFERROR(IF('Loan Tape'!AF24="Yes",1.10,1),1)</f>
        <v/>
      </c>
      <c r="T23" s="37">
        <f>IFERROR(
        IF('Loan Tape'!J24="Interest Only",
            LET(
                yrs_to_mat,('Loan Tape'!H24-DATE('Control Panel'!$B$10,1,1))/365.25,
                is_btl,'Loan Tape'!K24="BTL",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3" s="37">
        <f>1.00</f>
        <v/>
      </c>
      <c r="V23" s="37">
        <f>IFERROR(IF('Loan Tape'!AG24="Yes",1.85,1),1)</f>
        <v/>
      </c>
      <c r="W23" s="37">
        <f>IFERROR(IF('Loan Tape'!R24="Self-Employed",1.15,1),1)</f>
        <v/>
      </c>
      <c r="X23" s="37">
        <f>IFERROR(
        LET(
            ccj_count,'Loan Tape'!X24,
            ccj_date,'Loan Tape'!Y24,
            ccj_value,'Loan Tape'!Z24,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3" s="37">
        <f>IFERROR(
        IF('Loan Tape'!AH24="Yes",
            LET(
                months_since,(DATE('Control Panel'!$B$10,1,1)-'Loan Tape'!AI24)/30.44,
                IF(months_since&lt;=12,2.0,
                    IF(months_since&lt;=24,1.5,
                        IF(months_since&lt;=36,1.2,1)
                    )
                )
            ),
        1),
    1)</f>
        <v/>
      </c>
      <c r="Z23" s="39">
        <f>IFERROR(
        IF(N23&gt;=100,1,
            G23*H23*I23*J23*K23*L23*M23*N23*O23*P23*Q23*R23*S23*T23*U23*V23*W23*X23*Y23
        ),
    0)</f>
        <v/>
      </c>
    </row>
    <row r="24">
      <c r="A24" s="32">
        <f>'Loan Tape'!A25</f>
        <v/>
      </c>
      <c r="B24" s="33">
        <f>'Loan Tape'!D25</f>
        <v/>
      </c>
      <c r="C24" s="34">
        <f>'Loan Tape'!F25</f>
        <v/>
      </c>
      <c r="D24" s="35">
        <f>IFERROR('Loan Tape'!E25/'Loan Tape'!C25,0)</f>
        <v/>
      </c>
      <c r="E24" s="35">
        <f>IFERROR(
        'Loan Tape'!D25/
        ('Loan Tape'!B25*
        (1-IF(AND('Control Panel'!$B$15="YES",'Loan Tape'!W25&lt;&gt;"Full"),0.05,0))),
    0)</f>
        <v/>
      </c>
      <c r="F24" s="35">
        <f>'Control Panel'!$B$13*D24+'Control Panel'!$B$14*E24</f>
        <v/>
      </c>
      <c r="G24" s="36">
        <f>'Parameter Tables'!$B$5</f>
        <v/>
      </c>
      <c r="H24" s="37">
        <f>IFERROR(
        IF(F24&lt;=0.70,
            0.1+F24*1.2857,
            IF(F24&lt;=1.00,
                1+F24*2.5,
                IF(F24&lt;=1.50,
                    MIN(3.5+F24*1.5,5),
                    5
                )
            )
        ),
    1)</f>
        <v/>
      </c>
      <c r="I24" s="38">
        <f>1.00</f>
        <v/>
      </c>
      <c r="J24" s="37">
        <f>IFERROR(
        LET(
            income_mult,'Loan Tape'!D25/'Loan Tape'!O25,
            num_borr,'Loan Tape'!S25,
            seasoning,(DATE('Control Panel'!$B$10,1,1)-'Loan Tape'!G25)/365.25,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4" s="37">
        <f>IFERROR(
        IF('Loan Tape'!K25="BTL",
            LET(
                rental,'Loan Tape'!P25,
                int_cost,'Loan Tape'!D25*0.055,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4" s="37">
        <f>IFERROR(
        IF('Loan Tape'!U25="Second",1.5,
            IF('Loan Tape'!U25="Third+",1.7,1)
        ),
    1)</f>
        <v/>
      </c>
      <c r="M24" s="37">
        <f>IFERROR(
        IF(AND('Loan Tape'!V25="Cash-out",'Loan Tape'!U25="First"),1.2,1),
    1)</f>
        <v/>
      </c>
      <c r="N24" s="37">
        <f>IFERROR(
        LET(
            arrears,'Loan Tape'!Q25,
            monthly_pmt,'Loan Tape'!D25*'Loan Tape'!I25/12,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4" s="37">
        <f>IFERROR(
        IF('Loan Tape'!Q25=0,
            LET(
                seasoning,(DATE('Control Panel'!$B$10,1,1)-'Loan Tape'!G25)/365.25,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4" s="37">
        <f>IFERROR(
        IF(AND('Loan Tape'!T25="Yes",
            (DATE('Control Panel'!$B$10,1,1)-'Loan Tape'!G25)/365.25&lt;=1.5),
            1.10,1),
    1)</f>
        <v/>
      </c>
      <c r="Q24" s="37">
        <f>IFERROR(IF('Loan Tape'!AE25="Yes",1.35,1),1)</f>
        <v/>
      </c>
      <c r="R24" s="37">
        <f>IFERROR(
        IF('Loan Tape'!AD25="Yes",
            LET(
                seasoning,(DATE('Control Panel'!$B$10,1,1)-'Loan Tape'!G25)/365.25*12,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4" s="37">
        <f>IFERROR(IF('Loan Tape'!AF25="Yes",1.10,1),1)</f>
        <v/>
      </c>
      <c r="T24" s="37">
        <f>IFERROR(
        IF('Loan Tape'!J25="Interest Only",
            LET(
                yrs_to_mat,('Loan Tape'!H25-DATE('Control Panel'!$B$10,1,1))/365.25,
                is_btl,'Loan Tape'!K25="BTL",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4" s="37">
        <f>1.00</f>
        <v/>
      </c>
      <c r="V24" s="37">
        <f>IFERROR(IF('Loan Tape'!AG25="Yes",1.85,1),1)</f>
        <v/>
      </c>
      <c r="W24" s="37">
        <f>IFERROR(IF('Loan Tape'!R25="Self-Employed",1.15,1),1)</f>
        <v/>
      </c>
      <c r="X24" s="37">
        <f>IFERROR(
        LET(
            ccj_count,'Loan Tape'!X25,
            ccj_date,'Loan Tape'!Y25,
            ccj_value,'Loan Tape'!Z25,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4" s="37">
        <f>IFERROR(
        IF('Loan Tape'!AH25="Yes",
            LET(
                months_since,(DATE('Control Panel'!$B$10,1,1)-'Loan Tape'!AI25)/30.44,
                IF(months_since&lt;=12,2.0,
                    IF(months_since&lt;=24,1.5,
                        IF(months_since&lt;=36,1.2,1)
                    )
                )
            ),
        1),
    1)</f>
        <v/>
      </c>
      <c r="Z24" s="39">
        <f>IFERROR(
        IF(N24&gt;=100,1,
            G24*H24*I24*J24*K24*L24*M24*N24*O24*P24*Q24*R24*S24*T24*U24*V24*W24*X24*Y24
        ),
    0)</f>
        <v/>
      </c>
    </row>
    <row r="25">
      <c r="A25" s="32">
        <f>'Loan Tape'!A26</f>
        <v/>
      </c>
      <c r="B25" s="33">
        <f>'Loan Tape'!D26</f>
        <v/>
      </c>
      <c r="C25" s="34">
        <f>'Loan Tape'!F26</f>
        <v/>
      </c>
      <c r="D25" s="35">
        <f>IFERROR('Loan Tape'!E26/'Loan Tape'!C26,0)</f>
        <v/>
      </c>
      <c r="E25" s="35">
        <f>IFERROR(
        'Loan Tape'!D26/
        ('Loan Tape'!B26*
        (1-IF(AND('Control Panel'!$B$15="YES",'Loan Tape'!W26&lt;&gt;"Full"),0.05,0))),
    0)</f>
        <v/>
      </c>
      <c r="F25" s="35">
        <f>'Control Panel'!$B$13*D25+'Control Panel'!$B$14*E25</f>
        <v/>
      </c>
      <c r="G25" s="36">
        <f>'Parameter Tables'!$B$5</f>
        <v/>
      </c>
      <c r="H25" s="37">
        <f>IFERROR(
        IF(F25&lt;=0.70,
            0.1+F25*1.2857,
            IF(F25&lt;=1.00,
                1+F25*2.5,
                IF(F25&lt;=1.50,
                    MIN(3.5+F25*1.5,5),
                    5
                )
            )
        ),
    1)</f>
        <v/>
      </c>
      <c r="I25" s="38">
        <f>1.00</f>
        <v/>
      </c>
      <c r="J25" s="37">
        <f>IFERROR(
        LET(
            income_mult,'Loan Tape'!D26/'Loan Tape'!O26,
            num_borr,'Loan Tape'!S26,
            seasoning,(DATE('Control Panel'!$B$10,1,1)-'Loan Tape'!G26)/365.25,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5" s="37">
        <f>IFERROR(
        IF('Loan Tape'!K26="BTL",
            LET(
                rental,'Loan Tape'!P26,
                int_cost,'Loan Tape'!D26*0.055,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5" s="37">
        <f>IFERROR(
        IF('Loan Tape'!U26="Second",1.5,
            IF('Loan Tape'!U26="Third+",1.7,1)
        ),
    1)</f>
        <v/>
      </c>
      <c r="M25" s="37">
        <f>IFERROR(
        IF(AND('Loan Tape'!V26="Cash-out",'Loan Tape'!U26="First"),1.2,1),
    1)</f>
        <v/>
      </c>
      <c r="N25" s="37">
        <f>IFERROR(
        LET(
            arrears,'Loan Tape'!Q26,
            monthly_pmt,'Loan Tape'!D26*'Loan Tape'!I26/12,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5" s="37">
        <f>IFERROR(
        IF('Loan Tape'!Q26=0,
            LET(
                seasoning,(DATE('Control Panel'!$B$10,1,1)-'Loan Tape'!G26)/365.25,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5" s="37">
        <f>IFERROR(
        IF(AND('Loan Tape'!T26="Yes",
            (DATE('Control Panel'!$B$10,1,1)-'Loan Tape'!G26)/365.25&lt;=1.5),
            1.10,1),
    1)</f>
        <v/>
      </c>
      <c r="Q25" s="37">
        <f>IFERROR(IF('Loan Tape'!AE26="Yes",1.35,1),1)</f>
        <v/>
      </c>
      <c r="R25" s="37">
        <f>IFERROR(
        IF('Loan Tape'!AD26="Yes",
            LET(
                seasoning,(DATE('Control Panel'!$B$10,1,1)-'Loan Tape'!G26)/365.25*12,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5" s="37">
        <f>IFERROR(IF('Loan Tape'!AF26="Yes",1.10,1),1)</f>
        <v/>
      </c>
      <c r="T25" s="37">
        <f>IFERROR(
        IF('Loan Tape'!J26="Interest Only",
            LET(
                yrs_to_mat,('Loan Tape'!H26-DATE('Control Panel'!$B$10,1,1))/365.25,
                is_btl,'Loan Tape'!K26="BTL",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5" s="37">
        <f>1.00</f>
        <v/>
      </c>
      <c r="V25" s="37">
        <f>IFERROR(IF('Loan Tape'!AG26="Yes",1.85,1),1)</f>
        <v/>
      </c>
      <c r="W25" s="37">
        <f>IFERROR(IF('Loan Tape'!R26="Self-Employed",1.15,1),1)</f>
        <v/>
      </c>
      <c r="X25" s="37">
        <f>IFERROR(
        LET(
            ccj_count,'Loan Tape'!X26,
            ccj_date,'Loan Tape'!Y26,
            ccj_value,'Loan Tape'!Z26,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5" s="37">
        <f>IFERROR(
        IF('Loan Tape'!AH26="Yes",
            LET(
                months_since,(DATE('Control Panel'!$B$10,1,1)-'Loan Tape'!AI26)/30.44,
                IF(months_since&lt;=12,2.0,
                    IF(months_since&lt;=24,1.5,
                        IF(months_since&lt;=36,1.2,1)
                    )
                )
            ),
        1),
    1)</f>
        <v/>
      </c>
      <c r="Z25" s="39">
        <f>IFERROR(
        IF(N25&gt;=100,1,
            G25*H25*I25*J25*K25*L25*M25*N25*O25*P25*Q25*R25*S25*T25*U25*V25*W25*X25*Y25
        ),
    0)</f>
        <v/>
      </c>
    </row>
    <row r="26">
      <c r="A26" s="32">
        <f>'Loan Tape'!A27</f>
        <v/>
      </c>
      <c r="B26" s="33">
        <f>'Loan Tape'!D27</f>
        <v/>
      </c>
      <c r="C26" s="34">
        <f>'Loan Tape'!F27</f>
        <v/>
      </c>
      <c r="D26" s="35">
        <f>IFERROR('Loan Tape'!E27/'Loan Tape'!C27,0)</f>
        <v/>
      </c>
      <c r="E26" s="35">
        <f>IFERROR(
        'Loan Tape'!D27/
        ('Loan Tape'!B27*
        (1-IF(AND('Control Panel'!$B$15="YES",'Loan Tape'!W27&lt;&gt;"Full"),0.05,0))),
    0)</f>
        <v/>
      </c>
      <c r="F26" s="35">
        <f>'Control Panel'!$B$13*D26+'Control Panel'!$B$14*E26</f>
        <v/>
      </c>
      <c r="G26" s="36">
        <f>'Parameter Tables'!$B$5</f>
        <v/>
      </c>
      <c r="H26" s="37">
        <f>IFERROR(
        IF(F26&lt;=0.70,
            0.1+F26*1.2857,
            IF(F26&lt;=1.00,
                1+F26*2.5,
                IF(F26&lt;=1.50,
                    MIN(3.5+F26*1.5,5),
                    5
                )
            )
        ),
    1)</f>
        <v/>
      </c>
      <c r="I26" s="38">
        <f>1.00</f>
        <v/>
      </c>
      <c r="J26" s="37">
        <f>IFERROR(
        LET(
            income_mult,'Loan Tape'!D27/'Loan Tape'!O27,
            num_borr,'Loan Tape'!S27,
            seasoning,(DATE('Control Panel'!$B$10,1,1)-'Loan Tape'!G27)/365.25,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6" s="37">
        <f>IFERROR(
        IF('Loan Tape'!K27="BTL",
            LET(
                rental,'Loan Tape'!P27,
                int_cost,'Loan Tape'!D27*0.055,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6" s="37">
        <f>IFERROR(
        IF('Loan Tape'!U27="Second",1.5,
            IF('Loan Tape'!U27="Third+",1.7,1)
        ),
    1)</f>
        <v/>
      </c>
      <c r="M26" s="37">
        <f>IFERROR(
        IF(AND('Loan Tape'!V27="Cash-out",'Loan Tape'!U27="First"),1.2,1),
    1)</f>
        <v/>
      </c>
      <c r="N26" s="37">
        <f>IFERROR(
        LET(
            arrears,'Loan Tape'!Q27,
            monthly_pmt,'Loan Tape'!D27*'Loan Tape'!I27/12,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6" s="37">
        <f>IFERROR(
        IF('Loan Tape'!Q27=0,
            LET(
                seasoning,(DATE('Control Panel'!$B$10,1,1)-'Loan Tape'!G27)/365.25,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6" s="37">
        <f>IFERROR(
        IF(AND('Loan Tape'!T27="Yes",
            (DATE('Control Panel'!$B$10,1,1)-'Loan Tape'!G27)/365.25&lt;=1.5),
            1.10,1),
    1)</f>
        <v/>
      </c>
      <c r="Q26" s="37">
        <f>IFERROR(IF('Loan Tape'!AE27="Yes",1.35,1),1)</f>
        <v/>
      </c>
      <c r="R26" s="37">
        <f>IFERROR(
        IF('Loan Tape'!AD27="Yes",
            LET(
                seasoning,(DATE('Control Panel'!$B$10,1,1)-'Loan Tape'!G27)/365.25*12,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6" s="37">
        <f>IFERROR(IF('Loan Tape'!AF27="Yes",1.10,1),1)</f>
        <v/>
      </c>
      <c r="T26" s="37">
        <f>IFERROR(
        IF('Loan Tape'!J27="Interest Only",
            LET(
                yrs_to_mat,('Loan Tape'!H27-DATE('Control Panel'!$B$10,1,1))/365.25,
                is_btl,'Loan Tape'!K27="BTL",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6" s="37">
        <f>1.00</f>
        <v/>
      </c>
      <c r="V26" s="37">
        <f>IFERROR(IF('Loan Tape'!AG27="Yes",1.85,1),1)</f>
        <v/>
      </c>
      <c r="W26" s="37">
        <f>IFERROR(IF('Loan Tape'!R27="Self-Employed",1.15,1),1)</f>
        <v/>
      </c>
      <c r="X26" s="37">
        <f>IFERROR(
        LET(
            ccj_count,'Loan Tape'!X27,
            ccj_date,'Loan Tape'!Y27,
            ccj_value,'Loan Tape'!Z27,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6" s="37">
        <f>IFERROR(
        IF('Loan Tape'!AH27="Yes",
            LET(
                months_since,(DATE('Control Panel'!$B$10,1,1)-'Loan Tape'!AI27)/30.44,
                IF(months_since&lt;=12,2.0,
                    IF(months_since&lt;=24,1.5,
                        IF(months_since&lt;=36,1.2,1)
                    )
                )
            ),
        1),
    1)</f>
        <v/>
      </c>
      <c r="Z26" s="39">
        <f>IFERROR(
        IF(N26&gt;=100,1,
            G26*H26*I26*J26*K26*L26*M26*N26*O26*P26*Q26*R26*S26*T26*U26*V26*W26*X26*Y26
        ),
    0)</f>
        <v/>
      </c>
    </row>
    <row r="27">
      <c r="A27" s="32">
        <f>'Loan Tape'!A28</f>
        <v/>
      </c>
      <c r="B27" s="33">
        <f>'Loan Tape'!D28</f>
        <v/>
      </c>
      <c r="C27" s="34">
        <f>'Loan Tape'!F28</f>
        <v/>
      </c>
      <c r="D27" s="35">
        <f>IFERROR('Loan Tape'!E28/'Loan Tape'!C28,0)</f>
        <v/>
      </c>
      <c r="E27" s="35">
        <f>IFERROR(
        'Loan Tape'!D28/
        ('Loan Tape'!B28*
        (1-IF(AND('Control Panel'!$B$15="YES",'Loan Tape'!W28&lt;&gt;"Full"),0.05,0))),
    0)</f>
        <v/>
      </c>
      <c r="F27" s="35">
        <f>'Control Panel'!$B$13*D27+'Control Panel'!$B$14*E27</f>
        <v/>
      </c>
      <c r="G27" s="36">
        <f>'Parameter Tables'!$B$5</f>
        <v/>
      </c>
      <c r="H27" s="37">
        <f>IFERROR(
        IF(F27&lt;=0.70,
            0.1+F27*1.2857,
            IF(F27&lt;=1.00,
                1+F27*2.5,
                IF(F27&lt;=1.50,
                    MIN(3.5+F27*1.5,5),
                    5
                )
            )
        ),
    1)</f>
        <v/>
      </c>
      <c r="I27" s="38">
        <f>1.00</f>
        <v/>
      </c>
      <c r="J27" s="37">
        <f>IFERROR(
        LET(
            income_mult,'Loan Tape'!D28/'Loan Tape'!O28,
            num_borr,'Loan Tape'!S28,
            seasoning,(DATE('Control Panel'!$B$10,1,1)-'Loan Tape'!G28)/365.25,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7" s="37">
        <f>IFERROR(
        IF('Loan Tape'!K28="BTL",
            LET(
                rental,'Loan Tape'!P28,
                int_cost,'Loan Tape'!D28*0.055,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7" s="37">
        <f>IFERROR(
        IF('Loan Tape'!U28="Second",1.5,
            IF('Loan Tape'!U28="Third+",1.7,1)
        ),
    1)</f>
        <v/>
      </c>
      <c r="M27" s="37">
        <f>IFERROR(
        IF(AND('Loan Tape'!V28="Cash-out",'Loan Tape'!U28="First"),1.2,1),
    1)</f>
        <v/>
      </c>
      <c r="N27" s="37">
        <f>IFERROR(
        LET(
            arrears,'Loan Tape'!Q28,
            monthly_pmt,'Loan Tape'!D28*'Loan Tape'!I28/12,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7" s="37">
        <f>IFERROR(
        IF('Loan Tape'!Q28=0,
            LET(
                seasoning,(DATE('Control Panel'!$B$10,1,1)-'Loan Tape'!G28)/365.25,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7" s="37">
        <f>IFERROR(
        IF(AND('Loan Tape'!T28="Yes",
            (DATE('Control Panel'!$B$10,1,1)-'Loan Tape'!G28)/365.25&lt;=1.5),
            1.10,1),
    1)</f>
        <v/>
      </c>
      <c r="Q27" s="37">
        <f>IFERROR(IF('Loan Tape'!AE28="Yes",1.35,1),1)</f>
        <v/>
      </c>
      <c r="R27" s="37">
        <f>IFERROR(
        IF('Loan Tape'!AD28="Yes",
            LET(
                seasoning,(DATE('Control Panel'!$B$10,1,1)-'Loan Tape'!G28)/365.25*12,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7" s="37">
        <f>IFERROR(IF('Loan Tape'!AF28="Yes",1.10,1),1)</f>
        <v/>
      </c>
      <c r="T27" s="37">
        <f>IFERROR(
        IF('Loan Tape'!J28="Interest Only",
            LET(
                yrs_to_mat,('Loan Tape'!H28-DATE('Control Panel'!$B$10,1,1))/365.25,
                is_btl,'Loan Tape'!K28="BTL",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7" s="37">
        <f>1.00</f>
        <v/>
      </c>
      <c r="V27" s="37">
        <f>IFERROR(IF('Loan Tape'!AG28="Yes",1.85,1),1)</f>
        <v/>
      </c>
      <c r="W27" s="37">
        <f>IFERROR(IF('Loan Tape'!R28="Self-Employed",1.15,1),1)</f>
        <v/>
      </c>
      <c r="X27" s="37">
        <f>IFERROR(
        LET(
            ccj_count,'Loan Tape'!X28,
            ccj_date,'Loan Tape'!Y28,
            ccj_value,'Loan Tape'!Z28,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7" s="37">
        <f>IFERROR(
        IF('Loan Tape'!AH28="Yes",
            LET(
                months_since,(DATE('Control Panel'!$B$10,1,1)-'Loan Tape'!AI28)/30.44,
                IF(months_since&lt;=12,2.0,
                    IF(months_since&lt;=24,1.5,
                        IF(months_since&lt;=36,1.2,1)
                    )
                )
            ),
        1),
    1)</f>
        <v/>
      </c>
      <c r="Z27" s="39">
        <f>IFERROR(
        IF(N27&gt;=100,1,
            G27*H27*I27*J27*K27*L27*M27*N27*O27*P27*Q27*R27*S27*T27*U27*V27*W27*X27*Y27
        ),
    0)</f>
        <v/>
      </c>
    </row>
    <row r="28">
      <c r="A28" s="32">
        <f>'Loan Tape'!A29</f>
        <v/>
      </c>
      <c r="B28" s="33">
        <f>'Loan Tape'!D29</f>
        <v/>
      </c>
      <c r="C28" s="34">
        <f>'Loan Tape'!F29</f>
        <v/>
      </c>
      <c r="D28" s="35">
        <f>IFERROR('Loan Tape'!E29/'Loan Tape'!C29,0)</f>
        <v/>
      </c>
      <c r="E28" s="35">
        <f>IFERROR(
        'Loan Tape'!D29/
        ('Loan Tape'!B29*
        (1-IF(AND('Control Panel'!$B$15="YES",'Loan Tape'!W29&lt;&gt;"Full"),0.05,0))),
    0)</f>
        <v/>
      </c>
      <c r="F28" s="35">
        <f>'Control Panel'!$B$13*D28+'Control Panel'!$B$14*E28</f>
        <v/>
      </c>
      <c r="G28" s="36">
        <f>'Parameter Tables'!$B$5</f>
        <v/>
      </c>
      <c r="H28" s="37">
        <f>IFERROR(
        IF(F28&lt;=0.70,
            0.1+F28*1.2857,
            IF(F28&lt;=1.00,
                1+F28*2.5,
                IF(F28&lt;=1.50,
                    MIN(3.5+F28*1.5,5),
                    5
                )
            )
        ),
    1)</f>
        <v/>
      </c>
      <c r="I28" s="38">
        <f>1.00</f>
        <v/>
      </c>
      <c r="J28" s="37">
        <f>IFERROR(
        LET(
            income_mult,'Loan Tape'!D29/'Loan Tape'!O29,
            num_borr,'Loan Tape'!S29,
            seasoning,(DATE('Control Panel'!$B$10,1,1)-'Loan Tape'!G29)/365.25,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8" s="37">
        <f>IFERROR(
        IF('Loan Tape'!K29="BTL",
            LET(
                rental,'Loan Tape'!P29,
                int_cost,'Loan Tape'!D29*0.055,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8" s="37">
        <f>IFERROR(
        IF('Loan Tape'!U29="Second",1.5,
            IF('Loan Tape'!U29="Third+",1.7,1)
        ),
    1)</f>
        <v/>
      </c>
      <c r="M28" s="37">
        <f>IFERROR(
        IF(AND('Loan Tape'!V29="Cash-out",'Loan Tape'!U29="First"),1.2,1),
    1)</f>
        <v/>
      </c>
      <c r="N28" s="37">
        <f>IFERROR(
        LET(
            arrears,'Loan Tape'!Q29,
            monthly_pmt,'Loan Tape'!D29*'Loan Tape'!I29/12,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8" s="37">
        <f>IFERROR(
        IF('Loan Tape'!Q29=0,
            LET(
                seasoning,(DATE('Control Panel'!$B$10,1,1)-'Loan Tape'!G29)/365.25,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8" s="37">
        <f>IFERROR(
        IF(AND('Loan Tape'!T29="Yes",
            (DATE('Control Panel'!$B$10,1,1)-'Loan Tape'!G29)/365.25&lt;=1.5),
            1.10,1),
    1)</f>
        <v/>
      </c>
      <c r="Q28" s="37">
        <f>IFERROR(IF('Loan Tape'!AE29="Yes",1.35,1),1)</f>
        <v/>
      </c>
      <c r="R28" s="37">
        <f>IFERROR(
        IF('Loan Tape'!AD29="Yes",
            LET(
                seasoning,(DATE('Control Panel'!$B$10,1,1)-'Loan Tape'!G29)/365.25*12,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8" s="37">
        <f>IFERROR(IF('Loan Tape'!AF29="Yes",1.10,1),1)</f>
        <v/>
      </c>
      <c r="T28" s="37">
        <f>IFERROR(
        IF('Loan Tape'!J29="Interest Only",
            LET(
                yrs_to_mat,('Loan Tape'!H29-DATE('Control Panel'!$B$10,1,1))/365.25,
                is_btl,'Loan Tape'!K29="BTL",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8" s="37">
        <f>1.00</f>
        <v/>
      </c>
      <c r="V28" s="37">
        <f>IFERROR(IF('Loan Tape'!AG29="Yes",1.85,1),1)</f>
        <v/>
      </c>
      <c r="W28" s="37">
        <f>IFERROR(IF('Loan Tape'!R29="Self-Employed",1.15,1),1)</f>
        <v/>
      </c>
      <c r="X28" s="37">
        <f>IFERROR(
        LET(
            ccj_count,'Loan Tape'!X29,
            ccj_date,'Loan Tape'!Y29,
            ccj_value,'Loan Tape'!Z29,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8" s="37">
        <f>IFERROR(
        IF('Loan Tape'!AH29="Yes",
            LET(
                months_since,(DATE('Control Panel'!$B$10,1,1)-'Loan Tape'!AI29)/30.44,
                IF(months_since&lt;=12,2.0,
                    IF(months_since&lt;=24,1.5,
                        IF(months_since&lt;=36,1.2,1)
                    )
                )
            ),
        1),
    1)</f>
        <v/>
      </c>
      <c r="Z28" s="39">
        <f>IFERROR(
        IF(N28&gt;=100,1,
            G28*H28*I28*J28*K28*L28*M28*N28*O28*P28*Q28*R28*S28*T28*U28*V28*W28*X28*Y28
        ),
    0)</f>
        <v/>
      </c>
    </row>
    <row r="29">
      <c r="A29" s="32">
        <f>'Loan Tape'!A30</f>
        <v/>
      </c>
      <c r="B29" s="33">
        <f>'Loan Tape'!D30</f>
        <v/>
      </c>
      <c r="C29" s="34">
        <f>'Loan Tape'!F30</f>
        <v/>
      </c>
      <c r="D29" s="35">
        <f>IFERROR('Loan Tape'!E30/'Loan Tape'!C30,0)</f>
        <v/>
      </c>
      <c r="E29" s="35">
        <f>IFERROR(
        'Loan Tape'!D30/
        ('Loan Tape'!B30*
        (1-IF(AND('Control Panel'!$B$15="YES",'Loan Tape'!W30&lt;&gt;"Full"),0.05,0))),
    0)</f>
        <v/>
      </c>
      <c r="F29" s="35">
        <f>'Control Panel'!$B$13*D29+'Control Panel'!$B$14*E29</f>
        <v/>
      </c>
      <c r="G29" s="36">
        <f>'Parameter Tables'!$B$5</f>
        <v/>
      </c>
      <c r="H29" s="37">
        <f>IFERROR(
        IF(F29&lt;=0.70,
            0.1+F29*1.2857,
            IF(F29&lt;=1.00,
                1+F29*2.5,
                IF(F29&lt;=1.50,
                    MIN(3.5+F29*1.5,5),
                    5
                )
            )
        ),
    1)</f>
        <v/>
      </c>
      <c r="I29" s="38">
        <f>1.00</f>
        <v/>
      </c>
      <c r="J29" s="37">
        <f>IFERROR(
        LET(
            income_mult,'Loan Tape'!D30/'Loan Tape'!O30,
            num_borr,'Loan Tape'!S30,
            seasoning,(DATE('Control Panel'!$B$10,1,1)-'Loan Tape'!G30)/365.25,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29" s="37">
        <f>IFERROR(
        IF('Loan Tape'!K30="BTL",
            LET(
                rental,'Loan Tape'!P30,
                int_cost,'Loan Tape'!D30*0.055,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29" s="37">
        <f>IFERROR(
        IF('Loan Tape'!U30="Second",1.5,
            IF('Loan Tape'!U30="Third+",1.7,1)
        ),
    1)</f>
        <v/>
      </c>
      <c r="M29" s="37">
        <f>IFERROR(
        IF(AND('Loan Tape'!V30="Cash-out",'Loan Tape'!U30="First"),1.2,1),
    1)</f>
        <v/>
      </c>
      <c r="N29" s="37">
        <f>IFERROR(
        LET(
            arrears,'Loan Tape'!Q30,
            monthly_pmt,'Loan Tape'!D30*'Loan Tape'!I30/12,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29" s="37">
        <f>IFERROR(
        IF('Loan Tape'!Q30=0,
            LET(
                seasoning,(DATE('Control Panel'!$B$10,1,1)-'Loan Tape'!G30)/365.25,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29" s="37">
        <f>IFERROR(
        IF(AND('Loan Tape'!T30="Yes",
            (DATE('Control Panel'!$B$10,1,1)-'Loan Tape'!G30)/365.25&lt;=1.5),
            1.10,1),
    1)</f>
        <v/>
      </c>
      <c r="Q29" s="37">
        <f>IFERROR(IF('Loan Tape'!AE30="Yes",1.35,1),1)</f>
        <v/>
      </c>
      <c r="R29" s="37">
        <f>IFERROR(
        IF('Loan Tape'!AD30="Yes",
            LET(
                seasoning,(DATE('Control Panel'!$B$10,1,1)-'Loan Tape'!G30)/365.25*12,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29" s="37">
        <f>IFERROR(IF('Loan Tape'!AF30="Yes",1.10,1),1)</f>
        <v/>
      </c>
      <c r="T29" s="37">
        <f>IFERROR(
        IF('Loan Tape'!J30="Interest Only",
            LET(
                yrs_to_mat,('Loan Tape'!H30-DATE('Control Panel'!$B$10,1,1))/365.25,
                is_btl,'Loan Tape'!K30="BTL",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29" s="37">
        <f>1.00</f>
        <v/>
      </c>
      <c r="V29" s="37">
        <f>IFERROR(IF('Loan Tape'!AG30="Yes",1.85,1),1)</f>
        <v/>
      </c>
      <c r="W29" s="37">
        <f>IFERROR(IF('Loan Tape'!R30="Self-Employed",1.15,1),1)</f>
        <v/>
      </c>
      <c r="X29" s="37">
        <f>IFERROR(
        LET(
            ccj_count,'Loan Tape'!X30,
            ccj_date,'Loan Tape'!Y30,
            ccj_value,'Loan Tape'!Z30,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29" s="37">
        <f>IFERROR(
        IF('Loan Tape'!AH30="Yes",
            LET(
                months_since,(DATE('Control Panel'!$B$10,1,1)-'Loan Tape'!AI30)/30.44,
                IF(months_since&lt;=12,2.0,
                    IF(months_since&lt;=24,1.5,
                        IF(months_since&lt;=36,1.2,1)
                    )
                )
            ),
        1),
    1)</f>
        <v/>
      </c>
      <c r="Z29" s="39">
        <f>IFERROR(
        IF(N29&gt;=100,1,
            G29*H29*I29*J29*K29*L29*M29*N29*O29*P29*Q29*R29*S29*T29*U29*V29*W29*X29*Y29
        ),
    0)</f>
        <v/>
      </c>
    </row>
    <row r="30">
      <c r="A30" s="32">
        <f>'Loan Tape'!A31</f>
        <v/>
      </c>
      <c r="B30" s="33">
        <f>'Loan Tape'!D31</f>
        <v/>
      </c>
      <c r="C30" s="34">
        <f>'Loan Tape'!F31</f>
        <v/>
      </c>
      <c r="D30" s="35">
        <f>IFERROR('Loan Tape'!E31/'Loan Tape'!C31,0)</f>
        <v/>
      </c>
      <c r="E30" s="35">
        <f>IFERROR(
        'Loan Tape'!D31/
        ('Loan Tape'!B31*
        (1-IF(AND('Control Panel'!$B$15="YES",'Loan Tape'!W31&lt;&gt;"Full"),0.05,0))),
    0)</f>
        <v/>
      </c>
      <c r="F30" s="35">
        <f>'Control Panel'!$B$13*D30+'Control Panel'!$B$14*E30</f>
        <v/>
      </c>
      <c r="G30" s="36">
        <f>'Parameter Tables'!$B$5</f>
        <v/>
      </c>
      <c r="H30" s="37">
        <f>IFERROR(
        IF(F30&lt;=0.70,
            0.1+F30*1.2857,
            IF(F30&lt;=1.00,
                1+F30*2.5,
                IF(F30&lt;=1.50,
                    MIN(3.5+F30*1.5,5),
                    5
                )
            )
        ),
    1)</f>
        <v/>
      </c>
      <c r="I30" s="38">
        <f>1.00</f>
        <v/>
      </c>
      <c r="J30" s="37">
        <f>IFERROR(
        LET(
            income_mult,'Loan Tape'!D31/'Loan Tape'!O31,
            num_borr,'Loan Tape'!S31,
            seasoning,(DATE('Control Panel'!$B$10,1,1)-'Loan Tape'!G31)/365.25,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0" s="37">
        <f>IFERROR(
        IF('Loan Tape'!K31="BTL",
            LET(
                rental,'Loan Tape'!P31,
                int_cost,'Loan Tape'!D31*0.055,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0" s="37">
        <f>IFERROR(
        IF('Loan Tape'!U31="Second",1.5,
            IF('Loan Tape'!U31="Third+",1.7,1)
        ),
    1)</f>
        <v/>
      </c>
      <c r="M30" s="37">
        <f>IFERROR(
        IF(AND('Loan Tape'!V31="Cash-out",'Loan Tape'!U31="First"),1.2,1),
    1)</f>
        <v/>
      </c>
      <c r="N30" s="37">
        <f>IFERROR(
        LET(
            arrears,'Loan Tape'!Q31,
            monthly_pmt,'Loan Tape'!D31*'Loan Tape'!I31/12,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0" s="37">
        <f>IFERROR(
        IF('Loan Tape'!Q31=0,
            LET(
                seasoning,(DATE('Control Panel'!$B$10,1,1)-'Loan Tape'!G31)/365.25,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0" s="37">
        <f>IFERROR(
        IF(AND('Loan Tape'!T31="Yes",
            (DATE('Control Panel'!$B$10,1,1)-'Loan Tape'!G31)/365.25&lt;=1.5),
            1.10,1),
    1)</f>
        <v/>
      </c>
      <c r="Q30" s="37">
        <f>IFERROR(IF('Loan Tape'!AE31="Yes",1.35,1),1)</f>
        <v/>
      </c>
      <c r="R30" s="37">
        <f>IFERROR(
        IF('Loan Tape'!AD31="Yes",
            LET(
                seasoning,(DATE('Control Panel'!$B$10,1,1)-'Loan Tape'!G31)/365.25*12,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0" s="37">
        <f>IFERROR(IF('Loan Tape'!AF31="Yes",1.10,1),1)</f>
        <v/>
      </c>
      <c r="T30" s="37">
        <f>IFERROR(
        IF('Loan Tape'!J31="Interest Only",
            LET(
                yrs_to_mat,('Loan Tape'!H31-DATE('Control Panel'!$B$10,1,1))/365.25,
                is_btl,'Loan Tape'!K31="BTL",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0" s="37">
        <f>1.00</f>
        <v/>
      </c>
      <c r="V30" s="37">
        <f>IFERROR(IF('Loan Tape'!AG31="Yes",1.85,1),1)</f>
        <v/>
      </c>
      <c r="W30" s="37">
        <f>IFERROR(IF('Loan Tape'!R31="Self-Employed",1.15,1),1)</f>
        <v/>
      </c>
      <c r="X30" s="37">
        <f>IFERROR(
        LET(
            ccj_count,'Loan Tape'!X31,
            ccj_date,'Loan Tape'!Y31,
            ccj_value,'Loan Tape'!Z31,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0" s="37">
        <f>IFERROR(
        IF('Loan Tape'!AH31="Yes",
            LET(
                months_since,(DATE('Control Panel'!$B$10,1,1)-'Loan Tape'!AI31)/30.44,
                IF(months_since&lt;=12,2.0,
                    IF(months_since&lt;=24,1.5,
                        IF(months_since&lt;=36,1.2,1)
                    )
                )
            ),
        1),
    1)</f>
        <v/>
      </c>
      <c r="Z30" s="39">
        <f>IFERROR(
        IF(N30&gt;=100,1,
            G30*H30*I30*J30*K30*L30*M30*N30*O30*P30*Q30*R30*S30*T30*U30*V30*W30*X30*Y30
        ),
    0)</f>
        <v/>
      </c>
    </row>
    <row r="31">
      <c r="A31" s="32">
        <f>'Loan Tape'!A32</f>
        <v/>
      </c>
      <c r="B31" s="33">
        <f>'Loan Tape'!D32</f>
        <v/>
      </c>
      <c r="C31" s="34">
        <f>'Loan Tape'!F32</f>
        <v/>
      </c>
      <c r="D31" s="35">
        <f>IFERROR('Loan Tape'!E32/'Loan Tape'!C32,0)</f>
        <v/>
      </c>
      <c r="E31" s="35">
        <f>IFERROR(
        'Loan Tape'!D32/
        ('Loan Tape'!B32*
        (1-IF(AND('Control Panel'!$B$15="YES",'Loan Tape'!W32&lt;&gt;"Full"),0.05,0))),
    0)</f>
        <v/>
      </c>
      <c r="F31" s="35">
        <f>'Control Panel'!$B$13*D31+'Control Panel'!$B$14*E31</f>
        <v/>
      </c>
      <c r="G31" s="36">
        <f>'Parameter Tables'!$B$5</f>
        <v/>
      </c>
      <c r="H31" s="37">
        <f>IFERROR(
        IF(F31&lt;=0.70,
            0.1+F31*1.2857,
            IF(F31&lt;=1.00,
                1+F31*2.5,
                IF(F31&lt;=1.50,
                    MIN(3.5+F31*1.5,5),
                    5
                )
            )
        ),
    1)</f>
        <v/>
      </c>
      <c r="I31" s="38">
        <f>1.00</f>
        <v/>
      </c>
      <c r="J31" s="37">
        <f>IFERROR(
        LET(
            income_mult,'Loan Tape'!D32/'Loan Tape'!O32,
            num_borr,'Loan Tape'!S32,
            seasoning,(DATE('Control Panel'!$B$10,1,1)-'Loan Tape'!G32)/365.25,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1" s="37">
        <f>IFERROR(
        IF('Loan Tape'!K32="BTL",
            LET(
                rental,'Loan Tape'!P32,
                int_cost,'Loan Tape'!D32*0.055,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1" s="37">
        <f>IFERROR(
        IF('Loan Tape'!U32="Second",1.5,
            IF('Loan Tape'!U32="Third+",1.7,1)
        ),
    1)</f>
        <v/>
      </c>
      <c r="M31" s="37">
        <f>IFERROR(
        IF(AND('Loan Tape'!V32="Cash-out",'Loan Tape'!U32="First"),1.2,1),
    1)</f>
        <v/>
      </c>
      <c r="N31" s="37">
        <f>IFERROR(
        LET(
            arrears,'Loan Tape'!Q32,
            monthly_pmt,'Loan Tape'!D32*'Loan Tape'!I32/12,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1" s="37">
        <f>IFERROR(
        IF('Loan Tape'!Q32=0,
            LET(
                seasoning,(DATE('Control Panel'!$B$10,1,1)-'Loan Tape'!G32)/365.25,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1" s="37">
        <f>IFERROR(
        IF(AND('Loan Tape'!T32="Yes",
            (DATE('Control Panel'!$B$10,1,1)-'Loan Tape'!G32)/365.25&lt;=1.5),
            1.10,1),
    1)</f>
        <v/>
      </c>
      <c r="Q31" s="37">
        <f>IFERROR(IF('Loan Tape'!AE32="Yes",1.35,1),1)</f>
        <v/>
      </c>
      <c r="R31" s="37">
        <f>IFERROR(
        IF('Loan Tape'!AD32="Yes",
            LET(
                seasoning,(DATE('Control Panel'!$B$10,1,1)-'Loan Tape'!G32)/365.25*12,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1" s="37">
        <f>IFERROR(IF('Loan Tape'!AF32="Yes",1.10,1),1)</f>
        <v/>
      </c>
      <c r="T31" s="37">
        <f>IFERROR(
        IF('Loan Tape'!J32="Interest Only",
            LET(
                yrs_to_mat,('Loan Tape'!H32-DATE('Control Panel'!$B$10,1,1))/365.25,
                is_btl,'Loan Tape'!K32="BTL",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1" s="37">
        <f>1.00</f>
        <v/>
      </c>
      <c r="V31" s="37">
        <f>IFERROR(IF('Loan Tape'!AG32="Yes",1.85,1),1)</f>
        <v/>
      </c>
      <c r="W31" s="37">
        <f>IFERROR(IF('Loan Tape'!R32="Self-Employed",1.15,1),1)</f>
        <v/>
      </c>
      <c r="X31" s="37">
        <f>IFERROR(
        LET(
            ccj_count,'Loan Tape'!X32,
            ccj_date,'Loan Tape'!Y32,
            ccj_value,'Loan Tape'!Z32,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1" s="37">
        <f>IFERROR(
        IF('Loan Tape'!AH32="Yes",
            LET(
                months_since,(DATE('Control Panel'!$B$10,1,1)-'Loan Tape'!AI32)/30.44,
                IF(months_since&lt;=12,2.0,
                    IF(months_since&lt;=24,1.5,
                        IF(months_since&lt;=36,1.2,1)
                    )
                )
            ),
        1),
    1)</f>
        <v/>
      </c>
      <c r="Z31" s="39">
        <f>IFERROR(
        IF(N31&gt;=100,1,
            G31*H31*I31*J31*K31*L31*M31*N31*O31*P31*Q31*R31*S31*T31*U31*V31*W31*X31*Y31
        ),
    0)</f>
        <v/>
      </c>
    </row>
    <row r="32">
      <c r="A32" s="32">
        <f>'Loan Tape'!A33</f>
        <v/>
      </c>
      <c r="B32" s="33">
        <f>'Loan Tape'!D33</f>
        <v/>
      </c>
      <c r="C32" s="34">
        <f>'Loan Tape'!F33</f>
        <v/>
      </c>
      <c r="D32" s="35">
        <f>IFERROR('Loan Tape'!E33/'Loan Tape'!C33,0)</f>
        <v/>
      </c>
      <c r="E32" s="35">
        <f>IFERROR(
        'Loan Tape'!D33/
        ('Loan Tape'!B33*
        (1-IF(AND('Control Panel'!$B$15="YES",'Loan Tape'!W33&lt;&gt;"Full"),0.05,0))),
    0)</f>
        <v/>
      </c>
      <c r="F32" s="35">
        <f>'Control Panel'!$B$13*D32+'Control Panel'!$B$14*E32</f>
        <v/>
      </c>
      <c r="G32" s="36">
        <f>'Parameter Tables'!$B$5</f>
        <v/>
      </c>
      <c r="H32" s="37">
        <f>IFERROR(
        IF(F32&lt;=0.70,
            0.1+F32*1.2857,
            IF(F32&lt;=1.00,
                1+F32*2.5,
                IF(F32&lt;=1.50,
                    MIN(3.5+F32*1.5,5),
                    5
                )
            )
        ),
    1)</f>
        <v/>
      </c>
      <c r="I32" s="38">
        <f>1.00</f>
        <v/>
      </c>
      <c r="J32" s="37">
        <f>IFERROR(
        LET(
            income_mult,'Loan Tape'!D33/'Loan Tape'!O33,
            num_borr,'Loan Tape'!S33,
            seasoning,(DATE('Control Panel'!$B$10,1,1)-'Loan Tape'!G33)/365.25,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2" s="37">
        <f>IFERROR(
        IF('Loan Tape'!K33="BTL",
            LET(
                rental,'Loan Tape'!P33,
                int_cost,'Loan Tape'!D33*0.055,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2" s="37">
        <f>IFERROR(
        IF('Loan Tape'!U33="Second",1.5,
            IF('Loan Tape'!U33="Third+",1.7,1)
        ),
    1)</f>
        <v/>
      </c>
      <c r="M32" s="37">
        <f>IFERROR(
        IF(AND('Loan Tape'!V33="Cash-out",'Loan Tape'!U33="First"),1.2,1),
    1)</f>
        <v/>
      </c>
      <c r="N32" s="37">
        <f>IFERROR(
        LET(
            arrears,'Loan Tape'!Q33,
            monthly_pmt,'Loan Tape'!D33*'Loan Tape'!I33/12,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2" s="37">
        <f>IFERROR(
        IF('Loan Tape'!Q33=0,
            LET(
                seasoning,(DATE('Control Panel'!$B$10,1,1)-'Loan Tape'!G33)/365.25,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2" s="37">
        <f>IFERROR(
        IF(AND('Loan Tape'!T33="Yes",
            (DATE('Control Panel'!$B$10,1,1)-'Loan Tape'!G33)/365.25&lt;=1.5),
            1.10,1),
    1)</f>
        <v/>
      </c>
      <c r="Q32" s="37">
        <f>IFERROR(IF('Loan Tape'!AE33="Yes",1.35,1),1)</f>
        <v/>
      </c>
      <c r="R32" s="37">
        <f>IFERROR(
        IF('Loan Tape'!AD33="Yes",
            LET(
                seasoning,(DATE('Control Panel'!$B$10,1,1)-'Loan Tape'!G33)/365.25*12,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2" s="37">
        <f>IFERROR(IF('Loan Tape'!AF33="Yes",1.10,1),1)</f>
        <v/>
      </c>
      <c r="T32" s="37">
        <f>IFERROR(
        IF('Loan Tape'!J33="Interest Only",
            LET(
                yrs_to_mat,('Loan Tape'!H33-DATE('Control Panel'!$B$10,1,1))/365.25,
                is_btl,'Loan Tape'!K33="BTL",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2" s="37">
        <f>1.00</f>
        <v/>
      </c>
      <c r="V32" s="37">
        <f>IFERROR(IF('Loan Tape'!AG33="Yes",1.85,1),1)</f>
        <v/>
      </c>
      <c r="W32" s="37">
        <f>IFERROR(IF('Loan Tape'!R33="Self-Employed",1.15,1),1)</f>
        <v/>
      </c>
      <c r="X32" s="37">
        <f>IFERROR(
        LET(
            ccj_count,'Loan Tape'!X33,
            ccj_date,'Loan Tape'!Y33,
            ccj_value,'Loan Tape'!Z33,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2" s="37">
        <f>IFERROR(
        IF('Loan Tape'!AH33="Yes",
            LET(
                months_since,(DATE('Control Panel'!$B$10,1,1)-'Loan Tape'!AI33)/30.44,
                IF(months_since&lt;=12,2.0,
                    IF(months_since&lt;=24,1.5,
                        IF(months_since&lt;=36,1.2,1)
                    )
                )
            ),
        1),
    1)</f>
        <v/>
      </c>
      <c r="Z32" s="39">
        <f>IFERROR(
        IF(N32&gt;=100,1,
            G32*H32*I32*J32*K32*L32*M32*N32*O32*P32*Q32*R32*S32*T32*U32*V32*W32*X32*Y32
        ),
    0)</f>
        <v/>
      </c>
    </row>
    <row r="33">
      <c r="A33" s="32">
        <f>'Loan Tape'!A34</f>
        <v/>
      </c>
      <c r="B33" s="33">
        <f>'Loan Tape'!D34</f>
        <v/>
      </c>
      <c r="C33" s="34">
        <f>'Loan Tape'!F34</f>
        <v/>
      </c>
      <c r="D33" s="35">
        <f>IFERROR('Loan Tape'!E34/'Loan Tape'!C34,0)</f>
        <v/>
      </c>
      <c r="E33" s="35">
        <f>IFERROR(
        'Loan Tape'!D34/
        ('Loan Tape'!B34*
        (1-IF(AND('Control Panel'!$B$15="YES",'Loan Tape'!W34&lt;&gt;"Full"),0.05,0))),
    0)</f>
        <v/>
      </c>
      <c r="F33" s="35">
        <f>'Control Panel'!$B$13*D33+'Control Panel'!$B$14*E33</f>
        <v/>
      </c>
      <c r="G33" s="36">
        <f>'Parameter Tables'!$B$5</f>
        <v/>
      </c>
      <c r="H33" s="37">
        <f>IFERROR(
        IF(F33&lt;=0.70,
            0.1+F33*1.2857,
            IF(F33&lt;=1.00,
                1+F33*2.5,
                IF(F33&lt;=1.50,
                    MIN(3.5+F33*1.5,5),
                    5
                )
            )
        ),
    1)</f>
        <v/>
      </c>
      <c r="I33" s="38">
        <f>1.00</f>
        <v/>
      </c>
      <c r="J33" s="37">
        <f>IFERROR(
        LET(
            income_mult,'Loan Tape'!D34/'Loan Tape'!O34,
            num_borr,'Loan Tape'!S34,
            seasoning,(DATE('Control Panel'!$B$10,1,1)-'Loan Tape'!G34)/365.25,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3" s="37">
        <f>IFERROR(
        IF('Loan Tape'!K34="BTL",
            LET(
                rental,'Loan Tape'!P34,
                int_cost,'Loan Tape'!D34*0.055,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3" s="37">
        <f>IFERROR(
        IF('Loan Tape'!U34="Second",1.5,
            IF('Loan Tape'!U34="Third+",1.7,1)
        ),
    1)</f>
        <v/>
      </c>
      <c r="M33" s="37">
        <f>IFERROR(
        IF(AND('Loan Tape'!V34="Cash-out",'Loan Tape'!U34="First"),1.2,1),
    1)</f>
        <v/>
      </c>
      <c r="N33" s="37">
        <f>IFERROR(
        LET(
            arrears,'Loan Tape'!Q34,
            monthly_pmt,'Loan Tape'!D34*'Loan Tape'!I34/12,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3" s="37">
        <f>IFERROR(
        IF('Loan Tape'!Q34=0,
            LET(
                seasoning,(DATE('Control Panel'!$B$10,1,1)-'Loan Tape'!G34)/365.25,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3" s="37">
        <f>IFERROR(
        IF(AND('Loan Tape'!T34="Yes",
            (DATE('Control Panel'!$B$10,1,1)-'Loan Tape'!G34)/365.25&lt;=1.5),
            1.10,1),
    1)</f>
        <v/>
      </c>
      <c r="Q33" s="37">
        <f>IFERROR(IF('Loan Tape'!AE34="Yes",1.35,1),1)</f>
        <v/>
      </c>
      <c r="R33" s="37">
        <f>IFERROR(
        IF('Loan Tape'!AD34="Yes",
            LET(
                seasoning,(DATE('Control Panel'!$B$10,1,1)-'Loan Tape'!G34)/365.25*12,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3" s="37">
        <f>IFERROR(IF('Loan Tape'!AF34="Yes",1.10,1),1)</f>
        <v/>
      </c>
      <c r="T33" s="37">
        <f>IFERROR(
        IF('Loan Tape'!J34="Interest Only",
            LET(
                yrs_to_mat,('Loan Tape'!H34-DATE('Control Panel'!$B$10,1,1))/365.25,
                is_btl,'Loan Tape'!K34="BTL",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3" s="37">
        <f>1.00</f>
        <v/>
      </c>
      <c r="V33" s="37">
        <f>IFERROR(IF('Loan Tape'!AG34="Yes",1.85,1),1)</f>
        <v/>
      </c>
      <c r="W33" s="37">
        <f>IFERROR(IF('Loan Tape'!R34="Self-Employed",1.15,1),1)</f>
        <v/>
      </c>
      <c r="X33" s="37">
        <f>IFERROR(
        LET(
            ccj_count,'Loan Tape'!X34,
            ccj_date,'Loan Tape'!Y34,
            ccj_value,'Loan Tape'!Z34,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3" s="37">
        <f>IFERROR(
        IF('Loan Tape'!AH34="Yes",
            LET(
                months_since,(DATE('Control Panel'!$B$10,1,1)-'Loan Tape'!AI34)/30.44,
                IF(months_since&lt;=12,2.0,
                    IF(months_since&lt;=24,1.5,
                        IF(months_since&lt;=36,1.2,1)
                    )
                )
            ),
        1),
    1)</f>
        <v/>
      </c>
      <c r="Z33" s="39">
        <f>IFERROR(
        IF(N33&gt;=100,1,
            G33*H33*I33*J33*K33*L33*M33*N33*O33*P33*Q33*R33*S33*T33*U33*V33*W33*X33*Y33
        ),
    0)</f>
        <v/>
      </c>
    </row>
    <row r="34">
      <c r="A34" s="32">
        <f>'Loan Tape'!A35</f>
        <v/>
      </c>
      <c r="B34" s="33">
        <f>'Loan Tape'!D35</f>
        <v/>
      </c>
      <c r="C34" s="34">
        <f>'Loan Tape'!F35</f>
        <v/>
      </c>
      <c r="D34" s="35">
        <f>IFERROR('Loan Tape'!E35/'Loan Tape'!C35,0)</f>
        <v/>
      </c>
      <c r="E34" s="35">
        <f>IFERROR(
        'Loan Tape'!D35/
        ('Loan Tape'!B35*
        (1-IF(AND('Control Panel'!$B$15="YES",'Loan Tape'!W35&lt;&gt;"Full"),0.05,0))),
    0)</f>
        <v/>
      </c>
      <c r="F34" s="35">
        <f>'Control Panel'!$B$13*D34+'Control Panel'!$B$14*E34</f>
        <v/>
      </c>
      <c r="G34" s="36">
        <f>'Parameter Tables'!$B$5</f>
        <v/>
      </c>
      <c r="H34" s="37">
        <f>IFERROR(
        IF(F34&lt;=0.70,
            0.1+F34*1.2857,
            IF(F34&lt;=1.00,
                1+F34*2.5,
                IF(F34&lt;=1.50,
                    MIN(3.5+F34*1.5,5),
                    5
                )
            )
        ),
    1)</f>
        <v/>
      </c>
      <c r="I34" s="38">
        <f>1.00</f>
        <v/>
      </c>
      <c r="J34" s="37">
        <f>IFERROR(
        LET(
            income_mult,'Loan Tape'!D35/'Loan Tape'!O35,
            num_borr,'Loan Tape'!S35,
            seasoning,(DATE('Control Panel'!$B$10,1,1)-'Loan Tape'!G35)/365.25,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4" s="37">
        <f>IFERROR(
        IF('Loan Tape'!K35="BTL",
            LET(
                rental,'Loan Tape'!P35,
                int_cost,'Loan Tape'!D35*0.055,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4" s="37">
        <f>IFERROR(
        IF('Loan Tape'!U35="Second",1.5,
            IF('Loan Tape'!U35="Third+",1.7,1)
        ),
    1)</f>
        <v/>
      </c>
      <c r="M34" s="37">
        <f>IFERROR(
        IF(AND('Loan Tape'!V35="Cash-out",'Loan Tape'!U35="First"),1.2,1),
    1)</f>
        <v/>
      </c>
      <c r="N34" s="37">
        <f>IFERROR(
        LET(
            arrears,'Loan Tape'!Q35,
            monthly_pmt,'Loan Tape'!D35*'Loan Tape'!I35/12,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4" s="37">
        <f>IFERROR(
        IF('Loan Tape'!Q35=0,
            LET(
                seasoning,(DATE('Control Panel'!$B$10,1,1)-'Loan Tape'!G35)/365.25,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4" s="37">
        <f>IFERROR(
        IF(AND('Loan Tape'!T35="Yes",
            (DATE('Control Panel'!$B$10,1,1)-'Loan Tape'!G35)/365.25&lt;=1.5),
            1.10,1),
    1)</f>
        <v/>
      </c>
      <c r="Q34" s="37">
        <f>IFERROR(IF('Loan Tape'!AE35="Yes",1.35,1),1)</f>
        <v/>
      </c>
      <c r="R34" s="37">
        <f>IFERROR(
        IF('Loan Tape'!AD35="Yes",
            LET(
                seasoning,(DATE('Control Panel'!$B$10,1,1)-'Loan Tape'!G35)/365.25*12,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4" s="37">
        <f>IFERROR(IF('Loan Tape'!AF35="Yes",1.10,1),1)</f>
        <v/>
      </c>
      <c r="T34" s="37">
        <f>IFERROR(
        IF('Loan Tape'!J35="Interest Only",
            LET(
                yrs_to_mat,('Loan Tape'!H35-DATE('Control Panel'!$B$10,1,1))/365.25,
                is_btl,'Loan Tape'!K35="BTL",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4" s="37">
        <f>1.00</f>
        <v/>
      </c>
      <c r="V34" s="37">
        <f>IFERROR(IF('Loan Tape'!AG35="Yes",1.85,1),1)</f>
        <v/>
      </c>
      <c r="W34" s="37">
        <f>IFERROR(IF('Loan Tape'!R35="Self-Employed",1.15,1),1)</f>
        <v/>
      </c>
      <c r="X34" s="37">
        <f>IFERROR(
        LET(
            ccj_count,'Loan Tape'!X35,
            ccj_date,'Loan Tape'!Y35,
            ccj_value,'Loan Tape'!Z35,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4" s="37">
        <f>IFERROR(
        IF('Loan Tape'!AH35="Yes",
            LET(
                months_since,(DATE('Control Panel'!$B$10,1,1)-'Loan Tape'!AI35)/30.44,
                IF(months_since&lt;=12,2.0,
                    IF(months_since&lt;=24,1.5,
                        IF(months_since&lt;=36,1.2,1)
                    )
                )
            ),
        1),
    1)</f>
        <v/>
      </c>
      <c r="Z34" s="39">
        <f>IFERROR(
        IF(N34&gt;=100,1,
            G34*H34*I34*J34*K34*L34*M34*N34*O34*P34*Q34*R34*S34*T34*U34*V34*W34*X34*Y34
        ),
    0)</f>
        <v/>
      </c>
    </row>
    <row r="35">
      <c r="A35" s="32">
        <f>'Loan Tape'!A36</f>
        <v/>
      </c>
      <c r="B35" s="33">
        <f>'Loan Tape'!D36</f>
        <v/>
      </c>
      <c r="C35" s="34">
        <f>'Loan Tape'!F36</f>
        <v/>
      </c>
      <c r="D35" s="35">
        <f>IFERROR('Loan Tape'!E36/'Loan Tape'!C36,0)</f>
        <v/>
      </c>
      <c r="E35" s="35">
        <f>IFERROR(
        'Loan Tape'!D36/
        ('Loan Tape'!B36*
        (1-IF(AND('Control Panel'!$B$15="YES",'Loan Tape'!W36&lt;&gt;"Full"),0.05,0))),
    0)</f>
        <v/>
      </c>
      <c r="F35" s="35">
        <f>'Control Panel'!$B$13*D35+'Control Panel'!$B$14*E35</f>
        <v/>
      </c>
      <c r="G35" s="36">
        <f>'Parameter Tables'!$B$5</f>
        <v/>
      </c>
      <c r="H35" s="37">
        <f>IFERROR(
        IF(F35&lt;=0.70,
            0.1+F35*1.2857,
            IF(F35&lt;=1.00,
                1+F35*2.5,
                IF(F35&lt;=1.50,
                    MIN(3.5+F35*1.5,5),
                    5
                )
            )
        ),
    1)</f>
        <v/>
      </c>
      <c r="I35" s="38">
        <f>1.00</f>
        <v/>
      </c>
      <c r="J35" s="37">
        <f>IFERROR(
        LET(
            income_mult,'Loan Tape'!D36/'Loan Tape'!O36,
            num_borr,'Loan Tape'!S36,
            seasoning,(DATE('Control Panel'!$B$10,1,1)-'Loan Tape'!G36)/365.25,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5" s="37">
        <f>IFERROR(
        IF('Loan Tape'!K36="BTL",
            LET(
                rental,'Loan Tape'!P36,
                int_cost,'Loan Tape'!D36*0.055,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5" s="37">
        <f>IFERROR(
        IF('Loan Tape'!U36="Second",1.5,
            IF('Loan Tape'!U36="Third+",1.7,1)
        ),
    1)</f>
        <v/>
      </c>
      <c r="M35" s="37">
        <f>IFERROR(
        IF(AND('Loan Tape'!V36="Cash-out",'Loan Tape'!U36="First"),1.2,1),
    1)</f>
        <v/>
      </c>
      <c r="N35" s="37">
        <f>IFERROR(
        LET(
            arrears,'Loan Tape'!Q36,
            monthly_pmt,'Loan Tape'!D36*'Loan Tape'!I36/12,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5" s="37">
        <f>IFERROR(
        IF('Loan Tape'!Q36=0,
            LET(
                seasoning,(DATE('Control Panel'!$B$10,1,1)-'Loan Tape'!G36)/365.25,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5" s="37">
        <f>IFERROR(
        IF(AND('Loan Tape'!T36="Yes",
            (DATE('Control Panel'!$B$10,1,1)-'Loan Tape'!G36)/365.25&lt;=1.5),
            1.10,1),
    1)</f>
        <v/>
      </c>
      <c r="Q35" s="37">
        <f>IFERROR(IF('Loan Tape'!AE36="Yes",1.35,1),1)</f>
        <v/>
      </c>
      <c r="R35" s="37">
        <f>IFERROR(
        IF('Loan Tape'!AD36="Yes",
            LET(
                seasoning,(DATE('Control Panel'!$B$10,1,1)-'Loan Tape'!G36)/365.25*12,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5" s="37">
        <f>IFERROR(IF('Loan Tape'!AF36="Yes",1.10,1),1)</f>
        <v/>
      </c>
      <c r="T35" s="37">
        <f>IFERROR(
        IF('Loan Tape'!J36="Interest Only",
            LET(
                yrs_to_mat,('Loan Tape'!H36-DATE('Control Panel'!$B$10,1,1))/365.25,
                is_btl,'Loan Tape'!K36="BTL",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5" s="37">
        <f>1.00</f>
        <v/>
      </c>
      <c r="V35" s="37">
        <f>IFERROR(IF('Loan Tape'!AG36="Yes",1.85,1),1)</f>
        <v/>
      </c>
      <c r="W35" s="37">
        <f>IFERROR(IF('Loan Tape'!R36="Self-Employed",1.15,1),1)</f>
        <v/>
      </c>
      <c r="X35" s="37">
        <f>IFERROR(
        LET(
            ccj_count,'Loan Tape'!X36,
            ccj_date,'Loan Tape'!Y36,
            ccj_value,'Loan Tape'!Z36,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5" s="37">
        <f>IFERROR(
        IF('Loan Tape'!AH36="Yes",
            LET(
                months_since,(DATE('Control Panel'!$B$10,1,1)-'Loan Tape'!AI36)/30.44,
                IF(months_since&lt;=12,2.0,
                    IF(months_since&lt;=24,1.5,
                        IF(months_since&lt;=36,1.2,1)
                    )
                )
            ),
        1),
    1)</f>
        <v/>
      </c>
      <c r="Z35" s="39">
        <f>IFERROR(
        IF(N35&gt;=100,1,
            G35*H35*I35*J35*K35*L35*M35*N35*O35*P35*Q35*R35*S35*T35*U35*V35*W35*X35*Y35
        ),
    0)</f>
        <v/>
      </c>
    </row>
    <row r="36">
      <c r="A36" s="32">
        <f>'Loan Tape'!A37</f>
        <v/>
      </c>
      <c r="B36" s="33">
        <f>'Loan Tape'!D37</f>
        <v/>
      </c>
      <c r="C36" s="34">
        <f>'Loan Tape'!F37</f>
        <v/>
      </c>
      <c r="D36" s="35">
        <f>IFERROR('Loan Tape'!E37/'Loan Tape'!C37,0)</f>
        <v/>
      </c>
      <c r="E36" s="35">
        <f>IFERROR(
        'Loan Tape'!D37/
        ('Loan Tape'!B37*
        (1-IF(AND('Control Panel'!$B$15="YES",'Loan Tape'!W37&lt;&gt;"Full"),0.05,0))),
    0)</f>
        <v/>
      </c>
      <c r="F36" s="35">
        <f>'Control Panel'!$B$13*D36+'Control Panel'!$B$14*E36</f>
        <v/>
      </c>
      <c r="G36" s="36">
        <f>'Parameter Tables'!$B$5</f>
        <v/>
      </c>
      <c r="H36" s="37">
        <f>IFERROR(
        IF(F36&lt;=0.70,
            0.1+F36*1.2857,
            IF(F36&lt;=1.00,
                1+F36*2.5,
                IF(F36&lt;=1.50,
                    MIN(3.5+F36*1.5,5),
                    5
                )
            )
        ),
    1)</f>
        <v/>
      </c>
      <c r="I36" s="38">
        <f>1.00</f>
        <v/>
      </c>
      <c r="J36" s="37">
        <f>IFERROR(
        LET(
            income_mult,'Loan Tape'!D37/'Loan Tape'!O37,
            num_borr,'Loan Tape'!S37,
            seasoning,(DATE('Control Panel'!$B$10,1,1)-'Loan Tape'!G37)/365.25,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6" s="37">
        <f>IFERROR(
        IF('Loan Tape'!K37="BTL",
            LET(
                rental,'Loan Tape'!P37,
                int_cost,'Loan Tape'!D37*0.055,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6" s="37">
        <f>IFERROR(
        IF('Loan Tape'!U37="Second",1.5,
            IF('Loan Tape'!U37="Third+",1.7,1)
        ),
    1)</f>
        <v/>
      </c>
      <c r="M36" s="37">
        <f>IFERROR(
        IF(AND('Loan Tape'!V37="Cash-out",'Loan Tape'!U37="First"),1.2,1),
    1)</f>
        <v/>
      </c>
      <c r="N36" s="37">
        <f>IFERROR(
        LET(
            arrears,'Loan Tape'!Q37,
            monthly_pmt,'Loan Tape'!D37*'Loan Tape'!I37/12,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6" s="37">
        <f>IFERROR(
        IF('Loan Tape'!Q37=0,
            LET(
                seasoning,(DATE('Control Panel'!$B$10,1,1)-'Loan Tape'!G37)/365.25,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6" s="37">
        <f>IFERROR(
        IF(AND('Loan Tape'!T37="Yes",
            (DATE('Control Panel'!$B$10,1,1)-'Loan Tape'!G37)/365.25&lt;=1.5),
            1.10,1),
    1)</f>
        <v/>
      </c>
      <c r="Q36" s="37">
        <f>IFERROR(IF('Loan Tape'!AE37="Yes",1.35,1),1)</f>
        <v/>
      </c>
      <c r="R36" s="37">
        <f>IFERROR(
        IF('Loan Tape'!AD37="Yes",
            LET(
                seasoning,(DATE('Control Panel'!$B$10,1,1)-'Loan Tape'!G37)/365.25*12,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6" s="37">
        <f>IFERROR(IF('Loan Tape'!AF37="Yes",1.10,1),1)</f>
        <v/>
      </c>
      <c r="T36" s="37">
        <f>IFERROR(
        IF('Loan Tape'!J37="Interest Only",
            LET(
                yrs_to_mat,('Loan Tape'!H37-DATE('Control Panel'!$B$10,1,1))/365.25,
                is_btl,'Loan Tape'!K37="BTL",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6" s="37">
        <f>1.00</f>
        <v/>
      </c>
      <c r="V36" s="37">
        <f>IFERROR(IF('Loan Tape'!AG37="Yes",1.85,1),1)</f>
        <v/>
      </c>
      <c r="W36" s="37">
        <f>IFERROR(IF('Loan Tape'!R37="Self-Employed",1.15,1),1)</f>
        <v/>
      </c>
      <c r="X36" s="37">
        <f>IFERROR(
        LET(
            ccj_count,'Loan Tape'!X37,
            ccj_date,'Loan Tape'!Y37,
            ccj_value,'Loan Tape'!Z37,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6" s="37">
        <f>IFERROR(
        IF('Loan Tape'!AH37="Yes",
            LET(
                months_since,(DATE('Control Panel'!$B$10,1,1)-'Loan Tape'!AI37)/30.44,
                IF(months_since&lt;=12,2.0,
                    IF(months_since&lt;=24,1.5,
                        IF(months_since&lt;=36,1.2,1)
                    )
                )
            ),
        1),
    1)</f>
        <v/>
      </c>
      <c r="Z36" s="39">
        <f>IFERROR(
        IF(N36&gt;=100,1,
            G36*H36*I36*J36*K36*L36*M36*N36*O36*P36*Q36*R36*S36*T36*U36*V36*W36*X36*Y36
        ),
    0)</f>
        <v/>
      </c>
    </row>
    <row r="37">
      <c r="A37" s="32">
        <f>'Loan Tape'!A38</f>
        <v/>
      </c>
      <c r="B37" s="33">
        <f>'Loan Tape'!D38</f>
        <v/>
      </c>
      <c r="C37" s="34">
        <f>'Loan Tape'!F38</f>
        <v/>
      </c>
      <c r="D37" s="35">
        <f>IFERROR('Loan Tape'!E38/'Loan Tape'!C38,0)</f>
        <v/>
      </c>
      <c r="E37" s="35">
        <f>IFERROR(
        'Loan Tape'!D38/
        ('Loan Tape'!B38*
        (1-IF(AND('Control Panel'!$B$15="YES",'Loan Tape'!W38&lt;&gt;"Full"),0.05,0))),
    0)</f>
        <v/>
      </c>
      <c r="F37" s="35">
        <f>'Control Panel'!$B$13*D37+'Control Panel'!$B$14*E37</f>
        <v/>
      </c>
      <c r="G37" s="36">
        <f>'Parameter Tables'!$B$5</f>
        <v/>
      </c>
      <c r="H37" s="37">
        <f>IFERROR(
        IF(F37&lt;=0.70,
            0.1+F37*1.2857,
            IF(F37&lt;=1.00,
                1+F37*2.5,
                IF(F37&lt;=1.50,
                    MIN(3.5+F37*1.5,5),
                    5
                )
            )
        ),
    1)</f>
        <v/>
      </c>
      <c r="I37" s="38">
        <f>1.00</f>
        <v/>
      </c>
      <c r="J37" s="37">
        <f>IFERROR(
        LET(
            income_mult,'Loan Tape'!D38/'Loan Tape'!O38,
            num_borr,'Loan Tape'!S38,
            seasoning,(DATE('Control Panel'!$B$10,1,1)-'Loan Tape'!G38)/365.25,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7" s="37">
        <f>IFERROR(
        IF('Loan Tape'!K38="BTL",
            LET(
                rental,'Loan Tape'!P38,
                int_cost,'Loan Tape'!D38*0.055,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7" s="37">
        <f>IFERROR(
        IF('Loan Tape'!U38="Second",1.5,
            IF('Loan Tape'!U38="Third+",1.7,1)
        ),
    1)</f>
        <v/>
      </c>
      <c r="M37" s="37">
        <f>IFERROR(
        IF(AND('Loan Tape'!V38="Cash-out",'Loan Tape'!U38="First"),1.2,1),
    1)</f>
        <v/>
      </c>
      <c r="N37" s="37">
        <f>IFERROR(
        LET(
            arrears,'Loan Tape'!Q38,
            monthly_pmt,'Loan Tape'!D38*'Loan Tape'!I38/12,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7" s="37">
        <f>IFERROR(
        IF('Loan Tape'!Q38=0,
            LET(
                seasoning,(DATE('Control Panel'!$B$10,1,1)-'Loan Tape'!G38)/365.25,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7" s="37">
        <f>IFERROR(
        IF(AND('Loan Tape'!T38="Yes",
            (DATE('Control Panel'!$B$10,1,1)-'Loan Tape'!G38)/365.25&lt;=1.5),
            1.10,1),
    1)</f>
        <v/>
      </c>
      <c r="Q37" s="37">
        <f>IFERROR(IF('Loan Tape'!AE38="Yes",1.35,1),1)</f>
        <v/>
      </c>
      <c r="R37" s="37">
        <f>IFERROR(
        IF('Loan Tape'!AD38="Yes",
            LET(
                seasoning,(DATE('Control Panel'!$B$10,1,1)-'Loan Tape'!G38)/365.25*12,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7" s="37">
        <f>IFERROR(IF('Loan Tape'!AF38="Yes",1.10,1),1)</f>
        <v/>
      </c>
      <c r="T37" s="37">
        <f>IFERROR(
        IF('Loan Tape'!J38="Interest Only",
            LET(
                yrs_to_mat,('Loan Tape'!H38-DATE('Control Panel'!$B$10,1,1))/365.25,
                is_btl,'Loan Tape'!K38="BTL",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7" s="37">
        <f>1.00</f>
        <v/>
      </c>
      <c r="V37" s="37">
        <f>IFERROR(IF('Loan Tape'!AG38="Yes",1.85,1),1)</f>
        <v/>
      </c>
      <c r="W37" s="37">
        <f>IFERROR(IF('Loan Tape'!R38="Self-Employed",1.15,1),1)</f>
        <v/>
      </c>
      <c r="X37" s="37">
        <f>IFERROR(
        LET(
            ccj_count,'Loan Tape'!X38,
            ccj_date,'Loan Tape'!Y38,
            ccj_value,'Loan Tape'!Z38,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7" s="37">
        <f>IFERROR(
        IF('Loan Tape'!AH38="Yes",
            LET(
                months_since,(DATE('Control Panel'!$B$10,1,1)-'Loan Tape'!AI38)/30.44,
                IF(months_since&lt;=12,2.0,
                    IF(months_since&lt;=24,1.5,
                        IF(months_since&lt;=36,1.2,1)
                    )
                )
            ),
        1),
    1)</f>
        <v/>
      </c>
      <c r="Z37" s="39">
        <f>IFERROR(
        IF(N37&gt;=100,1,
            G37*H37*I37*J37*K37*L37*M37*N37*O37*P37*Q37*R37*S37*T37*U37*V37*W37*X37*Y37
        ),
    0)</f>
        <v/>
      </c>
    </row>
    <row r="38">
      <c r="A38" s="32">
        <f>'Loan Tape'!A39</f>
        <v/>
      </c>
      <c r="B38" s="33">
        <f>'Loan Tape'!D39</f>
        <v/>
      </c>
      <c r="C38" s="34">
        <f>'Loan Tape'!F39</f>
        <v/>
      </c>
      <c r="D38" s="35">
        <f>IFERROR('Loan Tape'!E39/'Loan Tape'!C39,0)</f>
        <v/>
      </c>
      <c r="E38" s="35">
        <f>IFERROR(
        'Loan Tape'!D39/
        ('Loan Tape'!B39*
        (1-IF(AND('Control Panel'!$B$15="YES",'Loan Tape'!W39&lt;&gt;"Full"),0.05,0))),
    0)</f>
        <v/>
      </c>
      <c r="F38" s="35">
        <f>'Control Panel'!$B$13*D38+'Control Panel'!$B$14*E38</f>
        <v/>
      </c>
      <c r="G38" s="36">
        <f>'Parameter Tables'!$B$5</f>
        <v/>
      </c>
      <c r="H38" s="37">
        <f>IFERROR(
        IF(F38&lt;=0.70,
            0.1+F38*1.2857,
            IF(F38&lt;=1.00,
                1+F38*2.5,
                IF(F38&lt;=1.50,
                    MIN(3.5+F38*1.5,5),
                    5
                )
            )
        ),
    1)</f>
        <v/>
      </c>
      <c r="I38" s="38">
        <f>1.00</f>
        <v/>
      </c>
      <c r="J38" s="37">
        <f>IFERROR(
        LET(
            income_mult,'Loan Tape'!D39/'Loan Tape'!O39,
            num_borr,'Loan Tape'!S39,
            seasoning,(DATE('Control Panel'!$B$10,1,1)-'Loan Tape'!G39)/365.25,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8" s="37">
        <f>IFERROR(
        IF('Loan Tape'!K39="BTL",
            LET(
                rental,'Loan Tape'!P39,
                int_cost,'Loan Tape'!D39*0.055,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8" s="37">
        <f>IFERROR(
        IF('Loan Tape'!U39="Second",1.5,
            IF('Loan Tape'!U39="Third+",1.7,1)
        ),
    1)</f>
        <v/>
      </c>
      <c r="M38" s="37">
        <f>IFERROR(
        IF(AND('Loan Tape'!V39="Cash-out",'Loan Tape'!U39="First"),1.2,1),
    1)</f>
        <v/>
      </c>
      <c r="N38" s="37">
        <f>IFERROR(
        LET(
            arrears,'Loan Tape'!Q39,
            monthly_pmt,'Loan Tape'!D39*'Loan Tape'!I39/12,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8" s="37">
        <f>IFERROR(
        IF('Loan Tape'!Q39=0,
            LET(
                seasoning,(DATE('Control Panel'!$B$10,1,1)-'Loan Tape'!G39)/365.25,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8" s="37">
        <f>IFERROR(
        IF(AND('Loan Tape'!T39="Yes",
            (DATE('Control Panel'!$B$10,1,1)-'Loan Tape'!G39)/365.25&lt;=1.5),
            1.10,1),
    1)</f>
        <v/>
      </c>
      <c r="Q38" s="37">
        <f>IFERROR(IF('Loan Tape'!AE39="Yes",1.35,1),1)</f>
        <v/>
      </c>
      <c r="R38" s="37">
        <f>IFERROR(
        IF('Loan Tape'!AD39="Yes",
            LET(
                seasoning,(DATE('Control Panel'!$B$10,1,1)-'Loan Tape'!G39)/365.25*12,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8" s="37">
        <f>IFERROR(IF('Loan Tape'!AF39="Yes",1.10,1),1)</f>
        <v/>
      </c>
      <c r="T38" s="37">
        <f>IFERROR(
        IF('Loan Tape'!J39="Interest Only",
            LET(
                yrs_to_mat,('Loan Tape'!H39-DATE('Control Panel'!$B$10,1,1))/365.25,
                is_btl,'Loan Tape'!K39="BTL",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8" s="37">
        <f>1.00</f>
        <v/>
      </c>
      <c r="V38" s="37">
        <f>IFERROR(IF('Loan Tape'!AG39="Yes",1.85,1),1)</f>
        <v/>
      </c>
      <c r="W38" s="37">
        <f>IFERROR(IF('Loan Tape'!R39="Self-Employed",1.15,1),1)</f>
        <v/>
      </c>
      <c r="X38" s="37">
        <f>IFERROR(
        LET(
            ccj_count,'Loan Tape'!X39,
            ccj_date,'Loan Tape'!Y39,
            ccj_value,'Loan Tape'!Z39,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8" s="37">
        <f>IFERROR(
        IF('Loan Tape'!AH39="Yes",
            LET(
                months_since,(DATE('Control Panel'!$B$10,1,1)-'Loan Tape'!AI39)/30.44,
                IF(months_since&lt;=12,2.0,
                    IF(months_since&lt;=24,1.5,
                        IF(months_since&lt;=36,1.2,1)
                    )
                )
            ),
        1),
    1)</f>
        <v/>
      </c>
      <c r="Z38" s="39">
        <f>IFERROR(
        IF(N38&gt;=100,1,
            G38*H38*I38*J38*K38*L38*M38*N38*O38*P38*Q38*R38*S38*T38*U38*V38*W38*X38*Y38
        ),
    0)</f>
        <v/>
      </c>
    </row>
    <row r="39">
      <c r="A39" s="32">
        <f>'Loan Tape'!A40</f>
        <v/>
      </c>
      <c r="B39" s="33">
        <f>'Loan Tape'!D40</f>
        <v/>
      </c>
      <c r="C39" s="34">
        <f>'Loan Tape'!F40</f>
        <v/>
      </c>
      <c r="D39" s="35">
        <f>IFERROR('Loan Tape'!E40/'Loan Tape'!C40,0)</f>
        <v/>
      </c>
      <c r="E39" s="35">
        <f>IFERROR(
        'Loan Tape'!D40/
        ('Loan Tape'!B40*
        (1-IF(AND('Control Panel'!$B$15="YES",'Loan Tape'!W40&lt;&gt;"Full"),0.05,0))),
    0)</f>
        <v/>
      </c>
      <c r="F39" s="35">
        <f>'Control Panel'!$B$13*D39+'Control Panel'!$B$14*E39</f>
        <v/>
      </c>
      <c r="G39" s="36">
        <f>'Parameter Tables'!$B$5</f>
        <v/>
      </c>
      <c r="H39" s="37">
        <f>IFERROR(
        IF(F39&lt;=0.70,
            0.1+F39*1.2857,
            IF(F39&lt;=1.00,
                1+F39*2.5,
                IF(F39&lt;=1.50,
                    MIN(3.5+F39*1.5,5),
                    5
                )
            )
        ),
    1)</f>
        <v/>
      </c>
      <c r="I39" s="38">
        <f>1.00</f>
        <v/>
      </c>
      <c r="J39" s="37">
        <f>IFERROR(
        LET(
            income_mult,'Loan Tape'!D40/'Loan Tape'!O40,
            num_borr,'Loan Tape'!S40,
            seasoning,(DATE('Control Panel'!$B$10,1,1)-'Loan Tape'!G40)/365.25,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39" s="37">
        <f>IFERROR(
        IF('Loan Tape'!K40="BTL",
            LET(
                rental,'Loan Tape'!P40,
                int_cost,'Loan Tape'!D40*0.055,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39" s="37">
        <f>IFERROR(
        IF('Loan Tape'!U40="Second",1.5,
            IF('Loan Tape'!U40="Third+",1.7,1)
        ),
    1)</f>
        <v/>
      </c>
      <c r="M39" s="37">
        <f>IFERROR(
        IF(AND('Loan Tape'!V40="Cash-out",'Loan Tape'!U40="First"),1.2,1),
    1)</f>
        <v/>
      </c>
      <c r="N39" s="37">
        <f>IFERROR(
        LET(
            arrears,'Loan Tape'!Q40,
            monthly_pmt,'Loan Tape'!D40*'Loan Tape'!I40/12,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39" s="37">
        <f>IFERROR(
        IF('Loan Tape'!Q40=0,
            LET(
                seasoning,(DATE('Control Panel'!$B$10,1,1)-'Loan Tape'!G40)/365.25,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39" s="37">
        <f>IFERROR(
        IF(AND('Loan Tape'!T40="Yes",
            (DATE('Control Panel'!$B$10,1,1)-'Loan Tape'!G40)/365.25&lt;=1.5),
            1.10,1),
    1)</f>
        <v/>
      </c>
      <c r="Q39" s="37">
        <f>IFERROR(IF('Loan Tape'!AE40="Yes",1.35,1),1)</f>
        <v/>
      </c>
      <c r="R39" s="37">
        <f>IFERROR(
        IF('Loan Tape'!AD40="Yes",
            LET(
                seasoning,(DATE('Control Panel'!$B$10,1,1)-'Loan Tape'!G40)/365.25*12,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39" s="37">
        <f>IFERROR(IF('Loan Tape'!AF40="Yes",1.10,1),1)</f>
        <v/>
      </c>
      <c r="T39" s="37">
        <f>IFERROR(
        IF('Loan Tape'!J40="Interest Only",
            LET(
                yrs_to_mat,('Loan Tape'!H40-DATE('Control Panel'!$B$10,1,1))/365.25,
                is_btl,'Loan Tape'!K40="BTL",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39" s="37">
        <f>1.00</f>
        <v/>
      </c>
      <c r="V39" s="37">
        <f>IFERROR(IF('Loan Tape'!AG40="Yes",1.85,1),1)</f>
        <v/>
      </c>
      <c r="W39" s="37">
        <f>IFERROR(IF('Loan Tape'!R40="Self-Employed",1.15,1),1)</f>
        <v/>
      </c>
      <c r="X39" s="37">
        <f>IFERROR(
        LET(
            ccj_count,'Loan Tape'!X40,
            ccj_date,'Loan Tape'!Y40,
            ccj_value,'Loan Tape'!Z40,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39" s="37">
        <f>IFERROR(
        IF('Loan Tape'!AH40="Yes",
            LET(
                months_since,(DATE('Control Panel'!$B$10,1,1)-'Loan Tape'!AI40)/30.44,
                IF(months_since&lt;=12,2.0,
                    IF(months_since&lt;=24,1.5,
                        IF(months_since&lt;=36,1.2,1)
                    )
                )
            ),
        1),
    1)</f>
        <v/>
      </c>
      <c r="Z39" s="39">
        <f>IFERROR(
        IF(N39&gt;=100,1,
            G39*H39*I39*J39*K39*L39*M39*N39*O39*P39*Q39*R39*S39*T39*U39*V39*W39*X39*Y39
        ),
    0)</f>
        <v/>
      </c>
    </row>
    <row r="40">
      <c r="A40" s="32">
        <f>'Loan Tape'!A41</f>
        <v/>
      </c>
      <c r="B40" s="33">
        <f>'Loan Tape'!D41</f>
        <v/>
      </c>
      <c r="C40" s="34">
        <f>'Loan Tape'!F41</f>
        <v/>
      </c>
      <c r="D40" s="35">
        <f>IFERROR('Loan Tape'!E41/'Loan Tape'!C41,0)</f>
        <v/>
      </c>
      <c r="E40" s="35">
        <f>IFERROR(
        'Loan Tape'!D41/
        ('Loan Tape'!B41*
        (1-IF(AND('Control Panel'!$B$15="YES",'Loan Tape'!W41&lt;&gt;"Full"),0.05,0))),
    0)</f>
        <v/>
      </c>
      <c r="F40" s="35">
        <f>'Control Panel'!$B$13*D40+'Control Panel'!$B$14*E40</f>
        <v/>
      </c>
      <c r="G40" s="36">
        <f>'Parameter Tables'!$B$5</f>
        <v/>
      </c>
      <c r="H40" s="37">
        <f>IFERROR(
        IF(F40&lt;=0.70,
            0.1+F40*1.2857,
            IF(F40&lt;=1.00,
                1+F40*2.5,
                IF(F40&lt;=1.50,
                    MIN(3.5+F40*1.5,5),
                    5
                )
            )
        ),
    1)</f>
        <v/>
      </c>
      <c r="I40" s="38">
        <f>1.00</f>
        <v/>
      </c>
      <c r="J40" s="37">
        <f>IFERROR(
        LET(
            income_mult,'Loan Tape'!D41/'Loan Tape'!O41,
            num_borr,'Loan Tape'!S41,
            seasoning,(DATE('Control Panel'!$B$10,1,1)-'Loan Tape'!G41)/365.25,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0" s="37">
        <f>IFERROR(
        IF('Loan Tape'!K41="BTL",
            LET(
                rental,'Loan Tape'!P41,
                int_cost,'Loan Tape'!D41*0.055,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0" s="37">
        <f>IFERROR(
        IF('Loan Tape'!U41="Second",1.5,
            IF('Loan Tape'!U41="Third+",1.7,1)
        ),
    1)</f>
        <v/>
      </c>
      <c r="M40" s="37">
        <f>IFERROR(
        IF(AND('Loan Tape'!V41="Cash-out",'Loan Tape'!U41="First"),1.2,1),
    1)</f>
        <v/>
      </c>
      <c r="N40" s="37">
        <f>IFERROR(
        LET(
            arrears,'Loan Tape'!Q41,
            monthly_pmt,'Loan Tape'!D41*'Loan Tape'!I41/12,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0" s="37">
        <f>IFERROR(
        IF('Loan Tape'!Q41=0,
            LET(
                seasoning,(DATE('Control Panel'!$B$10,1,1)-'Loan Tape'!G41)/365.25,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0" s="37">
        <f>IFERROR(
        IF(AND('Loan Tape'!T41="Yes",
            (DATE('Control Panel'!$B$10,1,1)-'Loan Tape'!G41)/365.25&lt;=1.5),
            1.10,1),
    1)</f>
        <v/>
      </c>
      <c r="Q40" s="37">
        <f>IFERROR(IF('Loan Tape'!AE41="Yes",1.35,1),1)</f>
        <v/>
      </c>
      <c r="R40" s="37">
        <f>IFERROR(
        IF('Loan Tape'!AD41="Yes",
            LET(
                seasoning,(DATE('Control Panel'!$B$10,1,1)-'Loan Tape'!G41)/365.25*12,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0" s="37">
        <f>IFERROR(IF('Loan Tape'!AF41="Yes",1.10,1),1)</f>
        <v/>
      </c>
      <c r="T40" s="37">
        <f>IFERROR(
        IF('Loan Tape'!J41="Interest Only",
            LET(
                yrs_to_mat,('Loan Tape'!H41-DATE('Control Panel'!$B$10,1,1))/365.25,
                is_btl,'Loan Tape'!K41="BTL",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0" s="37">
        <f>1.00</f>
        <v/>
      </c>
      <c r="V40" s="37">
        <f>IFERROR(IF('Loan Tape'!AG41="Yes",1.85,1),1)</f>
        <v/>
      </c>
      <c r="W40" s="37">
        <f>IFERROR(IF('Loan Tape'!R41="Self-Employed",1.15,1),1)</f>
        <v/>
      </c>
      <c r="X40" s="37">
        <f>IFERROR(
        LET(
            ccj_count,'Loan Tape'!X41,
            ccj_date,'Loan Tape'!Y41,
            ccj_value,'Loan Tape'!Z41,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0" s="37">
        <f>IFERROR(
        IF('Loan Tape'!AH41="Yes",
            LET(
                months_since,(DATE('Control Panel'!$B$10,1,1)-'Loan Tape'!AI41)/30.44,
                IF(months_since&lt;=12,2.0,
                    IF(months_since&lt;=24,1.5,
                        IF(months_since&lt;=36,1.2,1)
                    )
                )
            ),
        1),
    1)</f>
        <v/>
      </c>
      <c r="Z40" s="39">
        <f>IFERROR(
        IF(N40&gt;=100,1,
            G40*H40*I40*J40*K40*L40*M40*N40*O40*P40*Q40*R40*S40*T40*U40*V40*W40*X40*Y40
        ),
    0)</f>
        <v/>
      </c>
    </row>
    <row r="41">
      <c r="A41" s="32">
        <f>'Loan Tape'!A42</f>
        <v/>
      </c>
      <c r="B41" s="33">
        <f>'Loan Tape'!D42</f>
        <v/>
      </c>
      <c r="C41" s="34">
        <f>'Loan Tape'!F42</f>
        <v/>
      </c>
      <c r="D41" s="35">
        <f>IFERROR('Loan Tape'!E42/'Loan Tape'!C42,0)</f>
        <v/>
      </c>
      <c r="E41" s="35">
        <f>IFERROR(
        'Loan Tape'!D42/
        ('Loan Tape'!B42*
        (1-IF(AND('Control Panel'!$B$15="YES",'Loan Tape'!W42&lt;&gt;"Full"),0.05,0))),
    0)</f>
        <v/>
      </c>
      <c r="F41" s="35">
        <f>'Control Panel'!$B$13*D41+'Control Panel'!$B$14*E41</f>
        <v/>
      </c>
      <c r="G41" s="36">
        <f>'Parameter Tables'!$B$5</f>
        <v/>
      </c>
      <c r="H41" s="37">
        <f>IFERROR(
        IF(F41&lt;=0.70,
            0.1+F41*1.2857,
            IF(F41&lt;=1.00,
                1+F41*2.5,
                IF(F41&lt;=1.50,
                    MIN(3.5+F41*1.5,5),
                    5
                )
            )
        ),
    1)</f>
        <v/>
      </c>
      <c r="I41" s="38">
        <f>1.00</f>
        <v/>
      </c>
      <c r="J41" s="37">
        <f>IFERROR(
        LET(
            income_mult,'Loan Tape'!D42/'Loan Tape'!O42,
            num_borr,'Loan Tape'!S42,
            seasoning,(DATE('Control Panel'!$B$10,1,1)-'Loan Tape'!G42)/365.25,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1" s="37">
        <f>IFERROR(
        IF('Loan Tape'!K42="BTL",
            LET(
                rental,'Loan Tape'!P42,
                int_cost,'Loan Tape'!D42*0.055,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1" s="37">
        <f>IFERROR(
        IF('Loan Tape'!U42="Second",1.5,
            IF('Loan Tape'!U42="Third+",1.7,1)
        ),
    1)</f>
        <v/>
      </c>
      <c r="M41" s="37">
        <f>IFERROR(
        IF(AND('Loan Tape'!V42="Cash-out",'Loan Tape'!U42="First"),1.2,1),
    1)</f>
        <v/>
      </c>
      <c r="N41" s="37">
        <f>IFERROR(
        LET(
            arrears,'Loan Tape'!Q42,
            monthly_pmt,'Loan Tape'!D42*'Loan Tape'!I42/12,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1" s="37">
        <f>IFERROR(
        IF('Loan Tape'!Q42=0,
            LET(
                seasoning,(DATE('Control Panel'!$B$10,1,1)-'Loan Tape'!G42)/365.25,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1" s="37">
        <f>IFERROR(
        IF(AND('Loan Tape'!T42="Yes",
            (DATE('Control Panel'!$B$10,1,1)-'Loan Tape'!G42)/365.25&lt;=1.5),
            1.10,1),
    1)</f>
        <v/>
      </c>
      <c r="Q41" s="37">
        <f>IFERROR(IF('Loan Tape'!AE42="Yes",1.35,1),1)</f>
        <v/>
      </c>
      <c r="R41" s="37">
        <f>IFERROR(
        IF('Loan Tape'!AD42="Yes",
            LET(
                seasoning,(DATE('Control Panel'!$B$10,1,1)-'Loan Tape'!G42)/365.25*12,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1" s="37">
        <f>IFERROR(IF('Loan Tape'!AF42="Yes",1.10,1),1)</f>
        <v/>
      </c>
      <c r="T41" s="37">
        <f>IFERROR(
        IF('Loan Tape'!J42="Interest Only",
            LET(
                yrs_to_mat,('Loan Tape'!H42-DATE('Control Panel'!$B$10,1,1))/365.25,
                is_btl,'Loan Tape'!K42="BTL",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1" s="37">
        <f>1.00</f>
        <v/>
      </c>
      <c r="V41" s="37">
        <f>IFERROR(IF('Loan Tape'!AG42="Yes",1.85,1),1)</f>
        <v/>
      </c>
      <c r="W41" s="37">
        <f>IFERROR(IF('Loan Tape'!R42="Self-Employed",1.15,1),1)</f>
        <v/>
      </c>
      <c r="X41" s="37">
        <f>IFERROR(
        LET(
            ccj_count,'Loan Tape'!X42,
            ccj_date,'Loan Tape'!Y42,
            ccj_value,'Loan Tape'!Z42,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1" s="37">
        <f>IFERROR(
        IF('Loan Tape'!AH42="Yes",
            LET(
                months_since,(DATE('Control Panel'!$B$10,1,1)-'Loan Tape'!AI42)/30.44,
                IF(months_since&lt;=12,2.0,
                    IF(months_since&lt;=24,1.5,
                        IF(months_since&lt;=36,1.2,1)
                    )
                )
            ),
        1),
    1)</f>
        <v/>
      </c>
      <c r="Z41" s="39">
        <f>IFERROR(
        IF(N41&gt;=100,1,
            G41*H41*I41*J41*K41*L41*M41*N41*O41*P41*Q41*R41*S41*T41*U41*V41*W41*X41*Y41
        ),
    0)</f>
        <v/>
      </c>
    </row>
    <row r="42">
      <c r="A42" s="32">
        <f>'Loan Tape'!A43</f>
        <v/>
      </c>
      <c r="B42" s="33">
        <f>'Loan Tape'!D43</f>
        <v/>
      </c>
      <c r="C42" s="34">
        <f>'Loan Tape'!F43</f>
        <v/>
      </c>
      <c r="D42" s="35">
        <f>IFERROR('Loan Tape'!E43/'Loan Tape'!C43,0)</f>
        <v/>
      </c>
      <c r="E42" s="35">
        <f>IFERROR(
        'Loan Tape'!D43/
        ('Loan Tape'!B43*
        (1-IF(AND('Control Panel'!$B$15="YES",'Loan Tape'!W43&lt;&gt;"Full"),0.05,0))),
    0)</f>
        <v/>
      </c>
      <c r="F42" s="35">
        <f>'Control Panel'!$B$13*D42+'Control Panel'!$B$14*E42</f>
        <v/>
      </c>
      <c r="G42" s="36">
        <f>'Parameter Tables'!$B$5</f>
        <v/>
      </c>
      <c r="H42" s="37">
        <f>IFERROR(
        IF(F42&lt;=0.70,
            0.1+F42*1.2857,
            IF(F42&lt;=1.00,
                1+F42*2.5,
                IF(F42&lt;=1.50,
                    MIN(3.5+F42*1.5,5),
                    5
                )
            )
        ),
    1)</f>
        <v/>
      </c>
      <c r="I42" s="38">
        <f>1.00</f>
        <v/>
      </c>
      <c r="J42" s="37">
        <f>IFERROR(
        LET(
            income_mult,'Loan Tape'!D43/'Loan Tape'!O43,
            num_borr,'Loan Tape'!S43,
            seasoning,(DATE('Control Panel'!$B$10,1,1)-'Loan Tape'!G43)/365.25,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2" s="37">
        <f>IFERROR(
        IF('Loan Tape'!K43="BTL",
            LET(
                rental,'Loan Tape'!P43,
                int_cost,'Loan Tape'!D43*0.055,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2" s="37">
        <f>IFERROR(
        IF('Loan Tape'!U43="Second",1.5,
            IF('Loan Tape'!U43="Third+",1.7,1)
        ),
    1)</f>
        <v/>
      </c>
      <c r="M42" s="37">
        <f>IFERROR(
        IF(AND('Loan Tape'!V43="Cash-out",'Loan Tape'!U43="First"),1.2,1),
    1)</f>
        <v/>
      </c>
      <c r="N42" s="37">
        <f>IFERROR(
        LET(
            arrears,'Loan Tape'!Q43,
            monthly_pmt,'Loan Tape'!D43*'Loan Tape'!I43/12,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2" s="37">
        <f>IFERROR(
        IF('Loan Tape'!Q43=0,
            LET(
                seasoning,(DATE('Control Panel'!$B$10,1,1)-'Loan Tape'!G43)/365.25,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2" s="37">
        <f>IFERROR(
        IF(AND('Loan Tape'!T43="Yes",
            (DATE('Control Panel'!$B$10,1,1)-'Loan Tape'!G43)/365.25&lt;=1.5),
            1.10,1),
    1)</f>
        <v/>
      </c>
      <c r="Q42" s="37">
        <f>IFERROR(IF('Loan Tape'!AE43="Yes",1.35,1),1)</f>
        <v/>
      </c>
      <c r="R42" s="37">
        <f>IFERROR(
        IF('Loan Tape'!AD43="Yes",
            LET(
                seasoning,(DATE('Control Panel'!$B$10,1,1)-'Loan Tape'!G43)/365.25*12,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2" s="37">
        <f>IFERROR(IF('Loan Tape'!AF43="Yes",1.10,1),1)</f>
        <v/>
      </c>
      <c r="T42" s="37">
        <f>IFERROR(
        IF('Loan Tape'!J43="Interest Only",
            LET(
                yrs_to_mat,('Loan Tape'!H43-DATE('Control Panel'!$B$10,1,1))/365.25,
                is_btl,'Loan Tape'!K43="BTL",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2" s="37">
        <f>1.00</f>
        <v/>
      </c>
      <c r="V42" s="37">
        <f>IFERROR(IF('Loan Tape'!AG43="Yes",1.85,1),1)</f>
        <v/>
      </c>
      <c r="W42" s="37">
        <f>IFERROR(IF('Loan Tape'!R43="Self-Employed",1.15,1),1)</f>
        <v/>
      </c>
      <c r="X42" s="37">
        <f>IFERROR(
        LET(
            ccj_count,'Loan Tape'!X43,
            ccj_date,'Loan Tape'!Y43,
            ccj_value,'Loan Tape'!Z43,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2" s="37">
        <f>IFERROR(
        IF('Loan Tape'!AH43="Yes",
            LET(
                months_since,(DATE('Control Panel'!$B$10,1,1)-'Loan Tape'!AI43)/30.44,
                IF(months_since&lt;=12,2.0,
                    IF(months_since&lt;=24,1.5,
                        IF(months_since&lt;=36,1.2,1)
                    )
                )
            ),
        1),
    1)</f>
        <v/>
      </c>
      <c r="Z42" s="39">
        <f>IFERROR(
        IF(N42&gt;=100,1,
            G42*H42*I42*J42*K42*L42*M42*N42*O42*P42*Q42*R42*S42*T42*U42*V42*W42*X42*Y42
        ),
    0)</f>
        <v/>
      </c>
    </row>
    <row r="43">
      <c r="A43" s="32">
        <f>'Loan Tape'!A44</f>
        <v/>
      </c>
      <c r="B43" s="33">
        <f>'Loan Tape'!D44</f>
        <v/>
      </c>
      <c r="C43" s="34">
        <f>'Loan Tape'!F44</f>
        <v/>
      </c>
      <c r="D43" s="35">
        <f>IFERROR('Loan Tape'!E44/'Loan Tape'!C44,0)</f>
        <v/>
      </c>
      <c r="E43" s="35">
        <f>IFERROR(
        'Loan Tape'!D44/
        ('Loan Tape'!B44*
        (1-IF(AND('Control Panel'!$B$15="YES",'Loan Tape'!W44&lt;&gt;"Full"),0.05,0))),
    0)</f>
        <v/>
      </c>
      <c r="F43" s="35">
        <f>'Control Panel'!$B$13*D43+'Control Panel'!$B$14*E43</f>
        <v/>
      </c>
      <c r="G43" s="36">
        <f>'Parameter Tables'!$B$5</f>
        <v/>
      </c>
      <c r="H43" s="37">
        <f>IFERROR(
        IF(F43&lt;=0.70,
            0.1+F43*1.2857,
            IF(F43&lt;=1.00,
                1+F43*2.5,
                IF(F43&lt;=1.50,
                    MIN(3.5+F43*1.5,5),
                    5
                )
            )
        ),
    1)</f>
        <v/>
      </c>
      <c r="I43" s="38">
        <f>1.00</f>
        <v/>
      </c>
      <c r="J43" s="37">
        <f>IFERROR(
        LET(
            income_mult,'Loan Tape'!D44/'Loan Tape'!O44,
            num_borr,'Loan Tape'!S44,
            seasoning,(DATE('Control Panel'!$B$10,1,1)-'Loan Tape'!G44)/365.25,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3" s="37">
        <f>IFERROR(
        IF('Loan Tape'!K44="BTL",
            LET(
                rental,'Loan Tape'!P44,
                int_cost,'Loan Tape'!D44*0.055,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3" s="37">
        <f>IFERROR(
        IF('Loan Tape'!U44="Second",1.5,
            IF('Loan Tape'!U44="Third+",1.7,1)
        ),
    1)</f>
        <v/>
      </c>
      <c r="M43" s="37">
        <f>IFERROR(
        IF(AND('Loan Tape'!V44="Cash-out",'Loan Tape'!U44="First"),1.2,1),
    1)</f>
        <v/>
      </c>
      <c r="N43" s="37">
        <f>IFERROR(
        LET(
            arrears,'Loan Tape'!Q44,
            monthly_pmt,'Loan Tape'!D44*'Loan Tape'!I44/12,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3" s="37">
        <f>IFERROR(
        IF('Loan Tape'!Q44=0,
            LET(
                seasoning,(DATE('Control Panel'!$B$10,1,1)-'Loan Tape'!G44)/365.25,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3" s="37">
        <f>IFERROR(
        IF(AND('Loan Tape'!T44="Yes",
            (DATE('Control Panel'!$B$10,1,1)-'Loan Tape'!G44)/365.25&lt;=1.5),
            1.10,1),
    1)</f>
        <v/>
      </c>
      <c r="Q43" s="37">
        <f>IFERROR(IF('Loan Tape'!AE44="Yes",1.35,1),1)</f>
        <v/>
      </c>
      <c r="R43" s="37">
        <f>IFERROR(
        IF('Loan Tape'!AD44="Yes",
            LET(
                seasoning,(DATE('Control Panel'!$B$10,1,1)-'Loan Tape'!G44)/365.25*12,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3" s="37">
        <f>IFERROR(IF('Loan Tape'!AF44="Yes",1.10,1),1)</f>
        <v/>
      </c>
      <c r="T43" s="37">
        <f>IFERROR(
        IF('Loan Tape'!J44="Interest Only",
            LET(
                yrs_to_mat,('Loan Tape'!H44-DATE('Control Panel'!$B$10,1,1))/365.25,
                is_btl,'Loan Tape'!K44="BTL",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3" s="37">
        <f>1.00</f>
        <v/>
      </c>
      <c r="V43" s="37">
        <f>IFERROR(IF('Loan Tape'!AG44="Yes",1.85,1),1)</f>
        <v/>
      </c>
      <c r="W43" s="37">
        <f>IFERROR(IF('Loan Tape'!R44="Self-Employed",1.15,1),1)</f>
        <v/>
      </c>
      <c r="X43" s="37">
        <f>IFERROR(
        LET(
            ccj_count,'Loan Tape'!X44,
            ccj_date,'Loan Tape'!Y44,
            ccj_value,'Loan Tape'!Z44,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3" s="37">
        <f>IFERROR(
        IF('Loan Tape'!AH44="Yes",
            LET(
                months_since,(DATE('Control Panel'!$B$10,1,1)-'Loan Tape'!AI44)/30.44,
                IF(months_since&lt;=12,2.0,
                    IF(months_since&lt;=24,1.5,
                        IF(months_since&lt;=36,1.2,1)
                    )
                )
            ),
        1),
    1)</f>
        <v/>
      </c>
      <c r="Z43" s="39">
        <f>IFERROR(
        IF(N43&gt;=100,1,
            G43*H43*I43*J43*K43*L43*M43*N43*O43*P43*Q43*R43*S43*T43*U43*V43*W43*X43*Y43
        ),
    0)</f>
        <v/>
      </c>
    </row>
    <row r="44">
      <c r="A44" s="32">
        <f>'Loan Tape'!A45</f>
        <v/>
      </c>
      <c r="B44" s="33">
        <f>'Loan Tape'!D45</f>
        <v/>
      </c>
      <c r="C44" s="34">
        <f>'Loan Tape'!F45</f>
        <v/>
      </c>
      <c r="D44" s="35">
        <f>IFERROR('Loan Tape'!E45/'Loan Tape'!C45,0)</f>
        <v/>
      </c>
      <c r="E44" s="35">
        <f>IFERROR(
        'Loan Tape'!D45/
        ('Loan Tape'!B45*
        (1-IF(AND('Control Panel'!$B$15="YES",'Loan Tape'!W45&lt;&gt;"Full"),0.05,0))),
    0)</f>
        <v/>
      </c>
      <c r="F44" s="35">
        <f>'Control Panel'!$B$13*D44+'Control Panel'!$B$14*E44</f>
        <v/>
      </c>
      <c r="G44" s="36">
        <f>'Parameter Tables'!$B$5</f>
        <v/>
      </c>
      <c r="H44" s="37">
        <f>IFERROR(
        IF(F44&lt;=0.70,
            0.1+F44*1.2857,
            IF(F44&lt;=1.00,
                1+F44*2.5,
                IF(F44&lt;=1.50,
                    MIN(3.5+F44*1.5,5),
                    5
                )
            )
        ),
    1)</f>
        <v/>
      </c>
      <c r="I44" s="38">
        <f>1.00</f>
        <v/>
      </c>
      <c r="J44" s="37">
        <f>IFERROR(
        LET(
            income_mult,'Loan Tape'!D45/'Loan Tape'!O45,
            num_borr,'Loan Tape'!S45,
            seasoning,(DATE('Control Panel'!$B$10,1,1)-'Loan Tape'!G45)/365.25,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4" s="37">
        <f>IFERROR(
        IF('Loan Tape'!K45="BTL",
            LET(
                rental,'Loan Tape'!P45,
                int_cost,'Loan Tape'!D45*0.055,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4" s="37">
        <f>IFERROR(
        IF('Loan Tape'!U45="Second",1.5,
            IF('Loan Tape'!U45="Third+",1.7,1)
        ),
    1)</f>
        <v/>
      </c>
      <c r="M44" s="37">
        <f>IFERROR(
        IF(AND('Loan Tape'!V45="Cash-out",'Loan Tape'!U45="First"),1.2,1),
    1)</f>
        <v/>
      </c>
      <c r="N44" s="37">
        <f>IFERROR(
        LET(
            arrears,'Loan Tape'!Q45,
            monthly_pmt,'Loan Tape'!D45*'Loan Tape'!I45/12,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4" s="37">
        <f>IFERROR(
        IF('Loan Tape'!Q45=0,
            LET(
                seasoning,(DATE('Control Panel'!$B$10,1,1)-'Loan Tape'!G45)/365.25,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4" s="37">
        <f>IFERROR(
        IF(AND('Loan Tape'!T45="Yes",
            (DATE('Control Panel'!$B$10,1,1)-'Loan Tape'!G45)/365.25&lt;=1.5),
            1.10,1),
    1)</f>
        <v/>
      </c>
      <c r="Q44" s="37">
        <f>IFERROR(IF('Loan Tape'!AE45="Yes",1.35,1),1)</f>
        <v/>
      </c>
      <c r="R44" s="37">
        <f>IFERROR(
        IF('Loan Tape'!AD45="Yes",
            LET(
                seasoning,(DATE('Control Panel'!$B$10,1,1)-'Loan Tape'!G45)/365.25*12,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4" s="37">
        <f>IFERROR(IF('Loan Tape'!AF45="Yes",1.10,1),1)</f>
        <v/>
      </c>
      <c r="T44" s="37">
        <f>IFERROR(
        IF('Loan Tape'!J45="Interest Only",
            LET(
                yrs_to_mat,('Loan Tape'!H45-DATE('Control Panel'!$B$10,1,1))/365.25,
                is_btl,'Loan Tape'!K45="BTL",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4" s="37">
        <f>1.00</f>
        <v/>
      </c>
      <c r="V44" s="37">
        <f>IFERROR(IF('Loan Tape'!AG45="Yes",1.85,1),1)</f>
        <v/>
      </c>
      <c r="W44" s="37">
        <f>IFERROR(IF('Loan Tape'!R45="Self-Employed",1.15,1),1)</f>
        <v/>
      </c>
      <c r="X44" s="37">
        <f>IFERROR(
        LET(
            ccj_count,'Loan Tape'!X45,
            ccj_date,'Loan Tape'!Y45,
            ccj_value,'Loan Tape'!Z45,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4" s="37">
        <f>IFERROR(
        IF('Loan Tape'!AH45="Yes",
            LET(
                months_since,(DATE('Control Panel'!$B$10,1,1)-'Loan Tape'!AI45)/30.44,
                IF(months_since&lt;=12,2.0,
                    IF(months_since&lt;=24,1.5,
                        IF(months_since&lt;=36,1.2,1)
                    )
                )
            ),
        1),
    1)</f>
        <v/>
      </c>
      <c r="Z44" s="39">
        <f>IFERROR(
        IF(N44&gt;=100,1,
            G44*H44*I44*J44*K44*L44*M44*N44*O44*P44*Q44*R44*S44*T44*U44*V44*W44*X44*Y44
        ),
    0)</f>
        <v/>
      </c>
    </row>
    <row r="45">
      <c r="A45" s="32">
        <f>'Loan Tape'!A46</f>
        <v/>
      </c>
      <c r="B45" s="33">
        <f>'Loan Tape'!D46</f>
        <v/>
      </c>
      <c r="C45" s="34">
        <f>'Loan Tape'!F46</f>
        <v/>
      </c>
      <c r="D45" s="35">
        <f>IFERROR('Loan Tape'!E46/'Loan Tape'!C46,0)</f>
        <v/>
      </c>
      <c r="E45" s="35">
        <f>IFERROR(
        'Loan Tape'!D46/
        ('Loan Tape'!B46*
        (1-IF(AND('Control Panel'!$B$15="YES",'Loan Tape'!W46&lt;&gt;"Full"),0.05,0))),
    0)</f>
        <v/>
      </c>
      <c r="F45" s="35">
        <f>'Control Panel'!$B$13*D45+'Control Panel'!$B$14*E45</f>
        <v/>
      </c>
      <c r="G45" s="36">
        <f>'Parameter Tables'!$B$5</f>
        <v/>
      </c>
      <c r="H45" s="37">
        <f>IFERROR(
        IF(F45&lt;=0.70,
            0.1+F45*1.2857,
            IF(F45&lt;=1.00,
                1+F45*2.5,
                IF(F45&lt;=1.50,
                    MIN(3.5+F45*1.5,5),
                    5
                )
            )
        ),
    1)</f>
        <v/>
      </c>
      <c r="I45" s="38">
        <f>1.00</f>
        <v/>
      </c>
      <c r="J45" s="37">
        <f>IFERROR(
        LET(
            income_mult,'Loan Tape'!D46/'Loan Tape'!O46,
            num_borr,'Loan Tape'!S46,
            seasoning,(DATE('Control Panel'!$B$10,1,1)-'Loan Tape'!G46)/365.25,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5" s="37">
        <f>IFERROR(
        IF('Loan Tape'!K46="BTL",
            LET(
                rental,'Loan Tape'!P46,
                int_cost,'Loan Tape'!D46*0.055,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5" s="37">
        <f>IFERROR(
        IF('Loan Tape'!U46="Second",1.5,
            IF('Loan Tape'!U46="Third+",1.7,1)
        ),
    1)</f>
        <v/>
      </c>
      <c r="M45" s="37">
        <f>IFERROR(
        IF(AND('Loan Tape'!V46="Cash-out",'Loan Tape'!U46="First"),1.2,1),
    1)</f>
        <v/>
      </c>
      <c r="N45" s="37">
        <f>IFERROR(
        LET(
            arrears,'Loan Tape'!Q46,
            monthly_pmt,'Loan Tape'!D46*'Loan Tape'!I46/12,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5" s="37">
        <f>IFERROR(
        IF('Loan Tape'!Q46=0,
            LET(
                seasoning,(DATE('Control Panel'!$B$10,1,1)-'Loan Tape'!G46)/365.25,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5" s="37">
        <f>IFERROR(
        IF(AND('Loan Tape'!T46="Yes",
            (DATE('Control Panel'!$B$10,1,1)-'Loan Tape'!G46)/365.25&lt;=1.5),
            1.10,1),
    1)</f>
        <v/>
      </c>
      <c r="Q45" s="37">
        <f>IFERROR(IF('Loan Tape'!AE46="Yes",1.35,1),1)</f>
        <v/>
      </c>
      <c r="R45" s="37">
        <f>IFERROR(
        IF('Loan Tape'!AD46="Yes",
            LET(
                seasoning,(DATE('Control Panel'!$B$10,1,1)-'Loan Tape'!G46)/365.25*12,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5" s="37">
        <f>IFERROR(IF('Loan Tape'!AF46="Yes",1.10,1),1)</f>
        <v/>
      </c>
      <c r="T45" s="37">
        <f>IFERROR(
        IF('Loan Tape'!J46="Interest Only",
            LET(
                yrs_to_mat,('Loan Tape'!H46-DATE('Control Panel'!$B$10,1,1))/365.25,
                is_btl,'Loan Tape'!K46="BTL",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5" s="37">
        <f>1.00</f>
        <v/>
      </c>
      <c r="V45" s="37">
        <f>IFERROR(IF('Loan Tape'!AG46="Yes",1.85,1),1)</f>
        <v/>
      </c>
      <c r="W45" s="37">
        <f>IFERROR(IF('Loan Tape'!R46="Self-Employed",1.15,1),1)</f>
        <v/>
      </c>
      <c r="X45" s="37">
        <f>IFERROR(
        LET(
            ccj_count,'Loan Tape'!X46,
            ccj_date,'Loan Tape'!Y46,
            ccj_value,'Loan Tape'!Z46,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5" s="37">
        <f>IFERROR(
        IF('Loan Tape'!AH46="Yes",
            LET(
                months_since,(DATE('Control Panel'!$B$10,1,1)-'Loan Tape'!AI46)/30.44,
                IF(months_since&lt;=12,2.0,
                    IF(months_since&lt;=24,1.5,
                        IF(months_since&lt;=36,1.2,1)
                    )
                )
            ),
        1),
    1)</f>
        <v/>
      </c>
      <c r="Z45" s="39">
        <f>IFERROR(
        IF(N45&gt;=100,1,
            G45*H45*I45*J45*K45*L45*M45*N45*O45*P45*Q45*R45*S45*T45*U45*V45*W45*X45*Y45
        ),
    0)</f>
        <v/>
      </c>
    </row>
    <row r="46">
      <c r="A46" s="32">
        <f>'Loan Tape'!A47</f>
        <v/>
      </c>
      <c r="B46" s="33">
        <f>'Loan Tape'!D47</f>
        <v/>
      </c>
      <c r="C46" s="34">
        <f>'Loan Tape'!F47</f>
        <v/>
      </c>
      <c r="D46" s="35">
        <f>IFERROR('Loan Tape'!E47/'Loan Tape'!C47,0)</f>
        <v/>
      </c>
      <c r="E46" s="35">
        <f>IFERROR(
        'Loan Tape'!D47/
        ('Loan Tape'!B47*
        (1-IF(AND('Control Panel'!$B$15="YES",'Loan Tape'!W47&lt;&gt;"Full"),0.05,0))),
    0)</f>
        <v/>
      </c>
      <c r="F46" s="35">
        <f>'Control Panel'!$B$13*D46+'Control Panel'!$B$14*E46</f>
        <v/>
      </c>
      <c r="G46" s="36">
        <f>'Parameter Tables'!$B$5</f>
        <v/>
      </c>
      <c r="H46" s="37">
        <f>IFERROR(
        IF(F46&lt;=0.70,
            0.1+F46*1.2857,
            IF(F46&lt;=1.00,
                1+F46*2.5,
                IF(F46&lt;=1.50,
                    MIN(3.5+F46*1.5,5),
                    5
                )
            )
        ),
    1)</f>
        <v/>
      </c>
      <c r="I46" s="38">
        <f>1.00</f>
        <v/>
      </c>
      <c r="J46" s="37">
        <f>IFERROR(
        LET(
            income_mult,'Loan Tape'!D47/'Loan Tape'!O47,
            num_borr,'Loan Tape'!S47,
            seasoning,(DATE('Control Panel'!$B$10,1,1)-'Loan Tape'!G47)/365.25,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6" s="37">
        <f>IFERROR(
        IF('Loan Tape'!K47="BTL",
            LET(
                rental,'Loan Tape'!P47,
                int_cost,'Loan Tape'!D47*0.055,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6" s="37">
        <f>IFERROR(
        IF('Loan Tape'!U47="Second",1.5,
            IF('Loan Tape'!U47="Third+",1.7,1)
        ),
    1)</f>
        <v/>
      </c>
      <c r="M46" s="37">
        <f>IFERROR(
        IF(AND('Loan Tape'!V47="Cash-out",'Loan Tape'!U47="First"),1.2,1),
    1)</f>
        <v/>
      </c>
      <c r="N46" s="37">
        <f>IFERROR(
        LET(
            arrears,'Loan Tape'!Q47,
            monthly_pmt,'Loan Tape'!D47*'Loan Tape'!I47/12,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6" s="37">
        <f>IFERROR(
        IF('Loan Tape'!Q47=0,
            LET(
                seasoning,(DATE('Control Panel'!$B$10,1,1)-'Loan Tape'!G47)/365.25,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6" s="37">
        <f>IFERROR(
        IF(AND('Loan Tape'!T47="Yes",
            (DATE('Control Panel'!$B$10,1,1)-'Loan Tape'!G47)/365.25&lt;=1.5),
            1.10,1),
    1)</f>
        <v/>
      </c>
      <c r="Q46" s="37">
        <f>IFERROR(IF('Loan Tape'!AE47="Yes",1.35,1),1)</f>
        <v/>
      </c>
      <c r="R46" s="37">
        <f>IFERROR(
        IF('Loan Tape'!AD47="Yes",
            LET(
                seasoning,(DATE('Control Panel'!$B$10,1,1)-'Loan Tape'!G47)/365.25*12,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6" s="37">
        <f>IFERROR(IF('Loan Tape'!AF47="Yes",1.10,1),1)</f>
        <v/>
      </c>
      <c r="T46" s="37">
        <f>IFERROR(
        IF('Loan Tape'!J47="Interest Only",
            LET(
                yrs_to_mat,('Loan Tape'!H47-DATE('Control Panel'!$B$10,1,1))/365.25,
                is_btl,'Loan Tape'!K47="BTL",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6" s="37">
        <f>1.00</f>
        <v/>
      </c>
      <c r="V46" s="37">
        <f>IFERROR(IF('Loan Tape'!AG47="Yes",1.85,1),1)</f>
        <v/>
      </c>
      <c r="W46" s="37">
        <f>IFERROR(IF('Loan Tape'!R47="Self-Employed",1.15,1),1)</f>
        <v/>
      </c>
      <c r="X46" s="37">
        <f>IFERROR(
        LET(
            ccj_count,'Loan Tape'!X47,
            ccj_date,'Loan Tape'!Y47,
            ccj_value,'Loan Tape'!Z47,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6" s="37">
        <f>IFERROR(
        IF('Loan Tape'!AH47="Yes",
            LET(
                months_since,(DATE('Control Panel'!$B$10,1,1)-'Loan Tape'!AI47)/30.44,
                IF(months_since&lt;=12,2.0,
                    IF(months_since&lt;=24,1.5,
                        IF(months_since&lt;=36,1.2,1)
                    )
                )
            ),
        1),
    1)</f>
        <v/>
      </c>
      <c r="Z46" s="39">
        <f>IFERROR(
        IF(N46&gt;=100,1,
            G46*H46*I46*J46*K46*L46*M46*N46*O46*P46*Q46*R46*S46*T46*U46*V46*W46*X46*Y46
        ),
    0)</f>
        <v/>
      </c>
    </row>
    <row r="47">
      <c r="A47" s="32">
        <f>'Loan Tape'!A48</f>
        <v/>
      </c>
      <c r="B47" s="33">
        <f>'Loan Tape'!D48</f>
        <v/>
      </c>
      <c r="C47" s="34">
        <f>'Loan Tape'!F48</f>
        <v/>
      </c>
      <c r="D47" s="35">
        <f>IFERROR('Loan Tape'!E48/'Loan Tape'!C48,0)</f>
        <v/>
      </c>
      <c r="E47" s="35">
        <f>IFERROR(
        'Loan Tape'!D48/
        ('Loan Tape'!B48*
        (1-IF(AND('Control Panel'!$B$15="YES",'Loan Tape'!W48&lt;&gt;"Full"),0.05,0))),
    0)</f>
        <v/>
      </c>
      <c r="F47" s="35">
        <f>'Control Panel'!$B$13*D47+'Control Panel'!$B$14*E47</f>
        <v/>
      </c>
      <c r="G47" s="36">
        <f>'Parameter Tables'!$B$5</f>
        <v/>
      </c>
      <c r="H47" s="37">
        <f>IFERROR(
        IF(F47&lt;=0.70,
            0.1+F47*1.2857,
            IF(F47&lt;=1.00,
                1+F47*2.5,
                IF(F47&lt;=1.50,
                    MIN(3.5+F47*1.5,5),
                    5
                )
            )
        ),
    1)</f>
        <v/>
      </c>
      <c r="I47" s="38">
        <f>1.00</f>
        <v/>
      </c>
      <c r="J47" s="37">
        <f>IFERROR(
        LET(
            income_mult,'Loan Tape'!D48/'Loan Tape'!O48,
            num_borr,'Loan Tape'!S48,
            seasoning,(DATE('Control Panel'!$B$10,1,1)-'Loan Tape'!G48)/365.25,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7" s="37">
        <f>IFERROR(
        IF('Loan Tape'!K48="BTL",
            LET(
                rental,'Loan Tape'!P48,
                int_cost,'Loan Tape'!D48*0.055,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7" s="37">
        <f>IFERROR(
        IF('Loan Tape'!U48="Second",1.5,
            IF('Loan Tape'!U48="Third+",1.7,1)
        ),
    1)</f>
        <v/>
      </c>
      <c r="M47" s="37">
        <f>IFERROR(
        IF(AND('Loan Tape'!V48="Cash-out",'Loan Tape'!U48="First"),1.2,1),
    1)</f>
        <v/>
      </c>
      <c r="N47" s="37">
        <f>IFERROR(
        LET(
            arrears,'Loan Tape'!Q48,
            monthly_pmt,'Loan Tape'!D48*'Loan Tape'!I48/12,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7" s="37">
        <f>IFERROR(
        IF('Loan Tape'!Q48=0,
            LET(
                seasoning,(DATE('Control Panel'!$B$10,1,1)-'Loan Tape'!G48)/365.25,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7" s="37">
        <f>IFERROR(
        IF(AND('Loan Tape'!T48="Yes",
            (DATE('Control Panel'!$B$10,1,1)-'Loan Tape'!G48)/365.25&lt;=1.5),
            1.10,1),
    1)</f>
        <v/>
      </c>
      <c r="Q47" s="37">
        <f>IFERROR(IF('Loan Tape'!AE48="Yes",1.35,1),1)</f>
        <v/>
      </c>
      <c r="R47" s="37">
        <f>IFERROR(
        IF('Loan Tape'!AD48="Yes",
            LET(
                seasoning,(DATE('Control Panel'!$B$10,1,1)-'Loan Tape'!G48)/365.25*12,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7" s="37">
        <f>IFERROR(IF('Loan Tape'!AF48="Yes",1.10,1),1)</f>
        <v/>
      </c>
      <c r="T47" s="37">
        <f>IFERROR(
        IF('Loan Tape'!J48="Interest Only",
            LET(
                yrs_to_mat,('Loan Tape'!H48-DATE('Control Panel'!$B$10,1,1))/365.25,
                is_btl,'Loan Tape'!K48="BTL",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7" s="37">
        <f>1.00</f>
        <v/>
      </c>
      <c r="V47" s="37">
        <f>IFERROR(IF('Loan Tape'!AG48="Yes",1.85,1),1)</f>
        <v/>
      </c>
      <c r="W47" s="37">
        <f>IFERROR(IF('Loan Tape'!R48="Self-Employed",1.15,1),1)</f>
        <v/>
      </c>
      <c r="X47" s="37">
        <f>IFERROR(
        LET(
            ccj_count,'Loan Tape'!X48,
            ccj_date,'Loan Tape'!Y48,
            ccj_value,'Loan Tape'!Z48,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7" s="37">
        <f>IFERROR(
        IF('Loan Tape'!AH48="Yes",
            LET(
                months_since,(DATE('Control Panel'!$B$10,1,1)-'Loan Tape'!AI48)/30.44,
                IF(months_since&lt;=12,2.0,
                    IF(months_since&lt;=24,1.5,
                        IF(months_since&lt;=36,1.2,1)
                    )
                )
            ),
        1),
    1)</f>
        <v/>
      </c>
      <c r="Z47" s="39">
        <f>IFERROR(
        IF(N47&gt;=100,1,
            G47*H47*I47*J47*K47*L47*M47*N47*O47*P47*Q47*R47*S47*T47*U47*V47*W47*X47*Y47
        ),
    0)</f>
        <v/>
      </c>
    </row>
    <row r="48">
      <c r="A48" s="32">
        <f>'Loan Tape'!A49</f>
        <v/>
      </c>
      <c r="B48" s="33">
        <f>'Loan Tape'!D49</f>
        <v/>
      </c>
      <c r="C48" s="34">
        <f>'Loan Tape'!F49</f>
        <v/>
      </c>
      <c r="D48" s="35">
        <f>IFERROR('Loan Tape'!E49/'Loan Tape'!C49,0)</f>
        <v/>
      </c>
      <c r="E48" s="35">
        <f>IFERROR(
        'Loan Tape'!D49/
        ('Loan Tape'!B49*
        (1-IF(AND('Control Panel'!$B$15="YES",'Loan Tape'!W49&lt;&gt;"Full"),0.05,0))),
    0)</f>
        <v/>
      </c>
      <c r="F48" s="35">
        <f>'Control Panel'!$B$13*D48+'Control Panel'!$B$14*E48</f>
        <v/>
      </c>
      <c r="G48" s="36">
        <f>'Parameter Tables'!$B$5</f>
        <v/>
      </c>
      <c r="H48" s="37">
        <f>IFERROR(
        IF(F48&lt;=0.70,
            0.1+F48*1.2857,
            IF(F48&lt;=1.00,
                1+F48*2.5,
                IF(F48&lt;=1.50,
                    MIN(3.5+F48*1.5,5),
                    5
                )
            )
        ),
    1)</f>
        <v/>
      </c>
      <c r="I48" s="38">
        <f>1.00</f>
        <v/>
      </c>
      <c r="J48" s="37">
        <f>IFERROR(
        LET(
            income_mult,'Loan Tape'!D49/'Loan Tape'!O49,
            num_borr,'Loan Tape'!S49,
            seasoning,(DATE('Control Panel'!$B$10,1,1)-'Loan Tape'!G49)/365.25,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8" s="37">
        <f>IFERROR(
        IF('Loan Tape'!K49="BTL",
            LET(
                rental,'Loan Tape'!P49,
                int_cost,'Loan Tape'!D49*0.055,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8" s="37">
        <f>IFERROR(
        IF('Loan Tape'!U49="Second",1.5,
            IF('Loan Tape'!U49="Third+",1.7,1)
        ),
    1)</f>
        <v/>
      </c>
      <c r="M48" s="37">
        <f>IFERROR(
        IF(AND('Loan Tape'!V49="Cash-out",'Loan Tape'!U49="First"),1.2,1),
    1)</f>
        <v/>
      </c>
      <c r="N48" s="37">
        <f>IFERROR(
        LET(
            arrears,'Loan Tape'!Q49,
            monthly_pmt,'Loan Tape'!D49*'Loan Tape'!I49/12,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8" s="37">
        <f>IFERROR(
        IF('Loan Tape'!Q49=0,
            LET(
                seasoning,(DATE('Control Panel'!$B$10,1,1)-'Loan Tape'!G49)/365.25,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8" s="37">
        <f>IFERROR(
        IF(AND('Loan Tape'!T49="Yes",
            (DATE('Control Panel'!$B$10,1,1)-'Loan Tape'!G49)/365.25&lt;=1.5),
            1.10,1),
    1)</f>
        <v/>
      </c>
      <c r="Q48" s="37">
        <f>IFERROR(IF('Loan Tape'!AE49="Yes",1.35,1),1)</f>
        <v/>
      </c>
      <c r="R48" s="37">
        <f>IFERROR(
        IF('Loan Tape'!AD49="Yes",
            LET(
                seasoning,(DATE('Control Panel'!$B$10,1,1)-'Loan Tape'!G49)/365.25*12,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8" s="37">
        <f>IFERROR(IF('Loan Tape'!AF49="Yes",1.10,1),1)</f>
        <v/>
      </c>
      <c r="T48" s="37">
        <f>IFERROR(
        IF('Loan Tape'!J49="Interest Only",
            LET(
                yrs_to_mat,('Loan Tape'!H49-DATE('Control Panel'!$B$10,1,1))/365.25,
                is_btl,'Loan Tape'!K49="BTL",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8" s="37">
        <f>1.00</f>
        <v/>
      </c>
      <c r="V48" s="37">
        <f>IFERROR(IF('Loan Tape'!AG49="Yes",1.85,1),1)</f>
        <v/>
      </c>
      <c r="W48" s="37">
        <f>IFERROR(IF('Loan Tape'!R49="Self-Employed",1.15,1),1)</f>
        <v/>
      </c>
      <c r="X48" s="37">
        <f>IFERROR(
        LET(
            ccj_count,'Loan Tape'!X49,
            ccj_date,'Loan Tape'!Y49,
            ccj_value,'Loan Tape'!Z49,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8" s="37">
        <f>IFERROR(
        IF('Loan Tape'!AH49="Yes",
            LET(
                months_since,(DATE('Control Panel'!$B$10,1,1)-'Loan Tape'!AI49)/30.44,
                IF(months_since&lt;=12,2.0,
                    IF(months_since&lt;=24,1.5,
                        IF(months_since&lt;=36,1.2,1)
                    )
                )
            ),
        1),
    1)</f>
        <v/>
      </c>
      <c r="Z48" s="39">
        <f>IFERROR(
        IF(N48&gt;=100,1,
            G48*H48*I48*J48*K48*L48*M48*N48*O48*P48*Q48*R48*S48*T48*U48*V48*W48*X48*Y48
        ),
    0)</f>
        <v/>
      </c>
    </row>
    <row r="49">
      <c r="A49" s="32">
        <f>'Loan Tape'!A50</f>
        <v/>
      </c>
      <c r="B49" s="33">
        <f>'Loan Tape'!D50</f>
        <v/>
      </c>
      <c r="C49" s="34">
        <f>'Loan Tape'!F50</f>
        <v/>
      </c>
      <c r="D49" s="35">
        <f>IFERROR('Loan Tape'!E50/'Loan Tape'!C50,0)</f>
        <v/>
      </c>
      <c r="E49" s="35">
        <f>IFERROR(
        'Loan Tape'!D50/
        ('Loan Tape'!B50*
        (1-IF(AND('Control Panel'!$B$15="YES",'Loan Tape'!W50&lt;&gt;"Full"),0.05,0))),
    0)</f>
        <v/>
      </c>
      <c r="F49" s="35">
        <f>'Control Panel'!$B$13*D49+'Control Panel'!$B$14*E49</f>
        <v/>
      </c>
      <c r="G49" s="36">
        <f>'Parameter Tables'!$B$5</f>
        <v/>
      </c>
      <c r="H49" s="37">
        <f>IFERROR(
        IF(F49&lt;=0.70,
            0.1+F49*1.2857,
            IF(F49&lt;=1.00,
                1+F49*2.5,
                IF(F49&lt;=1.50,
                    MIN(3.5+F49*1.5,5),
                    5
                )
            )
        ),
    1)</f>
        <v/>
      </c>
      <c r="I49" s="38">
        <f>1.00</f>
        <v/>
      </c>
      <c r="J49" s="37">
        <f>IFERROR(
        LET(
            income_mult,'Loan Tape'!D50/'Loan Tape'!O50,
            num_borr,'Loan Tape'!S50,
            seasoning,(DATE('Control Panel'!$B$10,1,1)-'Loan Tape'!G50)/365.25,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49" s="37">
        <f>IFERROR(
        IF('Loan Tape'!K50="BTL",
            LET(
                rental,'Loan Tape'!P50,
                int_cost,'Loan Tape'!D50*0.055,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49" s="37">
        <f>IFERROR(
        IF('Loan Tape'!U50="Second",1.5,
            IF('Loan Tape'!U50="Third+",1.7,1)
        ),
    1)</f>
        <v/>
      </c>
      <c r="M49" s="37">
        <f>IFERROR(
        IF(AND('Loan Tape'!V50="Cash-out",'Loan Tape'!U50="First"),1.2,1),
    1)</f>
        <v/>
      </c>
      <c r="N49" s="37">
        <f>IFERROR(
        LET(
            arrears,'Loan Tape'!Q50,
            monthly_pmt,'Loan Tape'!D50*'Loan Tape'!I50/12,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49" s="37">
        <f>IFERROR(
        IF('Loan Tape'!Q50=0,
            LET(
                seasoning,(DATE('Control Panel'!$B$10,1,1)-'Loan Tape'!G50)/365.25,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49" s="37">
        <f>IFERROR(
        IF(AND('Loan Tape'!T50="Yes",
            (DATE('Control Panel'!$B$10,1,1)-'Loan Tape'!G50)/365.25&lt;=1.5),
            1.10,1),
    1)</f>
        <v/>
      </c>
      <c r="Q49" s="37">
        <f>IFERROR(IF('Loan Tape'!AE50="Yes",1.35,1),1)</f>
        <v/>
      </c>
      <c r="R49" s="37">
        <f>IFERROR(
        IF('Loan Tape'!AD50="Yes",
            LET(
                seasoning,(DATE('Control Panel'!$B$10,1,1)-'Loan Tape'!G50)/365.25*12,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49" s="37">
        <f>IFERROR(IF('Loan Tape'!AF50="Yes",1.10,1),1)</f>
        <v/>
      </c>
      <c r="T49" s="37">
        <f>IFERROR(
        IF('Loan Tape'!J50="Interest Only",
            LET(
                yrs_to_mat,('Loan Tape'!H50-DATE('Control Panel'!$B$10,1,1))/365.25,
                is_btl,'Loan Tape'!K50="BTL",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49" s="37">
        <f>1.00</f>
        <v/>
      </c>
      <c r="V49" s="37">
        <f>IFERROR(IF('Loan Tape'!AG50="Yes",1.85,1),1)</f>
        <v/>
      </c>
      <c r="W49" s="37">
        <f>IFERROR(IF('Loan Tape'!R50="Self-Employed",1.15,1),1)</f>
        <v/>
      </c>
      <c r="X49" s="37">
        <f>IFERROR(
        LET(
            ccj_count,'Loan Tape'!X50,
            ccj_date,'Loan Tape'!Y50,
            ccj_value,'Loan Tape'!Z50,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49" s="37">
        <f>IFERROR(
        IF('Loan Tape'!AH50="Yes",
            LET(
                months_since,(DATE('Control Panel'!$B$10,1,1)-'Loan Tape'!AI50)/30.44,
                IF(months_since&lt;=12,2.0,
                    IF(months_since&lt;=24,1.5,
                        IF(months_since&lt;=36,1.2,1)
                    )
                )
            ),
        1),
    1)</f>
        <v/>
      </c>
      <c r="Z49" s="39">
        <f>IFERROR(
        IF(N49&gt;=100,1,
            G49*H49*I49*J49*K49*L49*M49*N49*O49*P49*Q49*R49*S49*T49*U49*V49*W49*X49*Y49
        ),
    0)</f>
        <v/>
      </c>
    </row>
    <row r="50">
      <c r="A50" s="32">
        <f>'Loan Tape'!A51</f>
        <v/>
      </c>
      <c r="B50" s="33">
        <f>'Loan Tape'!D51</f>
        <v/>
      </c>
      <c r="C50" s="34">
        <f>'Loan Tape'!F51</f>
        <v/>
      </c>
      <c r="D50" s="35">
        <f>IFERROR('Loan Tape'!E51/'Loan Tape'!C51,0)</f>
        <v/>
      </c>
      <c r="E50" s="35">
        <f>IFERROR(
        'Loan Tape'!D51/
        ('Loan Tape'!B51*
        (1-IF(AND('Control Panel'!$B$15="YES",'Loan Tape'!W51&lt;&gt;"Full"),0.05,0))),
    0)</f>
        <v/>
      </c>
      <c r="F50" s="35">
        <f>'Control Panel'!$B$13*D50+'Control Panel'!$B$14*E50</f>
        <v/>
      </c>
      <c r="G50" s="36">
        <f>'Parameter Tables'!$B$5</f>
        <v/>
      </c>
      <c r="H50" s="37">
        <f>IFERROR(
        IF(F50&lt;=0.70,
            0.1+F50*1.2857,
            IF(F50&lt;=1.00,
                1+F50*2.5,
                IF(F50&lt;=1.50,
                    MIN(3.5+F50*1.5,5),
                    5
                )
            )
        ),
    1)</f>
        <v/>
      </c>
      <c r="I50" s="38">
        <f>1.00</f>
        <v/>
      </c>
      <c r="J50" s="37">
        <f>IFERROR(
        LET(
            income_mult,'Loan Tape'!D51/'Loan Tape'!O51,
            num_borr,'Loan Tape'!S51,
            seasoning,(DATE('Control Panel'!$B$10,1,1)-'Loan Tape'!G51)/365.25,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0" s="37">
        <f>IFERROR(
        IF('Loan Tape'!K51="BTL",
            LET(
                rental,'Loan Tape'!P51,
                int_cost,'Loan Tape'!D51*0.055,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0" s="37">
        <f>IFERROR(
        IF('Loan Tape'!U51="Second",1.5,
            IF('Loan Tape'!U51="Third+",1.7,1)
        ),
    1)</f>
        <v/>
      </c>
      <c r="M50" s="37">
        <f>IFERROR(
        IF(AND('Loan Tape'!V51="Cash-out",'Loan Tape'!U51="First"),1.2,1),
    1)</f>
        <v/>
      </c>
      <c r="N50" s="37">
        <f>IFERROR(
        LET(
            arrears,'Loan Tape'!Q51,
            monthly_pmt,'Loan Tape'!D51*'Loan Tape'!I51/12,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0" s="37">
        <f>IFERROR(
        IF('Loan Tape'!Q51=0,
            LET(
                seasoning,(DATE('Control Panel'!$B$10,1,1)-'Loan Tape'!G51)/365.25,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0" s="37">
        <f>IFERROR(
        IF(AND('Loan Tape'!T51="Yes",
            (DATE('Control Panel'!$B$10,1,1)-'Loan Tape'!G51)/365.25&lt;=1.5),
            1.10,1),
    1)</f>
        <v/>
      </c>
      <c r="Q50" s="37">
        <f>IFERROR(IF('Loan Tape'!AE51="Yes",1.35,1),1)</f>
        <v/>
      </c>
      <c r="R50" s="37">
        <f>IFERROR(
        IF('Loan Tape'!AD51="Yes",
            LET(
                seasoning,(DATE('Control Panel'!$B$10,1,1)-'Loan Tape'!G51)/365.25*12,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0" s="37">
        <f>IFERROR(IF('Loan Tape'!AF51="Yes",1.10,1),1)</f>
        <v/>
      </c>
      <c r="T50" s="37">
        <f>IFERROR(
        IF('Loan Tape'!J51="Interest Only",
            LET(
                yrs_to_mat,('Loan Tape'!H51-DATE('Control Panel'!$B$10,1,1))/365.25,
                is_btl,'Loan Tape'!K51="BTL",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0" s="37">
        <f>1.00</f>
        <v/>
      </c>
      <c r="V50" s="37">
        <f>IFERROR(IF('Loan Tape'!AG51="Yes",1.85,1),1)</f>
        <v/>
      </c>
      <c r="W50" s="37">
        <f>IFERROR(IF('Loan Tape'!R51="Self-Employed",1.15,1),1)</f>
        <v/>
      </c>
      <c r="X50" s="37">
        <f>IFERROR(
        LET(
            ccj_count,'Loan Tape'!X51,
            ccj_date,'Loan Tape'!Y51,
            ccj_value,'Loan Tape'!Z51,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0" s="37">
        <f>IFERROR(
        IF('Loan Tape'!AH51="Yes",
            LET(
                months_since,(DATE('Control Panel'!$B$10,1,1)-'Loan Tape'!AI51)/30.44,
                IF(months_since&lt;=12,2.0,
                    IF(months_since&lt;=24,1.5,
                        IF(months_since&lt;=36,1.2,1)
                    )
                )
            ),
        1),
    1)</f>
        <v/>
      </c>
      <c r="Z50" s="39">
        <f>IFERROR(
        IF(N50&gt;=100,1,
            G50*H50*I50*J50*K50*L50*M50*N50*O50*P50*Q50*R50*S50*T50*U50*V50*W50*X50*Y50
        ),
    0)</f>
        <v/>
      </c>
    </row>
    <row r="51">
      <c r="A51" s="32">
        <f>'Loan Tape'!A52</f>
        <v/>
      </c>
      <c r="B51" s="33">
        <f>'Loan Tape'!D52</f>
        <v/>
      </c>
      <c r="C51" s="34">
        <f>'Loan Tape'!F52</f>
        <v/>
      </c>
      <c r="D51" s="35">
        <f>IFERROR('Loan Tape'!E52/'Loan Tape'!C52,0)</f>
        <v/>
      </c>
      <c r="E51" s="35">
        <f>IFERROR(
        'Loan Tape'!D52/
        ('Loan Tape'!B52*
        (1-IF(AND('Control Panel'!$B$15="YES",'Loan Tape'!W52&lt;&gt;"Full"),0.05,0))),
    0)</f>
        <v/>
      </c>
      <c r="F51" s="35">
        <f>'Control Panel'!$B$13*D51+'Control Panel'!$B$14*E51</f>
        <v/>
      </c>
      <c r="G51" s="36">
        <f>'Parameter Tables'!$B$5</f>
        <v/>
      </c>
      <c r="H51" s="37">
        <f>IFERROR(
        IF(F51&lt;=0.70,
            0.1+F51*1.2857,
            IF(F51&lt;=1.00,
                1+F51*2.5,
                IF(F51&lt;=1.50,
                    MIN(3.5+F51*1.5,5),
                    5
                )
            )
        ),
    1)</f>
        <v/>
      </c>
      <c r="I51" s="38">
        <f>1.00</f>
        <v/>
      </c>
      <c r="J51" s="37">
        <f>IFERROR(
        LET(
            income_mult,'Loan Tape'!D52/'Loan Tape'!O52,
            num_borr,'Loan Tape'!S52,
            seasoning,(DATE('Control Panel'!$B$10,1,1)-'Loan Tape'!G52)/365.25,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1" s="37">
        <f>IFERROR(
        IF('Loan Tape'!K52="BTL",
            LET(
                rental,'Loan Tape'!P52,
                int_cost,'Loan Tape'!D52*0.055,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1" s="37">
        <f>IFERROR(
        IF('Loan Tape'!U52="Second",1.5,
            IF('Loan Tape'!U52="Third+",1.7,1)
        ),
    1)</f>
        <v/>
      </c>
      <c r="M51" s="37">
        <f>IFERROR(
        IF(AND('Loan Tape'!V52="Cash-out",'Loan Tape'!U52="First"),1.2,1),
    1)</f>
        <v/>
      </c>
      <c r="N51" s="37">
        <f>IFERROR(
        LET(
            arrears,'Loan Tape'!Q52,
            monthly_pmt,'Loan Tape'!D52*'Loan Tape'!I52/12,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1" s="37">
        <f>IFERROR(
        IF('Loan Tape'!Q52=0,
            LET(
                seasoning,(DATE('Control Panel'!$B$10,1,1)-'Loan Tape'!G52)/365.25,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1" s="37">
        <f>IFERROR(
        IF(AND('Loan Tape'!T52="Yes",
            (DATE('Control Panel'!$B$10,1,1)-'Loan Tape'!G52)/365.25&lt;=1.5),
            1.10,1),
    1)</f>
        <v/>
      </c>
      <c r="Q51" s="37">
        <f>IFERROR(IF('Loan Tape'!AE52="Yes",1.35,1),1)</f>
        <v/>
      </c>
      <c r="R51" s="37">
        <f>IFERROR(
        IF('Loan Tape'!AD52="Yes",
            LET(
                seasoning,(DATE('Control Panel'!$B$10,1,1)-'Loan Tape'!G52)/365.25*12,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1" s="37">
        <f>IFERROR(IF('Loan Tape'!AF52="Yes",1.10,1),1)</f>
        <v/>
      </c>
      <c r="T51" s="37">
        <f>IFERROR(
        IF('Loan Tape'!J52="Interest Only",
            LET(
                yrs_to_mat,('Loan Tape'!H52-DATE('Control Panel'!$B$10,1,1))/365.25,
                is_btl,'Loan Tape'!K52="BTL",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1" s="37">
        <f>1.00</f>
        <v/>
      </c>
      <c r="V51" s="37">
        <f>IFERROR(IF('Loan Tape'!AG52="Yes",1.85,1),1)</f>
        <v/>
      </c>
      <c r="W51" s="37">
        <f>IFERROR(IF('Loan Tape'!R52="Self-Employed",1.15,1),1)</f>
        <v/>
      </c>
      <c r="X51" s="37">
        <f>IFERROR(
        LET(
            ccj_count,'Loan Tape'!X52,
            ccj_date,'Loan Tape'!Y52,
            ccj_value,'Loan Tape'!Z52,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1" s="37">
        <f>IFERROR(
        IF('Loan Tape'!AH52="Yes",
            LET(
                months_since,(DATE('Control Panel'!$B$10,1,1)-'Loan Tape'!AI52)/30.44,
                IF(months_since&lt;=12,2.0,
                    IF(months_since&lt;=24,1.5,
                        IF(months_since&lt;=36,1.2,1)
                    )
                )
            ),
        1),
    1)</f>
        <v/>
      </c>
      <c r="Z51" s="39">
        <f>IFERROR(
        IF(N51&gt;=100,1,
            G51*H51*I51*J51*K51*L51*M51*N51*O51*P51*Q51*R51*S51*T51*U51*V51*W51*X51*Y51
        ),
    0)</f>
        <v/>
      </c>
    </row>
    <row r="52">
      <c r="A52" s="32">
        <f>'Loan Tape'!A53</f>
        <v/>
      </c>
      <c r="B52" s="33">
        <f>'Loan Tape'!D53</f>
        <v/>
      </c>
      <c r="C52" s="34">
        <f>'Loan Tape'!F53</f>
        <v/>
      </c>
      <c r="D52" s="35">
        <f>IFERROR('Loan Tape'!E53/'Loan Tape'!C53,0)</f>
        <v/>
      </c>
      <c r="E52" s="35">
        <f>IFERROR(
        'Loan Tape'!D53/
        ('Loan Tape'!B53*
        (1-IF(AND('Control Panel'!$B$15="YES",'Loan Tape'!W53&lt;&gt;"Full"),0.05,0))),
    0)</f>
        <v/>
      </c>
      <c r="F52" s="35">
        <f>'Control Panel'!$B$13*D52+'Control Panel'!$B$14*E52</f>
        <v/>
      </c>
      <c r="G52" s="36">
        <f>'Parameter Tables'!$B$5</f>
        <v/>
      </c>
      <c r="H52" s="37">
        <f>IFERROR(
        IF(F52&lt;=0.70,
            0.1+F52*1.2857,
            IF(F52&lt;=1.00,
                1+F52*2.5,
                IF(F52&lt;=1.50,
                    MIN(3.5+F52*1.5,5),
                    5
                )
            )
        ),
    1)</f>
        <v/>
      </c>
      <c r="I52" s="38">
        <f>1.00</f>
        <v/>
      </c>
      <c r="J52" s="37">
        <f>IFERROR(
        LET(
            income_mult,'Loan Tape'!D53/'Loan Tape'!O53,
            num_borr,'Loan Tape'!S53,
            seasoning,(DATE('Control Panel'!$B$10,1,1)-'Loan Tape'!G53)/365.25,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2" s="37">
        <f>IFERROR(
        IF('Loan Tape'!K53="BTL",
            LET(
                rental,'Loan Tape'!P53,
                int_cost,'Loan Tape'!D53*0.055,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2" s="37">
        <f>IFERROR(
        IF('Loan Tape'!U53="Second",1.5,
            IF('Loan Tape'!U53="Third+",1.7,1)
        ),
    1)</f>
        <v/>
      </c>
      <c r="M52" s="37">
        <f>IFERROR(
        IF(AND('Loan Tape'!V53="Cash-out",'Loan Tape'!U53="First"),1.2,1),
    1)</f>
        <v/>
      </c>
      <c r="N52" s="37">
        <f>IFERROR(
        LET(
            arrears,'Loan Tape'!Q53,
            monthly_pmt,'Loan Tape'!D53*'Loan Tape'!I53/12,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2" s="37">
        <f>IFERROR(
        IF('Loan Tape'!Q53=0,
            LET(
                seasoning,(DATE('Control Panel'!$B$10,1,1)-'Loan Tape'!G53)/365.25,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2" s="37">
        <f>IFERROR(
        IF(AND('Loan Tape'!T53="Yes",
            (DATE('Control Panel'!$B$10,1,1)-'Loan Tape'!G53)/365.25&lt;=1.5),
            1.10,1),
    1)</f>
        <v/>
      </c>
      <c r="Q52" s="37">
        <f>IFERROR(IF('Loan Tape'!AE53="Yes",1.35,1),1)</f>
        <v/>
      </c>
      <c r="R52" s="37">
        <f>IFERROR(
        IF('Loan Tape'!AD53="Yes",
            LET(
                seasoning,(DATE('Control Panel'!$B$10,1,1)-'Loan Tape'!G53)/365.25*12,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2" s="37">
        <f>IFERROR(IF('Loan Tape'!AF53="Yes",1.10,1),1)</f>
        <v/>
      </c>
      <c r="T52" s="37">
        <f>IFERROR(
        IF('Loan Tape'!J53="Interest Only",
            LET(
                yrs_to_mat,('Loan Tape'!H53-DATE('Control Panel'!$B$10,1,1))/365.25,
                is_btl,'Loan Tape'!K53="BTL",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2" s="37">
        <f>1.00</f>
        <v/>
      </c>
      <c r="V52" s="37">
        <f>IFERROR(IF('Loan Tape'!AG53="Yes",1.85,1),1)</f>
        <v/>
      </c>
      <c r="W52" s="37">
        <f>IFERROR(IF('Loan Tape'!R53="Self-Employed",1.15,1),1)</f>
        <v/>
      </c>
      <c r="X52" s="37">
        <f>IFERROR(
        LET(
            ccj_count,'Loan Tape'!X53,
            ccj_date,'Loan Tape'!Y53,
            ccj_value,'Loan Tape'!Z53,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2" s="37">
        <f>IFERROR(
        IF('Loan Tape'!AH53="Yes",
            LET(
                months_since,(DATE('Control Panel'!$B$10,1,1)-'Loan Tape'!AI53)/30.44,
                IF(months_since&lt;=12,2.0,
                    IF(months_since&lt;=24,1.5,
                        IF(months_since&lt;=36,1.2,1)
                    )
                )
            ),
        1),
    1)</f>
        <v/>
      </c>
      <c r="Z52" s="39">
        <f>IFERROR(
        IF(N52&gt;=100,1,
            G52*H52*I52*J52*K52*L52*M52*N52*O52*P52*Q52*R52*S52*T52*U52*V52*W52*X52*Y52
        ),
    0)</f>
        <v/>
      </c>
    </row>
    <row r="53">
      <c r="A53" s="32">
        <f>'Loan Tape'!A54</f>
        <v/>
      </c>
      <c r="B53" s="33">
        <f>'Loan Tape'!D54</f>
        <v/>
      </c>
      <c r="C53" s="34">
        <f>'Loan Tape'!F54</f>
        <v/>
      </c>
      <c r="D53" s="35">
        <f>IFERROR('Loan Tape'!E54/'Loan Tape'!C54,0)</f>
        <v/>
      </c>
      <c r="E53" s="35">
        <f>IFERROR(
        'Loan Tape'!D54/
        ('Loan Tape'!B54*
        (1-IF(AND('Control Panel'!$B$15="YES",'Loan Tape'!W54&lt;&gt;"Full"),0.05,0))),
    0)</f>
        <v/>
      </c>
      <c r="F53" s="35">
        <f>'Control Panel'!$B$13*D53+'Control Panel'!$B$14*E53</f>
        <v/>
      </c>
      <c r="G53" s="36">
        <f>'Parameter Tables'!$B$5</f>
        <v/>
      </c>
      <c r="H53" s="37">
        <f>IFERROR(
        IF(F53&lt;=0.70,
            0.1+F53*1.2857,
            IF(F53&lt;=1.00,
                1+F53*2.5,
                IF(F53&lt;=1.50,
                    MIN(3.5+F53*1.5,5),
                    5
                )
            )
        ),
    1)</f>
        <v/>
      </c>
      <c r="I53" s="38">
        <f>1.00</f>
        <v/>
      </c>
      <c r="J53" s="37">
        <f>IFERROR(
        LET(
            income_mult,'Loan Tape'!D54/'Loan Tape'!O54,
            num_borr,'Loan Tape'!S54,
            seasoning,(DATE('Control Panel'!$B$10,1,1)-'Loan Tape'!G54)/365.25,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3" s="37">
        <f>IFERROR(
        IF('Loan Tape'!K54="BTL",
            LET(
                rental,'Loan Tape'!P54,
                int_cost,'Loan Tape'!D54*0.055,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3" s="37">
        <f>IFERROR(
        IF('Loan Tape'!U54="Second",1.5,
            IF('Loan Tape'!U54="Third+",1.7,1)
        ),
    1)</f>
        <v/>
      </c>
      <c r="M53" s="37">
        <f>IFERROR(
        IF(AND('Loan Tape'!V54="Cash-out",'Loan Tape'!U54="First"),1.2,1),
    1)</f>
        <v/>
      </c>
      <c r="N53" s="37">
        <f>IFERROR(
        LET(
            arrears,'Loan Tape'!Q54,
            monthly_pmt,'Loan Tape'!D54*'Loan Tape'!I54/12,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3" s="37">
        <f>IFERROR(
        IF('Loan Tape'!Q54=0,
            LET(
                seasoning,(DATE('Control Panel'!$B$10,1,1)-'Loan Tape'!G54)/365.25,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3" s="37">
        <f>IFERROR(
        IF(AND('Loan Tape'!T54="Yes",
            (DATE('Control Panel'!$B$10,1,1)-'Loan Tape'!G54)/365.25&lt;=1.5),
            1.10,1),
    1)</f>
        <v/>
      </c>
      <c r="Q53" s="37">
        <f>IFERROR(IF('Loan Tape'!AE54="Yes",1.35,1),1)</f>
        <v/>
      </c>
      <c r="R53" s="37">
        <f>IFERROR(
        IF('Loan Tape'!AD54="Yes",
            LET(
                seasoning,(DATE('Control Panel'!$B$10,1,1)-'Loan Tape'!G54)/365.25*12,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3" s="37">
        <f>IFERROR(IF('Loan Tape'!AF54="Yes",1.10,1),1)</f>
        <v/>
      </c>
      <c r="T53" s="37">
        <f>IFERROR(
        IF('Loan Tape'!J54="Interest Only",
            LET(
                yrs_to_mat,('Loan Tape'!H54-DATE('Control Panel'!$B$10,1,1))/365.25,
                is_btl,'Loan Tape'!K54="BTL",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3" s="37">
        <f>1.00</f>
        <v/>
      </c>
      <c r="V53" s="37">
        <f>IFERROR(IF('Loan Tape'!AG54="Yes",1.85,1),1)</f>
        <v/>
      </c>
      <c r="W53" s="37">
        <f>IFERROR(IF('Loan Tape'!R54="Self-Employed",1.15,1),1)</f>
        <v/>
      </c>
      <c r="X53" s="37">
        <f>IFERROR(
        LET(
            ccj_count,'Loan Tape'!X54,
            ccj_date,'Loan Tape'!Y54,
            ccj_value,'Loan Tape'!Z54,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3" s="37">
        <f>IFERROR(
        IF('Loan Tape'!AH54="Yes",
            LET(
                months_since,(DATE('Control Panel'!$B$10,1,1)-'Loan Tape'!AI54)/30.44,
                IF(months_since&lt;=12,2.0,
                    IF(months_since&lt;=24,1.5,
                        IF(months_since&lt;=36,1.2,1)
                    )
                )
            ),
        1),
    1)</f>
        <v/>
      </c>
      <c r="Z53" s="39">
        <f>IFERROR(
        IF(N53&gt;=100,1,
            G53*H53*I53*J53*K53*L53*M53*N53*O53*P53*Q53*R53*S53*T53*U53*V53*W53*X53*Y53
        ),
    0)</f>
        <v/>
      </c>
    </row>
    <row r="54">
      <c r="A54" s="32">
        <f>'Loan Tape'!A55</f>
        <v/>
      </c>
      <c r="B54" s="33">
        <f>'Loan Tape'!D55</f>
        <v/>
      </c>
      <c r="C54" s="34">
        <f>'Loan Tape'!F55</f>
        <v/>
      </c>
      <c r="D54" s="35">
        <f>IFERROR('Loan Tape'!E55/'Loan Tape'!C55,0)</f>
        <v/>
      </c>
      <c r="E54" s="35">
        <f>IFERROR(
        'Loan Tape'!D55/
        ('Loan Tape'!B55*
        (1-IF(AND('Control Panel'!$B$15="YES",'Loan Tape'!W55&lt;&gt;"Full"),0.05,0))),
    0)</f>
        <v/>
      </c>
      <c r="F54" s="35">
        <f>'Control Panel'!$B$13*D54+'Control Panel'!$B$14*E54</f>
        <v/>
      </c>
      <c r="G54" s="36">
        <f>'Parameter Tables'!$B$5</f>
        <v/>
      </c>
      <c r="H54" s="37">
        <f>IFERROR(
        IF(F54&lt;=0.70,
            0.1+F54*1.2857,
            IF(F54&lt;=1.00,
                1+F54*2.5,
                IF(F54&lt;=1.50,
                    MIN(3.5+F54*1.5,5),
                    5
                )
            )
        ),
    1)</f>
        <v/>
      </c>
      <c r="I54" s="38">
        <f>1.00</f>
        <v/>
      </c>
      <c r="J54" s="37">
        <f>IFERROR(
        LET(
            income_mult,'Loan Tape'!D55/'Loan Tape'!O55,
            num_borr,'Loan Tape'!S55,
            seasoning,(DATE('Control Panel'!$B$10,1,1)-'Loan Tape'!G55)/365.25,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4" s="37">
        <f>IFERROR(
        IF('Loan Tape'!K55="BTL",
            LET(
                rental,'Loan Tape'!P55,
                int_cost,'Loan Tape'!D55*0.055,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4" s="37">
        <f>IFERROR(
        IF('Loan Tape'!U55="Second",1.5,
            IF('Loan Tape'!U55="Third+",1.7,1)
        ),
    1)</f>
        <v/>
      </c>
      <c r="M54" s="37">
        <f>IFERROR(
        IF(AND('Loan Tape'!V55="Cash-out",'Loan Tape'!U55="First"),1.2,1),
    1)</f>
        <v/>
      </c>
      <c r="N54" s="37">
        <f>IFERROR(
        LET(
            arrears,'Loan Tape'!Q55,
            monthly_pmt,'Loan Tape'!D55*'Loan Tape'!I55/12,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4" s="37">
        <f>IFERROR(
        IF('Loan Tape'!Q55=0,
            LET(
                seasoning,(DATE('Control Panel'!$B$10,1,1)-'Loan Tape'!G55)/365.25,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4" s="37">
        <f>IFERROR(
        IF(AND('Loan Tape'!T55="Yes",
            (DATE('Control Panel'!$B$10,1,1)-'Loan Tape'!G55)/365.25&lt;=1.5),
            1.10,1),
    1)</f>
        <v/>
      </c>
      <c r="Q54" s="37">
        <f>IFERROR(IF('Loan Tape'!AE55="Yes",1.35,1),1)</f>
        <v/>
      </c>
      <c r="R54" s="37">
        <f>IFERROR(
        IF('Loan Tape'!AD55="Yes",
            LET(
                seasoning,(DATE('Control Panel'!$B$10,1,1)-'Loan Tape'!G55)/365.25*12,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4" s="37">
        <f>IFERROR(IF('Loan Tape'!AF55="Yes",1.10,1),1)</f>
        <v/>
      </c>
      <c r="T54" s="37">
        <f>IFERROR(
        IF('Loan Tape'!J55="Interest Only",
            LET(
                yrs_to_mat,('Loan Tape'!H55-DATE('Control Panel'!$B$10,1,1))/365.25,
                is_btl,'Loan Tape'!K55="BTL",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4" s="37">
        <f>1.00</f>
        <v/>
      </c>
      <c r="V54" s="37">
        <f>IFERROR(IF('Loan Tape'!AG55="Yes",1.85,1),1)</f>
        <v/>
      </c>
      <c r="W54" s="37">
        <f>IFERROR(IF('Loan Tape'!R55="Self-Employed",1.15,1),1)</f>
        <v/>
      </c>
      <c r="X54" s="37">
        <f>IFERROR(
        LET(
            ccj_count,'Loan Tape'!X55,
            ccj_date,'Loan Tape'!Y55,
            ccj_value,'Loan Tape'!Z55,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4" s="37">
        <f>IFERROR(
        IF('Loan Tape'!AH55="Yes",
            LET(
                months_since,(DATE('Control Panel'!$B$10,1,1)-'Loan Tape'!AI55)/30.44,
                IF(months_since&lt;=12,2.0,
                    IF(months_since&lt;=24,1.5,
                        IF(months_since&lt;=36,1.2,1)
                    )
                )
            ),
        1),
    1)</f>
        <v/>
      </c>
      <c r="Z54" s="39">
        <f>IFERROR(
        IF(N54&gt;=100,1,
            G54*H54*I54*J54*K54*L54*M54*N54*O54*P54*Q54*R54*S54*T54*U54*V54*W54*X54*Y54
        ),
    0)</f>
        <v/>
      </c>
    </row>
    <row r="55">
      <c r="A55" s="32">
        <f>'Loan Tape'!A56</f>
        <v/>
      </c>
      <c r="B55" s="33">
        <f>'Loan Tape'!D56</f>
        <v/>
      </c>
      <c r="C55" s="34">
        <f>'Loan Tape'!F56</f>
        <v/>
      </c>
      <c r="D55" s="35">
        <f>IFERROR('Loan Tape'!E56/'Loan Tape'!C56,0)</f>
        <v/>
      </c>
      <c r="E55" s="35">
        <f>IFERROR(
        'Loan Tape'!D56/
        ('Loan Tape'!B56*
        (1-IF(AND('Control Panel'!$B$15="YES",'Loan Tape'!W56&lt;&gt;"Full"),0.05,0))),
    0)</f>
        <v/>
      </c>
      <c r="F55" s="35">
        <f>'Control Panel'!$B$13*D55+'Control Panel'!$B$14*E55</f>
        <v/>
      </c>
      <c r="G55" s="36">
        <f>'Parameter Tables'!$B$5</f>
        <v/>
      </c>
      <c r="H55" s="37">
        <f>IFERROR(
        IF(F55&lt;=0.70,
            0.1+F55*1.2857,
            IF(F55&lt;=1.00,
                1+F55*2.5,
                IF(F55&lt;=1.50,
                    MIN(3.5+F55*1.5,5),
                    5
                )
            )
        ),
    1)</f>
        <v/>
      </c>
      <c r="I55" s="38">
        <f>1.00</f>
        <v/>
      </c>
      <c r="J55" s="37">
        <f>IFERROR(
        LET(
            income_mult,'Loan Tape'!D56/'Loan Tape'!O56,
            num_borr,'Loan Tape'!S56,
            seasoning,(DATE('Control Panel'!$B$10,1,1)-'Loan Tape'!G56)/365.25,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5" s="37">
        <f>IFERROR(
        IF('Loan Tape'!K56="BTL",
            LET(
                rental,'Loan Tape'!P56,
                int_cost,'Loan Tape'!D56*0.055,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5" s="37">
        <f>IFERROR(
        IF('Loan Tape'!U56="Second",1.5,
            IF('Loan Tape'!U56="Third+",1.7,1)
        ),
    1)</f>
        <v/>
      </c>
      <c r="M55" s="37">
        <f>IFERROR(
        IF(AND('Loan Tape'!V56="Cash-out",'Loan Tape'!U56="First"),1.2,1),
    1)</f>
        <v/>
      </c>
      <c r="N55" s="37">
        <f>IFERROR(
        LET(
            arrears,'Loan Tape'!Q56,
            monthly_pmt,'Loan Tape'!D56*'Loan Tape'!I56/12,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5" s="37">
        <f>IFERROR(
        IF('Loan Tape'!Q56=0,
            LET(
                seasoning,(DATE('Control Panel'!$B$10,1,1)-'Loan Tape'!G56)/365.25,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5" s="37">
        <f>IFERROR(
        IF(AND('Loan Tape'!T56="Yes",
            (DATE('Control Panel'!$B$10,1,1)-'Loan Tape'!G56)/365.25&lt;=1.5),
            1.10,1),
    1)</f>
        <v/>
      </c>
      <c r="Q55" s="37">
        <f>IFERROR(IF('Loan Tape'!AE56="Yes",1.35,1),1)</f>
        <v/>
      </c>
      <c r="R55" s="37">
        <f>IFERROR(
        IF('Loan Tape'!AD56="Yes",
            LET(
                seasoning,(DATE('Control Panel'!$B$10,1,1)-'Loan Tape'!G56)/365.25*12,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5" s="37">
        <f>IFERROR(IF('Loan Tape'!AF56="Yes",1.10,1),1)</f>
        <v/>
      </c>
      <c r="T55" s="37">
        <f>IFERROR(
        IF('Loan Tape'!J56="Interest Only",
            LET(
                yrs_to_mat,('Loan Tape'!H56-DATE('Control Panel'!$B$10,1,1))/365.25,
                is_btl,'Loan Tape'!K56="BTL",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5" s="37">
        <f>1.00</f>
        <v/>
      </c>
      <c r="V55" s="37">
        <f>IFERROR(IF('Loan Tape'!AG56="Yes",1.85,1),1)</f>
        <v/>
      </c>
      <c r="W55" s="37">
        <f>IFERROR(IF('Loan Tape'!R56="Self-Employed",1.15,1),1)</f>
        <v/>
      </c>
      <c r="X55" s="37">
        <f>IFERROR(
        LET(
            ccj_count,'Loan Tape'!X56,
            ccj_date,'Loan Tape'!Y56,
            ccj_value,'Loan Tape'!Z56,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5" s="37">
        <f>IFERROR(
        IF('Loan Tape'!AH56="Yes",
            LET(
                months_since,(DATE('Control Panel'!$B$10,1,1)-'Loan Tape'!AI56)/30.44,
                IF(months_since&lt;=12,2.0,
                    IF(months_since&lt;=24,1.5,
                        IF(months_since&lt;=36,1.2,1)
                    )
                )
            ),
        1),
    1)</f>
        <v/>
      </c>
      <c r="Z55" s="39">
        <f>IFERROR(
        IF(N55&gt;=100,1,
            G55*H55*I55*J55*K55*L55*M55*N55*O55*P55*Q55*R55*S55*T55*U55*V55*W55*X55*Y55
        ),
    0)</f>
        <v/>
      </c>
    </row>
    <row r="56">
      <c r="A56" s="32">
        <f>'Loan Tape'!A57</f>
        <v/>
      </c>
      <c r="B56" s="33">
        <f>'Loan Tape'!D57</f>
        <v/>
      </c>
      <c r="C56" s="34">
        <f>'Loan Tape'!F57</f>
        <v/>
      </c>
      <c r="D56" s="35">
        <f>IFERROR('Loan Tape'!E57/'Loan Tape'!C57,0)</f>
        <v/>
      </c>
      <c r="E56" s="35">
        <f>IFERROR(
        'Loan Tape'!D57/
        ('Loan Tape'!B57*
        (1-IF(AND('Control Panel'!$B$15="YES",'Loan Tape'!W57&lt;&gt;"Full"),0.05,0))),
    0)</f>
        <v/>
      </c>
      <c r="F56" s="35">
        <f>'Control Panel'!$B$13*D56+'Control Panel'!$B$14*E56</f>
        <v/>
      </c>
      <c r="G56" s="36">
        <f>'Parameter Tables'!$B$5</f>
        <v/>
      </c>
      <c r="H56" s="37">
        <f>IFERROR(
        IF(F56&lt;=0.70,
            0.1+F56*1.2857,
            IF(F56&lt;=1.00,
                1+F56*2.5,
                IF(F56&lt;=1.50,
                    MIN(3.5+F56*1.5,5),
                    5
                )
            )
        ),
    1)</f>
        <v/>
      </c>
      <c r="I56" s="38">
        <f>1.00</f>
        <v/>
      </c>
      <c r="J56" s="37">
        <f>IFERROR(
        LET(
            income_mult,'Loan Tape'!D57/'Loan Tape'!O57,
            num_borr,'Loan Tape'!S57,
            seasoning,(DATE('Control Panel'!$B$10,1,1)-'Loan Tape'!G57)/365.25,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6" s="37">
        <f>IFERROR(
        IF('Loan Tape'!K57="BTL",
            LET(
                rental,'Loan Tape'!P57,
                int_cost,'Loan Tape'!D57*0.055,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6" s="37">
        <f>IFERROR(
        IF('Loan Tape'!U57="Second",1.5,
            IF('Loan Tape'!U57="Third+",1.7,1)
        ),
    1)</f>
        <v/>
      </c>
      <c r="M56" s="37">
        <f>IFERROR(
        IF(AND('Loan Tape'!V57="Cash-out",'Loan Tape'!U57="First"),1.2,1),
    1)</f>
        <v/>
      </c>
      <c r="N56" s="37">
        <f>IFERROR(
        LET(
            arrears,'Loan Tape'!Q57,
            monthly_pmt,'Loan Tape'!D57*'Loan Tape'!I57/12,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6" s="37">
        <f>IFERROR(
        IF('Loan Tape'!Q57=0,
            LET(
                seasoning,(DATE('Control Panel'!$B$10,1,1)-'Loan Tape'!G57)/365.25,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6" s="37">
        <f>IFERROR(
        IF(AND('Loan Tape'!T57="Yes",
            (DATE('Control Panel'!$B$10,1,1)-'Loan Tape'!G57)/365.25&lt;=1.5),
            1.10,1),
    1)</f>
        <v/>
      </c>
      <c r="Q56" s="37">
        <f>IFERROR(IF('Loan Tape'!AE57="Yes",1.35,1),1)</f>
        <v/>
      </c>
      <c r="R56" s="37">
        <f>IFERROR(
        IF('Loan Tape'!AD57="Yes",
            LET(
                seasoning,(DATE('Control Panel'!$B$10,1,1)-'Loan Tape'!G57)/365.25*12,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6" s="37">
        <f>IFERROR(IF('Loan Tape'!AF57="Yes",1.10,1),1)</f>
        <v/>
      </c>
      <c r="T56" s="37">
        <f>IFERROR(
        IF('Loan Tape'!J57="Interest Only",
            LET(
                yrs_to_mat,('Loan Tape'!H57-DATE('Control Panel'!$B$10,1,1))/365.25,
                is_btl,'Loan Tape'!K57="BTL",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6" s="37">
        <f>1.00</f>
        <v/>
      </c>
      <c r="V56" s="37">
        <f>IFERROR(IF('Loan Tape'!AG57="Yes",1.85,1),1)</f>
        <v/>
      </c>
      <c r="W56" s="37">
        <f>IFERROR(IF('Loan Tape'!R57="Self-Employed",1.15,1),1)</f>
        <v/>
      </c>
      <c r="X56" s="37">
        <f>IFERROR(
        LET(
            ccj_count,'Loan Tape'!X57,
            ccj_date,'Loan Tape'!Y57,
            ccj_value,'Loan Tape'!Z57,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6" s="37">
        <f>IFERROR(
        IF('Loan Tape'!AH57="Yes",
            LET(
                months_since,(DATE('Control Panel'!$B$10,1,1)-'Loan Tape'!AI57)/30.44,
                IF(months_since&lt;=12,2.0,
                    IF(months_since&lt;=24,1.5,
                        IF(months_since&lt;=36,1.2,1)
                    )
                )
            ),
        1),
    1)</f>
        <v/>
      </c>
      <c r="Z56" s="39">
        <f>IFERROR(
        IF(N56&gt;=100,1,
            G56*H56*I56*J56*K56*L56*M56*N56*O56*P56*Q56*R56*S56*T56*U56*V56*W56*X56*Y56
        ),
    0)</f>
        <v/>
      </c>
    </row>
    <row r="57">
      <c r="A57" s="32">
        <f>'Loan Tape'!A58</f>
        <v/>
      </c>
      <c r="B57" s="33">
        <f>'Loan Tape'!D58</f>
        <v/>
      </c>
      <c r="C57" s="34">
        <f>'Loan Tape'!F58</f>
        <v/>
      </c>
      <c r="D57" s="35">
        <f>IFERROR('Loan Tape'!E58/'Loan Tape'!C58,0)</f>
        <v/>
      </c>
      <c r="E57" s="35">
        <f>IFERROR(
        'Loan Tape'!D58/
        ('Loan Tape'!B58*
        (1-IF(AND('Control Panel'!$B$15="YES",'Loan Tape'!W58&lt;&gt;"Full"),0.05,0))),
    0)</f>
        <v/>
      </c>
      <c r="F57" s="35">
        <f>'Control Panel'!$B$13*D57+'Control Panel'!$B$14*E57</f>
        <v/>
      </c>
      <c r="G57" s="36">
        <f>'Parameter Tables'!$B$5</f>
        <v/>
      </c>
      <c r="H57" s="37">
        <f>IFERROR(
        IF(F57&lt;=0.70,
            0.1+F57*1.2857,
            IF(F57&lt;=1.00,
                1+F57*2.5,
                IF(F57&lt;=1.50,
                    MIN(3.5+F57*1.5,5),
                    5
                )
            )
        ),
    1)</f>
        <v/>
      </c>
      <c r="I57" s="38">
        <f>1.00</f>
        <v/>
      </c>
      <c r="J57" s="37">
        <f>IFERROR(
        LET(
            income_mult,'Loan Tape'!D58/'Loan Tape'!O58,
            num_borr,'Loan Tape'!S58,
            seasoning,(DATE('Control Panel'!$B$10,1,1)-'Loan Tape'!G58)/365.25,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7" s="37">
        <f>IFERROR(
        IF('Loan Tape'!K58="BTL",
            LET(
                rental,'Loan Tape'!P58,
                int_cost,'Loan Tape'!D58*0.055,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7" s="37">
        <f>IFERROR(
        IF('Loan Tape'!U58="Second",1.5,
            IF('Loan Tape'!U58="Third+",1.7,1)
        ),
    1)</f>
        <v/>
      </c>
      <c r="M57" s="37">
        <f>IFERROR(
        IF(AND('Loan Tape'!V58="Cash-out",'Loan Tape'!U58="First"),1.2,1),
    1)</f>
        <v/>
      </c>
      <c r="N57" s="37">
        <f>IFERROR(
        LET(
            arrears,'Loan Tape'!Q58,
            monthly_pmt,'Loan Tape'!D58*'Loan Tape'!I58/12,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7" s="37">
        <f>IFERROR(
        IF('Loan Tape'!Q58=0,
            LET(
                seasoning,(DATE('Control Panel'!$B$10,1,1)-'Loan Tape'!G58)/365.25,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7" s="37">
        <f>IFERROR(
        IF(AND('Loan Tape'!T58="Yes",
            (DATE('Control Panel'!$B$10,1,1)-'Loan Tape'!G58)/365.25&lt;=1.5),
            1.10,1),
    1)</f>
        <v/>
      </c>
      <c r="Q57" s="37">
        <f>IFERROR(IF('Loan Tape'!AE58="Yes",1.35,1),1)</f>
        <v/>
      </c>
      <c r="R57" s="37">
        <f>IFERROR(
        IF('Loan Tape'!AD58="Yes",
            LET(
                seasoning,(DATE('Control Panel'!$B$10,1,1)-'Loan Tape'!G58)/365.25*12,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7" s="37">
        <f>IFERROR(IF('Loan Tape'!AF58="Yes",1.10,1),1)</f>
        <v/>
      </c>
      <c r="T57" s="37">
        <f>IFERROR(
        IF('Loan Tape'!J58="Interest Only",
            LET(
                yrs_to_mat,('Loan Tape'!H58-DATE('Control Panel'!$B$10,1,1))/365.25,
                is_btl,'Loan Tape'!K58="BTL",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7" s="37">
        <f>1.00</f>
        <v/>
      </c>
      <c r="V57" s="37">
        <f>IFERROR(IF('Loan Tape'!AG58="Yes",1.85,1),1)</f>
        <v/>
      </c>
      <c r="W57" s="37">
        <f>IFERROR(IF('Loan Tape'!R58="Self-Employed",1.15,1),1)</f>
        <v/>
      </c>
      <c r="X57" s="37">
        <f>IFERROR(
        LET(
            ccj_count,'Loan Tape'!X58,
            ccj_date,'Loan Tape'!Y58,
            ccj_value,'Loan Tape'!Z58,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7" s="37">
        <f>IFERROR(
        IF('Loan Tape'!AH58="Yes",
            LET(
                months_since,(DATE('Control Panel'!$B$10,1,1)-'Loan Tape'!AI58)/30.44,
                IF(months_since&lt;=12,2.0,
                    IF(months_since&lt;=24,1.5,
                        IF(months_since&lt;=36,1.2,1)
                    )
                )
            ),
        1),
    1)</f>
        <v/>
      </c>
      <c r="Z57" s="39">
        <f>IFERROR(
        IF(N57&gt;=100,1,
            G57*H57*I57*J57*K57*L57*M57*N57*O57*P57*Q57*R57*S57*T57*U57*V57*W57*X57*Y57
        ),
    0)</f>
        <v/>
      </c>
    </row>
    <row r="58">
      <c r="A58" s="32">
        <f>'Loan Tape'!A59</f>
        <v/>
      </c>
      <c r="B58" s="33">
        <f>'Loan Tape'!D59</f>
        <v/>
      </c>
      <c r="C58" s="34">
        <f>'Loan Tape'!F59</f>
        <v/>
      </c>
      <c r="D58" s="35">
        <f>IFERROR('Loan Tape'!E59/'Loan Tape'!C59,0)</f>
        <v/>
      </c>
      <c r="E58" s="35">
        <f>IFERROR(
        'Loan Tape'!D59/
        ('Loan Tape'!B59*
        (1-IF(AND('Control Panel'!$B$15="YES",'Loan Tape'!W59&lt;&gt;"Full"),0.05,0))),
    0)</f>
        <v/>
      </c>
      <c r="F58" s="35">
        <f>'Control Panel'!$B$13*D58+'Control Panel'!$B$14*E58</f>
        <v/>
      </c>
      <c r="G58" s="36">
        <f>'Parameter Tables'!$B$5</f>
        <v/>
      </c>
      <c r="H58" s="37">
        <f>IFERROR(
        IF(F58&lt;=0.70,
            0.1+F58*1.2857,
            IF(F58&lt;=1.00,
                1+F58*2.5,
                IF(F58&lt;=1.50,
                    MIN(3.5+F58*1.5,5),
                    5
                )
            )
        ),
    1)</f>
        <v/>
      </c>
      <c r="I58" s="38">
        <f>1.00</f>
        <v/>
      </c>
      <c r="J58" s="37">
        <f>IFERROR(
        LET(
            income_mult,'Loan Tape'!D59/'Loan Tape'!O59,
            num_borr,'Loan Tape'!S59,
            seasoning,(DATE('Control Panel'!$B$10,1,1)-'Loan Tape'!G59)/365.25,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8" s="37">
        <f>IFERROR(
        IF('Loan Tape'!K59="BTL",
            LET(
                rental,'Loan Tape'!P59,
                int_cost,'Loan Tape'!D59*0.055,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8" s="37">
        <f>IFERROR(
        IF('Loan Tape'!U59="Second",1.5,
            IF('Loan Tape'!U59="Third+",1.7,1)
        ),
    1)</f>
        <v/>
      </c>
      <c r="M58" s="37">
        <f>IFERROR(
        IF(AND('Loan Tape'!V59="Cash-out",'Loan Tape'!U59="First"),1.2,1),
    1)</f>
        <v/>
      </c>
      <c r="N58" s="37">
        <f>IFERROR(
        LET(
            arrears,'Loan Tape'!Q59,
            monthly_pmt,'Loan Tape'!D59*'Loan Tape'!I59/12,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8" s="37">
        <f>IFERROR(
        IF('Loan Tape'!Q59=0,
            LET(
                seasoning,(DATE('Control Panel'!$B$10,1,1)-'Loan Tape'!G59)/365.25,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8" s="37">
        <f>IFERROR(
        IF(AND('Loan Tape'!T59="Yes",
            (DATE('Control Panel'!$B$10,1,1)-'Loan Tape'!G59)/365.25&lt;=1.5),
            1.10,1),
    1)</f>
        <v/>
      </c>
      <c r="Q58" s="37">
        <f>IFERROR(IF('Loan Tape'!AE59="Yes",1.35,1),1)</f>
        <v/>
      </c>
      <c r="R58" s="37">
        <f>IFERROR(
        IF('Loan Tape'!AD59="Yes",
            LET(
                seasoning,(DATE('Control Panel'!$B$10,1,1)-'Loan Tape'!G59)/365.25*12,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8" s="37">
        <f>IFERROR(IF('Loan Tape'!AF59="Yes",1.10,1),1)</f>
        <v/>
      </c>
      <c r="T58" s="37">
        <f>IFERROR(
        IF('Loan Tape'!J59="Interest Only",
            LET(
                yrs_to_mat,('Loan Tape'!H59-DATE('Control Panel'!$B$10,1,1))/365.25,
                is_btl,'Loan Tape'!K59="BTL",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8" s="37">
        <f>1.00</f>
        <v/>
      </c>
      <c r="V58" s="37">
        <f>IFERROR(IF('Loan Tape'!AG59="Yes",1.85,1),1)</f>
        <v/>
      </c>
      <c r="W58" s="37">
        <f>IFERROR(IF('Loan Tape'!R59="Self-Employed",1.15,1),1)</f>
        <v/>
      </c>
      <c r="X58" s="37">
        <f>IFERROR(
        LET(
            ccj_count,'Loan Tape'!X59,
            ccj_date,'Loan Tape'!Y59,
            ccj_value,'Loan Tape'!Z59,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8" s="37">
        <f>IFERROR(
        IF('Loan Tape'!AH59="Yes",
            LET(
                months_since,(DATE('Control Panel'!$B$10,1,1)-'Loan Tape'!AI59)/30.44,
                IF(months_since&lt;=12,2.0,
                    IF(months_since&lt;=24,1.5,
                        IF(months_since&lt;=36,1.2,1)
                    )
                )
            ),
        1),
    1)</f>
        <v/>
      </c>
      <c r="Z58" s="39">
        <f>IFERROR(
        IF(N58&gt;=100,1,
            G58*H58*I58*J58*K58*L58*M58*N58*O58*P58*Q58*R58*S58*T58*U58*V58*W58*X58*Y58
        ),
    0)</f>
        <v/>
      </c>
    </row>
    <row r="59">
      <c r="A59" s="32">
        <f>'Loan Tape'!A60</f>
        <v/>
      </c>
      <c r="B59" s="33">
        <f>'Loan Tape'!D60</f>
        <v/>
      </c>
      <c r="C59" s="34">
        <f>'Loan Tape'!F60</f>
        <v/>
      </c>
      <c r="D59" s="35">
        <f>IFERROR('Loan Tape'!E60/'Loan Tape'!C60,0)</f>
        <v/>
      </c>
      <c r="E59" s="35">
        <f>IFERROR(
        'Loan Tape'!D60/
        ('Loan Tape'!B60*
        (1-IF(AND('Control Panel'!$B$15="YES",'Loan Tape'!W60&lt;&gt;"Full"),0.05,0))),
    0)</f>
        <v/>
      </c>
      <c r="F59" s="35">
        <f>'Control Panel'!$B$13*D59+'Control Panel'!$B$14*E59</f>
        <v/>
      </c>
      <c r="G59" s="36">
        <f>'Parameter Tables'!$B$5</f>
        <v/>
      </c>
      <c r="H59" s="37">
        <f>IFERROR(
        IF(F59&lt;=0.70,
            0.1+F59*1.2857,
            IF(F59&lt;=1.00,
                1+F59*2.5,
                IF(F59&lt;=1.50,
                    MIN(3.5+F59*1.5,5),
                    5
                )
            )
        ),
    1)</f>
        <v/>
      </c>
      <c r="I59" s="38">
        <f>1.00</f>
        <v/>
      </c>
      <c r="J59" s="37">
        <f>IFERROR(
        LET(
            income_mult,'Loan Tape'!D60/'Loan Tape'!O60,
            num_borr,'Loan Tape'!S60,
            seasoning,(DATE('Control Panel'!$B$10,1,1)-'Loan Tape'!G60)/365.25,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59" s="37">
        <f>IFERROR(
        IF('Loan Tape'!K60="BTL",
            LET(
                rental,'Loan Tape'!P60,
                int_cost,'Loan Tape'!D60*0.055,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59" s="37">
        <f>IFERROR(
        IF('Loan Tape'!U60="Second",1.5,
            IF('Loan Tape'!U60="Third+",1.7,1)
        ),
    1)</f>
        <v/>
      </c>
      <c r="M59" s="37">
        <f>IFERROR(
        IF(AND('Loan Tape'!V60="Cash-out",'Loan Tape'!U60="First"),1.2,1),
    1)</f>
        <v/>
      </c>
      <c r="N59" s="37">
        <f>IFERROR(
        LET(
            arrears,'Loan Tape'!Q60,
            monthly_pmt,'Loan Tape'!D60*'Loan Tape'!I60/12,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59" s="37">
        <f>IFERROR(
        IF('Loan Tape'!Q60=0,
            LET(
                seasoning,(DATE('Control Panel'!$B$10,1,1)-'Loan Tape'!G60)/365.25,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59" s="37">
        <f>IFERROR(
        IF(AND('Loan Tape'!T60="Yes",
            (DATE('Control Panel'!$B$10,1,1)-'Loan Tape'!G60)/365.25&lt;=1.5),
            1.10,1),
    1)</f>
        <v/>
      </c>
      <c r="Q59" s="37">
        <f>IFERROR(IF('Loan Tape'!AE60="Yes",1.35,1),1)</f>
        <v/>
      </c>
      <c r="R59" s="37">
        <f>IFERROR(
        IF('Loan Tape'!AD60="Yes",
            LET(
                seasoning,(DATE('Control Panel'!$B$10,1,1)-'Loan Tape'!G60)/365.25*12,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59" s="37">
        <f>IFERROR(IF('Loan Tape'!AF60="Yes",1.10,1),1)</f>
        <v/>
      </c>
      <c r="T59" s="37">
        <f>IFERROR(
        IF('Loan Tape'!J60="Interest Only",
            LET(
                yrs_to_mat,('Loan Tape'!H60-DATE('Control Panel'!$B$10,1,1))/365.25,
                is_btl,'Loan Tape'!K60="BTL",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59" s="37">
        <f>1.00</f>
        <v/>
      </c>
      <c r="V59" s="37">
        <f>IFERROR(IF('Loan Tape'!AG60="Yes",1.85,1),1)</f>
        <v/>
      </c>
      <c r="W59" s="37">
        <f>IFERROR(IF('Loan Tape'!R60="Self-Employed",1.15,1),1)</f>
        <v/>
      </c>
      <c r="X59" s="37">
        <f>IFERROR(
        LET(
            ccj_count,'Loan Tape'!X60,
            ccj_date,'Loan Tape'!Y60,
            ccj_value,'Loan Tape'!Z60,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59" s="37">
        <f>IFERROR(
        IF('Loan Tape'!AH60="Yes",
            LET(
                months_since,(DATE('Control Panel'!$B$10,1,1)-'Loan Tape'!AI60)/30.44,
                IF(months_since&lt;=12,2.0,
                    IF(months_since&lt;=24,1.5,
                        IF(months_since&lt;=36,1.2,1)
                    )
                )
            ),
        1),
    1)</f>
        <v/>
      </c>
      <c r="Z59" s="39">
        <f>IFERROR(
        IF(N59&gt;=100,1,
            G59*H59*I59*J59*K59*L59*M59*N59*O59*P59*Q59*R59*S59*T59*U59*V59*W59*X59*Y59
        ),
    0)</f>
        <v/>
      </c>
    </row>
    <row r="60">
      <c r="A60" s="32">
        <f>'Loan Tape'!A61</f>
        <v/>
      </c>
      <c r="B60" s="33">
        <f>'Loan Tape'!D61</f>
        <v/>
      </c>
      <c r="C60" s="34">
        <f>'Loan Tape'!F61</f>
        <v/>
      </c>
      <c r="D60" s="35">
        <f>IFERROR('Loan Tape'!E61/'Loan Tape'!C61,0)</f>
        <v/>
      </c>
      <c r="E60" s="35">
        <f>IFERROR(
        'Loan Tape'!D61/
        ('Loan Tape'!B61*
        (1-IF(AND('Control Panel'!$B$15="YES",'Loan Tape'!W61&lt;&gt;"Full"),0.05,0))),
    0)</f>
        <v/>
      </c>
      <c r="F60" s="35">
        <f>'Control Panel'!$B$13*D60+'Control Panel'!$B$14*E60</f>
        <v/>
      </c>
      <c r="G60" s="36">
        <f>'Parameter Tables'!$B$5</f>
        <v/>
      </c>
      <c r="H60" s="37">
        <f>IFERROR(
        IF(F60&lt;=0.70,
            0.1+F60*1.2857,
            IF(F60&lt;=1.00,
                1+F60*2.5,
                IF(F60&lt;=1.50,
                    MIN(3.5+F60*1.5,5),
                    5
                )
            )
        ),
    1)</f>
        <v/>
      </c>
      <c r="I60" s="38">
        <f>1.00</f>
        <v/>
      </c>
      <c r="J60" s="37">
        <f>IFERROR(
        LET(
            income_mult,'Loan Tape'!D61/'Loan Tape'!O61,
            num_borr,'Loan Tape'!S61,
            seasoning,(DATE('Control Panel'!$B$10,1,1)-'Loan Tape'!G61)/365.25,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0" s="37">
        <f>IFERROR(
        IF('Loan Tape'!K61="BTL",
            LET(
                rental,'Loan Tape'!P61,
                int_cost,'Loan Tape'!D61*0.055,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0" s="37">
        <f>IFERROR(
        IF('Loan Tape'!U61="Second",1.5,
            IF('Loan Tape'!U61="Third+",1.7,1)
        ),
    1)</f>
        <v/>
      </c>
      <c r="M60" s="37">
        <f>IFERROR(
        IF(AND('Loan Tape'!V61="Cash-out",'Loan Tape'!U61="First"),1.2,1),
    1)</f>
        <v/>
      </c>
      <c r="N60" s="37">
        <f>IFERROR(
        LET(
            arrears,'Loan Tape'!Q61,
            monthly_pmt,'Loan Tape'!D61*'Loan Tape'!I61/12,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0" s="37">
        <f>IFERROR(
        IF('Loan Tape'!Q61=0,
            LET(
                seasoning,(DATE('Control Panel'!$B$10,1,1)-'Loan Tape'!G61)/365.25,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0" s="37">
        <f>IFERROR(
        IF(AND('Loan Tape'!T61="Yes",
            (DATE('Control Panel'!$B$10,1,1)-'Loan Tape'!G61)/365.25&lt;=1.5),
            1.10,1),
    1)</f>
        <v/>
      </c>
      <c r="Q60" s="37">
        <f>IFERROR(IF('Loan Tape'!AE61="Yes",1.35,1),1)</f>
        <v/>
      </c>
      <c r="R60" s="37">
        <f>IFERROR(
        IF('Loan Tape'!AD61="Yes",
            LET(
                seasoning,(DATE('Control Panel'!$B$10,1,1)-'Loan Tape'!G61)/365.25*12,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0" s="37">
        <f>IFERROR(IF('Loan Tape'!AF61="Yes",1.10,1),1)</f>
        <v/>
      </c>
      <c r="T60" s="37">
        <f>IFERROR(
        IF('Loan Tape'!J61="Interest Only",
            LET(
                yrs_to_mat,('Loan Tape'!H61-DATE('Control Panel'!$B$10,1,1))/365.25,
                is_btl,'Loan Tape'!K61="BTL",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0" s="37">
        <f>1.00</f>
        <v/>
      </c>
      <c r="V60" s="37">
        <f>IFERROR(IF('Loan Tape'!AG61="Yes",1.85,1),1)</f>
        <v/>
      </c>
      <c r="W60" s="37">
        <f>IFERROR(IF('Loan Tape'!R61="Self-Employed",1.15,1),1)</f>
        <v/>
      </c>
      <c r="X60" s="37">
        <f>IFERROR(
        LET(
            ccj_count,'Loan Tape'!X61,
            ccj_date,'Loan Tape'!Y61,
            ccj_value,'Loan Tape'!Z61,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0" s="37">
        <f>IFERROR(
        IF('Loan Tape'!AH61="Yes",
            LET(
                months_since,(DATE('Control Panel'!$B$10,1,1)-'Loan Tape'!AI61)/30.44,
                IF(months_since&lt;=12,2.0,
                    IF(months_since&lt;=24,1.5,
                        IF(months_since&lt;=36,1.2,1)
                    )
                )
            ),
        1),
    1)</f>
        <v/>
      </c>
      <c r="Z60" s="39">
        <f>IFERROR(
        IF(N60&gt;=100,1,
            G60*H60*I60*J60*K60*L60*M60*N60*O60*P60*Q60*R60*S60*T60*U60*V60*W60*X60*Y60
        ),
    0)</f>
        <v/>
      </c>
    </row>
    <row r="61">
      <c r="A61" s="32">
        <f>'Loan Tape'!A62</f>
        <v/>
      </c>
      <c r="B61" s="33">
        <f>'Loan Tape'!D62</f>
        <v/>
      </c>
      <c r="C61" s="34">
        <f>'Loan Tape'!F62</f>
        <v/>
      </c>
      <c r="D61" s="35">
        <f>IFERROR('Loan Tape'!E62/'Loan Tape'!C62,0)</f>
        <v/>
      </c>
      <c r="E61" s="35">
        <f>IFERROR(
        'Loan Tape'!D62/
        ('Loan Tape'!B62*
        (1-IF(AND('Control Panel'!$B$15="YES",'Loan Tape'!W62&lt;&gt;"Full"),0.05,0))),
    0)</f>
        <v/>
      </c>
      <c r="F61" s="35">
        <f>'Control Panel'!$B$13*D61+'Control Panel'!$B$14*E61</f>
        <v/>
      </c>
      <c r="G61" s="36">
        <f>'Parameter Tables'!$B$5</f>
        <v/>
      </c>
      <c r="H61" s="37">
        <f>IFERROR(
        IF(F61&lt;=0.70,
            0.1+F61*1.2857,
            IF(F61&lt;=1.00,
                1+F61*2.5,
                IF(F61&lt;=1.50,
                    MIN(3.5+F61*1.5,5),
                    5
                )
            )
        ),
    1)</f>
        <v/>
      </c>
      <c r="I61" s="38">
        <f>1.00</f>
        <v/>
      </c>
      <c r="J61" s="37">
        <f>IFERROR(
        LET(
            income_mult,'Loan Tape'!D62/'Loan Tape'!O62,
            num_borr,'Loan Tape'!S62,
            seasoning,(DATE('Control Panel'!$B$10,1,1)-'Loan Tape'!G62)/365.25,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1" s="37">
        <f>IFERROR(
        IF('Loan Tape'!K62="BTL",
            LET(
                rental,'Loan Tape'!P62,
                int_cost,'Loan Tape'!D62*0.055,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1" s="37">
        <f>IFERROR(
        IF('Loan Tape'!U62="Second",1.5,
            IF('Loan Tape'!U62="Third+",1.7,1)
        ),
    1)</f>
        <v/>
      </c>
      <c r="M61" s="37">
        <f>IFERROR(
        IF(AND('Loan Tape'!V62="Cash-out",'Loan Tape'!U62="First"),1.2,1),
    1)</f>
        <v/>
      </c>
      <c r="N61" s="37">
        <f>IFERROR(
        LET(
            arrears,'Loan Tape'!Q62,
            monthly_pmt,'Loan Tape'!D62*'Loan Tape'!I62/12,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1" s="37">
        <f>IFERROR(
        IF('Loan Tape'!Q62=0,
            LET(
                seasoning,(DATE('Control Panel'!$B$10,1,1)-'Loan Tape'!G62)/365.25,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1" s="37">
        <f>IFERROR(
        IF(AND('Loan Tape'!T62="Yes",
            (DATE('Control Panel'!$B$10,1,1)-'Loan Tape'!G62)/365.25&lt;=1.5),
            1.10,1),
    1)</f>
        <v/>
      </c>
      <c r="Q61" s="37">
        <f>IFERROR(IF('Loan Tape'!AE62="Yes",1.35,1),1)</f>
        <v/>
      </c>
      <c r="R61" s="37">
        <f>IFERROR(
        IF('Loan Tape'!AD62="Yes",
            LET(
                seasoning,(DATE('Control Panel'!$B$10,1,1)-'Loan Tape'!G62)/365.25*12,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1" s="37">
        <f>IFERROR(IF('Loan Tape'!AF62="Yes",1.10,1),1)</f>
        <v/>
      </c>
      <c r="T61" s="37">
        <f>IFERROR(
        IF('Loan Tape'!J62="Interest Only",
            LET(
                yrs_to_mat,('Loan Tape'!H62-DATE('Control Panel'!$B$10,1,1))/365.25,
                is_btl,'Loan Tape'!K62="BTL",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1" s="37">
        <f>1.00</f>
        <v/>
      </c>
      <c r="V61" s="37">
        <f>IFERROR(IF('Loan Tape'!AG62="Yes",1.85,1),1)</f>
        <v/>
      </c>
      <c r="W61" s="37">
        <f>IFERROR(IF('Loan Tape'!R62="Self-Employed",1.15,1),1)</f>
        <v/>
      </c>
      <c r="X61" s="37">
        <f>IFERROR(
        LET(
            ccj_count,'Loan Tape'!X62,
            ccj_date,'Loan Tape'!Y62,
            ccj_value,'Loan Tape'!Z62,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1" s="37">
        <f>IFERROR(
        IF('Loan Tape'!AH62="Yes",
            LET(
                months_since,(DATE('Control Panel'!$B$10,1,1)-'Loan Tape'!AI62)/30.44,
                IF(months_since&lt;=12,2.0,
                    IF(months_since&lt;=24,1.5,
                        IF(months_since&lt;=36,1.2,1)
                    )
                )
            ),
        1),
    1)</f>
        <v/>
      </c>
      <c r="Z61" s="39">
        <f>IFERROR(
        IF(N61&gt;=100,1,
            G61*H61*I61*J61*K61*L61*M61*N61*O61*P61*Q61*R61*S61*T61*U61*V61*W61*X61*Y61
        ),
    0)</f>
        <v/>
      </c>
    </row>
    <row r="62">
      <c r="A62" s="32">
        <f>'Loan Tape'!A63</f>
        <v/>
      </c>
      <c r="B62" s="33">
        <f>'Loan Tape'!D63</f>
        <v/>
      </c>
      <c r="C62" s="34">
        <f>'Loan Tape'!F63</f>
        <v/>
      </c>
      <c r="D62" s="35">
        <f>IFERROR('Loan Tape'!E63/'Loan Tape'!C63,0)</f>
        <v/>
      </c>
      <c r="E62" s="35">
        <f>IFERROR(
        'Loan Tape'!D63/
        ('Loan Tape'!B63*
        (1-IF(AND('Control Panel'!$B$15="YES",'Loan Tape'!W63&lt;&gt;"Full"),0.05,0))),
    0)</f>
        <v/>
      </c>
      <c r="F62" s="35">
        <f>'Control Panel'!$B$13*D62+'Control Panel'!$B$14*E62</f>
        <v/>
      </c>
      <c r="G62" s="36">
        <f>'Parameter Tables'!$B$5</f>
        <v/>
      </c>
      <c r="H62" s="37">
        <f>IFERROR(
        IF(F62&lt;=0.70,
            0.1+F62*1.2857,
            IF(F62&lt;=1.00,
                1+F62*2.5,
                IF(F62&lt;=1.50,
                    MIN(3.5+F62*1.5,5),
                    5
                )
            )
        ),
    1)</f>
        <v/>
      </c>
      <c r="I62" s="38">
        <f>1.00</f>
        <v/>
      </c>
      <c r="J62" s="37">
        <f>IFERROR(
        LET(
            income_mult,'Loan Tape'!D63/'Loan Tape'!O63,
            num_borr,'Loan Tape'!S63,
            seasoning,(DATE('Control Panel'!$B$10,1,1)-'Loan Tape'!G63)/365.25,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2" s="37">
        <f>IFERROR(
        IF('Loan Tape'!K63="BTL",
            LET(
                rental,'Loan Tape'!P63,
                int_cost,'Loan Tape'!D63*0.055,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2" s="37">
        <f>IFERROR(
        IF('Loan Tape'!U63="Second",1.5,
            IF('Loan Tape'!U63="Third+",1.7,1)
        ),
    1)</f>
        <v/>
      </c>
      <c r="M62" s="37">
        <f>IFERROR(
        IF(AND('Loan Tape'!V63="Cash-out",'Loan Tape'!U63="First"),1.2,1),
    1)</f>
        <v/>
      </c>
      <c r="N62" s="37">
        <f>IFERROR(
        LET(
            arrears,'Loan Tape'!Q63,
            monthly_pmt,'Loan Tape'!D63*'Loan Tape'!I63/12,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2" s="37">
        <f>IFERROR(
        IF('Loan Tape'!Q63=0,
            LET(
                seasoning,(DATE('Control Panel'!$B$10,1,1)-'Loan Tape'!G63)/365.25,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2" s="37">
        <f>IFERROR(
        IF(AND('Loan Tape'!T63="Yes",
            (DATE('Control Panel'!$B$10,1,1)-'Loan Tape'!G63)/365.25&lt;=1.5),
            1.10,1),
    1)</f>
        <v/>
      </c>
      <c r="Q62" s="37">
        <f>IFERROR(IF('Loan Tape'!AE63="Yes",1.35,1),1)</f>
        <v/>
      </c>
      <c r="R62" s="37">
        <f>IFERROR(
        IF('Loan Tape'!AD63="Yes",
            LET(
                seasoning,(DATE('Control Panel'!$B$10,1,1)-'Loan Tape'!G63)/365.25*12,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2" s="37">
        <f>IFERROR(IF('Loan Tape'!AF63="Yes",1.10,1),1)</f>
        <v/>
      </c>
      <c r="T62" s="37">
        <f>IFERROR(
        IF('Loan Tape'!J63="Interest Only",
            LET(
                yrs_to_mat,('Loan Tape'!H63-DATE('Control Panel'!$B$10,1,1))/365.25,
                is_btl,'Loan Tape'!K63="BTL",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2" s="37">
        <f>1.00</f>
        <v/>
      </c>
      <c r="V62" s="37">
        <f>IFERROR(IF('Loan Tape'!AG63="Yes",1.85,1),1)</f>
        <v/>
      </c>
      <c r="W62" s="37">
        <f>IFERROR(IF('Loan Tape'!R63="Self-Employed",1.15,1),1)</f>
        <v/>
      </c>
      <c r="X62" s="37">
        <f>IFERROR(
        LET(
            ccj_count,'Loan Tape'!X63,
            ccj_date,'Loan Tape'!Y63,
            ccj_value,'Loan Tape'!Z63,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2" s="37">
        <f>IFERROR(
        IF('Loan Tape'!AH63="Yes",
            LET(
                months_since,(DATE('Control Panel'!$B$10,1,1)-'Loan Tape'!AI63)/30.44,
                IF(months_since&lt;=12,2.0,
                    IF(months_since&lt;=24,1.5,
                        IF(months_since&lt;=36,1.2,1)
                    )
                )
            ),
        1),
    1)</f>
        <v/>
      </c>
      <c r="Z62" s="39">
        <f>IFERROR(
        IF(N62&gt;=100,1,
            G62*H62*I62*J62*K62*L62*M62*N62*O62*P62*Q62*R62*S62*T62*U62*V62*W62*X62*Y62
        ),
    0)</f>
        <v/>
      </c>
    </row>
    <row r="63">
      <c r="A63" s="32">
        <f>'Loan Tape'!A64</f>
        <v/>
      </c>
      <c r="B63" s="33">
        <f>'Loan Tape'!D64</f>
        <v/>
      </c>
      <c r="C63" s="34">
        <f>'Loan Tape'!F64</f>
        <v/>
      </c>
      <c r="D63" s="35">
        <f>IFERROR('Loan Tape'!E64/'Loan Tape'!C64,0)</f>
        <v/>
      </c>
      <c r="E63" s="35">
        <f>IFERROR(
        'Loan Tape'!D64/
        ('Loan Tape'!B64*
        (1-IF(AND('Control Panel'!$B$15="YES",'Loan Tape'!W64&lt;&gt;"Full"),0.05,0))),
    0)</f>
        <v/>
      </c>
      <c r="F63" s="35">
        <f>'Control Panel'!$B$13*D63+'Control Panel'!$B$14*E63</f>
        <v/>
      </c>
      <c r="G63" s="36">
        <f>'Parameter Tables'!$B$5</f>
        <v/>
      </c>
      <c r="H63" s="37">
        <f>IFERROR(
        IF(F63&lt;=0.70,
            0.1+F63*1.2857,
            IF(F63&lt;=1.00,
                1+F63*2.5,
                IF(F63&lt;=1.50,
                    MIN(3.5+F63*1.5,5),
                    5
                )
            )
        ),
    1)</f>
        <v/>
      </c>
      <c r="I63" s="38">
        <f>1.00</f>
        <v/>
      </c>
      <c r="J63" s="37">
        <f>IFERROR(
        LET(
            income_mult,'Loan Tape'!D64/'Loan Tape'!O64,
            num_borr,'Loan Tape'!S64,
            seasoning,(DATE('Control Panel'!$B$10,1,1)-'Loan Tape'!G64)/365.25,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3" s="37">
        <f>IFERROR(
        IF('Loan Tape'!K64="BTL",
            LET(
                rental,'Loan Tape'!P64,
                int_cost,'Loan Tape'!D64*0.055,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3" s="37">
        <f>IFERROR(
        IF('Loan Tape'!U64="Second",1.5,
            IF('Loan Tape'!U64="Third+",1.7,1)
        ),
    1)</f>
        <v/>
      </c>
      <c r="M63" s="37">
        <f>IFERROR(
        IF(AND('Loan Tape'!V64="Cash-out",'Loan Tape'!U64="First"),1.2,1),
    1)</f>
        <v/>
      </c>
      <c r="N63" s="37">
        <f>IFERROR(
        LET(
            arrears,'Loan Tape'!Q64,
            monthly_pmt,'Loan Tape'!D64*'Loan Tape'!I64/12,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3" s="37">
        <f>IFERROR(
        IF('Loan Tape'!Q64=0,
            LET(
                seasoning,(DATE('Control Panel'!$B$10,1,1)-'Loan Tape'!G64)/365.25,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3" s="37">
        <f>IFERROR(
        IF(AND('Loan Tape'!T64="Yes",
            (DATE('Control Panel'!$B$10,1,1)-'Loan Tape'!G64)/365.25&lt;=1.5),
            1.10,1),
    1)</f>
        <v/>
      </c>
      <c r="Q63" s="37">
        <f>IFERROR(IF('Loan Tape'!AE64="Yes",1.35,1),1)</f>
        <v/>
      </c>
      <c r="R63" s="37">
        <f>IFERROR(
        IF('Loan Tape'!AD64="Yes",
            LET(
                seasoning,(DATE('Control Panel'!$B$10,1,1)-'Loan Tape'!G64)/365.25*12,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3" s="37">
        <f>IFERROR(IF('Loan Tape'!AF64="Yes",1.10,1),1)</f>
        <v/>
      </c>
      <c r="T63" s="37">
        <f>IFERROR(
        IF('Loan Tape'!J64="Interest Only",
            LET(
                yrs_to_mat,('Loan Tape'!H64-DATE('Control Panel'!$B$10,1,1))/365.25,
                is_btl,'Loan Tape'!K64="BTL",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3" s="37">
        <f>1.00</f>
        <v/>
      </c>
      <c r="V63" s="37">
        <f>IFERROR(IF('Loan Tape'!AG64="Yes",1.85,1),1)</f>
        <v/>
      </c>
      <c r="W63" s="37">
        <f>IFERROR(IF('Loan Tape'!R64="Self-Employed",1.15,1),1)</f>
        <v/>
      </c>
      <c r="X63" s="37">
        <f>IFERROR(
        LET(
            ccj_count,'Loan Tape'!X64,
            ccj_date,'Loan Tape'!Y64,
            ccj_value,'Loan Tape'!Z64,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3" s="37">
        <f>IFERROR(
        IF('Loan Tape'!AH64="Yes",
            LET(
                months_since,(DATE('Control Panel'!$B$10,1,1)-'Loan Tape'!AI64)/30.44,
                IF(months_since&lt;=12,2.0,
                    IF(months_since&lt;=24,1.5,
                        IF(months_since&lt;=36,1.2,1)
                    )
                )
            ),
        1),
    1)</f>
        <v/>
      </c>
      <c r="Z63" s="39">
        <f>IFERROR(
        IF(N63&gt;=100,1,
            G63*H63*I63*J63*K63*L63*M63*N63*O63*P63*Q63*R63*S63*T63*U63*V63*W63*X63*Y63
        ),
    0)</f>
        <v/>
      </c>
    </row>
    <row r="64">
      <c r="A64" s="32">
        <f>'Loan Tape'!A65</f>
        <v/>
      </c>
      <c r="B64" s="33">
        <f>'Loan Tape'!D65</f>
        <v/>
      </c>
      <c r="C64" s="34">
        <f>'Loan Tape'!F65</f>
        <v/>
      </c>
      <c r="D64" s="35">
        <f>IFERROR('Loan Tape'!E65/'Loan Tape'!C65,0)</f>
        <v/>
      </c>
      <c r="E64" s="35">
        <f>IFERROR(
        'Loan Tape'!D65/
        ('Loan Tape'!B65*
        (1-IF(AND('Control Panel'!$B$15="YES",'Loan Tape'!W65&lt;&gt;"Full"),0.05,0))),
    0)</f>
        <v/>
      </c>
      <c r="F64" s="35">
        <f>'Control Panel'!$B$13*D64+'Control Panel'!$B$14*E64</f>
        <v/>
      </c>
      <c r="G64" s="36">
        <f>'Parameter Tables'!$B$5</f>
        <v/>
      </c>
      <c r="H64" s="37">
        <f>IFERROR(
        IF(F64&lt;=0.70,
            0.1+F64*1.2857,
            IF(F64&lt;=1.00,
                1+F64*2.5,
                IF(F64&lt;=1.50,
                    MIN(3.5+F64*1.5,5),
                    5
                )
            )
        ),
    1)</f>
        <v/>
      </c>
      <c r="I64" s="38">
        <f>1.00</f>
        <v/>
      </c>
      <c r="J64" s="37">
        <f>IFERROR(
        LET(
            income_mult,'Loan Tape'!D65/'Loan Tape'!O65,
            num_borr,'Loan Tape'!S65,
            seasoning,(DATE('Control Panel'!$B$10,1,1)-'Loan Tape'!G65)/365.25,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4" s="37">
        <f>IFERROR(
        IF('Loan Tape'!K65="BTL",
            LET(
                rental,'Loan Tape'!P65,
                int_cost,'Loan Tape'!D65*0.055,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4" s="37">
        <f>IFERROR(
        IF('Loan Tape'!U65="Second",1.5,
            IF('Loan Tape'!U65="Third+",1.7,1)
        ),
    1)</f>
        <v/>
      </c>
      <c r="M64" s="37">
        <f>IFERROR(
        IF(AND('Loan Tape'!V65="Cash-out",'Loan Tape'!U65="First"),1.2,1),
    1)</f>
        <v/>
      </c>
      <c r="N64" s="37">
        <f>IFERROR(
        LET(
            arrears,'Loan Tape'!Q65,
            monthly_pmt,'Loan Tape'!D65*'Loan Tape'!I65/12,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4" s="37">
        <f>IFERROR(
        IF('Loan Tape'!Q65=0,
            LET(
                seasoning,(DATE('Control Panel'!$B$10,1,1)-'Loan Tape'!G65)/365.25,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4" s="37">
        <f>IFERROR(
        IF(AND('Loan Tape'!T65="Yes",
            (DATE('Control Panel'!$B$10,1,1)-'Loan Tape'!G65)/365.25&lt;=1.5),
            1.10,1),
    1)</f>
        <v/>
      </c>
      <c r="Q64" s="37">
        <f>IFERROR(IF('Loan Tape'!AE65="Yes",1.35,1),1)</f>
        <v/>
      </c>
      <c r="R64" s="37">
        <f>IFERROR(
        IF('Loan Tape'!AD65="Yes",
            LET(
                seasoning,(DATE('Control Panel'!$B$10,1,1)-'Loan Tape'!G65)/365.25*12,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4" s="37">
        <f>IFERROR(IF('Loan Tape'!AF65="Yes",1.10,1),1)</f>
        <v/>
      </c>
      <c r="T64" s="37">
        <f>IFERROR(
        IF('Loan Tape'!J65="Interest Only",
            LET(
                yrs_to_mat,('Loan Tape'!H65-DATE('Control Panel'!$B$10,1,1))/365.25,
                is_btl,'Loan Tape'!K65="BTL",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4" s="37">
        <f>1.00</f>
        <v/>
      </c>
      <c r="V64" s="37">
        <f>IFERROR(IF('Loan Tape'!AG65="Yes",1.85,1),1)</f>
        <v/>
      </c>
      <c r="W64" s="37">
        <f>IFERROR(IF('Loan Tape'!R65="Self-Employed",1.15,1),1)</f>
        <v/>
      </c>
      <c r="X64" s="37">
        <f>IFERROR(
        LET(
            ccj_count,'Loan Tape'!X65,
            ccj_date,'Loan Tape'!Y65,
            ccj_value,'Loan Tape'!Z65,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4" s="37">
        <f>IFERROR(
        IF('Loan Tape'!AH65="Yes",
            LET(
                months_since,(DATE('Control Panel'!$B$10,1,1)-'Loan Tape'!AI65)/30.44,
                IF(months_since&lt;=12,2.0,
                    IF(months_since&lt;=24,1.5,
                        IF(months_since&lt;=36,1.2,1)
                    )
                )
            ),
        1),
    1)</f>
        <v/>
      </c>
      <c r="Z64" s="39">
        <f>IFERROR(
        IF(N64&gt;=100,1,
            G64*H64*I64*J64*K64*L64*M64*N64*O64*P64*Q64*R64*S64*T64*U64*V64*W64*X64*Y64
        ),
    0)</f>
        <v/>
      </c>
    </row>
    <row r="65">
      <c r="A65" s="32">
        <f>'Loan Tape'!A66</f>
        <v/>
      </c>
      <c r="B65" s="33">
        <f>'Loan Tape'!D66</f>
        <v/>
      </c>
      <c r="C65" s="34">
        <f>'Loan Tape'!F66</f>
        <v/>
      </c>
      <c r="D65" s="35">
        <f>IFERROR('Loan Tape'!E66/'Loan Tape'!C66,0)</f>
        <v/>
      </c>
      <c r="E65" s="35">
        <f>IFERROR(
        'Loan Tape'!D66/
        ('Loan Tape'!B66*
        (1-IF(AND('Control Panel'!$B$15="YES",'Loan Tape'!W66&lt;&gt;"Full"),0.05,0))),
    0)</f>
        <v/>
      </c>
      <c r="F65" s="35">
        <f>'Control Panel'!$B$13*D65+'Control Panel'!$B$14*E65</f>
        <v/>
      </c>
      <c r="G65" s="36">
        <f>'Parameter Tables'!$B$5</f>
        <v/>
      </c>
      <c r="H65" s="37">
        <f>IFERROR(
        IF(F65&lt;=0.70,
            0.1+F65*1.2857,
            IF(F65&lt;=1.00,
                1+F65*2.5,
                IF(F65&lt;=1.50,
                    MIN(3.5+F65*1.5,5),
                    5
                )
            )
        ),
    1)</f>
        <v/>
      </c>
      <c r="I65" s="38">
        <f>1.00</f>
        <v/>
      </c>
      <c r="J65" s="37">
        <f>IFERROR(
        LET(
            income_mult,'Loan Tape'!D66/'Loan Tape'!O66,
            num_borr,'Loan Tape'!S66,
            seasoning,(DATE('Control Panel'!$B$10,1,1)-'Loan Tape'!G66)/365.25,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5" s="37">
        <f>IFERROR(
        IF('Loan Tape'!K66="BTL",
            LET(
                rental,'Loan Tape'!P66,
                int_cost,'Loan Tape'!D66*0.055,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5" s="37">
        <f>IFERROR(
        IF('Loan Tape'!U66="Second",1.5,
            IF('Loan Tape'!U66="Third+",1.7,1)
        ),
    1)</f>
        <v/>
      </c>
      <c r="M65" s="37">
        <f>IFERROR(
        IF(AND('Loan Tape'!V66="Cash-out",'Loan Tape'!U66="First"),1.2,1),
    1)</f>
        <v/>
      </c>
      <c r="N65" s="37">
        <f>IFERROR(
        LET(
            arrears,'Loan Tape'!Q66,
            monthly_pmt,'Loan Tape'!D66*'Loan Tape'!I66/12,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5" s="37">
        <f>IFERROR(
        IF('Loan Tape'!Q66=0,
            LET(
                seasoning,(DATE('Control Panel'!$B$10,1,1)-'Loan Tape'!G66)/365.25,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5" s="37">
        <f>IFERROR(
        IF(AND('Loan Tape'!T66="Yes",
            (DATE('Control Panel'!$B$10,1,1)-'Loan Tape'!G66)/365.25&lt;=1.5),
            1.10,1),
    1)</f>
        <v/>
      </c>
      <c r="Q65" s="37">
        <f>IFERROR(IF('Loan Tape'!AE66="Yes",1.35,1),1)</f>
        <v/>
      </c>
      <c r="R65" s="37">
        <f>IFERROR(
        IF('Loan Tape'!AD66="Yes",
            LET(
                seasoning,(DATE('Control Panel'!$B$10,1,1)-'Loan Tape'!G66)/365.25*12,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5" s="37">
        <f>IFERROR(IF('Loan Tape'!AF66="Yes",1.10,1),1)</f>
        <v/>
      </c>
      <c r="T65" s="37">
        <f>IFERROR(
        IF('Loan Tape'!J66="Interest Only",
            LET(
                yrs_to_mat,('Loan Tape'!H66-DATE('Control Panel'!$B$10,1,1))/365.25,
                is_btl,'Loan Tape'!K66="BTL",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5" s="37">
        <f>1.00</f>
        <v/>
      </c>
      <c r="V65" s="37">
        <f>IFERROR(IF('Loan Tape'!AG66="Yes",1.85,1),1)</f>
        <v/>
      </c>
      <c r="W65" s="37">
        <f>IFERROR(IF('Loan Tape'!R66="Self-Employed",1.15,1),1)</f>
        <v/>
      </c>
      <c r="X65" s="37">
        <f>IFERROR(
        LET(
            ccj_count,'Loan Tape'!X66,
            ccj_date,'Loan Tape'!Y66,
            ccj_value,'Loan Tape'!Z66,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5" s="37">
        <f>IFERROR(
        IF('Loan Tape'!AH66="Yes",
            LET(
                months_since,(DATE('Control Panel'!$B$10,1,1)-'Loan Tape'!AI66)/30.44,
                IF(months_since&lt;=12,2.0,
                    IF(months_since&lt;=24,1.5,
                        IF(months_since&lt;=36,1.2,1)
                    )
                )
            ),
        1),
    1)</f>
        <v/>
      </c>
      <c r="Z65" s="39">
        <f>IFERROR(
        IF(N65&gt;=100,1,
            G65*H65*I65*J65*K65*L65*M65*N65*O65*P65*Q65*R65*S65*T65*U65*V65*W65*X65*Y65
        ),
    0)</f>
        <v/>
      </c>
    </row>
    <row r="66">
      <c r="A66" s="32">
        <f>'Loan Tape'!A67</f>
        <v/>
      </c>
      <c r="B66" s="33">
        <f>'Loan Tape'!D67</f>
        <v/>
      </c>
      <c r="C66" s="34">
        <f>'Loan Tape'!F67</f>
        <v/>
      </c>
      <c r="D66" s="35">
        <f>IFERROR('Loan Tape'!E67/'Loan Tape'!C67,0)</f>
        <v/>
      </c>
      <c r="E66" s="35">
        <f>IFERROR(
        'Loan Tape'!D67/
        ('Loan Tape'!B67*
        (1-IF(AND('Control Panel'!$B$15="YES",'Loan Tape'!W67&lt;&gt;"Full"),0.05,0))),
    0)</f>
        <v/>
      </c>
      <c r="F66" s="35">
        <f>'Control Panel'!$B$13*D66+'Control Panel'!$B$14*E66</f>
        <v/>
      </c>
      <c r="G66" s="36">
        <f>'Parameter Tables'!$B$5</f>
        <v/>
      </c>
      <c r="H66" s="37">
        <f>IFERROR(
        IF(F66&lt;=0.70,
            0.1+F66*1.2857,
            IF(F66&lt;=1.00,
                1+F66*2.5,
                IF(F66&lt;=1.50,
                    MIN(3.5+F66*1.5,5),
                    5
                )
            )
        ),
    1)</f>
        <v/>
      </c>
      <c r="I66" s="38">
        <f>1.00</f>
        <v/>
      </c>
      <c r="J66" s="37">
        <f>IFERROR(
        LET(
            income_mult,'Loan Tape'!D67/'Loan Tape'!O67,
            num_borr,'Loan Tape'!S67,
            seasoning,(DATE('Control Panel'!$B$10,1,1)-'Loan Tape'!G67)/365.25,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6" s="37">
        <f>IFERROR(
        IF('Loan Tape'!K67="BTL",
            LET(
                rental,'Loan Tape'!P67,
                int_cost,'Loan Tape'!D67*0.055,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6" s="37">
        <f>IFERROR(
        IF('Loan Tape'!U67="Second",1.5,
            IF('Loan Tape'!U67="Third+",1.7,1)
        ),
    1)</f>
        <v/>
      </c>
      <c r="M66" s="37">
        <f>IFERROR(
        IF(AND('Loan Tape'!V67="Cash-out",'Loan Tape'!U67="First"),1.2,1),
    1)</f>
        <v/>
      </c>
      <c r="N66" s="37">
        <f>IFERROR(
        LET(
            arrears,'Loan Tape'!Q67,
            monthly_pmt,'Loan Tape'!D67*'Loan Tape'!I67/12,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6" s="37">
        <f>IFERROR(
        IF('Loan Tape'!Q67=0,
            LET(
                seasoning,(DATE('Control Panel'!$B$10,1,1)-'Loan Tape'!G67)/365.25,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6" s="37">
        <f>IFERROR(
        IF(AND('Loan Tape'!T67="Yes",
            (DATE('Control Panel'!$B$10,1,1)-'Loan Tape'!G67)/365.25&lt;=1.5),
            1.10,1),
    1)</f>
        <v/>
      </c>
      <c r="Q66" s="37">
        <f>IFERROR(IF('Loan Tape'!AE67="Yes",1.35,1),1)</f>
        <v/>
      </c>
      <c r="R66" s="37">
        <f>IFERROR(
        IF('Loan Tape'!AD67="Yes",
            LET(
                seasoning,(DATE('Control Panel'!$B$10,1,1)-'Loan Tape'!G67)/365.25*12,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6" s="37">
        <f>IFERROR(IF('Loan Tape'!AF67="Yes",1.10,1),1)</f>
        <v/>
      </c>
      <c r="T66" s="37">
        <f>IFERROR(
        IF('Loan Tape'!J67="Interest Only",
            LET(
                yrs_to_mat,('Loan Tape'!H67-DATE('Control Panel'!$B$10,1,1))/365.25,
                is_btl,'Loan Tape'!K67="BTL",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6" s="37">
        <f>1.00</f>
        <v/>
      </c>
      <c r="V66" s="37">
        <f>IFERROR(IF('Loan Tape'!AG67="Yes",1.85,1),1)</f>
        <v/>
      </c>
      <c r="W66" s="37">
        <f>IFERROR(IF('Loan Tape'!R67="Self-Employed",1.15,1),1)</f>
        <v/>
      </c>
      <c r="X66" s="37">
        <f>IFERROR(
        LET(
            ccj_count,'Loan Tape'!X67,
            ccj_date,'Loan Tape'!Y67,
            ccj_value,'Loan Tape'!Z67,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6" s="37">
        <f>IFERROR(
        IF('Loan Tape'!AH67="Yes",
            LET(
                months_since,(DATE('Control Panel'!$B$10,1,1)-'Loan Tape'!AI67)/30.44,
                IF(months_since&lt;=12,2.0,
                    IF(months_since&lt;=24,1.5,
                        IF(months_since&lt;=36,1.2,1)
                    )
                )
            ),
        1),
    1)</f>
        <v/>
      </c>
      <c r="Z66" s="39">
        <f>IFERROR(
        IF(N66&gt;=100,1,
            G66*H66*I66*J66*K66*L66*M66*N66*O66*P66*Q66*R66*S66*T66*U66*V66*W66*X66*Y66
        ),
    0)</f>
        <v/>
      </c>
    </row>
    <row r="67">
      <c r="A67" s="32">
        <f>'Loan Tape'!A68</f>
        <v/>
      </c>
      <c r="B67" s="33">
        <f>'Loan Tape'!D68</f>
        <v/>
      </c>
      <c r="C67" s="34">
        <f>'Loan Tape'!F68</f>
        <v/>
      </c>
      <c r="D67" s="35">
        <f>IFERROR('Loan Tape'!E68/'Loan Tape'!C68,0)</f>
        <v/>
      </c>
      <c r="E67" s="35">
        <f>IFERROR(
        'Loan Tape'!D68/
        ('Loan Tape'!B68*
        (1-IF(AND('Control Panel'!$B$15="YES",'Loan Tape'!W68&lt;&gt;"Full"),0.05,0))),
    0)</f>
        <v/>
      </c>
      <c r="F67" s="35">
        <f>'Control Panel'!$B$13*D67+'Control Panel'!$B$14*E67</f>
        <v/>
      </c>
      <c r="G67" s="36">
        <f>'Parameter Tables'!$B$5</f>
        <v/>
      </c>
      <c r="H67" s="37">
        <f>IFERROR(
        IF(F67&lt;=0.70,
            0.1+F67*1.2857,
            IF(F67&lt;=1.00,
                1+F67*2.5,
                IF(F67&lt;=1.50,
                    MIN(3.5+F67*1.5,5),
                    5
                )
            )
        ),
    1)</f>
        <v/>
      </c>
      <c r="I67" s="38">
        <f>1.00</f>
        <v/>
      </c>
      <c r="J67" s="37">
        <f>IFERROR(
        LET(
            income_mult,'Loan Tape'!D68/'Loan Tape'!O68,
            num_borr,'Loan Tape'!S68,
            seasoning,(DATE('Control Panel'!$B$10,1,1)-'Loan Tape'!G68)/365.25,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7" s="37">
        <f>IFERROR(
        IF('Loan Tape'!K68="BTL",
            LET(
                rental,'Loan Tape'!P68,
                int_cost,'Loan Tape'!D68*0.055,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7" s="37">
        <f>IFERROR(
        IF('Loan Tape'!U68="Second",1.5,
            IF('Loan Tape'!U68="Third+",1.7,1)
        ),
    1)</f>
        <v/>
      </c>
      <c r="M67" s="37">
        <f>IFERROR(
        IF(AND('Loan Tape'!V68="Cash-out",'Loan Tape'!U68="First"),1.2,1),
    1)</f>
        <v/>
      </c>
      <c r="N67" s="37">
        <f>IFERROR(
        LET(
            arrears,'Loan Tape'!Q68,
            monthly_pmt,'Loan Tape'!D68*'Loan Tape'!I68/12,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7" s="37">
        <f>IFERROR(
        IF('Loan Tape'!Q68=0,
            LET(
                seasoning,(DATE('Control Panel'!$B$10,1,1)-'Loan Tape'!G68)/365.25,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7" s="37">
        <f>IFERROR(
        IF(AND('Loan Tape'!T68="Yes",
            (DATE('Control Panel'!$B$10,1,1)-'Loan Tape'!G68)/365.25&lt;=1.5),
            1.10,1),
    1)</f>
        <v/>
      </c>
      <c r="Q67" s="37">
        <f>IFERROR(IF('Loan Tape'!AE68="Yes",1.35,1),1)</f>
        <v/>
      </c>
      <c r="R67" s="37">
        <f>IFERROR(
        IF('Loan Tape'!AD68="Yes",
            LET(
                seasoning,(DATE('Control Panel'!$B$10,1,1)-'Loan Tape'!G68)/365.25*12,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7" s="37">
        <f>IFERROR(IF('Loan Tape'!AF68="Yes",1.10,1),1)</f>
        <v/>
      </c>
      <c r="T67" s="37">
        <f>IFERROR(
        IF('Loan Tape'!J68="Interest Only",
            LET(
                yrs_to_mat,('Loan Tape'!H68-DATE('Control Panel'!$B$10,1,1))/365.25,
                is_btl,'Loan Tape'!K68="BTL",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7" s="37">
        <f>1.00</f>
        <v/>
      </c>
      <c r="V67" s="37">
        <f>IFERROR(IF('Loan Tape'!AG68="Yes",1.85,1),1)</f>
        <v/>
      </c>
      <c r="W67" s="37">
        <f>IFERROR(IF('Loan Tape'!R68="Self-Employed",1.15,1),1)</f>
        <v/>
      </c>
      <c r="X67" s="37">
        <f>IFERROR(
        LET(
            ccj_count,'Loan Tape'!X68,
            ccj_date,'Loan Tape'!Y68,
            ccj_value,'Loan Tape'!Z68,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7" s="37">
        <f>IFERROR(
        IF('Loan Tape'!AH68="Yes",
            LET(
                months_since,(DATE('Control Panel'!$B$10,1,1)-'Loan Tape'!AI68)/30.44,
                IF(months_since&lt;=12,2.0,
                    IF(months_since&lt;=24,1.5,
                        IF(months_since&lt;=36,1.2,1)
                    )
                )
            ),
        1),
    1)</f>
        <v/>
      </c>
      <c r="Z67" s="39">
        <f>IFERROR(
        IF(N67&gt;=100,1,
            G67*H67*I67*J67*K67*L67*M67*N67*O67*P67*Q67*R67*S67*T67*U67*V67*W67*X67*Y67
        ),
    0)</f>
        <v/>
      </c>
    </row>
    <row r="68">
      <c r="A68" s="32">
        <f>'Loan Tape'!A69</f>
        <v/>
      </c>
      <c r="B68" s="33">
        <f>'Loan Tape'!D69</f>
        <v/>
      </c>
      <c r="C68" s="34">
        <f>'Loan Tape'!F69</f>
        <v/>
      </c>
      <c r="D68" s="35">
        <f>IFERROR('Loan Tape'!E69/'Loan Tape'!C69,0)</f>
        <v/>
      </c>
      <c r="E68" s="35">
        <f>IFERROR(
        'Loan Tape'!D69/
        ('Loan Tape'!B69*
        (1-IF(AND('Control Panel'!$B$15="YES",'Loan Tape'!W69&lt;&gt;"Full"),0.05,0))),
    0)</f>
        <v/>
      </c>
      <c r="F68" s="35">
        <f>'Control Panel'!$B$13*D68+'Control Panel'!$B$14*E68</f>
        <v/>
      </c>
      <c r="G68" s="36">
        <f>'Parameter Tables'!$B$5</f>
        <v/>
      </c>
      <c r="H68" s="37">
        <f>IFERROR(
        IF(F68&lt;=0.70,
            0.1+F68*1.2857,
            IF(F68&lt;=1.00,
                1+F68*2.5,
                IF(F68&lt;=1.50,
                    MIN(3.5+F68*1.5,5),
                    5
                )
            )
        ),
    1)</f>
        <v/>
      </c>
      <c r="I68" s="38">
        <f>1.00</f>
        <v/>
      </c>
      <c r="J68" s="37">
        <f>IFERROR(
        LET(
            income_mult,'Loan Tape'!D69/'Loan Tape'!O69,
            num_borr,'Loan Tape'!S69,
            seasoning,(DATE('Control Panel'!$B$10,1,1)-'Loan Tape'!G69)/365.25,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8" s="37">
        <f>IFERROR(
        IF('Loan Tape'!K69="BTL",
            LET(
                rental,'Loan Tape'!P69,
                int_cost,'Loan Tape'!D69*0.055,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8" s="37">
        <f>IFERROR(
        IF('Loan Tape'!U69="Second",1.5,
            IF('Loan Tape'!U69="Third+",1.7,1)
        ),
    1)</f>
        <v/>
      </c>
      <c r="M68" s="37">
        <f>IFERROR(
        IF(AND('Loan Tape'!V69="Cash-out",'Loan Tape'!U69="First"),1.2,1),
    1)</f>
        <v/>
      </c>
      <c r="N68" s="37">
        <f>IFERROR(
        LET(
            arrears,'Loan Tape'!Q69,
            monthly_pmt,'Loan Tape'!D69*'Loan Tape'!I69/12,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8" s="37">
        <f>IFERROR(
        IF('Loan Tape'!Q69=0,
            LET(
                seasoning,(DATE('Control Panel'!$B$10,1,1)-'Loan Tape'!G69)/365.25,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8" s="37">
        <f>IFERROR(
        IF(AND('Loan Tape'!T69="Yes",
            (DATE('Control Panel'!$B$10,1,1)-'Loan Tape'!G69)/365.25&lt;=1.5),
            1.10,1),
    1)</f>
        <v/>
      </c>
      <c r="Q68" s="37">
        <f>IFERROR(IF('Loan Tape'!AE69="Yes",1.35,1),1)</f>
        <v/>
      </c>
      <c r="R68" s="37">
        <f>IFERROR(
        IF('Loan Tape'!AD69="Yes",
            LET(
                seasoning,(DATE('Control Panel'!$B$10,1,1)-'Loan Tape'!G69)/365.25*12,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8" s="37">
        <f>IFERROR(IF('Loan Tape'!AF69="Yes",1.10,1),1)</f>
        <v/>
      </c>
      <c r="T68" s="37">
        <f>IFERROR(
        IF('Loan Tape'!J69="Interest Only",
            LET(
                yrs_to_mat,('Loan Tape'!H69-DATE('Control Panel'!$B$10,1,1))/365.25,
                is_btl,'Loan Tape'!K69="BTL",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8" s="37">
        <f>1.00</f>
        <v/>
      </c>
      <c r="V68" s="37">
        <f>IFERROR(IF('Loan Tape'!AG69="Yes",1.85,1),1)</f>
        <v/>
      </c>
      <c r="W68" s="37">
        <f>IFERROR(IF('Loan Tape'!R69="Self-Employed",1.15,1),1)</f>
        <v/>
      </c>
      <c r="X68" s="37">
        <f>IFERROR(
        LET(
            ccj_count,'Loan Tape'!X69,
            ccj_date,'Loan Tape'!Y69,
            ccj_value,'Loan Tape'!Z69,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8" s="37">
        <f>IFERROR(
        IF('Loan Tape'!AH69="Yes",
            LET(
                months_since,(DATE('Control Panel'!$B$10,1,1)-'Loan Tape'!AI69)/30.44,
                IF(months_since&lt;=12,2.0,
                    IF(months_since&lt;=24,1.5,
                        IF(months_since&lt;=36,1.2,1)
                    )
                )
            ),
        1),
    1)</f>
        <v/>
      </c>
      <c r="Z68" s="39">
        <f>IFERROR(
        IF(N68&gt;=100,1,
            G68*H68*I68*J68*K68*L68*M68*N68*O68*P68*Q68*R68*S68*T68*U68*V68*W68*X68*Y68
        ),
    0)</f>
        <v/>
      </c>
    </row>
    <row r="69">
      <c r="A69" s="32">
        <f>'Loan Tape'!A70</f>
        <v/>
      </c>
      <c r="B69" s="33">
        <f>'Loan Tape'!D70</f>
        <v/>
      </c>
      <c r="C69" s="34">
        <f>'Loan Tape'!F70</f>
        <v/>
      </c>
      <c r="D69" s="35">
        <f>IFERROR('Loan Tape'!E70/'Loan Tape'!C70,0)</f>
        <v/>
      </c>
      <c r="E69" s="35">
        <f>IFERROR(
        'Loan Tape'!D70/
        ('Loan Tape'!B70*
        (1-IF(AND('Control Panel'!$B$15="YES",'Loan Tape'!W70&lt;&gt;"Full"),0.05,0))),
    0)</f>
        <v/>
      </c>
      <c r="F69" s="35">
        <f>'Control Panel'!$B$13*D69+'Control Panel'!$B$14*E69</f>
        <v/>
      </c>
      <c r="G69" s="36">
        <f>'Parameter Tables'!$B$5</f>
        <v/>
      </c>
      <c r="H69" s="37">
        <f>IFERROR(
        IF(F69&lt;=0.70,
            0.1+F69*1.2857,
            IF(F69&lt;=1.00,
                1+F69*2.5,
                IF(F69&lt;=1.50,
                    MIN(3.5+F69*1.5,5),
                    5
                )
            )
        ),
    1)</f>
        <v/>
      </c>
      <c r="I69" s="38">
        <f>1.00</f>
        <v/>
      </c>
      <c r="J69" s="37">
        <f>IFERROR(
        LET(
            income_mult,'Loan Tape'!D70/'Loan Tape'!O70,
            num_borr,'Loan Tape'!S70,
            seasoning,(DATE('Control Panel'!$B$10,1,1)-'Loan Tape'!G70)/365.25,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69" s="37">
        <f>IFERROR(
        IF('Loan Tape'!K70="BTL",
            LET(
                rental,'Loan Tape'!P70,
                int_cost,'Loan Tape'!D70*0.055,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69" s="37">
        <f>IFERROR(
        IF('Loan Tape'!U70="Second",1.5,
            IF('Loan Tape'!U70="Third+",1.7,1)
        ),
    1)</f>
        <v/>
      </c>
      <c r="M69" s="37">
        <f>IFERROR(
        IF(AND('Loan Tape'!V70="Cash-out",'Loan Tape'!U70="First"),1.2,1),
    1)</f>
        <v/>
      </c>
      <c r="N69" s="37">
        <f>IFERROR(
        LET(
            arrears,'Loan Tape'!Q70,
            monthly_pmt,'Loan Tape'!D70*'Loan Tape'!I70/12,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69" s="37">
        <f>IFERROR(
        IF('Loan Tape'!Q70=0,
            LET(
                seasoning,(DATE('Control Panel'!$B$10,1,1)-'Loan Tape'!G70)/365.25,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69" s="37">
        <f>IFERROR(
        IF(AND('Loan Tape'!T70="Yes",
            (DATE('Control Panel'!$B$10,1,1)-'Loan Tape'!G70)/365.25&lt;=1.5),
            1.10,1),
    1)</f>
        <v/>
      </c>
      <c r="Q69" s="37">
        <f>IFERROR(IF('Loan Tape'!AE70="Yes",1.35,1),1)</f>
        <v/>
      </c>
      <c r="R69" s="37">
        <f>IFERROR(
        IF('Loan Tape'!AD70="Yes",
            LET(
                seasoning,(DATE('Control Panel'!$B$10,1,1)-'Loan Tape'!G70)/365.25*12,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69" s="37">
        <f>IFERROR(IF('Loan Tape'!AF70="Yes",1.10,1),1)</f>
        <v/>
      </c>
      <c r="T69" s="37">
        <f>IFERROR(
        IF('Loan Tape'!J70="Interest Only",
            LET(
                yrs_to_mat,('Loan Tape'!H70-DATE('Control Panel'!$B$10,1,1))/365.25,
                is_btl,'Loan Tape'!K70="BTL",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69" s="37">
        <f>1.00</f>
        <v/>
      </c>
      <c r="V69" s="37">
        <f>IFERROR(IF('Loan Tape'!AG70="Yes",1.85,1),1)</f>
        <v/>
      </c>
      <c r="W69" s="37">
        <f>IFERROR(IF('Loan Tape'!R70="Self-Employed",1.15,1),1)</f>
        <v/>
      </c>
      <c r="X69" s="37">
        <f>IFERROR(
        LET(
            ccj_count,'Loan Tape'!X70,
            ccj_date,'Loan Tape'!Y70,
            ccj_value,'Loan Tape'!Z70,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69" s="37">
        <f>IFERROR(
        IF('Loan Tape'!AH70="Yes",
            LET(
                months_since,(DATE('Control Panel'!$B$10,1,1)-'Loan Tape'!AI70)/30.44,
                IF(months_since&lt;=12,2.0,
                    IF(months_since&lt;=24,1.5,
                        IF(months_since&lt;=36,1.2,1)
                    )
                )
            ),
        1),
    1)</f>
        <v/>
      </c>
      <c r="Z69" s="39">
        <f>IFERROR(
        IF(N69&gt;=100,1,
            G69*H69*I69*J69*K69*L69*M69*N69*O69*P69*Q69*R69*S69*T69*U69*V69*W69*X69*Y69
        ),
    0)</f>
        <v/>
      </c>
    </row>
    <row r="70">
      <c r="A70" s="32">
        <f>'Loan Tape'!A71</f>
        <v/>
      </c>
      <c r="B70" s="33">
        <f>'Loan Tape'!D71</f>
        <v/>
      </c>
      <c r="C70" s="34">
        <f>'Loan Tape'!F71</f>
        <v/>
      </c>
      <c r="D70" s="35">
        <f>IFERROR('Loan Tape'!E71/'Loan Tape'!C71,0)</f>
        <v/>
      </c>
      <c r="E70" s="35">
        <f>IFERROR(
        'Loan Tape'!D71/
        ('Loan Tape'!B71*
        (1-IF(AND('Control Panel'!$B$15="YES",'Loan Tape'!W71&lt;&gt;"Full"),0.05,0))),
    0)</f>
        <v/>
      </c>
      <c r="F70" s="35">
        <f>'Control Panel'!$B$13*D70+'Control Panel'!$B$14*E70</f>
        <v/>
      </c>
      <c r="G70" s="36">
        <f>'Parameter Tables'!$B$5</f>
        <v/>
      </c>
      <c r="H70" s="37">
        <f>IFERROR(
        IF(F70&lt;=0.70,
            0.1+F70*1.2857,
            IF(F70&lt;=1.00,
                1+F70*2.5,
                IF(F70&lt;=1.50,
                    MIN(3.5+F70*1.5,5),
                    5
                )
            )
        ),
    1)</f>
        <v/>
      </c>
      <c r="I70" s="38">
        <f>1.00</f>
        <v/>
      </c>
      <c r="J70" s="37">
        <f>IFERROR(
        LET(
            income_mult,'Loan Tape'!D71/'Loan Tape'!O71,
            num_borr,'Loan Tape'!S71,
            seasoning,(DATE('Control Panel'!$B$10,1,1)-'Loan Tape'!G71)/365.25,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0" s="37">
        <f>IFERROR(
        IF('Loan Tape'!K71="BTL",
            LET(
                rental,'Loan Tape'!P71,
                int_cost,'Loan Tape'!D71*0.055,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0" s="37">
        <f>IFERROR(
        IF('Loan Tape'!U71="Second",1.5,
            IF('Loan Tape'!U71="Third+",1.7,1)
        ),
    1)</f>
        <v/>
      </c>
      <c r="M70" s="37">
        <f>IFERROR(
        IF(AND('Loan Tape'!V71="Cash-out",'Loan Tape'!U71="First"),1.2,1),
    1)</f>
        <v/>
      </c>
      <c r="N70" s="37">
        <f>IFERROR(
        LET(
            arrears,'Loan Tape'!Q71,
            monthly_pmt,'Loan Tape'!D71*'Loan Tape'!I71/12,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0" s="37">
        <f>IFERROR(
        IF('Loan Tape'!Q71=0,
            LET(
                seasoning,(DATE('Control Panel'!$B$10,1,1)-'Loan Tape'!G71)/365.25,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0" s="37">
        <f>IFERROR(
        IF(AND('Loan Tape'!T71="Yes",
            (DATE('Control Panel'!$B$10,1,1)-'Loan Tape'!G71)/365.25&lt;=1.5),
            1.10,1),
    1)</f>
        <v/>
      </c>
      <c r="Q70" s="37">
        <f>IFERROR(IF('Loan Tape'!AE71="Yes",1.35,1),1)</f>
        <v/>
      </c>
      <c r="R70" s="37">
        <f>IFERROR(
        IF('Loan Tape'!AD71="Yes",
            LET(
                seasoning,(DATE('Control Panel'!$B$10,1,1)-'Loan Tape'!G71)/365.25*12,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0" s="37">
        <f>IFERROR(IF('Loan Tape'!AF71="Yes",1.10,1),1)</f>
        <v/>
      </c>
      <c r="T70" s="37">
        <f>IFERROR(
        IF('Loan Tape'!J71="Interest Only",
            LET(
                yrs_to_mat,('Loan Tape'!H71-DATE('Control Panel'!$B$10,1,1))/365.25,
                is_btl,'Loan Tape'!K71="BTL",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0" s="37">
        <f>1.00</f>
        <v/>
      </c>
      <c r="V70" s="37">
        <f>IFERROR(IF('Loan Tape'!AG71="Yes",1.85,1),1)</f>
        <v/>
      </c>
      <c r="W70" s="37">
        <f>IFERROR(IF('Loan Tape'!R71="Self-Employed",1.15,1),1)</f>
        <v/>
      </c>
      <c r="X70" s="37">
        <f>IFERROR(
        LET(
            ccj_count,'Loan Tape'!X71,
            ccj_date,'Loan Tape'!Y71,
            ccj_value,'Loan Tape'!Z71,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0" s="37">
        <f>IFERROR(
        IF('Loan Tape'!AH71="Yes",
            LET(
                months_since,(DATE('Control Panel'!$B$10,1,1)-'Loan Tape'!AI71)/30.44,
                IF(months_since&lt;=12,2.0,
                    IF(months_since&lt;=24,1.5,
                        IF(months_since&lt;=36,1.2,1)
                    )
                )
            ),
        1),
    1)</f>
        <v/>
      </c>
      <c r="Z70" s="39">
        <f>IFERROR(
        IF(N70&gt;=100,1,
            G70*H70*I70*J70*K70*L70*M70*N70*O70*P70*Q70*R70*S70*T70*U70*V70*W70*X70*Y70
        ),
    0)</f>
        <v/>
      </c>
    </row>
    <row r="71">
      <c r="A71" s="32">
        <f>'Loan Tape'!A72</f>
        <v/>
      </c>
      <c r="B71" s="33">
        <f>'Loan Tape'!D72</f>
        <v/>
      </c>
      <c r="C71" s="34">
        <f>'Loan Tape'!F72</f>
        <v/>
      </c>
      <c r="D71" s="35">
        <f>IFERROR('Loan Tape'!E72/'Loan Tape'!C72,0)</f>
        <v/>
      </c>
      <c r="E71" s="35">
        <f>IFERROR(
        'Loan Tape'!D72/
        ('Loan Tape'!B72*
        (1-IF(AND('Control Panel'!$B$15="YES",'Loan Tape'!W72&lt;&gt;"Full"),0.05,0))),
    0)</f>
        <v/>
      </c>
      <c r="F71" s="35">
        <f>'Control Panel'!$B$13*D71+'Control Panel'!$B$14*E71</f>
        <v/>
      </c>
      <c r="G71" s="36">
        <f>'Parameter Tables'!$B$5</f>
        <v/>
      </c>
      <c r="H71" s="37">
        <f>IFERROR(
        IF(F71&lt;=0.70,
            0.1+F71*1.2857,
            IF(F71&lt;=1.00,
                1+F71*2.5,
                IF(F71&lt;=1.50,
                    MIN(3.5+F71*1.5,5),
                    5
                )
            )
        ),
    1)</f>
        <v/>
      </c>
      <c r="I71" s="38">
        <f>1.00</f>
        <v/>
      </c>
      <c r="J71" s="37">
        <f>IFERROR(
        LET(
            income_mult,'Loan Tape'!D72/'Loan Tape'!O72,
            num_borr,'Loan Tape'!S72,
            seasoning,(DATE('Control Panel'!$B$10,1,1)-'Loan Tape'!G72)/365.25,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1" s="37">
        <f>IFERROR(
        IF('Loan Tape'!K72="BTL",
            LET(
                rental,'Loan Tape'!P72,
                int_cost,'Loan Tape'!D72*0.055,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1" s="37">
        <f>IFERROR(
        IF('Loan Tape'!U72="Second",1.5,
            IF('Loan Tape'!U72="Third+",1.7,1)
        ),
    1)</f>
        <v/>
      </c>
      <c r="M71" s="37">
        <f>IFERROR(
        IF(AND('Loan Tape'!V72="Cash-out",'Loan Tape'!U72="First"),1.2,1),
    1)</f>
        <v/>
      </c>
      <c r="N71" s="37">
        <f>IFERROR(
        LET(
            arrears,'Loan Tape'!Q72,
            monthly_pmt,'Loan Tape'!D72*'Loan Tape'!I72/12,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1" s="37">
        <f>IFERROR(
        IF('Loan Tape'!Q72=0,
            LET(
                seasoning,(DATE('Control Panel'!$B$10,1,1)-'Loan Tape'!G72)/365.25,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1" s="37">
        <f>IFERROR(
        IF(AND('Loan Tape'!T72="Yes",
            (DATE('Control Panel'!$B$10,1,1)-'Loan Tape'!G72)/365.25&lt;=1.5),
            1.10,1),
    1)</f>
        <v/>
      </c>
      <c r="Q71" s="37">
        <f>IFERROR(IF('Loan Tape'!AE72="Yes",1.35,1),1)</f>
        <v/>
      </c>
      <c r="R71" s="37">
        <f>IFERROR(
        IF('Loan Tape'!AD72="Yes",
            LET(
                seasoning,(DATE('Control Panel'!$B$10,1,1)-'Loan Tape'!G72)/365.25*12,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1" s="37">
        <f>IFERROR(IF('Loan Tape'!AF72="Yes",1.10,1),1)</f>
        <v/>
      </c>
      <c r="T71" s="37">
        <f>IFERROR(
        IF('Loan Tape'!J72="Interest Only",
            LET(
                yrs_to_mat,('Loan Tape'!H72-DATE('Control Panel'!$B$10,1,1))/365.25,
                is_btl,'Loan Tape'!K72="BTL",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1" s="37">
        <f>1.00</f>
        <v/>
      </c>
      <c r="V71" s="37">
        <f>IFERROR(IF('Loan Tape'!AG72="Yes",1.85,1),1)</f>
        <v/>
      </c>
      <c r="W71" s="37">
        <f>IFERROR(IF('Loan Tape'!R72="Self-Employed",1.15,1),1)</f>
        <v/>
      </c>
      <c r="X71" s="37">
        <f>IFERROR(
        LET(
            ccj_count,'Loan Tape'!X72,
            ccj_date,'Loan Tape'!Y72,
            ccj_value,'Loan Tape'!Z72,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1" s="37">
        <f>IFERROR(
        IF('Loan Tape'!AH72="Yes",
            LET(
                months_since,(DATE('Control Panel'!$B$10,1,1)-'Loan Tape'!AI72)/30.44,
                IF(months_since&lt;=12,2.0,
                    IF(months_since&lt;=24,1.5,
                        IF(months_since&lt;=36,1.2,1)
                    )
                )
            ),
        1),
    1)</f>
        <v/>
      </c>
      <c r="Z71" s="39">
        <f>IFERROR(
        IF(N71&gt;=100,1,
            G71*H71*I71*J71*K71*L71*M71*N71*O71*P71*Q71*R71*S71*T71*U71*V71*W71*X71*Y71
        ),
    0)</f>
        <v/>
      </c>
    </row>
    <row r="72">
      <c r="A72" s="32">
        <f>'Loan Tape'!A73</f>
        <v/>
      </c>
      <c r="B72" s="33">
        <f>'Loan Tape'!D73</f>
        <v/>
      </c>
      <c r="C72" s="34">
        <f>'Loan Tape'!F73</f>
        <v/>
      </c>
      <c r="D72" s="35">
        <f>IFERROR('Loan Tape'!E73/'Loan Tape'!C73,0)</f>
        <v/>
      </c>
      <c r="E72" s="35">
        <f>IFERROR(
        'Loan Tape'!D73/
        ('Loan Tape'!B73*
        (1-IF(AND('Control Panel'!$B$15="YES",'Loan Tape'!W73&lt;&gt;"Full"),0.05,0))),
    0)</f>
        <v/>
      </c>
      <c r="F72" s="35">
        <f>'Control Panel'!$B$13*D72+'Control Panel'!$B$14*E72</f>
        <v/>
      </c>
      <c r="G72" s="36">
        <f>'Parameter Tables'!$B$5</f>
        <v/>
      </c>
      <c r="H72" s="37">
        <f>IFERROR(
        IF(F72&lt;=0.70,
            0.1+F72*1.2857,
            IF(F72&lt;=1.00,
                1+F72*2.5,
                IF(F72&lt;=1.50,
                    MIN(3.5+F72*1.5,5),
                    5
                )
            )
        ),
    1)</f>
        <v/>
      </c>
      <c r="I72" s="38">
        <f>1.00</f>
        <v/>
      </c>
      <c r="J72" s="37">
        <f>IFERROR(
        LET(
            income_mult,'Loan Tape'!D73/'Loan Tape'!O73,
            num_borr,'Loan Tape'!S73,
            seasoning,(DATE('Control Panel'!$B$10,1,1)-'Loan Tape'!G73)/365.25,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2" s="37">
        <f>IFERROR(
        IF('Loan Tape'!K73="BTL",
            LET(
                rental,'Loan Tape'!P73,
                int_cost,'Loan Tape'!D73*0.055,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2" s="37">
        <f>IFERROR(
        IF('Loan Tape'!U73="Second",1.5,
            IF('Loan Tape'!U73="Third+",1.7,1)
        ),
    1)</f>
        <v/>
      </c>
      <c r="M72" s="37">
        <f>IFERROR(
        IF(AND('Loan Tape'!V73="Cash-out",'Loan Tape'!U73="First"),1.2,1),
    1)</f>
        <v/>
      </c>
      <c r="N72" s="37">
        <f>IFERROR(
        LET(
            arrears,'Loan Tape'!Q73,
            monthly_pmt,'Loan Tape'!D73*'Loan Tape'!I73/12,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2" s="37">
        <f>IFERROR(
        IF('Loan Tape'!Q73=0,
            LET(
                seasoning,(DATE('Control Panel'!$B$10,1,1)-'Loan Tape'!G73)/365.25,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2" s="37">
        <f>IFERROR(
        IF(AND('Loan Tape'!T73="Yes",
            (DATE('Control Panel'!$B$10,1,1)-'Loan Tape'!G73)/365.25&lt;=1.5),
            1.10,1),
    1)</f>
        <v/>
      </c>
      <c r="Q72" s="37">
        <f>IFERROR(IF('Loan Tape'!AE73="Yes",1.35,1),1)</f>
        <v/>
      </c>
      <c r="R72" s="37">
        <f>IFERROR(
        IF('Loan Tape'!AD73="Yes",
            LET(
                seasoning,(DATE('Control Panel'!$B$10,1,1)-'Loan Tape'!G73)/365.25*12,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2" s="37">
        <f>IFERROR(IF('Loan Tape'!AF73="Yes",1.10,1),1)</f>
        <v/>
      </c>
      <c r="T72" s="37">
        <f>IFERROR(
        IF('Loan Tape'!J73="Interest Only",
            LET(
                yrs_to_mat,('Loan Tape'!H73-DATE('Control Panel'!$B$10,1,1))/365.25,
                is_btl,'Loan Tape'!K73="BTL",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2" s="37">
        <f>1.00</f>
        <v/>
      </c>
      <c r="V72" s="37">
        <f>IFERROR(IF('Loan Tape'!AG73="Yes",1.85,1),1)</f>
        <v/>
      </c>
      <c r="W72" s="37">
        <f>IFERROR(IF('Loan Tape'!R73="Self-Employed",1.15,1),1)</f>
        <v/>
      </c>
      <c r="X72" s="37">
        <f>IFERROR(
        LET(
            ccj_count,'Loan Tape'!X73,
            ccj_date,'Loan Tape'!Y73,
            ccj_value,'Loan Tape'!Z73,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2" s="37">
        <f>IFERROR(
        IF('Loan Tape'!AH73="Yes",
            LET(
                months_since,(DATE('Control Panel'!$B$10,1,1)-'Loan Tape'!AI73)/30.44,
                IF(months_since&lt;=12,2.0,
                    IF(months_since&lt;=24,1.5,
                        IF(months_since&lt;=36,1.2,1)
                    )
                )
            ),
        1),
    1)</f>
        <v/>
      </c>
      <c r="Z72" s="39">
        <f>IFERROR(
        IF(N72&gt;=100,1,
            G72*H72*I72*J72*K72*L72*M72*N72*O72*P72*Q72*R72*S72*T72*U72*V72*W72*X72*Y72
        ),
    0)</f>
        <v/>
      </c>
    </row>
    <row r="73">
      <c r="A73" s="32">
        <f>'Loan Tape'!A74</f>
        <v/>
      </c>
      <c r="B73" s="33">
        <f>'Loan Tape'!D74</f>
        <v/>
      </c>
      <c r="C73" s="34">
        <f>'Loan Tape'!F74</f>
        <v/>
      </c>
      <c r="D73" s="35">
        <f>IFERROR('Loan Tape'!E74/'Loan Tape'!C74,0)</f>
        <v/>
      </c>
      <c r="E73" s="35">
        <f>IFERROR(
        'Loan Tape'!D74/
        ('Loan Tape'!B74*
        (1-IF(AND('Control Panel'!$B$15="YES",'Loan Tape'!W74&lt;&gt;"Full"),0.05,0))),
    0)</f>
        <v/>
      </c>
      <c r="F73" s="35">
        <f>'Control Panel'!$B$13*D73+'Control Panel'!$B$14*E73</f>
        <v/>
      </c>
      <c r="G73" s="36">
        <f>'Parameter Tables'!$B$5</f>
        <v/>
      </c>
      <c r="H73" s="37">
        <f>IFERROR(
        IF(F73&lt;=0.70,
            0.1+F73*1.2857,
            IF(F73&lt;=1.00,
                1+F73*2.5,
                IF(F73&lt;=1.50,
                    MIN(3.5+F73*1.5,5),
                    5
                )
            )
        ),
    1)</f>
        <v/>
      </c>
      <c r="I73" s="38">
        <f>1.00</f>
        <v/>
      </c>
      <c r="J73" s="37">
        <f>IFERROR(
        LET(
            income_mult,'Loan Tape'!D74/'Loan Tape'!O74,
            num_borr,'Loan Tape'!S74,
            seasoning,(DATE('Control Panel'!$B$10,1,1)-'Loan Tape'!G74)/365.25,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3" s="37">
        <f>IFERROR(
        IF('Loan Tape'!K74="BTL",
            LET(
                rental,'Loan Tape'!P74,
                int_cost,'Loan Tape'!D74*0.055,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3" s="37">
        <f>IFERROR(
        IF('Loan Tape'!U74="Second",1.5,
            IF('Loan Tape'!U74="Third+",1.7,1)
        ),
    1)</f>
        <v/>
      </c>
      <c r="M73" s="37">
        <f>IFERROR(
        IF(AND('Loan Tape'!V74="Cash-out",'Loan Tape'!U74="First"),1.2,1),
    1)</f>
        <v/>
      </c>
      <c r="N73" s="37">
        <f>IFERROR(
        LET(
            arrears,'Loan Tape'!Q74,
            monthly_pmt,'Loan Tape'!D74*'Loan Tape'!I74/12,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3" s="37">
        <f>IFERROR(
        IF('Loan Tape'!Q74=0,
            LET(
                seasoning,(DATE('Control Panel'!$B$10,1,1)-'Loan Tape'!G74)/365.25,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3" s="37">
        <f>IFERROR(
        IF(AND('Loan Tape'!T74="Yes",
            (DATE('Control Panel'!$B$10,1,1)-'Loan Tape'!G74)/365.25&lt;=1.5),
            1.10,1),
    1)</f>
        <v/>
      </c>
      <c r="Q73" s="37">
        <f>IFERROR(IF('Loan Tape'!AE74="Yes",1.35,1),1)</f>
        <v/>
      </c>
      <c r="R73" s="37">
        <f>IFERROR(
        IF('Loan Tape'!AD74="Yes",
            LET(
                seasoning,(DATE('Control Panel'!$B$10,1,1)-'Loan Tape'!G74)/365.25*12,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3" s="37">
        <f>IFERROR(IF('Loan Tape'!AF74="Yes",1.10,1),1)</f>
        <v/>
      </c>
      <c r="T73" s="37">
        <f>IFERROR(
        IF('Loan Tape'!J74="Interest Only",
            LET(
                yrs_to_mat,('Loan Tape'!H74-DATE('Control Panel'!$B$10,1,1))/365.25,
                is_btl,'Loan Tape'!K74="BTL",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3" s="37">
        <f>1.00</f>
        <v/>
      </c>
      <c r="V73" s="37">
        <f>IFERROR(IF('Loan Tape'!AG74="Yes",1.85,1),1)</f>
        <v/>
      </c>
      <c r="W73" s="37">
        <f>IFERROR(IF('Loan Tape'!R74="Self-Employed",1.15,1),1)</f>
        <v/>
      </c>
      <c r="X73" s="37">
        <f>IFERROR(
        LET(
            ccj_count,'Loan Tape'!X74,
            ccj_date,'Loan Tape'!Y74,
            ccj_value,'Loan Tape'!Z74,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3" s="37">
        <f>IFERROR(
        IF('Loan Tape'!AH74="Yes",
            LET(
                months_since,(DATE('Control Panel'!$B$10,1,1)-'Loan Tape'!AI74)/30.44,
                IF(months_since&lt;=12,2.0,
                    IF(months_since&lt;=24,1.5,
                        IF(months_since&lt;=36,1.2,1)
                    )
                )
            ),
        1),
    1)</f>
        <v/>
      </c>
      <c r="Z73" s="39">
        <f>IFERROR(
        IF(N73&gt;=100,1,
            G73*H73*I73*J73*K73*L73*M73*N73*O73*P73*Q73*R73*S73*T73*U73*V73*W73*X73*Y73
        ),
    0)</f>
        <v/>
      </c>
    </row>
    <row r="74">
      <c r="A74" s="32">
        <f>'Loan Tape'!A75</f>
        <v/>
      </c>
      <c r="B74" s="33">
        <f>'Loan Tape'!D75</f>
        <v/>
      </c>
      <c r="C74" s="34">
        <f>'Loan Tape'!F75</f>
        <v/>
      </c>
      <c r="D74" s="35">
        <f>IFERROR('Loan Tape'!E75/'Loan Tape'!C75,0)</f>
        <v/>
      </c>
      <c r="E74" s="35">
        <f>IFERROR(
        'Loan Tape'!D75/
        ('Loan Tape'!B75*
        (1-IF(AND('Control Panel'!$B$15="YES",'Loan Tape'!W75&lt;&gt;"Full"),0.05,0))),
    0)</f>
        <v/>
      </c>
      <c r="F74" s="35">
        <f>'Control Panel'!$B$13*D74+'Control Panel'!$B$14*E74</f>
        <v/>
      </c>
      <c r="G74" s="36">
        <f>'Parameter Tables'!$B$5</f>
        <v/>
      </c>
      <c r="H74" s="37">
        <f>IFERROR(
        IF(F74&lt;=0.70,
            0.1+F74*1.2857,
            IF(F74&lt;=1.00,
                1+F74*2.5,
                IF(F74&lt;=1.50,
                    MIN(3.5+F74*1.5,5),
                    5
                )
            )
        ),
    1)</f>
        <v/>
      </c>
      <c r="I74" s="38">
        <f>1.00</f>
        <v/>
      </c>
      <c r="J74" s="37">
        <f>IFERROR(
        LET(
            income_mult,'Loan Tape'!D75/'Loan Tape'!O75,
            num_borr,'Loan Tape'!S75,
            seasoning,(DATE('Control Panel'!$B$10,1,1)-'Loan Tape'!G75)/365.25,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4" s="37">
        <f>IFERROR(
        IF('Loan Tape'!K75="BTL",
            LET(
                rental,'Loan Tape'!P75,
                int_cost,'Loan Tape'!D75*0.055,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4" s="37">
        <f>IFERROR(
        IF('Loan Tape'!U75="Second",1.5,
            IF('Loan Tape'!U75="Third+",1.7,1)
        ),
    1)</f>
        <v/>
      </c>
      <c r="M74" s="37">
        <f>IFERROR(
        IF(AND('Loan Tape'!V75="Cash-out",'Loan Tape'!U75="First"),1.2,1),
    1)</f>
        <v/>
      </c>
      <c r="N74" s="37">
        <f>IFERROR(
        LET(
            arrears,'Loan Tape'!Q75,
            monthly_pmt,'Loan Tape'!D75*'Loan Tape'!I75/12,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4" s="37">
        <f>IFERROR(
        IF('Loan Tape'!Q75=0,
            LET(
                seasoning,(DATE('Control Panel'!$B$10,1,1)-'Loan Tape'!G75)/365.25,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4" s="37">
        <f>IFERROR(
        IF(AND('Loan Tape'!T75="Yes",
            (DATE('Control Panel'!$B$10,1,1)-'Loan Tape'!G75)/365.25&lt;=1.5),
            1.10,1),
    1)</f>
        <v/>
      </c>
      <c r="Q74" s="37">
        <f>IFERROR(IF('Loan Tape'!AE75="Yes",1.35,1),1)</f>
        <v/>
      </c>
      <c r="R74" s="37">
        <f>IFERROR(
        IF('Loan Tape'!AD75="Yes",
            LET(
                seasoning,(DATE('Control Panel'!$B$10,1,1)-'Loan Tape'!G75)/365.25*12,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4" s="37">
        <f>IFERROR(IF('Loan Tape'!AF75="Yes",1.10,1),1)</f>
        <v/>
      </c>
      <c r="T74" s="37">
        <f>IFERROR(
        IF('Loan Tape'!J75="Interest Only",
            LET(
                yrs_to_mat,('Loan Tape'!H75-DATE('Control Panel'!$B$10,1,1))/365.25,
                is_btl,'Loan Tape'!K75="BTL",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4" s="37">
        <f>1.00</f>
        <v/>
      </c>
      <c r="V74" s="37">
        <f>IFERROR(IF('Loan Tape'!AG75="Yes",1.85,1),1)</f>
        <v/>
      </c>
      <c r="W74" s="37">
        <f>IFERROR(IF('Loan Tape'!R75="Self-Employed",1.15,1),1)</f>
        <v/>
      </c>
      <c r="X74" s="37">
        <f>IFERROR(
        LET(
            ccj_count,'Loan Tape'!X75,
            ccj_date,'Loan Tape'!Y75,
            ccj_value,'Loan Tape'!Z75,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4" s="37">
        <f>IFERROR(
        IF('Loan Tape'!AH75="Yes",
            LET(
                months_since,(DATE('Control Panel'!$B$10,1,1)-'Loan Tape'!AI75)/30.44,
                IF(months_since&lt;=12,2.0,
                    IF(months_since&lt;=24,1.5,
                        IF(months_since&lt;=36,1.2,1)
                    )
                )
            ),
        1),
    1)</f>
        <v/>
      </c>
      <c r="Z74" s="39">
        <f>IFERROR(
        IF(N74&gt;=100,1,
            G74*H74*I74*J74*K74*L74*M74*N74*O74*P74*Q74*R74*S74*T74*U74*V74*W74*X74*Y74
        ),
    0)</f>
        <v/>
      </c>
    </row>
    <row r="75">
      <c r="A75" s="32">
        <f>'Loan Tape'!A76</f>
        <v/>
      </c>
      <c r="B75" s="33">
        <f>'Loan Tape'!D76</f>
        <v/>
      </c>
      <c r="C75" s="34">
        <f>'Loan Tape'!F76</f>
        <v/>
      </c>
      <c r="D75" s="35">
        <f>IFERROR('Loan Tape'!E76/'Loan Tape'!C76,0)</f>
        <v/>
      </c>
      <c r="E75" s="35">
        <f>IFERROR(
        'Loan Tape'!D76/
        ('Loan Tape'!B76*
        (1-IF(AND('Control Panel'!$B$15="YES",'Loan Tape'!W76&lt;&gt;"Full"),0.05,0))),
    0)</f>
        <v/>
      </c>
      <c r="F75" s="35">
        <f>'Control Panel'!$B$13*D75+'Control Panel'!$B$14*E75</f>
        <v/>
      </c>
      <c r="G75" s="36">
        <f>'Parameter Tables'!$B$5</f>
        <v/>
      </c>
      <c r="H75" s="37">
        <f>IFERROR(
        IF(F75&lt;=0.70,
            0.1+F75*1.2857,
            IF(F75&lt;=1.00,
                1+F75*2.5,
                IF(F75&lt;=1.50,
                    MIN(3.5+F75*1.5,5),
                    5
                )
            )
        ),
    1)</f>
        <v/>
      </c>
      <c r="I75" s="38">
        <f>1.00</f>
        <v/>
      </c>
      <c r="J75" s="37">
        <f>IFERROR(
        LET(
            income_mult,'Loan Tape'!D76/'Loan Tape'!O76,
            num_borr,'Loan Tape'!S76,
            seasoning,(DATE('Control Panel'!$B$10,1,1)-'Loan Tape'!G76)/365.25,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5" s="37">
        <f>IFERROR(
        IF('Loan Tape'!K76="BTL",
            LET(
                rental,'Loan Tape'!P76,
                int_cost,'Loan Tape'!D76*0.055,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5" s="37">
        <f>IFERROR(
        IF('Loan Tape'!U76="Second",1.5,
            IF('Loan Tape'!U76="Third+",1.7,1)
        ),
    1)</f>
        <v/>
      </c>
      <c r="M75" s="37">
        <f>IFERROR(
        IF(AND('Loan Tape'!V76="Cash-out",'Loan Tape'!U76="First"),1.2,1),
    1)</f>
        <v/>
      </c>
      <c r="N75" s="37">
        <f>IFERROR(
        LET(
            arrears,'Loan Tape'!Q76,
            monthly_pmt,'Loan Tape'!D76*'Loan Tape'!I76/12,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5" s="37">
        <f>IFERROR(
        IF('Loan Tape'!Q76=0,
            LET(
                seasoning,(DATE('Control Panel'!$B$10,1,1)-'Loan Tape'!G76)/365.25,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5" s="37">
        <f>IFERROR(
        IF(AND('Loan Tape'!T76="Yes",
            (DATE('Control Panel'!$B$10,1,1)-'Loan Tape'!G76)/365.25&lt;=1.5),
            1.10,1),
    1)</f>
        <v/>
      </c>
      <c r="Q75" s="37">
        <f>IFERROR(IF('Loan Tape'!AE76="Yes",1.35,1),1)</f>
        <v/>
      </c>
      <c r="R75" s="37">
        <f>IFERROR(
        IF('Loan Tape'!AD76="Yes",
            LET(
                seasoning,(DATE('Control Panel'!$B$10,1,1)-'Loan Tape'!G76)/365.25*12,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5" s="37">
        <f>IFERROR(IF('Loan Tape'!AF76="Yes",1.10,1),1)</f>
        <v/>
      </c>
      <c r="T75" s="37">
        <f>IFERROR(
        IF('Loan Tape'!J76="Interest Only",
            LET(
                yrs_to_mat,('Loan Tape'!H76-DATE('Control Panel'!$B$10,1,1))/365.25,
                is_btl,'Loan Tape'!K76="BTL",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5" s="37">
        <f>1.00</f>
        <v/>
      </c>
      <c r="V75" s="37">
        <f>IFERROR(IF('Loan Tape'!AG76="Yes",1.85,1),1)</f>
        <v/>
      </c>
      <c r="W75" s="37">
        <f>IFERROR(IF('Loan Tape'!R76="Self-Employed",1.15,1),1)</f>
        <v/>
      </c>
      <c r="X75" s="37">
        <f>IFERROR(
        LET(
            ccj_count,'Loan Tape'!X76,
            ccj_date,'Loan Tape'!Y76,
            ccj_value,'Loan Tape'!Z76,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5" s="37">
        <f>IFERROR(
        IF('Loan Tape'!AH76="Yes",
            LET(
                months_since,(DATE('Control Panel'!$B$10,1,1)-'Loan Tape'!AI76)/30.44,
                IF(months_since&lt;=12,2.0,
                    IF(months_since&lt;=24,1.5,
                        IF(months_since&lt;=36,1.2,1)
                    )
                )
            ),
        1),
    1)</f>
        <v/>
      </c>
      <c r="Z75" s="39">
        <f>IFERROR(
        IF(N75&gt;=100,1,
            G75*H75*I75*J75*K75*L75*M75*N75*O75*P75*Q75*R75*S75*T75*U75*V75*W75*X75*Y75
        ),
    0)</f>
        <v/>
      </c>
    </row>
    <row r="76">
      <c r="A76" s="32">
        <f>'Loan Tape'!A77</f>
        <v/>
      </c>
      <c r="B76" s="33">
        <f>'Loan Tape'!D77</f>
        <v/>
      </c>
      <c r="C76" s="34">
        <f>'Loan Tape'!F77</f>
        <v/>
      </c>
      <c r="D76" s="35">
        <f>IFERROR('Loan Tape'!E77/'Loan Tape'!C77,0)</f>
        <v/>
      </c>
      <c r="E76" s="35">
        <f>IFERROR(
        'Loan Tape'!D77/
        ('Loan Tape'!B77*
        (1-IF(AND('Control Panel'!$B$15="YES",'Loan Tape'!W77&lt;&gt;"Full"),0.05,0))),
    0)</f>
        <v/>
      </c>
      <c r="F76" s="35">
        <f>'Control Panel'!$B$13*D76+'Control Panel'!$B$14*E76</f>
        <v/>
      </c>
      <c r="G76" s="36">
        <f>'Parameter Tables'!$B$5</f>
        <v/>
      </c>
      <c r="H76" s="37">
        <f>IFERROR(
        IF(F76&lt;=0.70,
            0.1+F76*1.2857,
            IF(F76&lt;=1.00,
                1+F76*2.5,
                IF(F76&lt;=1.50,
                    MIN(3.5+F76*1.5,5),
                    5
                )
            )
        ),
    1)</f>
        <v/>
      </c>
      <c r="I76" s="38">
        <f>1.00</f>
        <v/>
      </c>
      <c r="J76" s="37">
        <f>IFERROR(
        LET(
            income_mult,'Loan Tape'!D77/'Loan Tape'!O77,
            num_borr,'Loan Tape'!S77,
            seasoning,(DATE('Control Panel'!$B$10,1,1)-'Loan Tape'!G77)/365.25,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6" s="37">
        <f>IFERROR(
        IF('Loan Tape'!K77="BTL",
            LET(
                rental,'Loan Tape'!P77,
                int_cost,'Loan Tape'!D77*0.055,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6" s="37">
        <f>IFERROR(
        IF('Loan Tape'!U77="Second",1.5,
            IF('Loan Tape'!U77="Third+",1.7,1)
        ),
    1)</f>
        <v/>
      </c>
      <c r="M76" s="37">
        <f>IFERROR(
        IF(AND('Loan Tape'!V77="Cash-out",'Loan Tape'!U77="First"),1.2,1),
    1)</f>
        <v/>
      </c>
      <c r="N76" s="37">
        <f>IFERROR(
        LET(
            arrears,'Loan Tape'!Q77,
            monthly_pmt,'Loan Tape'!D77*'Loan Tape'!I77/12,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6" s="37">
        <f>IFERROR(
        IF('Loan Tape'!Q77=0,
            LET(
                seasoning,(DATE('Control Panel'!$B$10,1,1)-'Loan Tape'!G77)/365.25,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6" s="37">
        <f>IFERROR(
        IF(AND('Loan Tape'!T77="Yes",
            (DATE('Control Panel'!$B$10,1,1)-'Loan Tape'!G77)/365.25&lt;=1.5),
            1.10,1),
    1)</f>
        <v/>
      </c>
      <c r="Q76" s="37">
        <f>IFERROR(IF('Loan Tape'!AE77="Yes",1.35,1),1)</f>
        <v/>
      </c>
      <c r="R76" s="37">
        <f>IFERROR(
        IF('Loan Tape'!AD77="Yes",
            LET(
                seasoning,(DATE('Control Panel'!$B$10,1,1)-'Loan Tape'!G77)/365.25*12,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6" s="37">
        <f>IFERROR(IF('Loan Tape'!AF77="Yes",1.10,1),1)</f>
        <v/>
      </c>
      <c r="T76" s="37">
        <f>IFERROR(
        IF('Loan Tape'!J77="Interest Only",
            LET(
                yrs_to_mat,('Loan Tape'!H77-DATE('Control Panel'!$B$10,1,1))/365.25,
                is_btl,'Loan Tape'!K77="BTL",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6" s="37">
        <f>1.00</f>
        <v/>
      </c>
      <c r="V76" s="37">
        <f>IFERROR(IF('Loan Tape'!AG77="Yes",1.85,1),1)</f>
        <v/>
      </c>
      <c r="W76" s="37">
        <f>IFERROR(IF('Loan Tape'!R77="Self-Employed",1.15,1),1)</f>
        <v/>
      </c>
      <c r="X76" s="37">
        <f>IFERROR(
        LET(
            ccj_count,'Loan Tape'!X77,
            ccj_date,'Loan Tape'!Y77,
            ccj_value,'Loan Tape'!Z77,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6" s="37">
        <f>IFERROR(
        IF('Loan Tape'!AH77="Yes",
            LET(
                months_since,(DATE('Control Panel'!$B$10,1,1)-'Loan Tape'!AI77)/30.44,
                IF(months_since&lt;=12,2.0,
                    IF(months_since&lt;=24,1.5,
                        IF(months_since&lt;=36,1.2,1)
                    )
                )
            ),
        1),
    1)</f>
        <v/>
      </c>
      <c r="Z76" s="39">
        <f>IFERROR(
        IF(N76&gt;=100,1,
            G76*H76*I76*J76*K76*L76*M76*N76*O76*P76*Q76*R76*S76*T76*U76*V76*W76*X76*Y76
        ),
    0)</f>
        <v/>
      </c>
    </row>
    <row r="77">
      <c r="A77" s="32">
        <f>'Loan Tape'!A78</f>
        <v/>
      </c>
      <c r="B77" s="33">
        <f>'Loan Tape'!D78</f>
        <v/>
      </c>
      <c r="C77" s="34">
        <f>'Loan Tape'!F78</f>
        <v/>
      </c>
      <c r="D77" s="35">
        <f>IFERROR('Loan Tape'!E78/'Loan Tape'!C78,0)</f>
        <v/>
      </c>
      <c r="E77" s="35">
        <f>IFERROR(
        'Loan Tape'!D78/
        ('Loan Tape'!B78*
        (1-IF(AND('Control Panel'!$B$15="YES",'Loan Tape'!W78&lt;&gt;"Full"),0.05,0))),
    0)</f>
        <v/>
      </c>
      <c r="F77" s="35">
        <f>'Control Panel'!$B$13*D77+'Control Panel'!$B$14*E77</f>
        <v/>
      </c>
      <c r="G77" s="36">
        <f>'Parameter Tables'!$B$5</f>
        <v/>
      </c>
      <c r="H77" s="37">
        <f>IFERROR(
        IF(F77&lt;=0.70,
            0.1+F77*1.2857,
            IF(F77&lt;=1.00,
                1+F77*2.5,
                IF(F77&lt;=1.50,
                    MIN(3.5+F77*1.5,5),
                    5
                )
            )
        ),
    1)</f>
        <v/>
      </c>
      <c r="I77" s="38">
        <f>1.00</f>
        <v/>
      </c>
      <c r="J77" s="37">
        <f>IFERROR(
        LET(
            income_mult,'Loan Tape'!D78/'Loan Tape'!O78,
            num_borr,'Loan Tape'!S78,
            seasoning,(DATE('Control Panel'!$B$10,1,1)-'Loan Tape'!G78)/365.25,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7" s="37">
        <f>IFERROR(
        IF('Loan Tape'!K78="BTL",
            LET(
                rental,'Loan Tape'!P78,
                int_cost,'Loan Tape'!D78*0.055,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7" s="37">
        <f>IFERROR(
        IF('Loan Tape'!U78="Second",1.5,
            IF('Loan Tape'!U78="Third+",1.7,1)
        ),
    1)</f>
        <v/>
      </c>
      <c r="M77" s="37">
        <f>IFERROR(
        IF(AND('Loan Tape'!V78="Cash-out",'Loan Tape'!U78="First"),1.2,1),
    1)</f>
        <v/>
      </c>
      <c r="N77" s="37">
        <f>IFERROR(
        LET(
            arrears,'Loan Tape'!Q78,
            monthly_pmt,'Loan Tape'!D78*'Loan Tape'!I78/12,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7" s="37">
        <f>IFERROR(
        IF('Loan Tape'!Q78=0,
            LET(
                seasoning,(DATE('Control Panel'!$B$10,1,1)-'Loan Tape'!G78)/365.25,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7" s="37">
        <f>IFERROR(
        IF(AND('Loan Tape'!T78="Yes",
            (DATE('Control Panel'!$B$10,1,1)-'Loan Tape'!G78)/365.25&lt;=1.5),
            1.10,1),
    1)</f>
        <v/>
      </c>
      <c r="Q77" s="37">
        <f>IFERROR(IF('Loan Tape'!AE78="Yes",1.35,1),1)</f>
        <v/>
      </c>
      <c r="R77" s="37">
        <f>IFERROR(
        IF('Loan Tape'!AD78="Yes",
            LET(
                seasoning,(DATE('Control Panel'!$B$10,1,1)-'Loan Tape'!G78)/365.25*12,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7" s="37">
        <f>IFERROR(IF('Loan Tape'!AF78="Yes",1.10,1),1)</f>
        <v/>
      </c>
      <c r="T77" s="37">
        <f>IFERROR(
        IF('Loan Tape'!J78="Interest Only",
            LET(
                yrs_to_mat,('Loan Tape'!H78-DATE('Control Panel'!$B$10,1,1))/365.25,
                is_btl,'Loan Tape'!K78="BTL",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7" s="37">
        <f>1.00</f>
        <v/>
      </c>
      <c r="V77" s="37">
        <f>IFERROR(IF('Loan Tape'!AG78="Yes",1.85,1),1)</f>
        <v/>
      </c>
      <c r="W77" s="37">
        <f>IFERROR(IF('Loan Tape'!R78="Self-Employed",1.15,1),1)</f>
        <v/>
      </c>
      <c r="X77" s="37">
        <f>IFERROR(
        LET(
            ccj_count,'Loan Tape'!X78,
            ccj_date,'Loan Tape'!Y78,
            ccj_value,'Loan Tape'!Z78,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7" s="37">
        <f>IFERROR(
        IF('Loan Tape'!AH78="Yes",
            LET(
                months_since,(DATE('Control Panel'!$B$10,1,1)-'Loan Tape'!AI78)/30.44,
                IF(months_since&lt;=12,2.0,
                    IF(months_since&lt;=24,1.5,
                        IF(months_since&lt;=36,1.2,1)
                    )
                )
            ),
        1),
    1)</f>
        <v/>
      </c>
      <c r="Z77" s="39">
        <f>IFERROR(
        IF(N77&gt;=100,1,
            G77*H77*I77*J77*K77*L77*M77*N77*O77*P77*Q77*R77*S77*T77*U77*V77*W77*X77*Y77
        ),
    0)</f>
        <v/>
      </c>
    </row>
    <row r="78">
      <c r="A78" s="32">
        <f>'Loan Tape'!A79</f>
        <v/>
      </c>
      <c r="B78" s="33">
        <f>'Loan Tape'!D79</f>
        <v/>
      </c>
      <c r="C78" s="34">
        <f>'Loan Tape'!F79</f>
        <v/>
      </c>
      <c r="D78" s="35">
        <f>IFERROR('Loan Tape'!E79/'Loan Tape'!C79,0)</f>
        <v/>
      </c>
      <c r="E78" s="35">
        <f>IFERROR(
        'Loan Tape'!D79/
        ('Loan Tape'!B79*
        (1-IF(AND('Control Panel'!$B$15="YES",'Loan Tape'!W79&lt;&gt;"Full"),0.05,0))),
    0)</f>
        <v/>
      </c>
      <c r="F78" s="35">
        <f>'Control Panel'!$B$13*D78+'Control Panel'!$B$14*E78</f>
        <v/>
      </c>
      <c r="G78" s="36">
        <f>'Parameter Tables'!$B$5</f>
        <v/>
      </c>
      <c r="H78" s="37">
        <f>IFERROR(
        IF(F78&lt;=0.70,
            0.1+F78*1.2857,
            IF(F78&lt;=1.00,
                1+F78*2.5,
                IF(F78&lt;=1.50,
                    MIN(3.5+F78*1.5,5),
                    5
                )
            )
        ),
    1)</f>
        <v/>
      </c>
      <c r="I78" s="38">
        <f>1.00</f>
        <v/>
      </c>
      <c r="J78" s="37">
        <f>IFERROR(
        LET(
            income_mult,'Loan Tape'!D79/'Loan Tape'!O79,
            num_borr,'Loan Tape'!S79,
            seasoning,(DATE('Control Panel'!$B$10,1,1)-'Loan Tape'!G79)/365.25,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8" s="37">
        <f>IFERROR(
        IF('Loan Tape'!K79="BTL",
            LET(
                rental,'Loan Tape'!P79,
                int_cost,'Loan Tape'!D79*0.055,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8" s="37">
        <f>IFERROR(
        IF('Loan Tape'!U79="Second",1.5,
            IF('Loan Tape'!U79="Third+",1.7,1)
        ),
    1)</f>
        <v/>
      </c>
      <c r="M78" s="37">
        <f>IFERROR(
        IF(AND('Loan Tape'!V79="Cash-out",'Loan Tape'!U79="First"),1.2,1),
    1)</f>
        <v/>
      </c>
      <c r="N78" s="37">
        <f>IFERROR(
        LET(
            arrears,'Loan Tape'!Q79,
            monthly_pmt,'Loan Tape'!D79*'Loan Tape'!I79/12,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8" s="37">
        <f>IFERROR(
        IF('Loan Tape'!Q79=0,
            LET(
                seasoning,(DATE('Control Panel'!$B$10,1,1)-'Loan Tape'!G79)/365.25,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8" s="37">
        <f>IFERROR(
        IF(AND('Loan Tape'!T79="Yes",
            (DATE('Control Panel'!$B$10,1,1)-'Loan Tape'!G79)/365.25&lt;=1.5),
            1.10,1),
    1)</f>
        <v/>
      </c>
      <c r="Q78" s="37">
        <f>IFERROR(IF('Loan Tape'!AE79="Yes",1.35,1),1)</f>
        <v/>
      </c>
      <c r="R78" s="37">
        <f>IFERROR(
        IF('Loan Tape'!AD79="Yes",
            LET(
                seasoning,(DATE('Control Panel'!$B$10,1,1)-'Loan Tape'!G79)/365.25*12,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8" s="37">
        <f>IFERROR(IF('Loan Tape'!AF79="Yes",1.10,1),1)</f>
        <v/>
      </c>
      <c r="T78" s="37">
        <f>IFERROR(
        IF('Loan Tape'!J79="Interest Only",
            LET(
                yrs_to_mat,('Loan Tape'!H79-DATE('Control Panel'!$B$10,1,1))/365.25,
                is_btl,'Loan Tape'!K79="BTL",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8" s="37">
        <f>1.00</f>
        <v/>
      </c>
      <c r="V78" s="37">
        <f>IFERROR(IF('Loan Tape'!AG79="Yes",1.85,1),1)</f>
        <v/>
      </c>
      <c r="W78" s="37">
        <f>IFERROR(IF('Loan Tape'!R79="Self-Employed",1.15,1),1)</f>
        <v/>
      </c>
      <c r="X78" s="37">
        <f>IFERROR(
        LET(
            ccj_count,'Loan Tape'!X79,
            ccj_date,'Loan Tape'!Y79,
            ccj_value,'Loan Tape'!Z79,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8" s="37">
        <f>IFERROR(
        IF('Loan Tape'!AH79="Yes",
            LET(
                months_since,(DATE('Control Panel'!$B$10,1,1)-'Loan Tape'!AI79)/30.44,
                IF(months_since&lt;=12,2.0,
                    IF(months_since&lt;=24,1.5,
                        IF(months_since&lt;=36,1.2,1)
                    )
                )
            ),
        1),
    1)</f>
        <v/>
      </c>
      <c r="Z78" s="39">
        <f>IFERROR(
        IF(N78&gt;=100,1,
            G78*H78*I78*J78*K78*L78*M78*N78*O78*P78*Q78*R78*S78*T78*U78*V78*W78*X78*Y78
        ),
    0)</f>
        <v/>
      </c>
    </row>
    <row r="79">
      <c r="A79" s="32">
        <f>'Loan Tape'!A80</f>
        <v/>
      </c>
      <c r="B79" s="33">
        <f>'Loan Tape'!D80</f>
        <v/>
      </c>
      <c r="C79" s="34">
        <f>'Loan Tape'!F80</f>
        <v/>
      </c>
      <c r="D79" s="35">
        <f>IFERROR('Loan Tape'!E80/'Loan Tape'!C80,0)</f>
        <v/>
      </c>
      <c r="E79" s="35">
        <f>IFERROR(
        'Loan Tape'!D80/
        ('Loan Tape'!B80*
        (1-IF(AND('Control Panel'!$B$15="YES",'Loan Tape'!W80&lt;&gt;"Full"),0.05,0))),
    0)</f>
        <v/>
      </c>
      <c r="F79" s="35">
        <f>'Control Panel'!$B$13*D79+'Control Panel'!$B$14*E79</f>
        <v/>
      </c>
      <c r="G79" s="36">
        <f>'Parameter Tables'!$B$5</f>
        <v/>
      </c>
      <c r="H79" s="37">
        <f>IFERROR(
        IF(F79&lt;=0.70,
            0.1+F79*1.2857,
            IF(F79&lt;=1.00,
                1+F79*2.5,
                IF(F79&lt;=1.50,
                    MIN(3.5+F79*1.5,5),
                    5
                )
            )
        ),
    1)</f>
        <v/>
      </c>
      <c r="I79" s="38">
        <f>1.00</f>
        <v/>
      </c>
      <c r="J79" s="37">
        <f>IFERROR(
        LET(
            income_mult,'Loan Tape'!D80/'Loan Tape'!O80,
            num_borr,'Loan Tape'!S80,
            seasoning,(DATE('Control Panel'!$B$10,1,1)-'Loan Tape'!G80)/365.25,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79" s="37">
        <f>IFERROR(
        IF('Loan Tape'!K80="BTL",
            LET(
                rental,'Loan Tape'!P80,
                int_cost,'Loan Tape'!D80*0.055,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79" s="37">
        <f>IFERROR(
        IF('Loan Tape'!U80="Second",1.5,
            IF('Loan Tape'!U80="Third+",1.7,1)
        ),
    1)</f>
        <v/>
      </c>
      <c r="M79" s="37">
        <f>IFERROR(
        IF(AND('Loan Tape'!V80="Cash-out",'Loan Tape'!U80="First"),1.2,1),
    1)</f>
        <v/>
      </c>
      <c r="N79" s="37">
        <f>IFERROR(
        LET(
            arrears,'Loan Tape'!Q80,
            monthly_pmt,'Loan Tape'!D80*'Loan Tape'!I80/12,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79" s="37">
        <f>IFERROR(
        IF('Loan Tape'!Q80=0,
            LET(
                seasoning,(DATE('Control Panel'!$B$10,1,1)-'Loan Tape'!G80)/365.25,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79" s="37">
        <f>IFERROR(
        IF(AND('Loan Tape'!T80="Yes",
            (DATE('Control Panel'!$B$10,1,1)-'Loan Tape'!G80)/365.25&lt;=1.5),
            1.10,1),
    1)</f>
        <v/>
      </c>
      <c r="Q79" s="37">
        <f>IFERROR(IF('Loan Tape'!AE80="Yes",1.35,1),1)</f>
        <v/>
      </c>
      <c r="R79" s="37">
        <f>IFERROR(
        IF('Loan Tape'!AD80="Yes",
            LET(
                seasoning,(DATE('Control Panel'!$B$10,1,1)-'Loan Tape'!G80)/365.25*12,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79" s="37">
        <f>IFERROR(IF('Loan Tape'!AF80="Yes",1.10,1),1)</f>
        <v/>
      </c>
      <c r="T79" s="37">
        <f>IFERROR(
        IF('Loan Tape'!J80="Interest Only",
            LET(
                yrs_to_mat,('Loan Tape'!H80-DATE('Control Panel'!$B$10,1,1))/365.25,
                is_btl,'Loan Tape'!K80="BTL",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79" s="37">
        <f>1.00</f>
        <v/>
      </c>
      <c r="V79" s="37">
        <f>IFERROR(IF('Loan Tape'!AG80="Yes",1.85,1),1)</f>
        <v/>
      </c>
      <c r="W79" s="37">
        <f>IFERROR(IF('Loan Tape'!R80="Self-Employed",1.15,1),1)</f>
        <v/>
      </c>
      <c r="X79" s="37">
        <f>IFERROR(
        LET(
            ccj_count,'Loan Tape'!X80,
            ccj_date,'Loan Tape'!Y80,
            ccj_value,'Loan Tape'!Z80,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79" s="37">
        <f>IFERROR(
        IF('Loan Tape'!AH80="Yes",
            LET(
                months_since,(DATE('Control Panel'!$B$10,1,1)-'Loan Tape'!AI80)/30.44,
                IF(months_since&lt;=12,2.0,
                    IF(months_since&lt;=24,1.5,
                        IF(months_since&lt;=36,1.2,1)
                    )
                )
            ),
        1),
    1)</f>
        <v/>
      </c>
      <c r="Z79" s="39">
        <f>IFERROR(
        IF(N79&gt;=100,1,
            G79*H79*I79*J79*K79*L79*M79*N79*O79*P79*Q79*R79*S79*T79*U79*V79*W79*X79*Y79
        ),
    0)</f>
        <v/>
      </c>
    </row>
    <row r="80">
      <c r="A80" s="32">
        <f>'Loan Tape'!A81</f>
        <v/>
      </c>
      <c r="B80" s="33">
        <f>'Loan Tape'!D81</f>
        <v/>
      </c>
      <c r="C80" s="34">
        <f>'Loan Tape'!F81</f>
        <v/>
      </c>
      <c r="D80" s="35">
        <f>IFERROR('Loan Tape'!E81/'Loan Tape'!C81,0)</f>
        <v/>
      </c>
      <c r="E80" s="35">
        <f>IFERROR(
        'Loan Tape'!D81/
        ('Loan Tape'!B81*
        (1-IF(AND('Control Panel'!$B$15="YES",'Loan Tape'!W81&lt;&gt;"Full"),0.05,0))),
    0)</f>
        <v/>
      </c>
      <c r="F80" s="35">
        <f>'Control Panel'!$B$13*D80+'Control Panel'!$B$14*E80</f>
        <v/>
      </c>
      <c r="G80" s="36">
        <f>'Parameter Tables'!$B$5</f>
        <v/>
      </c>
      <c r="H80" s="37">
        <f>IFERROR(
        IF(F80&lt;=0.70,
            0.1+F80*1.2857,
            IF(F80&lt;=1.00,
                1+F80*2.5,
                IF(F80&lt;=1.50,
                    MIN(3.5+F80*1.5,5),
                    5
                )
            )
        ),
    1)</f>
        <v/>
      </c>
      <c r="I80" s="38">
        <f>1.00</f>
        <v/>
      </c>
      <c r="J80" s="37">
        <f>IFERROR(
        LET(
            income_mult,'Loan Tape'!D81/'Loan Tape'!O81,
            num_borr,'Loan Tape'!S81,
            seasoning,(DATE('Control Panel'!$B$10,1,1)-'Loan Tape'!G81)/365.25,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0" s="37">
        <f>IFERROR(
        IF('Loan Tape'!K81="BTL",
            LET(
                rental,'Loan Tape'!P81,
                int_cost,'Loan Tape'!D81*0.055,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0" s="37">
        <f>IFERROR(
        IF('Loan Tape'!U81="Second",1.5,
            IF('Loan Tape'!U81="Third+",1.7,1)
        ),
    1)</f>
        <v/>
      </c>
      <c r="M80" s="37">
        <f>IFERROR(
        IF(AND('Loan Tape'!V81="Cash-out",'Loan Tape'!U81="First"),1.2,1),
    1)</f>
        <v/>
      </c>
      <c r="N80" s="37">
        <f>IFERROR(
        LET(
            arrears,'Loan Tape'!Q81,
            monthly_pmt,'Loan Tape'!D81*'Loan Tape'!I81/12,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0" s="37">
        <f>IFERROR(
        IF('Loan Tape'!Q81=0,
            LET(
                seasoning,(DATE('Control Panel'!$B$10,1,1)-'Loan Tape'!G81)/365.25,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0" s="37">
        <f>IFERROR(
        IF(AND('Loan Tape'!T81="Yes",
            (DATE('Control Panel'!$B$10,1,1)-'Loan Tape'!G81)/365.25&lt;=1.5),
            1.10,1),
    1)</f>
        <v/>
      </c>
      <c r="Q80" s="37">
        <f>IFERROR(IF('Loan Tape'!AE81="Yes",1.35,1),1)</f>
        <v/>
      </c>
      <c r="R80" s="37">
        <f>IFERROR(
        IF('Loan Tape'!AD81="Yes",
            LET(
                seasoning,(DATE('Control Panel'!$B$10,1,1)-'Loan Tape'!G81)/365.25*12,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0" s="37">
        <f>IFERROR(IF('Loan Tape'!AF81="Yes",1.10,1),1)</f>
        <v/>
      </c>
      <c r="T80" s="37">
        <f>IFERROR(
        IF('Loan Tape'!J81="Interest Only",
            LET(
                yrs_to_mat,('Loan Tape'!H81-DATE('Control Panel'!$B$10,1,1))/365.25,
                is_btl,'Loan Tape'!K81="BTL",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0" s="37">
        <f>1.00</f>
        <v/>
      </c>
      <c r="V80" s="37">
        <f>IFERROR(IF('Loan Tape'!AG81="Yes",1.85,1),1)</f>
        <v/>
      </c>
      <c r="W80" s="37">
        <f>IFERROR(IF('Loan Tape'!R81="Self-Employed",1.15,1),1)</f>
        <v/>
      </c>
      <c r="X80" s="37">
        <f>IFERROR(
        LET(
            ccj_count,'Loan Tape'!X81,
            ccj_date,'Loan Tape'!Y81,
            ccj_value,'Loan Tape'!Z81,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0" s="37">
        <f>IFERROR(
        IF('Loan Tape'!AH81="Yes",
            LET(
                months_since,(DATE('Control Panel'!$B$10,1,1)-'Loan Tape'!AI81)/30.44,
                IF(months_since&lt;=12,2.0,
                    IF(months_since&lt;=24,1.5,
                        IF(months_since&lt;=36,1.2,1)
                    )
                )
            ),
        1),
    1)</f>
        <v/>
      </c>
      <c r="Z80" s="39">
        <f>IFERROR(
        IF(N80&gt;=100,1,
            G80*H80*I80*J80*K80*L80*M80*N80*O80*P80*Q80*R80*S80*T80*U80*V80*W80*X80*Y80
        ),
    0)</f>
        <v/>
      </c>
    </row>
    <row r="81">
      <c r="A81" s="32">
        <f>'Loan Tape'!A82</f>
        <v/>
      </c>
      <c r="B81" s="33">
        <f>'Loan Tape'!D82</f>
        <v/>
      </c>
      <c r="C81" s="34">
        <f>'Loan Tape'!F82</f>
        <v/>
      </c>
      <c r="D81" s="35">
        <f>IFERROR('Loan Tape'!E82/'Loan Tape'!C82,0)</f>
        <v/>
      </c>
      <c r="E81" s="35">
        <f>IFERROR(
        'Loan Tape'!D82/
        ('Loan Tape'!B82*
        (1-IF(AND('Control Panel'!$B$15="YES",'Loan Tape'!W82&lt;&gt;"Full"),0.05,0))),
    0)</f>
        <v/>
      </c>
      <c r="F81" s="35">
        <f>'Control Panel'!$B$13*D81+'Control Panel'!$B$14*E81</f>
        <v/>
      </c>
      <c r="G81" s="36">
        <f>'Parameter Tables'!$B$5</f>
        <v/>
      </c>
      <c r="H81" s="37">
        <f>IFERROR(
        IF(F81&lt;=0.70,
            0.1+F81*1.2857,
            IF(F81&lt;=1.00,
                1+F81*2.5,
                IF(F81&lt;=1.50,
                    MIN(3.5+F81*1.5,5),
                    5
                )
            )
        ),
    1)</f>
        <v/>
      </c>
      <c r="I81" s="38">
        <f>1.00</f>
        <v/>
      </c>
      <c r="J81" s="37">
        <f>IFERROR(
        LET(
            income_mult,'Loan Tape'!D82/'Loan Tape'!O82,
            num_borr,'Loan Tape'!S82,
            seasoning,(DATE('Control Panel'!$B$10,1,1)-'Loan Tape'!G82)/365.25,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1" s="37">
        <f>IFERROR(
        IF('Loan Tape'!K82="BTL",
            LET(
                rental,'Loan Tape'!P82,
                int_cost,'Loan Tape'!D82*0.055,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1" s="37">
        <f>IFERROR(
        IF('Loan Tape'!U82="Second",1.5,
            IF('Loan Tape'!U82="Third+",1.7,1)
        ),
    1)</f>
        <v/>
      </c>
      <c r="M81" s="37">
        <f>IFERROR(
        IF(AND('Loan Tape'!V82="Cash-out",'Loan Tape'!U82="First"),1.2,1),
    1)</f>
        <v/>
      </c>
      <c r="N81" s="37">
        <f>IFERROR(
        LET(
            arrears,'Loan Tape'!Q82,
            monthly_pmt,'Loan Tape'!D82*'Loan Tape'!I82/12,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1" s="37">
        <f>IFERROR(
        IF('Loan Tape'!Q82=0,
            LET(
                seasoning,(DATE('Control Panel'!$B$10,1,1)-'Loan Tape'!G82)/365.25,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1" s="37">
        <f>IFERROR(
        IF(AND('Loan Tape'!T82="Yes",
            (DATE('Control Panel'!$B$10,1,1)-'Loan Tape'!G82)/365.25&lt;=1.5),
            1.10,1),
    1)</f>
        <v/>
      </c>
      <c r="Q81" s="37">
        <f>IFERROR(IF('Loan Tape'!AE82="Yes",1.35,1),1)</f>
        <v/>
      </c>
      <c r="R81" s="37">
        <f>IFERROR(
        IF('Loan Tape'!AD82="Yes",
            LET(
                seasoning,(DATE('Control Panel'!$B$10,1,1)-'Loan Tape'!G82)/365.25*12,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1" s="37">
        <f>IFERROR(IF('Loan Tape'!AF82="Yes",1.10,1),1)</f>
        <v/>
      </c>
      <c r="T81" s="37">
        <f>IFERROR(
        IF('Loan Tape'!J82="Interest Only",
            LET(
                yrs_to_mat,('Loan Tape'!H82-DATE('Control Panel'!$B$10,1,1))/365.25,
                is_btl,'Loan Tape'!K82="BTL",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1" s="37">
        <f>1.00</f>
        <v/>
      </c>
      <c r="V81" s="37">
        <f>IFERROR(IF('Loan Tape'!AG82="Yes",1.85,1),1)</f>
        <v/>
      </c>
      <c r="W81" s="37">
        <f>IFERROR(IF('Loan Tape'!R82="Self-Employed",1.15,1),1)</f>
        <v/>
      </c>
      <c r="X81" s="37">
        <f>IFERROR(
        LET(
            ccj_count,'Loan Tape'!X82,
            ccj_date,'Loan Tape'!Y82,
            ccj_value,'Loan Tape'!Z82,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1" s="37">
        <f>IFERROR(
        IF('Loan Tape'!AH82="Yes",
            LET(
                months_since,(DATE('Control Panel'!$B$10,1,1)-'Loan Tape'!AI82)/30.44,
                IF(months_since&lt;=12,2.0,
                    IF(months_since&lt;=24,1.5,
                        IF(months_since&lt;=36,1.2,1)
                    )
                )
            ),
        1),
    1)</f>
        <v/>
      </c>
      <c r="Z81" s="39">
        <f>IFERROR(
        IF(N81&gt;=100,1,
            G81*H81*I81*J81*K81*L81*M81*N81*O81*P81*Q81*R81*S81*T81*U81*V81*W81*X81*Y81
        ),
    0)</f>
        <v/>
      </c>
    </row>
    <row r="82">
      <c r="A82" s="32">
        <f>'Loan Tape'!A83</f>
        <v/>
      </c>
      <c r="B82" s="33">
        <f>'Loan Tape'!D83</f>
        <v/>
      </c>
      <c r="C82" s="34">
        <f>'Loan Tape'!F83</f>
        <v/>
      </c>
      <c r="D82" s="35">
        <f>IFERROR('Loan Tape'!E83/'Loan Tape'!C83,0)</f>
        <v/>
      </c>
      <c r="E82" s="35">
        <f>IFERROR(
        'Loan Tape'!D83/
        ('Loan Tape'!B83*
        (1-IF(AND('Control Panel'!$B$15="YES",'Loan Tape'!W83&lt;&gt;"Full"),0.05,0))),
    0)</f>
        <v/>
      </c>
      <c r="F82" s="35">
        <f>'Control Panel'!$B$13*D82+'Control Panel'!$B$14*E82</f>
        <v/>
      </c>
      <c r="G82" s="36">
        <f>'Parameter Tables'!$B$5</f>
        <v/>
      </c>
      <c r="H82" s="37">
        <f>IFERROR(
        IF(F82&lt;=0.70,
            0.1+F82*1.2857,
            IF(F82&lt;=1.00,
                1+F82*2.5,
                IF(F82&lt;=1.50,
                    MIN(3.5+F82*1.5,5),
                    5
                )
            )
        ),
    1)</f>
        <v/>
      </c>
      <c r="I82" s="38">
        <f>1.00</f>
        <v/>
      </c>
      <c r="J82" s="37">
        <f>IFERROR(
        LET(
            income_mult,'Loan Tape'!D83/'Loan Tape'!O83,
            num_borr,'Loan Tape'!S83,
            seasoning,(DATE('Control Panel'!$B$10,1,1)-'Loan Tape'!G83)/365.25,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2" s="37">
        <f>IFERROR(
        IF('Loan Tape'!K83="BTL",
            LET(
                rental,'Loan Tape'!P83,
                int_cost,'Loan Tape'!D83*0.055,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2" s="37">
        <f>IFERROR(
        IF('Loan Tape'!U83="Second",1.5,
            IF('Loan Tape'!U83="Third+",1.7,1)
        ),
    1)</f>
        <v/>
      </c>
      <c r="M82" s="37">
        <f>IFERROR(
        IF(AND('Loan Tape'!V83="Cash-out",'Loan Tape'!U83="First"),1.2,1),
    1)</f>
        <v/>
      </c>
      <c r="N82" s="37">
        <f>IFERROR(
        LET(
            arrears,'Loan Tape'!Q83,
            monthly_pmt,'Loan Tape'!D83*'Loan Tape'!I83/12,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2" s="37">
        <f>IFERROR(
        IF('Loan Tape'!Q83=0,
            LET(
                seasoning,(DATE('Control Panel'!$B$10,1,1)-'Loan Tape'!G83)/365.25,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2" s="37">
        <f>IFERROR(
        IF(AND('Loan Tape'!T83="Yes",
            (DATE('Control Panel'!$B$10,1,1)-'Loan Tape'!G83)/365.25&lt;=1.5),
            1.10,1),
    1)</f>
        <v/>
      </c>
      <c r="Q82" s="37">
        <f>IFERROR(IF('Loan Tape'!AE83="Yes",1.35,1),1)</f>
        <v/>
      </c>
      <c r="R82" s="37">
        <f>IFERROR(
        IF('Loan Tape'!AD83="Yes",
            LET(
                seasoning,(DATE('Control Panel'!$B$10,1,1)-'Loan Tape'!G83)/365.25*12,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2" s="37">
        <f>IFERROR(IF('Loan Tape'!AF83="Yes",1.10,1),1)</f>
        <v/>
      </c>
      <c r="T82" s="37">
        <f>IFERROR(
        IF('Loan Tape'!J83="Interest Only",
            LET(
                yrs_to_mat,('Loan Tape'!H83-DATE('Control Panel'!$B$10,1,1))/365.25,
                is_btl,'Loan Tape'!K83="BTL",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2" s="37">
        <f>1.00</f>
        <v/>
      </c>
      <c r="V82" s="37">
        <f>IFERROR(IF('Loan Tape'!AG83="Yes",1.85,1),1)</f>
        <v/>
      </c>
      <c r="W82" s="37">
        <f>IFERROR(IF('Loan Tape'!R83="Self-Employed",1.15,1),1)</f>
        <v/>
      </c>
      <c r="X82" s="37">
        <f>IFERROR(
        LET(
            ccj_count,'Loan Tape'!X83,
            ccj_date,'Loan Tape'!Y83,
            ccj_value,'Loan Tape'!Z83,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2" s="37">
        <f>IFERROR(
        IF('Loan Tape'!AH83="Yes",
            LET(
                months_since,(DATE('Control Panel'!$B$10,1,1)-'Loan Tape'!AI83)/30.44,
                IF(months_since&lt;=12,2.0,
                    IF(months_since&lt;=24,1.5,
                        IF(months_since&lt;=36,1.2,1)
                    )
                )
            ),
        1),
    1)</f>
        <v/>
      </c>
      <c r="Z82" s="39">
        <f>IFERROR(
        IF(N82&gt;=100,1,
            G82*H82*I82*J82*K82*L82*M82*N82*O82*P82*Q82*R82*S82*T82*U82*V82*W82*X82*Y82
        ),
    0)</f>
        <v/>
      </c>
    </row>
    <row r="83">
      <c r="A83" s="32">
        <f>'Loan Tape'!A84</f>
        <v/>
      </c>
      <c r="B83" s="33">
        <f>'Loan Tape'!D84</f>
        <v/>
      </c>
      <c r="C83" s="34">
        <f>'Loan Tape'!F84</f>
        <v/>
      </c>
      <c r="D83" s="35">
        <f>IFERROR('Loan Tape'!E84/'Loan Tape'!C84,0)</f>
        <v/>
      </c>
      <c r="E83" s="35">
        <f>IFERROR(
        'Loan Tape'!D84/
        ('Loan Tape'!B84*
        (1-IF(AND('Control Panel'!$B$15="YES",'Loan Tape'!W84&lt;&gt;"Full"),0.05,0))),
    0)</f>
        <v/>
      </c>
      <c r="F83" s="35">
        <f>'Control Panel'!$B$13*D83+'Control Panel'!$B$14*E83</f>
        <v/>
      </c>
      <c r="G83" s="36">
        <f>'Parameter Tables'!$B$5</f>
        <v/>
      </c>
      <c r="H83" s="37">
        <f>IFERROR(
        IF(F83&lt;=0.70,
            0.1+F83*1.2857,
            IF(F83&lt;=1.00,
                1+F83*2.5,
                IF(F83&lt;=1.50,
                    MIN(3.5+F83*1.5,5),
                    5
                )
            )
        ),
    1)</f>
        <v/>
      </c>
      <c r="I83" s="38">
        <f>1.00</f>
        <v/>
      </c>
      <c r="J83" s="37">
        <f>IFERROR(
        LET(
            income_mult,'Loan Tape'!D84/'Loan Tape'!O84,
            num_borr,'Loan Tape'!S84,
            seasoning,(DATE('Control Panel'!$B$10,1,1)-'Loan Tape'!G84)/365.25,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3" s="37">
        <f>IFERROR(
        IF('Loan Tape'!K84="BTL",
            LET(
                rental,'Loan Tape'!P84,
                int_cost,'Loan Tape'!D84*0.055,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3" s="37">
        <f>IFERROR(
        IF('Loan Tape'!U84="Second",1.5,
            IF('Loan Tape'!U84="Third+",1.7,1)
        ),
    1)</f>
        <v/>
      </c>
      <c r="M83" s="37">
        <f>IFERROR(
        IF(AND('Loan Tape'!V84="Cash-out",'Loan Tape'!U84="First"),1.2,1),
    1)</f>
        <v/>
      </c>
      <c r="N83" s="37">
        <f>IFERROR(
        LET(
            arrears,'Loan Tape'!Q84,
            monthly_pmt,'Loan Tape'!D84*'Loan Tape'!I84/12,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3" s="37">
        <f>IFERROR(
        IF('Loan Tape'!Q84=0,
            LET(
                seasoning,(DATE('Control Panel'!$B$10,1,1)-'Loan Tape'!G84)/365.25,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3" s="37">
        <f>IFERROR(
        IF(AND('Loan Tape'!T84="Yes",
            (DATE('Control Panel'!$B$10,1,1)-'Loan Tape'!G84)/365.25&lt;=1.5),
            1.10,1),
    1)</f>
        <v/>
      </c>
      <c r="Q83" s="37">
        <f>IFERROR(IF('Loan Tape'!AE84="Yes",1.35,1),1)</f>
        <v/>
      </c>
      <c r="R83" s="37">
        <f>IFERROR(
        IF('Loan Tape'!AD84="Yes",
            LET(
                seasoning,(DATE('Control Panel'!$B$10,1,1)-'Loan Tape'!G84)/365.25*12,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3" s="37">
        <f>IFERROR(IF('Loan Tape'!AF84="Yes",1.10,1),1)</f>
        <v/>
      </c>
      <c r="T83" s="37">
        <f>IFERROR(
        IF('Loan Tape'!J84="Interest Only",
            LET(
                yrs_to_mat,('Loan Tape'!H84-DATE('Control Panel'!$B$10,1,1))/365.25,
                is_btl,'Loan Tape'!K84="BTL",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3" s="37">
        <f>1.00</f>
        <v/>
      </c>
      <c r="V83" s="37">
        <f>IFERROR(IF('Loan Tape'!AG84="Yes",1.85,1),1)</f>
        <v/>
      </c>
      <c r="W83" s="37">
        <f>IFERROR(IF('Loan Tape'!R84="Self-Employed",1.15,1),1)</f>
        <v/>
      </c>
      <c r="X83" s="37">
        <f>IFERROR(
        LET(
            ccj_count,'Loan Tape'!X84,
            ccj_date,'Loan Tape'!Y84,
            ccj_value,'Loan Tape'!Z84,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3" s="37">
        <f>IFERROR(
        IF('Loan Tape'!AH84="Yes",
            LET(
                months_since,(DATE('Control Panel'!$B$10,1,1)-'Loan Tape'!AI84)/30.44,
                IF(months_since&lt;=12,2.0,
                    IF(months_since&lt;=24,1.5,
                        IF(months_since&lt;=36,1.2,1)
                    )
                )
            ),
        1),
    1)</f>
        <v/>
      </c>
      <c r="Z83" s="39">
        <f>IFERROR(
        IF(N83&gt;=100,1,
            G83*H83*I83*J83*K83*L83*M83*N83*O83*P83*Q83*R83*S83*T83*U83*V83*W83*X83*Y83
        ),
    0)</f>
        <v/>
      </c>
    </row>
    <row r="84">
      <c r="A84" s="32">
        <f>'Loan Tape'!A85</f>
        <v/>
      </c>
      <c r="B84" s="33">
        <f>'Loan Tape'!D85</f>
        <v/>
      </c>
      <c r="C84" s="34">
        <f>'Loan Tape'!F85</f>
        <v/>
      </c>
      <c r="D84" s="35">
        <f>IFERROR('Loan Tape'!E85/'Loan Tape'!C85,0)</f>
        <v/>
      </c>
      <c r="E84" s="35">
        <f>IFERROR(
        'Loan Tape'!D85/
        ('Loan Tape'!B85*
        (1-IF(AND('Control Panel'!$B$15="YES",'Loan Tape'!W85&lt;&gt;"Full"),0.05,0))),
    0)</f>
        <v/>
      </c>
      <c r="F84" s="35">
        <f>'Control Panel'!$B$13*D84+'Control Panel'!$B$14*E84</f>
        <v/>
      </c>
      <c r="G84" s="36">
        <f>'Parameter Tables'!$B$5</f>
        <v/>
      </c>
      <c r="H84" s="37">
        <f>IFERROR(
        IF(F84&lt;=0.70,
            0.1+F84*1.2857,
            IF(F84&lt;=1.00,
                1+F84*2.5,
                IF(F84&lt;=1.50,
                    MIN(3.5+F84*1.5,5),
                    5
                )
            )
        ),
    1)</f>
        <v/>
      </c>
      <c r="I84" s="38">
        <f>1.00</f>
        <v/>
      </c>
      <c r="J84" s="37">
        <f>IFERROR(
        LET(
            income_mult,'Loan Tape'!D85/'Loan Tape'!O85,
            num_borr,'Loan Tape'!S85,
            seasoning,(DATE('Control Panel'!$B$10,1,1)-'Loan Tape'!G85)/365.25,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4" s="37">
        <f>IFERROR(
        IF('Loan Tape'!K85="BTL",
            LET(
                rental,'Loan Tape'!P85,
                int_cost,'Loan Tape'!D85*0.055,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4" s="37">
        <f>IFERROR(
        IF('Loan Tape'!U85="Second",1.5,
            IF('Loan Tape'!U85="Third+",1.7,1)
        ),
    1)</f>
        <v/>
      </c>
      <c r="M84" s="37">
        <f>IFERROR(
        IF(AND('Loan Tape'!V85="Cash-out",'Loan Tape'!U85="First"),1.2,1),
    1)</f>
        <v/>
      </c>
      <c r="N84" s="37">
        <f>IFERROR(
        LET(
            arrears,'Loan Tape'!Q85,
            monthly_pmt,'Loan Tape'!D85*'Loan Tape'!I85/12,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4" s="37">
        <f>IFERROR(
        IF('Loan Tape'!Q85=0,
            LET(
                seasoning,(DATE('Control Panel'!$B$10,1,1)-'Loan Tape'!G85)/365.25,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4" s="37">
        <f>IFERROR(
        IF(AND('Loan Tape'!T85="Yes",
            (DATE('Control Panel'!$B$10,1,1)-'Loan Tape'!G85)/365.25&lt;=1.5),
            1.10,1),
    1)</f>
        <v/>
      </c>
      <c r="Q84" s="37">
        <f>IFERROR(IF('Loan Tape'!AE85="Yes",1.35,1),1)</f>
        <v/>
      </c>
      <c r="R84" s="37">
        <f>IFERROR(
        IF('Loan Tape'!AD85="Yes",
            LET(
                seasoning,(DATE('Control Panel'!$B$10,1,1)-'Loan Tape'!G85)/365.25*12,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4" s="37">
        <f>IFERROR(IF('Loan Tape'!AF85="Yes",1.10,1),1)</f>
        <v/>
      </c>
      <c r="T84" s="37">
        <f>IFERROR(
        IF('Loan Tape'!J85="Interest Only",
            LET(
                yrs_to_mat,('Loan Tape'!H85-DATE('Control Panel'!$B$10,1,1))/365.25,
                is_btl,'Loan Tape'!K85="BTL",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4" s="37">
        <f>1.00</f>
        <v/>
      </c>
      <c r="V84" s="37">
        <f>IFERROR(IF('Loan Tape'!AG85="Yes",1.85,1),1)</f>
        <v/>
      </c>
      <c r="W84" s="37">
        <f>IFERROR(IF('Loan Tape'!R85="Self-Employed",1.15,1),1)</f>
        <v/>
      </c>
      <c r="X84" s="37">
        <f>IFERROR(
        LET(
            ccj_count,'Loan Tape'!X85,
            ccj_date,'Loan Tape'!Y85,
            ccj_value,'Loan Tape'!Z85,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4" s="37">
        <f>IFERROR(
        IF('Loan Tape'!AH85="Yes",
            LET(
                months_since,(DATE('Control Panel'!$B$10,1,1)-'Loan Tape'!AI85)/30.44,
                IF(months_since&lt;=12,2.0,
                    IF(months_since&lt;=24,1.5,
                        IF(months_since&lt;=36,1.2,1)
                    )
                )
            ),
        1),
    1)</f>
        <v/>
      </c>
      <c r="Z84" s="39">
        <f>IFERROR(
        IF(N84&gt;=100,1,
            G84*H84*I84*J84*K84*L84*M84*N84*O84*P84*Q84*R84*S84*T84*U84*V84*W84*X84*Y84
        ),
    0)</f>
        <v/>
      </c>
    </row>
    <row r="85">
      <c r="A85" s="32">
        <f>'Loan Tape'!A86</f>
        <v/>
      </c>
      <c r="B85" s="33">
        <f>'Loan Tape'!D86</f>
        <v/>
      </c>
      <c r="C85" s="34">
        <f>'Loan Tape'!F86</f>
        <v/>
      </c>
      <c r="D85" s="35">
        <f>IFERROR('Loan Tape'!E86/'Loan Tape'!C86,0)</f>
        <v/>
      </c>
      <c r="E85" s="35">
        <f>IFERROR(
        'Loan Tape'!D86/
        ('Loan Tape'!B86*
        (1-IF(AND('Control Panel'!$B$15="YES",'Loan Tape'!W86&lt;&gt;"Full"),0.05,0))),
    0)</f>
        <v/>
      </c>
      <c r="F85" s="35">
        <f>'Control Panel'!$B$13*D85+'Control Panel'!$B$14*E85</f>
        <v/>
      </c>
      <c r="G85" s="36">
        <f>'Parameter Tables'!$B$5</f>
        <v/>
      </c>
      <c r="H85" s="37">
        <f>IFERROR(
        IF(F85&lt;=0.70,
            0.1+F85*1.2857,
            IF(F85&lt;=1.00,
                1+F85*2.5,
                IF(F85&lt;=1.50,
                    MIN(3.5+F85*1.5,5),
                    5
                )
            )
        ),
    1)</f>
        <v/>
      </c>
      <c r="I85" s="38">
        <f>1.00</f>
        <v/>
      </c>
      <c r="J85" s="37">
        <f>IFERROR(
        LET(
            income_mult,'Loan Tape'!D86/'Loan Tape'!O86,
            num_borr,'Loan Tape'!S86,
            seasoning,(DATE('Control Panel'!$B$10,1,1)-'Loan Tape'!G86)/365.25,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5" s="37">
        <f>IFERROR(
        IF('Loan Tape'!K86="BTL",
            LET(
                rental,'Loan Tape'!P86,
                int_cost,'Loan Tape'!D86*0.055,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5" s="37">
        <f>IFERROR(
        IF('Loan Tape'!U86="Second",1.5,
            IF('Loan Tape'!U86="Third+",1.7,1)
        ),
    1)</f>
        <v/>
      </c>
      <c r="M85" s="37">
        <f>IFERROR(
        IF(AND('Loan Tape'!V86="Cash-out",'Loan Tape'!U86="First"),1.2,1),
    1)</f>
        <v/>
      </c>
      <c r="N85" s="37">
        <f>IFERROR(
        LET(
            arrears,'Loan Tape'!Q86,
            monthly_pmt,'Loan Tape'!D86*'Loan Tape'!I86/12,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5" s="37">
        <f>IFERROR(
        IF('Loan Tape'!Q86=0,
            LET(
                seasoning,(DATE('Control Panel'!$B$10,1,1)-'Loan Tape'!G86)/365.25,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5" s="37">
        <f>IFERROR(
        IF(AND('Loan Tape'!T86="Yes",
            (DATE('Control Panel'!$B$10,1,1)-'Loan Tape'!G86)/365.25&lt;=1.5),
            1.10,1),
    1)</f>
        <v/>
      </c>
      <c r="Q85" s="37">
        <f>IFERROR(IF('Loan Tape'!AE86="Yes",1.35,1),1)</f>
        <v/>
      </c>
      <c r="R85" s="37">
        <f>IFERROR(
        IF('Loan Tape'!AD86="Yes",
            LET(
                seasoning,(DATE('Control Panel'!$B$10,1,1)-'Loan Tape'!G86)/365.25*12,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5" s="37">
        <f>IFERROR(IF('Loan Tape'!AF86="Yes",1.10,1),1)</f>
        <v/>
      </c>
      <c r="T85" s="37">
        <f>IFERROR(
        IF('Loan Tape'!J86="Interest Only",
            LET(
                yrs_to_mat,('Loan Tape'!H86-DATE('Control Panel'!$B$10,1,1))/365.25,
                is_btl,'Loan Tape'!K86="BTL",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5" s="37">
        <f>1.00</f>
        <v/>
      </c>
      <c r="V85" s="37">
        <f>IFERROR(IF('Loan Tape'!AG86="Yes",1.85,1),1)</f>
        <v/>
      </c>
      <c r="W85" s="37">
        <f>IFERROR(IF('Loan Tape'!R86="Self-Employed",1.15,1),1)</f>
        <v/>
      </c>
      <c r="X85" s="37">
        <f>IFERROR(
        LET(
            ccj_count,'Loan Tape'!X86,
            ccj_date,'Loan Tape'!Y86,
            ccj_value,'Loan Tape'!Z86,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5" s="37">
        <f>IFERROR(
        IF('Loan Tape'!AH86="Yes",
            LET(
                months_since,(DATE('Control Panel'!$B$10,1,1)-'Loan Tape'!AI86)/30.44,
                IF(months_since&lt;=12,2.0,
                    IF(months_since&lt;=24,1.5,
                        IF(months_since&lt;=36,1.2,1)
                    )
                )
            ),
        1),
    1)</f>
        <v/>
      </c>
      <c r="Z85" s="39">
        <f>IFERROR(
        IF(N85&gt;=100,1,
            G85*H85*I85*J85*K85*L85*M85*N85*O85*P85*Q85*R85*S85*T85*U85*V85*W85*X85*Y85
        ),
    0)</f>
        <v/>
      </c>
    </row>
    <row r="86">
      <c r="A86" s="32">
        <f>'Loan Tape'!A87</f>
        <v/>
      </c>
      <c r="B86" s="33">
        <f>'Loan Tape'!D87</f>
        <v/>
      </c>
      <c r="C86" s="34">
        <f>'Loan Tape'!F87</f>
        <v/>
      </c>
      <c r="D86" s="35">
        <f>IFERROR('Loan Tape'!E87/'Loan Tape'!C87,0)</f>
        <v/>
      </c>
      <c r="E86" s="35">
        <f>IFERROR(
        'Loan Tape'!D87/
        ('Loan Tape'!B87*
        (1-IF(AND('Control Panel'!$B$15="YES",'Loan Tape'!W87&lt;&gt;"Full"),0.05,0))),
    0)</f>
        <v/>
      </c>
      <c r="F86" s="35">
        <f>'Control Panel'!$B$13*D86+'Control Panel'!$B$14*E86</f>
        <v/>
      </c>
      <c r="G86" s="36">
        <f>'Parameter Tables'!$B$5</f>
        <v/>
      </c>
      <c r="H86" s="37">
        <f>IFERROR(
        IF(F86&lt;=0.70,
            0.1+F86*1.2857,
            IF(F86&lt;=1.00,
                1+F86*2.5,
                IF(F86&lt;=1.50,
                    MIN(3.5+F86*1.5,5),
                    5
                )
            )
        ),
    1)</f>
        <v/>
      </c>
      <c r="I86" s="38">
        <f>1.00</f>
        <v/>
      </c>
      <c r="J86" s="37">
        <f>IFERROR(
        LET(
            income_mult,'Loan Tape'!D87/'Loan Tape'!O87,
            num_borr,'Loan Tape'!S87,
            seasoning,(DATE('Control Panel'!$B$10,1,1)-'Loan Tape'!G87)/365.25,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6" s="37">
        <f>IFERROR(
        IF('Loan Tape'!K87="BTL",
            LET(
                rental,'Loan Tape'!P87,
                int_cost,'Loan Tape'!D87*0.055,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6" s="37">
        <f>IFERROR(
        IF('Loan Tape'!U87="Second",1.5,
            IF('Loan Tape'!U87="Third+",1.7,1)
        ),
    1)</f>
        <v/>
      </c>
      <c r="M86" s="37">
        <f>IFERROR(
        IF(AND('Loan Tape'!V87="Cash-out",'Loan Tape'!U87="First"),1.2,1),
    1)</f>
        <v/>
      </c>
      <c r="N86" s="37">
        <f>IFERROR(
        LET(
            arrears,'Loan Tape'!Q87,
            monthly_pmt,'Loan Tape'!D87*'Loan Tape'!I87/12,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6" s="37">
        <f>IFERROR(
        IF('Loan Tape'!Q87=0,
            LET(
                seasoning,(DATE('Control Panel'!$B$10,1,1)-'Loan Tape'!G87)/365.25,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6" s="37">
        <f>IFERROR(
        IF(AND('Loan Tape'!T87="Yes",
            (DATE('Control Panel'!$B$10,1,1)-'Loan Tape'!G87)/365.25&lt;=1.5),
            1.10,1),
    1)</f>
        <v/>
      </c>
      <c r="Q86" s="37">
        <f>IFERROR(IF('Loan Tape'!AE87="Yes",1.35,1),1)</f>
        <v/>
      </c>
      <c r="R86" s="37">
        <f>IFERROR(
        IF('Loan Tape'!AD87="Yes",
            LET(
                seasoning,(DATE('Control Panel'!$B$10,1,1)-'Loan Tape'!G87)/365.25*12,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6" s="37">
        <f>IFERROR(IF('Loan Tape'!AF87="Yes",1.10,1),1)</f>
        <v/>
      </c>
      <c r="T86" s="37">
        <f>IFERROR(
        IF('Loan Tape'!J87="Interest Only",
            LET(
                yrs_to_mat,('Loan Tape'!H87-DATE('Control Panel'!$B$10,1,1))/365.25,
                is_btl,'Loan Tape'!K87="BTL",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6" s="37">
        <f>1.00</f>
        <v/>
      </c>
      <c r="V86" s="37">
        <f>IFERROR(IF('Loan Tape'!AG87="Yes",1.85,1),1)</f>
        <v/>
      </c>
      <c r="W86" s="37">
        <f>IFERROR(IF('Loan Tape'!R87="Self-Employed",1.15,1),1)</f>
        <v/>
      </c>
      <c r="X86" s="37">
        <f>IFERROR(
        LET(
            ccj_count,'Loan Tape'!X87,
            ccj_date,'Loan Tape'!Y87,
            ccj_value,'Loan Tape'!Z87,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6" s="37">
        <f>IFERROR(
        IF('Loan Tape'!AH87="Yes",
            LET(
                months_since,(DATE('Control Panel'!$B$10,1,1)-'Loan Tape'!AI87)/30.44,
                IF(months_since&lt;=12,2.0,
                    IF(months_since&lt;=24,1.5,
                        IF(months_since&lt;=36,1.2,1)
                    )
                )
            ),
        1),
    1)</f>
        <v/>
      </c>
      <c r="Z86" s="39">
        <f>IFERROR(
        IF(N86&gt;=100,1,
            G86*H86*I86*J86*K86*L86*M86*N86*O86*P86*Q86*R86*S86*T86*U86*V86*W86*X86*Y86
        ),
    0)</f>
        <v/>
      </c>
    </row>
    <row r="87">
      <c r="A87" s="32">
        <f>'Loan Tape'!A88</f>
        <v/>
      </c>
      <c r="B87" s="33">
        <f>'Loan Tape'!D88</f>
        <v/>
      </c>
      <c r="C87" s="34">
        <f>'Loan Tape'!F88</f>
        <v/>
      </c>
      <c r="D87" s="35">
        <f>IFERROR('Loan Tape'!E88/'Loan Tape'!C88,0)</f>
        <v/>
      </c>
      <c r="E87" s="35">
        <f>IFERROR(
        'Loan Tape'!D88/
        ('Loan Tape'!B88*
        (1-IF(AND('Control Panel'!$B$15="YES",'Loan Tape'!W88&lt;&gt;"Full"),0.05,0))),
    0)</f>
        <v/>
      </c>
      <c r="F87" s="35">
        <f>'Control Panel'!$B$13*D87+'Control Panel'!$B$14*E87</f>
        <v/>
      </c>
      <c r="G87" s="36">
        <f>'Parameter Tables'!$B$5</f>
        <v/>
      </c>
      <c r="H87" s="37">
        <f>IFERROR(
        IF(F87&lt;=0.70,
            0.1+F87*1.2857,
            IF(F87&lt;=1.00,
                1+F87*2.5,
                IF(F87&lt;=1.50,
                    MIN(3.5+F87*1.5,5),
                    5
                )
            )
        ),
    1)</f>
        <v/>
      </c>
      <c r="I87" s="38">
        <f>1.00</f>
        <v/>
      </c>
      <c r="J87" s="37">
        <f>IFERROR(
        LET(
            income_mult,'Loan Tape'!D88/'Loan Tape'!O88,
            num_borr,'Loan Tape'!S88,
            seasoning,(DATE('Control Panel'!$B$10,1,1)-'Loan Tape'!G88)/365.25,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7" s="37">
        <f>IFERROR(
        IF('Loan Tape'!K88="BTL",
            LET(
                rental,'Loan Tape'!P88,
                int_cost,'Loan Tape'!D88*0.055,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7" s="37">
        <f>IFERROR(
        IF('Loan Tape'!U88="Second",1.5,
            IF('Loan Tape'!U88="Third+",1.7,1)
        ),
    1)</f>
        <v/>
      </c>
      <c r="M87" s="37">
        <f>IFERROR(
        IF(AND('Loan Tape'!V88="Cash-out",'Loan Tape'!U88="First"),1.2,1),
    1)</f>
        <v/>
      </c>
      <c r="N87" s="37">
        <f>IFERROR(
        LET(
            arrears,'Loan Tape'!Q88,
            monthly_pmt,'Loan Tape'!D88*'Loan Tape'!I88/12,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7" s="37">
        <f>IFERROR(
        IF('Loan Tape'!Q88=0,
            LET(
                seasoning,(DATE('Control Panel'!$B$10,1,1)-'Loan Tape'!G88)/365.25,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7" s="37">
        <f>IFERROR(
        IF(AND('Loan Tape'!T88="Yes",
            (DATE('Control Panel'!$B$10,1,1)-'Loan Tape'!G88)/365.25&lt;=1.5),
            1.10,1),
    1)</f>
        <v/>
      </c>
      <c r="Q87" s="37">
        <f>IFERROR(IF('Loan Tape'!AE88="Yes",1.35,1),1)</f>
        <v/>
      </c>
      <c r="R87" s="37">
        <f>IFERROR(
        IF('Loan Tape'!AD88="Yes",
            LET(
                seasoning,(DATE('Control Panel'!$B$10,1,1)-'Loan Tape'!G88)/365.25*12,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7" s="37">
        <f>IFERROR(IF('Loan Tape'!AF88="Yes",1.10,1),1)</f>
        <v/>
      </c>
      <c r="T87" s="37">
        <f>IFERROR(
        IF('Loan Tape'!J88="Interest Only",
            LET(
                yrs_to_mat,('Loan Tape'!H88-DATE('Control Panel'!$B$10,1,1))/365.25,
                is_btl,'Loan Tape'!K88="BTL",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7" s="37">
        <f>1.00</f>
        <v/>
      </c>
      <c r="V87" s="37">
        <f>IFERROR(IF('Loan Tape'!AG88="Yes",1.85,1),1)</f>
        <v/>
      </c>
      <c r="W87" s="37">
        <f>IFERROR(IF('Loan Tape'!R88="Self-Employed",1.15,1),1)</f>
        <v/>
      </c>
      <c r="X87" s="37">
        <f>IFERROR(
        LET(
            ccj_count,'Loan Tape'!X88,
            ccj_date,'Loan Tape'!Y88,
            ccj_value,'Loan Tape'!Z88,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7" s="37">
        <f>IFERROR(
        IF('Loan Tape'!AH88="Yes",
            LET(
                months_since,(DATE('Control Panel'!$B$10,1,1)-'Loan Tape'!AI88)/30.44,
                IF(months_since&lt;=12,2.0,
                    IF(months_since&lt;=24,1.5,
                        IF(months_since&lt;=36,1.2,1)
                    )
                )
            ),
        1),
    1)</f>
        <v/>
      </c>
      <c r="Z87" s="39">
        <f>IFERROR(
        IF(N87&gt;=100,1,
            G87*H87*I87*J87*K87*L87*M87*N87*O87*P87*Q87*R87*S87*T87*U87*V87*W87*X87*Y87
        ),
    0)</f>
        <v/>
      </c>
    </row>
    <row r="88">
      <c r="A88" s="32">
        <f>'Loan Tape'!A89</f>
        <v/>
      </c>
      <c r="B88" s="33">
        <f>'Loan Tape'!D89</f>
        <v/>
      </c>
      <c r="C88" s="34">
        <f>'Loan Tape'!F89</f>
        <v/>
      </c>
      <c r="D88" s="35">
        <f>IFERROR('Loan Tape'!E89/'Loan Tape'!C89,0)</f>
        <v/>
      </c>
      <c r="E88" s="35">
        <f>IFERROR(
        'Loan Tape'!D89/
        ('Loan Tape'!B89*
        (1-IF(AND('Control Panel'!$B$15="YES",'Loan Tape'!W89&lt;&gt;"Full"),0.05,0))),
    0)</f>
        <v/>
      </c>
      <c r="F88" s="35">
        <f>'Control Panel'!$B$13*D88+'Control Panel'!$B$14*E88</f>
        <v/>
      </c>
      <c r="G88" s="36">
        <f>'Parameter Tables'!$B$5</f>
        <v/>
      </c>
      <c r="H88" s="37">
        <f>IFERROR(
        IF(F88&lt;=0.70,
            0.1+F88*1.2857,
            IF(F88&lt;=1.00,
                1+F88*2.5,
                IF(F88&lt;=1.50,
                    MIN(3.5+F88*1.5,5),
                    5
                )
            )
        ),
    1)</f>
        <v/>
      </c>
      <c r="I88" s="38">
        <f>1.00</f>
        <v/>
      </c>
      <c r="J88" s="37">
        <f>IFERROR(
        LET(
            income_mult,'Loan Tape'!D89/'Loan Tape'!O89,
            num_borr,'Loan Tape'!S89,
            seasoning,(DATE('Control Panel'!$B$10,1,1)-'Loan Tape'!G89)/365.25,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8" s="37">
        <f>IFERROR(
        IF('Loan Tape'!K89="BTL",
            LET(
                rental,'Loan Tape'!P89,
                int_cost,'Loan Tape'!D89*0.055,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8" s="37">
        <f>IFERROR(
        IF('Loan Tape'!U89="Second",1.5,
            IF('Loan Tape'!U89="Third+",1.7,1)
        ),
    1)</f>
        <v/>
      </c>
      <c r="M88" s="37">
        <f>IFERROR(
        IF(AND('Loan Tape'!V89="Cash-out",'Loan Tape'!U89="First"),1.2,1),
    1)</f>
        <v/>
      </c>
      <c r="N88" s="37">
        <f>IFERROR(
        LET(
            arrears,'Loan Tape'!Q89,
            monthly_pmt,'Loan Tape'!D89*'Loan Tape'!I89/12,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8" s="37">
        <f>IFERROR(
        IF('Loan Tape'!Q89=0,
            LET(
                seasoning,(DATE('Control Panel'!$B$10,1,1)-'Loan Tape'!G89)/365.25,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8" s="37">
        <f>IFERROR(
        IF(AND('Loan Tape'!T89="Yes",
            (DATE('Control Panel'!$B$10,1,1)-'Loan Tape'!G89)/365.25&lt;=1.5),
            1.10,1),
    1)</f>
        <v/>
      </c>
      <c r="Q88" s="37">
        <f>IFERROR(IF('Loan Tape'!AE89="Yes",1.35,1),1)</f>
        <v/>
      </c>
      <c r="R88" s="37">
        <f>IFERROR(
        IF('Loan Tape'!AD89="Yes",
            LET(
                seasoning,(DATE('Control Panel'!$B$10,1,1)-'Loan Tape'!G89)/365.25*12,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8" s="37">
        <f>IFERROR(IF('Loan Tape'!AF89="Yes",1.10,1),1)</f>
        <v/>
      </c>
      <c r="T88" s="37">
        <f>IFERROR(
        IF('Loan Tape'!J89="Interest Only",
            LET(
                yrs_to_mat,('Loan Tape'!H89-DATE('Control Panel'!$B$10,1,1))/365.25,
                is_btl,'Loan Tape'!K89="BTL",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8" s="37">
        <f>1.00</f>
        <v/>
      </c>
      <c r="V88" s="37">
        <f>IFERROR(IF('Loan Tape'!AG89="Yes",1.85,1),1)</f>
        <v/>
      </c>
      <c r="W88" s="37">
        <f>IFERROR(IF('Loan Tape'!R89="Self-Employed",1.15,1),1)</f>
        <v/>
      </c>
      <c r="X88" s="37">
        <f>IFERROR(
        LET(
            ccj_count,'Loan Tape'!X89,
            ccj_date,'Loan Tape'!Y89,
            ccj_value,'Loan Tape'!Z89,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8" s="37">
        <f>IFERROR(
        IF('Loan Tape'!AH89="Yes",
            LET(
                months_since,(DATE('Control Panel'!$B$10,1,1)-'Loan Tape'!AI89)/30.44,
                IF(months_since&lt;=12,2.0,
                    IF(months_since&lt;=24,1.5,
                        IF(months_since&lt;=36,1.2,1)
                    )
                )
            ),
        1),
    1)</f>
        <v/>
      </c>
      <c r="Z88" s="39">
        <f>IFERROR(
        IF(N88&gt;=100,1,
            G88*H88*I88*J88*K88*L88*M88*N88*O88*P88*Q88*R88*S88*T88*U88*V88*W88*X88*Y88
        ),
    0)</f>
        <v/>
      </c>
    </row>
    <row r="89">
      <c r="A89" s="32">
        <f>'Loan Tape'!A90</f>
        <v/>
      </c>
      <c r="B89" s="33">
        <f>'Loan Tape'!D90</f>
        <v/>
      </c>
      <c r="C89" s="34">
        <f>'Loan Tape'!F90</f>
        <v/>
      </c>
      <c r="D89" s="35">
        <f>IFERROR('Loan Tape'!E90/'Loan Tape'!C90,0)</f>
        <v/>
      </c>
      <c r="E89" s="35">
        <f>IFERROR(
        'Loan Tape'!D90/
        ('Loan Tape'!B90*
        (1-IF(AND('Control Panel'!$B$15="YES",'Loan Tape'!W90&lt;&gt;"Full"),0.05,0))),
    0)</f>
        <v/>
      </c>
      <c r="F89" s="35">
        <f>'Control Panel'!$B$13*D89+'Control Panel'!$B$14*E89</f>
        <v/>
      </c>
      <c r="G89" s="36">
        <f>'Parameter Tables'!$B$5</f>
        <v/>
      </c>
      <c r="H89" s="37">
        <f>IFERROR(
        IF(F89&lt;=0.70,
            0.1+F89*1.2857,
            IF(F89&lt;=1.00,
                1+F89*2.5,
                IF(F89&lt;=1.50,
                    MIN(3.5+F89*1.5,5),
                    5
                )
            )
        ),
    1)</f>
        <v/>
      </c>
      <c r="I89" s="38">
        <f>1.00</f>
        <v/>
      </c>
      <c r="J89" s="37">
        <f>IFERROR(
        LET(
            income_mult,'Loan Tape'!D90/'Loan Tape'!O90,
            num_borr,'Loan Tape'!S90,
            seasoning,(DATE('Control Panel'!$B$10,1,1)-'Loan Tape'!G90)/365.25,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89" s="37">
        <f>IFERROR(
        IF('Loan Tape'!K90="BTL",
            LET(
                rental,'Loan Tape'!P90,
                int_cost,'Loan Tape'!D90*0.055,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89" s="37">
        <f>IFERROR(
        IF('Loan Tape'!U90="Second",1.5,
            IF('Loan Tape'!U90="Third+",1.7,1)
        ),
    1)</f>
        <v/>
      </c>
      <c r="M89" s="37">
        <f>IFERROR(
        IF(AND('Loan Tape'!V90="Cash-out",'Loan Tape'!U90="First"),1.2,1),
    1)</f>
        <v/>
      </c>
      <c r="N89" s="37">
        <f>IFERROR(
        LET(
            arrears,'Loan Tape'!Q90,
            monthly_pmt,'Loan Tape'!D90*'Loan Tape'!I90/12,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89" s="37">
        <f>IFERROR(
        IF('Loan Tape'!Q90=0,
            LET(
                seasoning,(DATE('Control Panel'!$B$10,1,1)-'Loan Tape'!G90)/365.25,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89" s="37">
        <f>IFERROR(
        IF(AND('Loan Tape'!T90="Yes",
            (DATE('Control Panel'!$B$10,1,1)-'Loan Tape'!G90)/365.25&lt;=1.5),
            1.10,1),
    1)</f>
        <v/>
      </c>
      <c r="Q89" s="37">
        <f>IFERROR(IF('Loan Tape'!AE90="Yes",1.35,1),1)</f>
        <v/>
      </c>
      <c r="R89" s="37">
        <f>IFERROR(
        IF('Loan Tape'!AD90="Yes",
            LET(
                seasoning,(DATE('Control Panel'!$B$10,1,1)-'Loan Tape'!G90)/365.25*12,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89" s="37">
        <f>IFERROR(IF('Loan Tape'!AF90="Yes",1.10,1),1)</f>
        <v/>
      </c>
      <c r="T89" s="37">
        <f>IFERROR(
        IF('Loan Tape'!J90="Interest Only",
            LET(
                yrs_to_mat,('Loan Tape'!H90-DATE('Control Panel'!$B$10,1,1))/365.25,
                is_btl,'Loan Tape'!K90="BTL",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89" s="37">
        <f>1.00</f>
        <v/>
      </c>
      <c r="V89" s="37">
        <f>IFERROR(IF('Loan Tape'!AG90="Yes",1.85,1),1)</f>
        <v/>
      </c>
      <c r="W89" s="37">
        <f>IFERROR(IF('Loan Tape'!R90="Self-Employed",1.15,1),1)</f>
        <v/>
      </c>
      <c r="X89" s="37">
        <f>IFERROR(
        LET(
            ccj_count,'Loan Tape'!X90,
            ccj_date,'Loan Tape'!Y90,
            ccj_value,'Loan Tape'!Z90,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89" s="37">
        <f>IFERROR(
        IF('Loan Tape'!AH90="Yes",
            LET(
                months_since,(DATE('Control Panel'!$B$10,1,1)-'Loan Tape'!AI90)/30.44,
                IF(months_since&lt;=12,2.0,
                    IF(months_since&lt;=24,1.5,
                        IF(months_since&lt;=36,1.2,1)
                    )
                )
            ),
        1),
    1)</f>
        <v/>
      </c>
      <c r="Z89" s="39">
        <f>IFERROR(
        IF(N89&gt;=100,1,
            G89*H89*I89*J89*K89*L89*M89*N89*O89*P89*Q89*R89*S89*T89*U89*V89*W89*X89*Y89
        ),
    0)</f>
        <v/>
      </c>
    </row>
    <row r="90">
      <c r="A90" s="32">
        <f>'Loan Tape'!A91</f>
        <v/>
      </c>
      <c r="B90" s="33">
        <f>'Loan Tape'!D91</f>
        <v/>
      </c>
      <c r="C90" s="34">
        <f>'Loan Tape'!F91</f>
        <v/>
      </c>
      <c r="D90" s="35">
        <f>IFERROR('Loan Tape'!E91/'Loan Tape'!C91,0)</f>
        <v/>
      </c>
      <c r="E90" s="35">
        <f>IFERROR(
        'Loan Tape'!D91/
        ('Loan Tape'!B91*
        (1-IF(AND('Control Panel'!$B$15="YES",'Loan Tape'!W91&lt;&gt;"Full"),0.05,0))),
    0)</f>
        <v/>
      </c>
      <c r="F90" s="35">
        <f>'Control Panel'!$B$13*D90+'Control Panel'!$B$14*E90</f>
        <v/>
      </c>
      <c r="G90" s="36">
        <f>'Parameter Tables'!$B$5</f>
        <v/>
      </c>
      <c r="H90" s="37">
        <f>IFERROR(
        IF(F90&lt;=0.70,
            0.1+F90*1.2857,
            IF(F90&lt;=1.00,
                1+F90*2.5,
                IF(F90&lt;=1.50,
                    MIN(3.5+F90*1.5,5),
                    5
                )
            )
        ),
    1)</f>
        <v/>
      </c>
      <c r="I90" s="38">
        <f>1.00</f>
        <v/>
      </c>
      <c r="J90" s="37">
        <f>IFERROR(
        LET(
            income_mult,'Loan Tape'!D91/'Loan Tape'!O91,
            num_borr,'Loan Tape'!S91,
            seasoning,(DATE('Control Panel'!$B$10,1,1)-'Loan Tape'!G91)/365.25,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0" s="37">
        <f>IFERROR(
        IF('Loan Tape'!K91="BTL",
            LET(
                rental,'Loan Tape'!P91,
                int_cost,'Loan Tape'!D91*0.055,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0" s="37">
        <f>IFERROR(
        IF('Loan Tape'!U91="Second",1.5,
            IF('Loan Tape'!U91="Third+",1.7,1)
        ),
    1)</f>
        <v/>
      </c>
      <c r="M90" s="37">
        <f>IFERROR(
        IF(AND('Loan Tape'!V91="Cash-out",'Loan Tape'!U91="First"),1.2,1),
    1)</f>
        <v/>
      </c>
      <c r="N90" s="37">
        <f>IFERROR(
        LET(
            arrears,'Loan Tape'!Q91,
            monthly_pmt,'Loan Tape'!D91*'Loan Tape'!I91/12,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0" s="37">
        <f>IFERROR(
        IF('Loan Tape'!Q91=0,
            LET(
                seasoning,(DATE('Control Panel'!$B$10,1,1)-'Loan Tape'!G91)/365.25,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0" s="37">
        <f>IFERROR(
        IF(AND('Loan Tape'!T91="Yes",
            (DATE('Control Panel'!$B$10,1,1)-'Loan Tape'!G91)/365.25&lt;=1.5),
            1.10,1),
    1)</f>
        <v/>
      </c>
      <c r="Q90" s="37">
        <f>IFERROR(IF('Loan Tape'!AE91="Yes",1.35,1),1)</f>
        <v/>
      </c>
      <c r="R90" s="37">
        <f>IFERROR(
        IF('Loan Tape'!AD91="Yes",
            LET(
                seasoning,(DATE('Control Panel'!$B$10,1,1)-'Loan Tape'!G91)/365.25*12,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0" s="37">
        <f>IFERROR(IF('Loan Tape'!AF91="Yes",1.10,1),1)</f>
        <v/>
      </c>
      <c r="T90" s="37">
        <f>IFERROR(
        IF('Loan Tape'!J91="Interest Only",
            LET(
                yrs_to_mat,('Loan Tape'!H91-DATE('Control Panel'!$B$10,1,1))/365.25,
                is_btl,'Loan Tape'!K91="BTL",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0" s="37">
        <f>1.00</f>
        <v/>
      </c>
      <c r="V90" s="37">
        <f>IFERROR(IF('Loan Tape'!AG91="Yes",1.85,1),1)</f>
        <v/>
      </c>
      <c r="W90" s="37">
        <f>IFERROR(IF('Loan Tape'!R91="Self-Employed",1.15,1),1)</f>
        <v/>
      </c>
      <c r="X90" s="37">
        <f>IFERROR(
        LET(
            ccj_count,'Loan Tape'!X91,
            ccj_date,'Loan Tape'!Y91,
            ccj_value,'Loan Tape'!Z91,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0" s="37">
        <f>IFERROR(
        IF('Loan Tape'!AH91="Yes",
            LET(
                months_since,(DATE('Control Panel'!$B$10,1,1)-'Loan Tape'!AI91)/30.44,
                IF(months_since&lt;=12,2.0,
                    IF(months_since&lt;=24,1.5,
                        IF(months_since&lt;=36,1.2,1)
                    )
                )
            ),
        1),
    1)</f>
        <v/>
      </c>
      <c r="Z90" s="39">
        <f>IFERROR(
        IF(N90&gt;=100,1,
            G90*H90*I90*J90*K90*L90*M90*N90*O90*P90*Q90*R90*S90*T90*U90*V90*W90*X90*Y90
        ),
    0)</f>
        <v/>
      </c>
    </row>
    <row r="91">
      <c r="A91" s="32">
        <f>'Loan Tape'!A92</f>
        <v/>
      </c>
      <c r="B91" s="33">
        <f>'Loan Tape'!D92</f>
        <v/>
      </c>
      <c r="C91" s="34">
        <f>'Loan Tape'!F92</f>
        <v/>
      </c>
      <c r="D91" s="35">
        <f>IFERROR('Loan Tape'!E92/'Loan Tape'!C92,0)</f>
        <v/>
      </c>
      <c r="E91" s="35">
        <f>IFERROR(
        'Loan Tape'!D92/
        ('Loan Tape'!B92*
        (1-IF(AND('Control Panel'!$B$15="YES",'Loan Tape'!W92&lt;&gt;"Full"),0.05,0))),
    0)</f>
        <v/>
      </c>
      <c r="F91" s="35">
        <f>'Control Panel'!$B$13*D91+'Control Panel'!$B$14*E91</f>
        <v/>
      </c>
      <c r="G91" s="36">
        <f>'Parameter Tables'!$B$5</f>
        <v/>
      </c>
      <c r="H91" s="37">
        <f>IFERROR(
        IF(F91&lt;=0.70,
            0.1+F91*1.2857,
            IF(F91&lt;=1.00,
                1+F91*2.5,
                IF(F91&lt;=1.50,
                    MIN(3.5+F91*1.5,5),
                    5
                )
            )
        ),
    1)</f>
        <v/>
      </c>
      <c r="I91" s="38">
        <f>1.00</f>
        <v/>
      </c>
      <c r="J91" s="37">
        <f>IFERROR(
        LET(
            income_mult,'Loan Tape'!D92/'Loan Tape'!O92,
            num_borr,'Loan Tape'!S92,
            seasoning,(DATE('Control Panel'!$B$10,1,1)-'Loan Tape'!G92)/365.25,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1" s="37">
        <f>IFERROR(
        IF('Loan Tape'!K92="BTL",
            LET(
                rental,'Loan Tape'!P92,
                int_cost,'Loan Tape'!D92*0.055,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1" s="37">
        <f>IFERROR(
        IF('Loan Tape'!U92="Second",1.5,
            IF('Loan Tape'!U92="Third+",1.7,1)
        ),
    1)</f>
        <v/>
      </c>
      <c r="M91" s="37">
        <f>IFERROR(
        IF(AND('Loan Tape'!V92="Cash-out",'Loan Tape'!U92="First"),1.2,1),
    1)</f>
        <v/>
      </c>
      <c r="N91" s="37">
        <f>IFERROR(
        LET(
            arrears,'Loan Tape'!Q92,
            monthly_pmt,'Loan Tape'!D92*'Loan Tape'!I92/12,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1" s="37">
        <f>IFERROR(
        IF('Loan Tape'!Q92=0,
            LET(
                seasoning,(DATE('Control Panel'!$B$10,1,1)-'Loan Tape'!G92)/365.25,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1" s="37">
        <f>IFERROR(
        IF(AND('Loan Tape'!T92="Yes",
            (DATE('Control Panel'!$B$10,1,1)-'Loan Tape'!G92)/365.25&lt;=1.5),
            1.10,1),
    1)</f>
        <v/>
      </c>
      <c r="Q91" s="37">
        <f>IFERROR(IF('Loan Tape'!AE92="Yes",1.35,1),1)</f>
        <v/>
      </c>
      <c r="R91" s="37">
        <f>IFERROR(
        IF('Loan Tape'!AD92="Yes",
            LET(
                seasoning,(DATE('Control Panel'!$B$10,1,1)-'Loan Tape'!G92)/365.25*12,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1" s="37">
        <f>IFERROR(IF('Loan Tape'!AF92="Yes",1.10,1),1)</f>
        <v/>
      </c>
      <c r="T91" s="37">
        <f>IFERROR(
        IF('Loan Tape'!J92="Interest Only",
            LET(
                yrs_to_mat,('Loan Tape'!H92-DATE('Control Panel'!$B$10,1,1))/365.25,
                is_btl,'Loan Tape'!K92="BTL",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1" s="37">
        <f>1.00</f>
        <v/>
      </c>
      <c r="V91" s="37">
        <f>IFERROR(IF('Loan Tape'!AG92="Yes",1.85,1),1)</f>
        <v/>
      </c>
      <c r="W91" s="37">
        <f>IFERROR(IF('Loan Tape'!R92="Self-Employed",1.15,1),1)</f>
        <v/>
      </c>
      <c r="X91" s="37">
        <f>IFERROR(
        LET(
            ccj_count,'Loan Tape'!X92,
            ccj_date,'Loan Tape'!Y92,
            ccj_value,'Loan Tape'!Z92,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1" s="37">
        <f>IFERROR(
        IF('Loan Tape'!AH92="Yes",
            LET(
                months_since,(DATE('Control Panel'!$B$10,1,1)-'Loan Tape'!AI92)/30.44,
                IF(months_since&lt;=12,2.0,
                    IF(months_since&lt;=24,1.5,
                        IF(months_since&lt;=36,1.2,1)
                    )
                )
            ),
        1),
    1)</f>
        <v/>
      </c>
      <c r="Z91" s="39">
        <f>IFERROR(
        IF(N91&gt;=100,1,
            G91*H91*I91*J91*K91*L91*M91*N91*O91*P91*Q91*R91*S91*T91*U91*V91*W91*X91*Y91
        ),
    0)</f>
        <v/>
      </c>
    </row>
    <row r="92">
      <c r="A92" s="32">
        <f>'Loan Tape'!A93</f>
        <v/>
      </c>
      <c r="B92" s="33">
        <f>'Loan Tape'!D93</f>
        <v/>
      </c>
      <c r="C92" s="34">
        <f>'Loan Tape'!F93</f>
        <v/>
      </c>
      <c r="D92" s="35">
        <f>IFERROR('Loan Tape'!E93/'Loan Tape'!C93,0)</f>
        <v/>
      </c>
      <c r="E92" s="35">
        <f>IFERROR(
        'Loan Tape'!D93/
        ('Loan Tape'!B93*
        (1-IF(AND('Control Panel'!$B$15="YES",'Loan Tape'!W93&lt;&gt;"Full"),0.05,0))),
    0)</f>
        <v/>
      </c>
      <c r="F92" s="35">
        <f>'Control Panel'!$B$13*D92+'Control Panel'!$B$14*E92</f>
        <v/>
      </c>
      <c r="G92" s="36">
        <f>'Parameter Tables'!$B$5</f>
        <v/>
      </c>
      <c r="H92" s="37">
        <f>IFERROR(
        IF(F92&lt;=0.70,
            0.1+F92*1.2857,
            IF(F92&lt;=1.00,
                1+F92*2.5,
                IF(F92&lt;=1.50,
                    MIN(3.5+F92*1.5,5),
                    5
                )
            )
        ),
    1)</f>
        <v/>
      </c>
      <c r="I92" s="38">
        <f>1.00</f>
        <v/>
      </c>
      <c r="J92" s="37">
        <f>IFERROR(
        LET(
            income_mult,'Loan Tape'!D93/'Loan Tape'!O93,
            num_borr,'Loan Tape'!S93,
            seasoning,(DATE('Control Panel'!$B$10,1,1)-'Loan Tape'!G93)/365.25,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2" s="37">
        <f>IFERROR(
        IF('Loan Tape'!K93="BTL",
            LET(
                rental,'Loan Tape'!P93,
                int_cost,'Loan Tape'!D93*0.055,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2" s="37">
        <f>IFERROR(
        IF('Loan Tape'!U93="Second",1.5,
            IF('Loan Tape'!U93="Third+",1.7,1)
        ),
    1)</f>
        <v/>
      </c>
      <c r="M92" s="37">
        <f>IFERROR(
        IF(AND('Loan Tape'!V93="Cash-out",'Loan Tape'!U93="First"),1.2,1),
    1)</f>
        <v/>
      </c>
      <c r="N92" s="37">
        <f>IFERROR(
        LET(
            arrears,'Loan Tape'!Q93,
            monthly_pmt,'Loan Tape'!D93*'Loan Tape'!I93/12,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2" s="37">
        <f>IFERROR(
        IF('Loan Tape'!Q93=0,
            LET(
                seasoning,(DATE('Control Panel'!$B$10,1,1)-'Loan Tape'!G93)/365.25,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2" s="37">
        <f>IFERROR(
        IF(AND('Loan Tape'!T93="Yes",
            (DATE('Control Panel'!$B$10,1,1)-'Loan Tape'!G93)/365.25&lt;=1.5),
            1.10,1),
    1)</f>
        <v/>
      </c>
      <c r="Q92" s="37">
        <f>IFERROR(IF('Loan Tape'!AE93="Yes",1.35,1),1)</f>
        <v/>
      </c>
      <c r="R92" s="37">
        <f>IFERROR(
        IF('Loan Tape'!AD93="Yes",
            LET(
                seasoning,(DATE('Control Panel'!$B$10,1,1)-'Loan Tape'!G93)/365.25*12,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2" s="37">
        <f>IFERROR(IF('Loan Tape'!AF93="Yes",1.10,1),1)</f>
        <v/>
      </c>
      <c r="T92" s="37">
        <f>IFERROR(
        IF('Loan Tape'!J93="Interest Only",
            LET(
                yrs_to_mat,('Loan Tape'!H93-DATE('Control Panel'!$B$10,1,1))/365.25,
                is_btl,'Loan Tape'!K93="BTL",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2" s="37">
        <f>1.00</f>
        <v/>
      </c>
      <c r="V92" s="37">
        <f>IFERROR(IF('Loan Tape'!AG93="Yes",1.85,1),1)</f>
        <v/>
      </c>
      <c r="W92" s="37">
        <f>IFERROR(IF('Loan Tape'!R93="Self-Employed",1.15,1),1)</f>
        <v/>
      </c>
      <c r="X92" s="37">
        <f>IFERROR(
        LET(
            ccj_count,'Loan Tape'!X93,
            ccj_date,'Loan Tape'!Y93,
            ccj_value,'Loan Tape'!Z93,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2" s="37">
        <f>IFERROR(
        IF('Loan Tape'!AH93="Yes",
            LET(
                months_since,(DATE('Control Panel'!$B$10,1,1)-'Loan Tape'!AI93)/30.44,
                IF(months_since&lt;=12,2.0,
                    IF(months_since&lt;=24,1.5,
                        IF(months_since&lt;=36,1.2,1)
                    )
                )
            ),
        1),
    1)</f>
        <v/>
      </c>
      <c r="Z92" s="39">
        <f>IFERROR(
        IF(N92&gt;=100,1,
            G92*H92*I92*J92*K92*L92*M92*N92*O92*P92*Q92*R92*S92*T92*U92*V92*W92*X92*Y92
        ),
    0)</f>
        <v/>
      </c>
    </row>
    <row r="93">
      <c r="A93" s="32">
        <f>'Loan Tape'!A94</f>
        <v/>
      </c>
      <c r="B93" s="33">
        <f>'Loan Tape'!D94</f>
        <v/>
      </c>
      <c r="C93" s="34">
        <f>'Loan Tape'!F94</f>
        <v/>
      </c>
      <c r="D93" s="35">
        <f>IFERROR('Loan Tape'!E94/'Loan Tape'!C94,0)</f>
        <v/>
      </c>
      <c r="E93" s="35">
        <f>IFERROR(
        'Loan Tape'!D94/
        ('Loan Tape'!B94*
        (1-IF(AND('Control Panel'!$B$15="YES",'Loan Tape'!W94&lt;&gt;"Full"),0.05,0))),
    0)</f>
        <v/>
      </c>
      <c r="F93" s="35">
        <f>'Control Panel'!$B$13*D93+'Control Panel'!$B$14*E93</f>
        <v/>
      </c>
      <c r="G93" s="36">
        <f>'Parameter Tables'!$B$5</f>
        <v/>
      </c>
      <c r="H93" s="37">
        <f>IFERROR(
        IF(F93&lt;=0.70,
            0.1+F93*1.2857,
            IF(F93&lt;=1.00,
                1+F93*2.5,
                IF(F93&lt;=1.50,
                    MIN(3.5+F93*1.5,5),
                    5
                )
            )
        ),
    1)</f>
        <v/>
      </c>
      <c r="I93" s="38">
        <f>1.00</f>
        <v/>
      </c>
      <c r="J93" s="37">
        <f>IFERROR(
        LET(
            income_mult,'Loan Tape'!D94/'Loan Tape'!O94,
            num_borr,'Loan Tape'!S94,
            seasoning,(DATE('Control Panel'!$B$10,1,1)-'Loan Tape'!G94)/365.25,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3" s="37">
        <f>IFERROR(
        IF('Loan Tape'!K94="BTL",
            LET(
                rental,'Loan Tape'!P94,
                int_cost,'Loan Tape'!D94*0.055,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3" s="37">
        <f>IFERROR(
        IF('Loan Tape'!U94="Second",1.5,
            IF('Loan Tape'!U94="Third+",1.7,1)
        ),
    1)</f>
        <v/>
      </c>
      <c r="M93" s="37">
        <f>IFERROR(
        IF(AND('Loan Tape'!V94="Cash-out",'Loan Tape'!U94="First"),1.2,1),
    1)</f>
        <v/>
      </c>
      <c r="N93" s="37">
        <f>IFERROR(
        LET(
            arrears,'Loan Tape'!Q94,
            monthly_pmt,'Loan Tape'!D94*'Loan Tape'!I94/12,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3" s="37">
        <f>IFERROR(
        IF('Loan Tape'!Q94=0,
            LET(
                seasoning,(DATE('Control Panel'!$B$10,1,1)-'Loan Tape'!G94)/365.25,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3" s="37">
        <f>IFERROR(
        IF(AND('Loan Tape'!T94="Yes",
            (DATE('Control Panel'!$B$10,1,1)-'Loan Tape'!G94)/365.25&lt;=1.5),
            1.10,1),
    1)</f>
        <v/>
      </c>
      <c r="Q93" s="37">
        <f>IFERROR(IF('Loan Tape'!AE94="Yes",1.35,1),1)</f>
        <v/>
      </c>
      <c r="R93" s="37">
        <f>IFERROR(
        IF('Loan Tape'!AD94="Yes",
            LET(
                seasoning,(DATE('Control Panel'!$B$10,1,1)-'Loan Tape'!G94)/365.25*12,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3" s="37">
        <f>IFERROR(IF('Loan Tape'!AF94="Yes",1.10,1),1)</f>
        <v/>
      </c>
      <c r="T93" s="37">
        <f>IFERROR(
        IF('Loan Tape'!J94="Interest Only",
            LET(
                yrs_to_mat,('Loan Tape'!H94-DATE('Control Panel'!$B$10,1,1))/365.25,
                is_btl,'Loan Tape'!K94="BTL",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3" s="37">
        <f>1.00</f>
        <v/>
      </c>
      <c r="V93" s="37">
        <f>IFERROR(IF('Loan Tape'!AG94="Yes",1.85,1),1)</f>
        <v/>
      </c>
      <c r="W93" s="37">
        <f>IFERROR(IF('Loan Tape'!R94="Self-Employed",1.15,1),1)</f>
        <v/>
      </c>
      <c r="X93" s="37">
        <f>IFERROR(
        LET(
            ccj_count,'Loan Tape'!X94,
            ccj_date,'Loan Tape'!Y94,
            ccj_value,'Loan Tape'!Z94,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3" s="37">
        <f>IFERROR(
        IF('Loan Tape'!AH94="Yes",
            LET(
                months_since,(DATE('Control Panel'!$B$10,1,1)-'Loan Tape'!AI94)/30.44,
                IF(months_since&lt;=12,2.0,
                    IF(months_since&lt;=24,1.5,
                        IF(months_since&lt;=36,1.2,1)
                    )
                )
            ),
        1),
    1)</f>
        <v/>
      </c>
      <c r="Z93" s="39">
        <f>IFERROR(
        IF(N93&gt;=100,1,
            G93*H93*I93*J93*K93*L93*M93*N93*O93*P93*Q93*R93*S93*T93*U93*V93*W93*X93*Y93
        ),
    0)</f>
        <v/>
      </c>
    </row>
    <row r="94">
      <c r="A94" s="32">
        <f>'Loan Tape'!A95</f>
        <v/>
      </c>
      <c r="B94" s="33">
        <f>'Loan Tape'!D95</f>
        <v/>
      </c>
      <c r="C94" s="34">
        <f>'Loan Tape'!F95</f>
        <v/>
      </c>
      <c r="D94" s="35">
        <f>IFERROR('Loan Tape'!E95/'Loan Tape'!C95,0)</f>
        <v/>
      </c>
      <c r="E94" s="35">
        <f>IFERROR(
        'Loan Tape'!D95/
        ('Loan Tape'!B95*
        (1-IF(AND('Control Panel'!$B$15="YES",'Loan Tape'!W95&lt;&gt;"Full"),0.05,0))),
    0)</f>
        <v/>
      </c>
      <c r="F94" s="35">
        <f>'Control Panel'!$B$13*D94+'Control Panel'!$B$14*E94</f>
        <v/>
      </c>
      <c r="G94" s="36">
        <f>'Parameter Tables'!$B$5</f>
        <v/>
      </c>
      <c r="H94" s="37">
        <f>IFERROR(
        IF(F94&lt;=0.70,
            0.1+F94*1.2857,
            IF(F94&lt;=1.00,
                1+F94*2.5,
                IF(F94&lt;=1.50,
                    MIN(3.5+F94*1.5,5),
                    5
                )
            )
        ),
    1)</f>
        <v/>
      </c>
      <c r="I94" s="38">
        <f>1.00</f>
        <v/>
      </c>
      <c r="J94" s="37">
        <f>IFERROR(
        LET(
            income_mult,'Loan Tape'!D95/'Loan Tape'!O95,
            num_borr,'Loan Tape'!S95,
            seasoning,(DATE('Control Panel'!$B$10,1,1)-'Loan Tape'!G95)/365.25,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4" s="37">
        <f>IFERROR(
        IF('Loan Tape'!K95="BTL",
            LET(
                rental,'Loan Tape'!P95,
                int_cost,'Loan Tape'!D95*0.055,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4" s="37">
        <f>IFERROR(
        IF('Loan Tape'!U95="Second",1.5,
            IF('Loan Tape'!U95="Third+",1.7,1)
        ),
    1)</f>
        <v/>
      </c>
      <c r="M94" s="37">
        <f>IFERROR(
        IF(AND('Loan Tape'!V95="Cash-out",'Loan Tape'!U95="First"),1.2,1),
    1)</f>
        <v/>
      </c>
      <c r="N94" s="37">
        <f>IFERROR(
        LET(
            arrears,'Loan Tape'!Q95,
            monthly_pmt,'Loan Tape'!D95*'Loan Tape'!I95/12,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4" s="37">
        <f>IFERROR(
        IF('Loan Tape'!Q95=0,
            LET(
                seasoning,(DATE('Control Panel'!$B$10,1,1)-'Loan Tape'!G95)/365.25,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4" s="37">
        <f>IFERROR(
        IF(AND('Loan Tape'!T95="Yes",
            (DATE('Control Panel'!$B$10,1,1)-'Loan Tape'!G95)/365.25&lt;=1.5),
            1.10,1),
    1)</f>
        <v/>
      </c>
      <c r="Q94" s="37">
        <f>IFERROR(IF('Loan Tape'!AE95="Yes",1.35,1),1)</f>
        <v/>
      </c>
      <c r="R94" s="37">
        <f>IFERROR(
        IF('Loan Tape'!AD95="Yes",
            LET(
                seasoning,(DATE('Control Panel'!$B$10,1,1)-'Loan Tape'!G95)/365.25*12,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4" s="37">
        <f>IFERROR(IF('Loan Tape'!AF95="Yes",1.10,1),1)</f>
        <v/>
      </c>
      <c r="T94" s="37">
        <f>IFERROR(
        IF('Loan Tape'!J95="Interest Only",
            LET(
                yrs_to_mat,('Loan Tape'!H95-DATE('Control Panel'!$B$10,1,1))/365.25,
                is_btl,'Loan Tape'!K95="BTL",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4" s="37">
        <f>1.00</f>
        <v/>
      </c>
      <c r="V94" s="37">
        <f>IFERROR(IF('Loan Tape'!AG95="Yes",1.85,1),1)</f>
        <v/>
      </c>
      <c r="W94" s="37">
        <f>IFERROR(IF('Loan Tape'!R95="Self-Employed",1.15,1),1)</f>
        <v/>
      </c>
      <c r="X94" s="37">
        <f>IFERROR(
        LET(
            ccj_count,'Loan Tape'!X95,
            ccj_date,'Loan Tape'!Y95,
            ccj_value,'Loan Tape'!Z95,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4" s="37">
        <f>IFERROR(
        IF('Loan Tape'!AH95="Yes",
            LET(
                months_since,(DATE('Control Panel'!$B$10,1,1)-'Loan Tape'!AI95)/30.44,
                IF(months_since&lt;=12,2.0,
                    IF(months_since&lt;=24,1.5,
                        IF(months_since&lt;=36,1.2,1)
                    )
                )
            ),
        1),
    1)</f>
        <v/>
      </c>
      <c r="Z94" s="39">
        <f>IFERROR(
        IF(N94&gt;=100,1,
            G94*H94*I94*J94*K94*L94*M94*N94*O94*P94*Q94*R94*S94*T94*U94*V94*W94*X94*Y94
        ),
    0)</f>
        <v/>
      </c>
    </row>
    <row r="95">
      <c r="A95" s="32">
        <f>'Loan Tape'!A96</f>
        <v/>
      </c>
      <c r="B95" s="33">
        <f>'Loan Tape'!D96</f>
        <v/>
      </c>
      <c r="C95" s="34">
        <f>'Loan Tape'!F96</f>
        <v/>
      </c>
      <c r="D95" s="35">
        <f>IFERROR('Loan Tape'!E96/'Loan Tape'!C96,0)</f>
        <v/>
      </c>
      <c r="E95" s="35">
        <f>IFERROR(
        'Loan Tape'!D96/
        ('Loan Tape'!B96*
        (1-IF(AND('Control Panel'!$B$15="YES",'Loan Tape'!W96&lt;&gt;"Full"),0.05,0))),
    0)</f>
        <v/>
      </c>
      <c r="F95" s="35">
        <f>'Control Panel'!$B$13*D95+'Control Panel'!$B$14*E95</f>
        <v/>
      </c>
      <c r="G95" s="36">
        <f>'Parameter Tables'!$B$5</f>
        <v/>
      </c>
      <c r="H95" s="37">
        <f>IFERROR(
        IF(F95&lt;=0.70,
            0.1+F95*1.2857,
            IF(F95&lt;=1.00,
                1+F95*2.5,
                IF(F95&lt;=1.50,
                    MIN(3.5+F95*1.5,5),
                    5
                )
            )
        ),
    1)</f>
        <v/>
      </c>
      <c r="I95" s="38">
        <f>1.00</f>
        <v/>
      </c>
      <c r="J95" s="37">
        <f>IFERROR(
        LET(
            income_mult,'Loan Tape'!D96/'Loan Tape'!O96,
            num_borr,'Loan Tape'!S96,
            seasoning,(DATE('Control Panel'!$B$10,1,1)-'Loan Tape'!G96)/365.25,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5" s="37">
        <f>IFERROR(
        IF('Loan Tape'!K96="BTL",
            LET(
                rental,'Loan Tape'!P96,
                int_cost,'Loan Tape'!D96*0.055,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5" s="37">
        <f>IFERROR(
        IF('Loan Tape'!U96="Second",1.5,
            IF('Loan Tape'!U96="Third+",1.7,1)
        ),
    1)</f>
        <v/>
      </c>
      <c r="M95" s="37">
        <f>IFERROR(
        IF(AND('Loan Tape'!V96="Cash-out",'Loan Tape'!U96="First"),1.2,1),
    1)</f>
        <v/>
      </c>
      <c r="N95" s="37">
        <f>IFERROR(
        LET(
            arrears,'Loan Tape'!Q96,
            monthly_pmt,'Loan Tape'!D96*'Loan Tape'!I96/12,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5" s="37">
        <f>IFERROR(
        IF('Loan Tape'!Q96=0,
            LET(
                seasoning,(DATE('Control Panel'!$B$10,1,1)-'Loan Tape'!G96)/365.25,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5" s="37">
        <f>IFERROR(
        IF(AND('Loan Tape'!T96="Yes",
            (DATE('Control Panel'!$B$10,1,1)-'Loan Tape'!G96)/365.25&lt;=1.5),
            1.10,1),
    1)</f>
        <v/>
      </c>
      <c r="Q95" s="37">
        <f>IFERROR(IF('Loan Tape'!AE96="Yes",1.35,1),1)</f>
        <v/>
      </c>
      <c r="R95" s="37">
        <f>IFERROR(
        IF('Loan Tape'!AD96="Yes",
            LET(
                seasoning,(DATE('Control Panel'!$B$10,1,1)-'Loan Tape'!G96)/365.25*12,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5" s="37">
        <f>IFERROR(IF('Loan Tape'!AF96="Yes",1.10,1),1)</f>
        <v/>
      </c>
      <c r="T95" s="37">
        <f>IFERROR(
        IF('Loan Tape'!J96="Interest Only",
            LET(
                yrs_to_mat,('Loan Tape'!H96-DATE('Control Panel'!$B$10,1,1))/365.25,
                is_btl,'Loan Tape'!K96="BTL",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5" s="37">
        <f>1.00</f>
        <v/>
      </c>
      <c r="V95" s="37">
        <f>IFERROR(IF('Loan Tape'!AG96="Yes",1.85,1),1)</f>
        <v/>
      </c>
      <c r="W95" s="37">
        <f>IFERROR(IF('Loan Tape'!R96="Self-Employed",1.15,1),1)</f>
        <v/>
      </c>
      <c r="X95" s="37">
        <f>IFERROR(
        LET(
            ccj_count,'Loan Tape'!X96,
            ccj_date,'Loan Tape'!Y96,
            ccj_value,'Loan Tape'!Z96,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5" s="37">
        <f>IFERROR(
        IF('Loan Tape'!AH96="Yes",
            LET(
                months_since,(DATE('Control Panel'!$B$10,1,1)-'Loan Tape'!AI96)/30.44,
                IF(months_since&lt;=12,2.0,
                    IF(months_since&lt;=24,1.5,
                        IF(months_since&lt;=36,1.2,1)
                    )
                )
            ),
        1),
    1)</f>
        <v/>
      </c>
      <c r="Z95" s="39">
        <f>IFERROR(
        IF(N95&gt;=100,1,
            G95*H95*I95*J95*K95*L95*M95*N95*O95*P95*Q95*R95*S95*T95*U95*V95*W95*X95*Y95
        ),
    0)</f>
        <v/>
      </c>
    </row>
    <row r="96">
      <c r="A96" s="32">
        <f>'Loan Tape'!A97</f>
        <v/>
      </c>
      <c r="B96" s="33">
        <f>'Loan Tape'!D97</f>
        <v/>
      </c>
      <c r="C96" s="34">
        <f>'Loan Tape'!F97</f>
        <v/>
      </c>
      <c r="D96" s="35">
        <f>IFERROR('Loan Tape'!E97/'Loan Tape'!C97,0)</f>
        <v/>
      </c>
      <c r="E96" s="35">
        <f>IFERROR(
        'Loan Tape'!D97/
        ('Loan Tape'!B97*
        (1-IF(AND('Control Panel'!$B$15="YES",'Loan Tape'!W97&lt;&gt;"Full"),0.05,0))),
    0)</f>
        <v/>
      </c>
      <c r="F96" s="35">
        <f>'Control Panel'!$B$13*D96+'Control Panel'!$B$14*E96</f>
        <v/>
      </c>
      <c r="G96" s="36">
        <f>'Parameter Tables'!$B$5</f>
        <v/>
      </c>
      <c r="H96" s="37">
        <f>IFERROR(
        IF(F96&lt;=0.70,
            0.1+F96*1.2857,
            IF(F96&lt;=1.00,
                1+F96*2.5,
                IF(F96&lt;=1.50,
                    MIN(3.5+F96*1.5,5),
                    5
                )
            )
        ),
    1)</f>
        <v/>
      </c>
      <c r="I96" s="38">
        <f>1.00</f>
        <v/>
      </c>
      <c r="J96" s="37">
        <f>IFERROR(
        LET(
            income_mult,'Loan Tape'!D97/'Loan Tape'!O97,
            num_borr,'Loan Tape'!S97,
            seasoning,(DATE('Control Panel'!$B$10,1,1)-'Loan Tape'!G97)/365.25,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6" s="37">
        <f>IFERROR(
        IF('Loan Tape'!K97="BTL",
            LET(
                rental,'Loan Tape'!P97,
                int_cost,'Loan Tape'!D97*0.055,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6" s="37">
        <f>IFERROR(
        IF('Loan Tape'!U97="Second",1.5,
            IF('Loan Tape'!U97="Third+",1.7,1)
        ),
    1)</f>
        <v/>
      </c>
      <c r="M96" s="37">
        <f>IFERROR(
        IF(AND('Loan Tape'!V97="Cash-out",'Loan Tape'!U97="First"),1.2,1),
    1)</f>
        <v/>
      </c>
      <c r="N96" s="37">
        <f>IFERROR(
        LET(
            arrears,'Loan Tape'!Q97,
            monthly_pmt,'Loan Tape'!D97*'Loan Tape'!I97/12,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6" s="37">
        <f>IFERROR(
        IF('Loan Tape'!Q97=0,
            LET(
                seasoning,(DATE('Control Panel'!$B$10,1,1)-'Loan Tape'!G97)/365.25,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6" s="37">
        <f>IFERROR(
        IF(AND('Loan Tape'!T97="Yes",
            (DATE('Control Panel'!$B$10,1,1)-'Loan Tape'!G97)/365.25&lt;=1.5),
            1.10,1),
    1)</f>
        <v/>
      </c>
      <c r="Q96" s="37">
        <f>IFERROR(IF('Loan Tape'!AE97="Yes",1.35,1),1)</f>
        <v/>
      </c>
      <c r="R96" s="37">
        <f>IFERROR(
        IF('Loan Tape'!AD97="Yes",
            LET(
                seasoning,(DATE('Control Panel'!$B$10,1,1)-'Loan Tape'!G97)/365.25*12,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6" s="37">
        <f>IFERROR(IF('Loan Tape'!AF97="Yes",1.10,1),1)</f>
        <v/>
      </c>
      <c r="T96" s="37">
        <f>IFERROR(
        IF('Loan Tape'!J97="Interest Only",
            LET(
                yrs_to_mat,('Loan Tape'!H97-DATE('Control Panel'!$B$10,1,1))/365.25,
                is_btl,'Loan Tape'!K97="BTL",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6" s="37">
        <f>1.00</f>
        <v/>
      </c>
      <c r="V96" s="37">
        <f>IFERROR(IF('Loan Tape'!AG97="Yes",1.85,1),1)</f>
        <v/>
      </c>
      <c r="W96" s="37">
        <f>IFERROR(IF('Loan Tape'!R97="Self-Employed",1.15,1),1)</f>
        <v/>
      </c>
      <c r="X96" s="37">
        <f>IFERROR(
        LET(
            ccj_count,'Loan Tape'!X97,
            ccj_date,'Loan Tape'!Y97,
            ccj_value,'Loan Tape'!Z97,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6" s="37">
        <f>IFERROR(
        IF('Loan Tape'!AH97="Yes",
            LET(
                months_since,(DATE('Control Panel'!$B$10,1,1)-'Loan Tape'!AI97)/30.44,
                IF(months_since&lt;=12,2.0,
                    IF(months_since&lt;=24,1.5,
                        IF(months_since&lt;=36,1.2,1)
                    )
                )
            ),
        1),
    1)</f>
        <v/>
      </c>
      <c r="Z96" s="39">
        <f>IFERROR(
        IF(N96&gt;=100,1,
            G96*H96*I96*J96*K96*L96*M96*N96*O96*P96*Q96*R96*S96*T96*U96*V96*W96*X96*Y96
        ),
    0)</f>
        <v/>
      </c>
    </row>
    <row r="97">
      <c r="A97" s="32">
        <f>'Loan Tape'!A98</f>
        <v/>
      </c>
      <c r="B97" s="33">
        <f>'Loan Tape'!D98</f>
        <v/>
      </c>
      <c r="C97" s="34">
        <f>'Loan Tape'!F98</f>
        <v/>
      </c>
      <c r="D97" s="35">
        <f>IFERROR('Loan Tape'!E98/'Loan Tape'!C98,0)</f>
        <v/>
      </c>
      <c r="E97" s="35">
        <f>IFERROR(
        'Loan Tape'!D98/
        ('Loan Tape'!B98*
        (1-IF(AND('Control Panel'!$B$15="YES",'Loan Tape'!W98&lt;&gt;"Full"),0.05,0))),
    0)</f>
        <v/>
      </c>
      <c r="F97" s="35">
        <f>'Control Panel'!$B$13*D97+'Control Panel'!$B$14*E97</f>
        <v/>
      </c>
      <c r="G97" s="36">
        <f>'Parameter Tables'!$B$5</f>
        <v/>
      </c>
      <c r="H97" s="37">
        <f>IFERROR(
        IF(F97&lt;=0.70,
            0.1+F97*1.2857,
            IF(F97&lt;=1.00,
                1+F97*2.5,
                IF(F97&lt;=1.50,
                    MIN(3.5+F97*1.5,5),
                    5
                )
            )
        ),
    1)</f>
        <v/>
      </c>
      <c r="I97" s="38">
        <f>1.00</f>
        <v/>
      </c>
      <c r="J97" s="37">
        <f>IFERROR(
        LET(
            income_mult,'Loan Tape'!D98/'Loan Tape'!O98,
            num_borr,'Loan Tape'!S98,
            seasoning,(DATE('Control Panel'!$B$10,1,1)-'Loan Tape'!G98)/365.25,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7" s="37">
        <f>IFERROR(
        IF('Loan Tape'!K98="BTL",
            LET(
                rental,'Loan Tape'!P98,
                int_cost,'Loan Tape'!D98*0.055,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7" s="37">
        <f>IFERROR(
        IF('Loan Tape'!U98="Second",1.5,
            IF('Loan Tape'!U98="Third+",1.7,1)
        ),
    1)</f>
        <v/>
      </c>
      <c r="M97" s="37">
        <f>IFERROR(
        IF(AND('Loan Tape'!V98="Cash-out",'Loan Tape'!U98="First"),1.2,1),
    1)</f>
        <v/>
      </c>
      <c r="N97" s="37">
        <f>IFERROR(
        LET(
            arrears,'Loan Tape'!Q98,
            monthly_pmt,'Loan Tape'!D98*'Loan Tape'!I98/12,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7" s="37">
        <f>IFERROR(
        IF('Loan Tape'!Q98=0,
            LET(
                seasoning,(DATE('Control Panel'!$B$10,1,1)-'Loan Tape'!G98)/365.25,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7" s="37">
        <f>IFERROR(
        IF(AND('Loan Tape'!T98="Yes",
            (DATE('Control Panel'!$B$10,1,1)-'Loan Tape'!G98)/365.25&lt;=1.5),
            1.10,1),
    1)</f>
        <v/>
      </c>
      <c r="Q97" s="37">
        <f>IFERROR(IF('Loan Tape'!AE98="Yes",1.35,1),1)</f>
        <v/>
      </c>
      <c r="R97" s="37">
        <f>IFERROR(
        IF('Loan Tape'!AD98="Yes",
            LET(
                seasoning,(DATE('Control Panel'!$B$10,1,1)-'Loan Tape'!G98)/365.25*12,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7" s="37">
        <f>IFERROR(IF('Loan Tape'!AF98="Yes",1.10,1),1)</f>
        <v/>
      </c>
      <c r="T97" s="37">
        <f>IFERROR(
        IF('Loan Tape'!J98="Interest Only",
            LET(
                yrs_to_mat,('Loan Tape'!H98-DATE('Control Panel'!$B$10,1,1))/365.25,
                is_btl,'Loan Tape'!K98="BTL",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7" s="37">
        <f>1.00</f>
        <v/>
      </c>
      <c r="V97" s="37">
        <f>IFERROR(IF('Loan Tape'!AG98="Yes",1.85,1),1)</f>
        <v/>
      </c>
      <c r="W97" s="37">
        <f>IFERROR(IF('Loan Tape'!R98="Self-Employed",1.15,1),1)</f>
        <v/>
      </c>
      <c r="X97" s="37">
        <f>IFERROR(
        LET(
            ccj_count,'Loan Tape'!X98,
            ccj_date,'Loan Tape'!Y98,
            ccj_value,'Loan Tape'!Z98,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7" s="37">
        <f>IFERROR(
        IF('Loan Tape'!AH98="Yes",
            LET(
                months_since,(DATE('Control Panel'!$B$10,1,1)-'Loan Tape'!AI98)/30.44,
                IF(months_since&lt;=12,2.0,
                    IF(months_since&lt;=24,1.5,
                        IF(months_since&lt;=36,1.2,1)
                    )
                )
            ),
        1),
    1)</f>
        <v/>
      </c>
      <c r="Z97" s="39">
        <f>IFERROR(
        IF(N97&gt;=100,1,
            G97*H97*I97*J97*K97*L97*M97*N97*O97*P97*Q97*R97*S97*T97*U97*V97*W97*X97*Y97
        ),
    0)</f>
        <v/>
      </c>
    </row>
    <row r="98">
      <c r="A98" s="32">
        <f>'Loan Tape'!A99</f>
        <v/>
      </c>
      <c r="B98" s="33">
        <f>'Loan Tape'!D99</f>
        <v/>
      </c>
      <c r="C98" s="34">
        <f>'Loan Tape'!F99</f>
        <v/>
      </c>
      <c r="D98" s="35">
        <f>IFERROR('Loan Tape'!E99/'Loan Tape'!C99,0)</f>
        <v/>
      </c>
      <c r="E98" s="35">
        <f>IFERROR(
        'Loan Tape'!D99/
        ('Loan Tape'!B99*
        (1-IF(AND('Control Panel'!$B$15="YES",'Loan Tape'!W99&lt;&gt;"Full"),0.05,0))),
    0)</f>
        <v/>
      </c>
      <c r="F98" s="35">
        <f>'Control Panel'!$B$13*D98+'Control Panel'!$B$14*E98</f>
        <v/>
      </c>
      <c r="G98" s="36">
        <f>'Parameter Tables'!$B$5</f>
        <v/>
      </c>
      <c r="H98" s="37">
        <f>IFERROR(
        IF(F98&lt;=0.70,
            0.1+F98*1.2857,
            IF(F98&lt;=1.00,
                1+F98*2.5,
                IF(F98&lt;=1.50,
                    MIN(3.5+F98*1.5,5),
                    5
                )
            )
        ),
    1)</f>
        <v/>
      </c>
      <c r="I98" s="38">
        <f>1.00</f>
        <v/>
      </c>
      <c r="J98" s="37">
        <f>IFERROR(
        LET(
            income_mult,'Loan Tape'!D99/'Loan Tape'!O99,
            num_borr,'Loan Tape'!S99,
            seasoning,(DATE('Control Panel'!$B$10,1,1)-'Loan Tape'!G99)/365.25,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8" s="37">
        <f>IFERROR(
        IF('Loan Tape'!K99="BTL",
            LET(
                rental,'Loan Tape'!P99,
                int_cost,'Loan Tape'!D99*0.055,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8" s="37">
        <f>IFERROR(
        IF('Loan Tape'!U99="Second",1.5,
            IF('Loan Tape'!U99="Third+",1.7,1)
        ),
    1)</f>
        <v/>
      </c>
      <c r="M98" s="37">
        <f>IFERROR(
        IF(AND('Loan Tape'!V99="Cash-out",'Loan Tape'!U99="First"),1.2,1),
    1)</f>
        <v/>
      </c>
      <c r="N98" s="37">
        <f>IFERROR(
        LET(
            arrears,'Loan Tape'!Q99,
            monthly_pmt,'Loan Tape'!D99*'Loan Tape'!I99/12,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8" s="37">
        <f>IFERROR(
        IF('Loan Tape'!Q99=0,
            LET(
                seasoning,(DATE('Control Panel'!$B$10,1,1)-'Loan Tape'!G99)/365.25,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8" s="37">
        <f>IFERROR(
        IF(AND('Loan Tape'!T99="Yes",
            (DATE('Control Panel'!$B$10,1,1)-'Loan Tape'!G99)/365.25&lt;=1.5),
            1.10,1),
    1)</f>
        <v/>
      </c>
      <c r="Q98" s="37">
        <f>IFERROR(IF('Loan Tape'!AE99="Yes",1.35,1),1)</f>
        <v/>
      </c>
      <c r="R98" s="37">
        <f>IFERROR(
        IF('Loan Tape'!AD99="Yes",
            LET(
                seasoning,(DATE('Control Panel'!$B$10,1,1)-'Loan Tape'!G99)/365.25*12,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8" s="37">
        <f>IFERROR(IF('Loan Tape'!AF99="Yes",1.10,1),1)</f>
        <v/>
      </c>
      <c r="T98" s="37">
        <f>IFERROR(
        IF('Loan Tape'!J99="Interest Only",
            LET(
                yrs_to_mat,('Loan Tape'!H99-DATE('Control Panel'!$B$10,1,1))/365.25,
                is_btl,'Loan Tape'!K99="BTL",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8" s="37">
        <f>1.00</f>
        <v/>
      </c>
      <c r="V98" s="37">
        <f>IFERROR(IF('Loan Tape'!AG99="Yes",1.85,1),1)</f>
        <v/>
      </c>
      <c r="W98" s="37">
        <f>IFERROR(IF('Loan Tape'!R99="Self-Employed",1.15,1),1)</f>
        <v/>
      </c>
      <c r="X98" s="37">
        <f>IFERROR(
        LET(
            ccj_count,'Loan Tape'!X99,
            ccj_date,'Loan Tape'!Y99,
            ccj_value,'Loan Tape'!Z99,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8" s="37">
        <f>IFERROR(
        IF('Loan Tape'!AH99="Yes",
            LET(
                months_since,(DATE('Control Panel'!$B$10,1,1)-'Loan Tape'!AI99)/30.44,
                IF(months_since&lt;=12,2.0,
                    IF(months_since&lt;=24,1.5,
                        IF(months_since&lt;=36,1.2,1)
                    )
                )
            ),
        1),
    1)</f>
        <v/>
      </c>
      <c r="Z98" s="39">
        <f>IFERROR(
        IF(N98&gt;=100,1,
            G98*H98*I98*J98*K98*L98*M98*N98*O98*P98*Q98*R98*S98*T98*U98*V98*W98*X98*Y98
        ),
    0)</f>
        <v/>
      </c>
    </row>
    <row r="99">
      <c r="A99" s="32">
        <f>'Loan Tape'!A100</f>
        <v/>
      </c>
      <c r="B99" s="33">
        <f>'Loan Tape'!D100</f>
        <v/>
      </c>
      <c r="C99" s="34">
        <f>'Loan Tape'!F100</f>
        <v/>
      </c>
      <c r="D99" s="35">
        <f>IFERROR('Loan Tape'!E100/'Loan Tape'!C100,0)</f>
        <v/>
      </c>
      <c r="E99" s="35">
        <f>IFERROR(
        'Loan Tape'!D100/
        ('Loan Tape'!B100*
        (1-IF(AND('Control Panel'!$B$15="YES",'Loan Tape'!W100&lt;&gt;"Full"),0.05,0))),
    0)</f>
        <v/>
      </c>
      <c r="F99" s="35">
        <f>'Control Panel'!$B$13*D99+'Control Panel'!$B$14*E99</f>
        <v/>
      </c>
      <c r="G99" s="36">
        <f>'Parameter Tables'!$B$5</f>
        <v/>
      </c>
      <c r="H99" s="37">
        <f>IFERROR(
        IF(F99&lt;=0.70,
            0.1+F99*1.2857,
            IF(F99&lt;=1.00,
                1+F99*2.5,
                IF(F99&lt;=1.50,
                    MIN(3.5+F99*1.5,5),
                    5
                )
            )
        ),
    1)</f>
        <v/>
      </c>
      <c r="I99" s="38">
        <f>1.00</f>
        <v/>
      </c>
      <c r="J99" s="37">
        <f>IFERROR(
        LET(
            income_mult,'Loan Tape'!D100/'Loan Tape'!O100,
            num_borr,'Loan Tape'!S100,
            seasoning,(DATE('Control Panel'!$B$10,1,1)-'Loan Tape'!G100)/365.25,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99" s="37">
        <f>IFERROR(
        IF('Loan Tape'!K100="BTL",
            LET(
                rental,'Loan Tape'!P100,
                int_cost,'Loan Tape'!D100*0.055,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99" s="37">
        <f>IFERROR(
        IF('Loan Tape'!U100="Second",1.5,
            IF('Loan Tape'!U100="Third+",1.7,1)
        ),
    1)</f>
        <v/>
      </c>
      <c r="M99" s="37">
        <f>IFERROR(
        IF(AND('Loan Tape'!V100="Cash-out",'Loan Tape'!U100="First"),1.2,1),
    1)</f>
        <v/>
      </c>
      <c r="N99" s="37">
        <f>IFERROR(
        LET(
            arrears,'Loan Tape'!Q100,
            monthly_pmt,'Loan Tape'!D100*'Loan Tape'!I100/12,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99" s="37">
        <f>IFERROR(
        IF('Loan Tape'!Q100=0,
            LET(
                seasoning,(DATE('Control Panel'!$B$10,1,1)-'Loan Tape'!G100)/365.25,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99" s="37">
        <f>IFERROR(
        IF(AND('Loan Tape'!T100="Yes",
            (DATE('Control Panel'!$B$10,1,1)-'Loan Tape'!G100)/365.25&lt;=1.5),
            1.10,1),
    1)</f>
        <v/>
      </c>
      <c r="Q99" s="37">
        <f>IFERROR(IF('Loan Tape'!AE100="Yes",1.35,1),1)</f>
        <v/>
      </c>
      <c r="R99" s="37">
        <f>IFERROR(
        IF('Loan Tape'!AD100="Yes",
            LET(
                seasoning,(DATE('Control Panel'!$B$10,1,1)-'Loan Tape'!G100)/365.25*12,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99" s="37">
        <f>IFERROR(IF('Loan Tape'!AF100="Yes",1.10,1),1)</f>
        <v/>
      </c>
      <c r="T99" s="37">
        <f>IFERROR(
        IF('Loan Tape'!J100="Interest Only",
            LET(
                yrs_to_mat,('Loan Tape'!H100-DATE('Control Panel'!$B$10,1,1))/365.25,
                is_btl,'Loan Tape'!K100="BTL",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99" s="37">
        <f>1.00</f>
        <v/>
      </c>
      <c r="V99" s="37">
        <f>IFERROR(IF('Loan Tape'!AG100="Yes",1.85,1),1)</f>
        <v/>
      </c>
      <c r="W99" s="37">
        <f>IFERROR(IF('Loan Tape'!R100="Self-Employed",1.15,1),1)</f>
        <v/>
      </c>
      <c r="X99" s="37">
        <f>IFERROR(
        LET(
            ccj_count,'Loan Tape'!X100,
            ccj_date,'Loan Tape'!Y100,
            ccj_value,'Loan Tape'!Z100,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99" s="37">
        <f>IFERROR(
        IF('Loan Tape'!AH100="Yes",
            LET(
                months_since,(DATE('Control Panel'!$B$10,1,1)-'Loan Tape'!AI100)/30.44,
                IF(months_since&lt;=12,2.0,
                    IF(months_since&lt;=24,1.5,
                        IF(months_since&lt;=36,1.2,1)
                    )
                )
            ),
        1),
    1)</f>
        <v/>
      </c>
      <c r="Z99" s="39">
        <f>IFERROR(
        IF(N99&gt;=100,1,
            G99*H99*I99*J99*K99*L99*M99*N99*O99*P99*Q99*R99*S99*T99*U99*V99*W99*X99*Y99
        ),
    0)</f>
        <v/>
      </c>
    </row>
    <row r="100">
      <c r="A100" s="32">
        <f>'Loan Tape'!A101</f>
        <v/>
      </c>
      <c r="B100" s="33">
        <f>'Loan Tape'!D101</f>
        <v/>
      </c>
      <c r="C100" s="34">
        <f>'Loan Tape'!F101</f>
        <v/>
      </c>
      <c r="D100" s="35">
        <f>IFERROR('Loan Tape'!E101/'Loan Tape'!C101,0)</f>
        <v/>
      </c>
      <c r="E100" s="35">
        <f>IFERROR(
        'Loan Tape'!D101/
        ('Loan Tape'!B101*
        (1-IF(AND('Control Panel'!$B$15="YES",'Loan Tape'!W101&lt;&gt;"Full"),0.05,0))),
    0)</f>
        <v/>
      </c>
      <c r="F100" s="35">
        <f>'Control Panel'!$B$13*D100+'Control Panel'!$B$14*E100</f>
        <v/>
      </c>
      <c r="G100" s="36">
        <f>'Parameter Tables'!$B$5</f>
        <v/>
      </c>
      <c r="H100" s="37">
        <f>IFERROR(
        IF(F100&lt;=0.70,
            0.1+F100*1.2857,
            IF(F100&lt;=1.00,
                1+F100*2.5,
                IF(F100&lt;=1.50,
                    MIN(3.5+F100*1.5,5),
                    5
                )
            )
        ),
    1)</f>
        <v/>
      </c>
      <c r="I100" s="38">
        <f>1.00</f>
        <v/>
      </c>
      <c r="J100" s="37">
        <f>IFERROR(
        LET(
            income_mult,'Loan Tape'!D101/'Loan Tape'!O101,
            num_borr,'Loan Tape'!S101,
            seasoning,(DATE('Control Panel'!$B$10,1,1)-'Loan Tape'!G101)/365.25,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00" s="37">
        <f>IFERROR(
        IF('Loan Tape'!K101="BTL",
            LET(
                rental,'Loan Tape'!P101,
                int_cost,'Loan Tape'!D101*0.055,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00" s="37">
        <f>IFERROR(
        IF('Loan Tape'!U101="Second",1.5,
            IF('Loan Tape'!U101="Third+",1.7,1)
        ),
    1)</f>
        <v/>
      </c>
      <c r="M100" s="37">
        <f>IFERROR(
        IF(AND('Loan Tape'!V101="Cash-out",'Loan Tape'!U101="First"),1.2,1),
    1)</f>
        <v/>
      </c>
      <c r="N100" s="37">
        <f>IFERROR(
        LET(
            arrears,'Loan Tape'!Q101,
            monthly_pmt,'Loan Tape'!D101*'Loan Tape'!I101/12,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00" s="37">
        <f>IFERROR(
        IF('Loan Tape'!Q101=0,
            LET(
                seasoning,(DATE('Control Panel'!$B$10,1,1)-'Loan Tape'!G101)/365.25,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00" s="37">
        <f>IFERROR(
        IF(AND('Loan Tape'!T101="Yes",
            (DATE('Control Panel'!$B$10,1,1)-'Loan Tape'!G101)/365.25&lt;=1.5),
            1.10,1),
    1)</f>
        <v/>
      </c>
      <c r="Q100" s="37">
        <f>IFERROR(IF('Loan Tape'!AE101="Yes",1.35,1),1)</f>
        <v/>
      </c>
      <c r="R100" s="37">
        <f>IFERROR(
        IF('Loan Tape'!AD101="Yes",
            LET(
                seasoning,(DATE('Control Panel'!$B$10,1,1)-'Loan Tape'!G101)/365.25*12,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00" s="37">
        <f>IFERROR(IF('Loan Tape'!AF101="Yes",1.10,1),1)</f>
        <v/>
      </c>
      <c r="T100" s="37">
        <f>IFERROR(
        IF('Loan Tape'!J101="Interest Only",
            LET(
                yrs_to_mat,('Loan Tape'!H101-DATE('Control Panel'!$B$10,1,1))/365.25,
                is_btl,'Loan Tape'!K101="BTL",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00" s="37">
        <f>1.00</f>
        <v/>
      </c>
      <c r="V100" s="37">
        <f>IFERROR(IF('Loan Tape'!AG101="Yes",1.85,1),1)</f>
        <v/>
      </c>
      <c r="W100" s="37">
        <f>IFERROR(IF('Loan Tape'!R101="Self-Employed",1.15,1),1)</f>
        <v/>
      </c>
      <c r="X100" s="37">
        <f>IFERROR(
        LET(
            ccj_count,'Loan Tape'!X101,
            ccj_date,'Loan Tape'!Y101,
            ccj_value,'Loan Tape'!Z101,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00" s="37">
        <f>IFERROR(
        IF('Loan Tape'!AH101="Yes",
            LET(
                months_since,(DATE('Control Panel'!$B$10,1,1)-'Loan Tape'!AI101)/30.44,
                IF(months_since&lt;=12,2.0,
                    IF(months_since&lt;=24,1.5,
                        IF(months_since&lt;=36,1.2,1)
                    )
                )
            ),
        1),
    1)</f>
        <v/>
      </c>
      <c r="Z100" s="39">
        <f>IFERROR(
        IF(N100&gt;=100,1,
            G100*H100*I100*J100*K100*L100*M100*N100*O100*P100*Q100*R100*S100*T100*U100*V100*W100*X100*Y100
        ),
    0)</f>
        <v/>
      </c>
    </row>
    <row r="101">
      <c r="A101" s="32">
        <f>'Loan Tape'!A102</f>
        <v/>
      </c>
      <c r="B101" s="33">
        <f>'Loan Tape'!D102</f>
        <v/>
      </c>
      <c r="C101" s="34">
        <f>'Loan Tape'!F102</f>
        <v/>
      </c>
      <c r="D101" s="35">
        <f>IFERROR('Loan Tape'!E102/'Loan Tape'!C102,0)</f>
        <v/>
      </c>
      <c r="E101" s="35">
        <f>IFERROR(
        'Loan Tape'!D102/
        ('Loan Tape'!B102*
        (1-IF(AND('Control Panel'!$B$15="YES",'Loan Tape'!W102&lt;&gt;"Full"),0.05,0))),
    0)</f>
        <v/>
      </c>
      <c r="F101" s="35">
        <f>'Control Panel'!$B$13*D101+'Control Panel'!$B$14*E101</f>
        <v/>
      </c>
      <c r="G101" s="36">
        <f>'Parameter Tables'!$B$5</f>
        <v/>
      </c>
      <c r="H101" s="37">
        <f>IFERROR(
        IF(F101&lt;=0.70,
            0.1+F101*1.2857,
            IF(F101&lt;=1.00,
                1+F101*2.5,
                IF(F101&lt;=1.50,
                    MIN(3.5+F101*1.5,5),
                    5
                )
            )
        ),
    1)</f>
        <v/>
      </c>
      <c r="I101" s="38">
        <f>1.00</f>
        <v/>
      </c>
      <c r="J101" s="37">
        <f>IFERROR(
        LET(
            income_mult,'Loan Tape'!D102/'Loan Tape'!O102,
            num_borr,'Loan Tape'!S102,
            seasoning,(DATE('Control Panel'!$B$10,1,1)-'Loan Tape'!G102)/365.25,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01" s="37">
        <f>IFERROR(
        IF('Loan Tape'!K102="BTL",
            LET(
                rental,'Loan Tape'!P102,
                int_cost,'Loan Tape'!D102*0.055,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01" s="37">
        <f>IFERROR(
        IF('Loan Tape'!U102="Second",1.5,
            IF('Loan Tape'!U102="Third+",1.7,1)
        ),
    1)</f>
        <v/>
      </c>
      <c r="M101" s="37">
        <f>IFERROR(
        IF(AND('Loan Tape'!V102="Cash-out",'Loan Tape'!U102="First"),1.2,1),
    1)</f>
        <v/>
      </c>
      <c r="N101" s="37">
        <f>IFERROR(
        LET(
            arrears,'Loan Tape'!Q102,
            monthly_pmt,'Loan Tape'!D102*'Loan Tape'!I102/12,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01" s="37">
        <f>IFERROR(
        IF('Loan Tape'!Q102=0,
            LET(
                seasoning,(DATE('Control Panel'!$B$10,1,1)-'Loan Tape'!G102)/365.25,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01" s="37">
        <f>IFERROR(
        IF(AND('Loan Tape'!T102="Yes",
            (DATE('Control Panel'!$B$10,1,1)-'Loan Tape'!G102)/365.25&lt;=1.5),
            1.10,1),
    1)</f>
        <v/>
      </c>
      <c r="Q101" s="37">
        <f>IFERROR(IF('Loan Tape'!AE102="Yes",1.35,1),1)</f>
        <v/>
      </c>
      <c r="R101" s="37">
        <f>IFERROR(
        IF('Loan Tape'!AD102="Yes",
            LET(
                seasoning,(DATE('Control Panel'!$B$10,1,1)-'Loan Tape'!G102)/365.25*12,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01" s="37">
        <f>IFERROR(IF('Loan Tape'!AF102="Yes",1.10,1),1)</f>
        <v/>
      </c>
      <c r="T101" s="37">
        <f>IFERROR(
        IF('Loan Tape'!J102="Interest Only",
            LET(
                yrs_to_mat,('Loan Tape'!H102-DATE('Control Panel'!$B$10,1,1))/365.25,
                is_btl,'Loan Tape'!K102="BTL",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01" s="37">
        <f>1.00</f>
        <v/>
      </c>
      <c r="V101" s="37">
        <f>IFERROR(IF('Loan Tape'!AG102="Yes",1.85,1),1)</f>
        <v/>
      </c>
      <c r="W101" s="37">
        <f>IFERROR(IF('Loan Tape'!R102="Self-Employed",1.15,1),1)</f>
        <v/>
      </c>
      <c r="X101" s="37">
        <f>IFERROR(
        LET(
            ccj_count,'Loan Tape'!X102,
            ccj_date,'Loan Tape'!Y102,
            ccj_value,'Loan Tape'!Z102,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01" s="37">
        <f>IFERROR(
        IF('Loan Tape'!AH102="Yes",
            LET(
                months_since,(DATE('Control Panel'!$B$10,1,1)-'Loan Tape'!AI102)/30.44,
                IF(months_since&lt;=12,2.0,
                    IF(months_since&lt;=24,1.5,
                        IF(months_since&lt;=36,1.2,1)
                    )
                )
            ),
        1),
    1)</f>
        <v/>
      </c>
      <c r="Z101" s="39">
        <f>IFERROR(
        IF(N101&gt;=100,1,
            G101*H101*I101*J101*K101*L101*M101*N101*O101*P101*Q101*R101*S101*T101*U101*V101*W101*X101*Y101
        ),
    0)</f>
        <v/>
      </c>
    </row>
    <row r="102">
      <c r="A102" s="32">
        <f>'Loan Tape'!A103</f>
        <v/>
      </c>
      <c r="B102" s="33">
        <f>'Loan Tape'!D103</f>
        <v/>
      </c>
      <c r="C102" s="34">
        <f>'Loan Tape'!F103</f>
        <v/>
      </c>
      <c r="D102" s="35">
        <f>IFERROR('Loan Tape'!E103/'Loan Tape'!C103,0)</f>
        <v/>
      </c>
      <c r="E102" s="35">
        <f>IFERROR(
        'Loan Tape'!D103/
        ('Loan Tape'!B103*
        (1-IF(AND('Control Panel'!$B$15="YES",'Loan Tape'!W103&lt;&gt;"Full"),0.05,0))),
    0)</f>
        <v/>
      </c>
      <c r="F102" s="35">
        <f>'Control Panel'!$B$13*D102+'Control Panel'!$B$14*E102</f>
        <v/>
      </c>
      <c r="G102" s="36">
        <f>'Parameter Tables'!$B$5</f>
        <v/>
      </c>
      <c r="H102" s="37">
        <f>IFERROR(
        IF(F102&lt;=0.70,
            0.1+F102*1.2857,
            IF(F102&lt;=1.00,
                1+F102*2.5,
                IF(F102&lt;=1.50,
                    MIN(3.5+F102*1.5,5),
                    5
                )
            )
        ),
    1)</f>
        <v/>
      </c>
      <c r="I102" s="38">
        <f>1.00</f>
        <v/>
      </c>
      <c r="J102" s="37">
        <f>IFERROR(
        LET(
            income_mult,'Loan Tape'!D103/'Loan Tape'!O103,
            num_borr,'Loan Tape'!S103,
            seasoning,(DATE('Control Panel'!$B$10,1,1)-'Loan Tape'!G103)/365.25,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02" s="37">
        <f>IFERROR(
        IF('Loan Tape'!K103="BTL",
            LET(
                rental,'Loan Tape'!P103,
                int_cost,'Loan Tape'!D103*0.055,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02" s="37">
        <f>IFERROR(
        IF('Loan Tape'!U103="Second",1.5,
            IF('Loan Tape'!U103="Third+",1.7,1)
        ),
    1)</f>
        <v/>
      </c>
      <c r="M102" s="37">
        <f>IFERROR(
        IF(AND('Loan Tape'!V103="Cash-out",'Loan Tape'!U103="First"),1.2,1),
    1)</f>
        <v/>
      </c>
      <c r="N102" s="37">
        <f>IFERROR(
        LET(
            arrears,'Loan Tape'!Q103,
            monthly_pmt,'Loan Tape'!D103*'Loan Tape'!I103/12,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02" s="37">
        <f>IFERROR(
        IF('Loan Tape'!Q103=0,
            LET(
                seasoning,(DATE('Control Panel'!$B$10,1,1)-'Loan Tape'!G103)/365.25,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02" s="37">
        <f>IFERROR(
        IF(AND('Loan Tape'!T103="Yes",
            (DATE('Control Panel'!$B$10,1,1)-'Loan Tape'!G103)/365.25&lt;=1.5),
            1.10,1),
    1)</f>
        <v/>
      </c>
      <c r="Q102" s="37">
        <f>IFERROR(IF('Loan Tape'!AE103="Yes",1.35,1),1)</f>
        <v/>
      </c>
      <c r="R102" s="37">
        <f>IFERROR(
        IF('Loan Tape'!AD103="Yes",
            LET(
                seasoning,(DATE('Control Panel'!$B$10,1,1)-'Loan Tape'!G103)/365.25*12,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02" s="37">
        <f>IFERROR(IF('Loan Tape'!AF103="Yes",1.10,1),1)</f>
        <v/>
      </c>
      <c r="T102" s="37">
        <f>IFERROR(
        IF('Loan Tape'!J103="Interest Only",
            LET(
                yrs_to_mat,('Loan Tape'!H103-DATE('Control Panel'!$B$10,1,1))/365.25,
                is_btl,'Loan Tape'!K103="BTL",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02" s="37">
        <f>1.00</f>
        <v/>
      </c>
      <c r="V102" s="37">
        <f>IFERROR(IF('Loan Tape'!AG103="Yes",1.85,1),1)</f>
        <v/>
      </c>
      <c r="W102" s="37">
        <f>IFERROR(IF('Loan Tape'!R103="Self-Employed",1.15,1),1)</f>
        <v/>
      </c>
      <c r="X102" s="37">
        <f>IFERROR(
        LET(
            ccj_count,'Loan Tape'!X103,
            ccj_date,'Loan Tape'!Y103,
            ccj_value,'Loan Tape'!Z103,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02" s="37">
        <f>IFERROR(
        IF('Loan Tape'!AH103="Yes",
            LET(
                months_since,(DATE('Control Panel'!$B$10,1,1)-'Loan Tape'!AI103)/30.44,
                IF(months_since&lt;=12,2.0,
                    IF(months_since&lt;=24,1.5,
                        IF(months_since&lt;=36,1.2,1)
                    )
                )
            ),
        1),
    1)</f>
        <v/>
      </c>
      <c r="Z102" s="39">
        <f>IFERROR(
        IF(N102&gt;=100,1,
            G102*H102*I102*J102*K102*L102*M102*N102*O102*P102*Q102*R102*S102*T102*U102*V102*W102*X102*Y102
        ),
    0)</f>
        <v/>
      </c>
    </row>
    <row r="103">
      <c r="A103" s="32">
        <f>'Loan Tape'!A104</f>
        <v/>
      </c>
      <c r="B103" s="33">
        <f>'Loan Tape'!D104</f>
        <v/>
      </c>
      <c r="C103" s="34">
        <f>'Loan Tape'!F104</f>
        <v/>
      </c>
      <c r="D103" s="35">
        <f>IFERROR('Loan Tape'!E104/'Loan Tape'!C104,0)</f>
        <v/>
      </c>
      <c r="E103" s="35">
        <f>IFERROR(
        'Loan Tape'!D104/
        ('Loan Tape'!B104*
        (1-IF(AND('Control Panel'!$B$15="YES",'Loan Tape'!W104&lt;&gt;"Full"),0.05,0))),
    0)</f>
        <v/>
      </c>
      <c r="F103" s="35">
        <f>'Control Panel'!$B$13*D103+'Control Panel'!$B$14*E103</f>
        <v/>
      </c>
      <c r="G103" s="36">
        <f>'Parameter Tables'!$B$5</f>
        <v/>
      </c>
      <c r="H103" s="37">
        <f>IFERROR(
        IF(F103&lt;=0.70,
            0.1+F103*1.2857,
            IF(F103&lt;=1.00,
                1+F103*2.5,
                IF(F103&lt;=1.50,
                    MIN(3.5+F103*1.5,5),
                    5
                )
            )
        ),
    1)</f>
        <v/>
      </c>
      <c r="I103" s="38">
        <f>1.00</f>
        <v/>
      </c>
      <c r="J103" s="37">
        <f>IFERROR(
        LET(
            income_mult,'Loan Tape'!D104/'Loan Tape'!O104,
            num_borr,'Loan Tape'!S104,
            seasoning,(DATE('Control Panel'!$B$10,1,1)-'Loan Tape'!G104)/365.25,
            single_adj,IF(income_mult&gt;5,1.5,IF(income_mult&gt;3.5,1.2,1)),
            joint_adj,IF(income_mult&gt;3.25,1.5,IF(income_mult&gt;2.75,1.2,1)),
            adj,IF(num_borr=1,single_adj,joint_adj),
            IF(AND(adj&gt;1,seasoning&lt;=1.5),adj,1)
        ),
    1)</f>
        <v/>
      </c>
      <c r="K103" s="37">
        <f>IFERROR(
        IF('Loan Tape'!K104="BTL",
            LET(
                rental,'Loan Tape'!P104,
                int_cost,'Loan Tape'!D104*0.055,
                dscr,rental/int_cost,
                IF(rental=0,1.7,
                    IF(dscr&gt;1.35,1.25,
                        IF(dscr&gt;1.20,1.35,
                            IF(dscr&gt;=1.00,1.45,1.55)
                        )
                    )
                )
            ),
        1),
    1)</f>
        <v/>
      </c>
      <c r="L103" s="37">
        <f>IFERROR(
        IF('Loan Tape'!U104="Second",1.5,
            IF('Loan Tape'!U104="Third+",1.7,1)
        ),
    1)</f>
        <v/>
      </c>
      <c r="M103" s="37">
        <f>IFERROR(
        IF(AND('Loan Tape'!V104="Cash-out",'Loan Tape'!U104="First"),1.2,1),
    1)</f>
        <v/>
      </c>
      <c r="N103" s="37">
        <f>IFERROR(
        LET(
            arrears,'Loan Tape'!Q104,
            monthly_pmt,'Loan Tape'!D104*'Loan Tape'!I104/12,
            months_arrears,arrears/monthly_pmt,
            IF(months_arrears&gt;=3,100,
                IF(months_arrears&gt;=2,5.0,
                    IF(months_arrears&gt;=1,2.5,1)
                )
            )
        ),
    1)</f>
        <v/>
      </c>
      <c r="O103" s="37">
        <f>IFERROR(
        IF('Loan Tape'!Q104=0,
            LET(
                seasoning,(DATE('Control Panel'!$B$10,1,1)-'Loan Tape'!G104)/365.25,
                IF(seasoning&gt;10,0.50,
                    IF(seasoning&gt;9,0.55,
                        IF(seasoning&gt;8,0.60,
                            IF(seasoning&gt;7,0.65,
                                IF(seasoning&gt;6,0.70,
                                    IF(seasoning&gt;5,0.75,1)
                                )
                            )
                        )
                    )
                )
            ),
        1),
    1)</f>
        <v/>
      </c>
      <c r="P103" s="37">
        <f>IFERROR(
        IF(AND('Loan Tape'!T104="Yes",
            (DATE('Control Panel'!$B$10,1,1)-'Loan Tape'!G104)/365.25&lt;=1.5),
            1.10,1),
    1)</f>
        <v/>
      </c>
      <c r="Q103" s="37">
        <f>IFERROR(IF('Loan Tape'!AE104="Yes",1.35,1),1)</f>
        <v/>
      </c>
      <c r="R103" s="37">
        <f>IFERROR(
        IF('Loan Tape'!AD104="Yes",
            LET(
                seasoning,(DATE('Control Panel'!$B$10,1,1)-'Loan Tape'!G104)/365.25*12,
                base,1.5,
                factor,IF(seasoning&gt;72,0,
                    IF(seasoning&gt;60,0.15,
                        IF(seasoning&gt;48,0.35,
                            IF(seasoning&gt;36,0.55,
                                IF(seasoning&gt;24,0.80,
                                    IF(seasoning&gt;12,0.85,1)
                                )
                            )
                        )
                    )
                ),
                1+((base-1)*factor)
            ),
        1),
    1)</f>
        <v/>
      </c>
      <c r="S103" s="37">
        <f>IFERROR(IF('Loan Tape'!AF104="Yes",1.10,1),1)</f>
        <v/>
      </c>
      <c r="T103" s="37">
        <f>IFERROR(
        IF('Loan Tape'!J104="Interest Only",
            LET(
                yrs_to_mat,('Loan Tape'!H104-DATE('Control Panel'!$B$10,1,1))/365.25,
                is_btl,'Loan Tape'!K104="BTL",
                IF(is_btl,1,
                    IF(yrs_to_mat&gt;25,1.10,
                        IF(yrs_to_mat&gt;=15,1.20,
                            IF(yrs_to_mat&gt;=5,1.25,1.25)
                        )
                    )
                )
            ),
        1),
    1)</f>
        <v/>
      </c>
      <c r="U103" s="37">
        <f>1.00</f>
        <v/>
      </c>
      <c r="V103" s="37">
        <f>IFERROR(IF('Loan Tape'!AG104="Yes",1.85,1),1)</f>
        <v/>
      </c>
      <c r="W103" s="37">
        <f>IFERROR(IF('Loan Tape'!R104="Self-Employed",1.15,1),1)</f>
        <v/>
      </c>
      <c r="X103" s="37">
        <f>IFERROR(
        LET(
            ccj_count,'Loan Tape'!X104,
            ccj_date,'Loan Tape'!Y104,
            ccj_value,'Loan Tape'!Z104,
            years_since,(DATE('Control Panel'!$B$10,1,1)-ccj_date)/365.25,
            IF(ccj_count=0,1,
                IF(years_since&gt;6,1.075,
                    LET(
                        is_recent,years_since&lt;1,
                        count_adj,IF(ccj_count=1,IF(is_recent,1.10,1.075),
                            IF(ccj_count=2,IF(is_recent,1.50,1.375),
                                IF(ccj_count=3,IF(is_recent,2.50,2.125),
                                    IF(ccj_count=4,IF(is_recent,3.80,3.100),
                                        IF(is_recent,4.00,3.250)
                                    )
                                )
                            )
                        ),
                        value_adj,IF(ccj_value&gt;=10000,MAX(count_adj,4.0),
                            IF(ccj_value&gt;=5000,MAX(count_adj,2.5),count_adj)
                        ),
                        value_adj
                    )
                )
            )
        ),
    1)</f>
        <v/>
      </c>
      <c r="Y103" s="37">
        <f>IFERROR(
        IF('Loan Tape'!AH104="Yes",
            LET(
                months_since,(DATE('Control Panel'!$B$10,1,1)-'Loan Tape'!AI104)/30.44,
                IF(months_since&lt;=12,2.0,
                    IF(months_since&lt;=24,1.5,
                        IF(months_since&lt;=36,1.2,1)
                    )
                )
            ),
        1),
    1)</f>
        <v/>
      </c>
      <c r="Z103" s="39">
        <f>IFERROR(
        IF(N103&gt;=100,1,
            G103*H103*I103*J103*K103*L103*M103*N103*O103*P103*Q103*R103*S103*T103*U103*V103*W103*X103*Y103
        ),
    0)</f>
        <v/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8" t="inlineStr">
        <is>
          <t>LOSS SEVERITY CALCULATIONS</t>
        </is>
      </c>
    </row>
    <row r="2">
      <c r="A2" s="31" t="inlineStr">
        <is>
          <t>S&amp;P Global Ratings - UK RMBS Methodology - Market Value Decline &amp; Loss Given Default</t>
        </is>
      </c>
    </row>
    <row r="3">
      <c r="A3" s="29" t="inlineStr">
        <is>
          <t>Loan ID</t>
        </is>
      </c>
      <c r="B3" s="29" t="inlineStr">
        <is>
          <t>Current Balance</t>
        </is>
      </c>
      <c r="C3" s="29" t="inlineStr">
        <is>
          <t>Property Value</t>
        </is>
      </c>
      <c r="D3" s="29" t="inlineStr">
        <is>
          <t>S&amp;P LTV (%)</t>
        </is>
      </c>
      <c r="E3" s="29" t="inlineStr">
        <is>
          <t>Jumbo Adj (£)</t>
        </is>
      </c>
      <c r="F3" s="29" t="inlineStr">
        <is>
          <t>MVD Applied (%)</t>
        </is>
      </c>
      <c r="G3" s="29" t="inlineStr">
        <is>
          <t>Post-Repo Value (£)</t>
        </is>
      </c>
      <c r="H3" s="29" t="inlineStr">
        <is>
          <t>Fixed FC (£)</t>
        </is>
      </c>
      <c r="I3" s="29" t="inlineStr">
        <is>
          <t>Variable FC (£)</t>
        </is>
      </c>
      <c r="J3" s="29" t="inlineStr">
        <is>
          <t>Total FC (£)</t>
        </is>
      </c>
      <c r="K3" s="29" t="inlineStr">
        <is>
          <t>Accrued Int (£)</t>
        </is>
      </c>
      <c r="L3" s="29" t="inlineStr">
        <is>
          <t>Total Claim (£)</t>
        </is>
      </c>
      <c r="M3" s="29" t="inlineStr">
        <is>
          <t>Recoveries (£)</t>
        </is>
      </c>
      <c r="N3" s="29" t="inlineStr">
        <is>
          <t>Loss Amount (£)</t>
        </is>
      </c>
      <c r="O3" s="29" t="inlineStr">
        <is>
          <t>Loss Severity (%)</t>
        </is>
      </c>
    </row>
    <row r="4">
      <c r="A4" s="32">
        <f>'Loan Tape'!A5</f>
        <v/>
      </c>
      <c r="B4" s="33">
        <f>'Loan Tape'!D5</f>
        <v/>
      </c>
      <c r="C4" s="33">
        <f>'Loan Tape'!B5*(1-IF(AND('Control Panel'!$B$15="YES",'Loan Tape'!W5&lt;&gt;"Full"),0.05,0))</f>
        <v/>
      </c>
      <c r="D4" s="35">
        <f>'FF Calculations'!F4</f>
        <v/>
      </c>
      <c r="E4" s="33">
        <f>IFERROR(
        LET(
            region,'Loan Tape'!M5,
            prop_val,C4,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" s="40">
        <f>0.45</f>
        <v/>
      </c>
      <c r="G4" s="33">
        <f>(C4-E4)*(1-F4)</f>
        <v/>
      </c>
      <c r="H4" s="33">
        <f>IFERROR(
        IF('Loan Tape'!U5="First",5000,7000),
    5000)</f>
        <v/>
      </c>
      <c r="I4" s="33">
        <f>G4*0.03</f>
        <v/>
      </c>
      <c r="J4" s="33">
        <f>H4+I4</f>
        <v/>
      </c>
      <c r="K4" s="33">
        <f>IFERROR(
        LET(
            is_btl,'Loan Tape'!K5="BTL",
            is_subsequent,'Loan Tape'!U5&lt;&gt;"First",
            months,IF(is_subsequent,21,IF(is_btl,12,18)),
            B4*'Loan Tape'!I5*months/12
        ),
    0)</f>
        <v/>
      </c>
      <c r="L4" s="33">
        <f>B4+J4+K4</f>
        <v/>
      </c>
      <c r="M4" s="33">
        <f>MAX(G4-J4,0)</f>
        <v/>
      </c>
      <c r="N4" s="33">
        <f>L4-M4</f>
        <v/>
      </c>
      <c r="O4" s="16">
        <f>IFERROR(N4/B4,0)</f>
        <v/>
      </c>
    </row>
    <row r="5">
      <c r="A5" s="32">
        <f>'Loan Tape'!A6</f>
        <v/>
      </c>
      <c r="B5" s="33">
        <f>'Loan Tape'!D6</f>
        <v/>
      </c>
      <c r="C5" s="33">
        <f>'Loan Tape'!B6*(1-IF(AND('Control Panel'!$B$15="YES",'Loan Tape'!W6&lt;&gt;"Full"),0.05,0))</f>
        <v/>
      </c>
      <c r="D5" s="35">
        <f>'FF Calculations'!F5</f>
        <v/>
      </c>
      <c r="E5" s="33">
        <f>IFERROR(
        LET(
            region,'Loan Tape'!M6,
            prop_val,C5,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" s="40">
        <f>0.45</f>
        <v/>
      </c>
      <c r="G5" s="33">
        <f>(C5-E5)*(1-F5)</f>
        <v/>
      </c>
      <c r="H5" s="33">
        <f>IFERROR(
        IF('Loan Tape'!U6="First",5000,7000),
    5000)</f>
        <v/>
      </c>
      <c r="I5" s="33">
        <f>G5*0.03</f>
        <v/>
      </c>
      <c r="J5" s="33">
        <f>H5+I5</f>
        <v/>
      </c>
      <c r="K5" s="33">
        <f>IFERROR(
        LET(
            is_btl,'Loan Tape'!K6="BTL",
            is_subsequent,'Loan Tape'!U6&lt;&gt;"First",
            months,IF(is_subsequent,21,IF(is_btl,12,18)),
            B5*'Loan Tape'!I6*months/12
        ),
    0)</f>
        <v/>
      </c>
      <c r="L5" s="33">
        <f>B5+J5+K5</f>
        <v/>
      </c>
      <c r="M5" s="33">
        <f>MAX(G5-J5,0)</f>
        <v/>
      </c>
      <c r="N5" s="33">
        <f>L5-M5</f>
        <v/>
      </c>
      <c r="O5" s="16">
        <f>IFERROR(N5/B5,0)</f>
        <v/>
      </c>
    </row>
    <row r="6">
      <c r="A6" s="32">
        <f>'Loan Tape'!A7</f>
        <v/>
      </c>
      <c r="B6" s="33">
        <f>'Loan Tape'!D7</f>
        <v/>
      </c>
      <c r="C6" s="33">
        <f>'Loan Tape'!B7*(1-IF(AND('Control Panel'!$B$15="YES",'Loan Tape'!W7&lt;&gt;"Full"),0.05,0))</f>
        <v/>
      </c>
      <c r="D6" s="35">
        <f>'FF Calculations'!F6</f>
        <v/>
      </c>
      <c r="E6" s="33">
        <f>IFERROR(
        LET(
            region,'Loan Tape'!M7,
            prop_val,C6,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" s="40">
        <f>0.45</f>
        <v/>
      </c>
      <c r="G6" s="33">
        <f>(C6-E6)*(1-F6)</f>
        <v/>
      </c>
      <c r="H6" s="33">
        <f>IFERROR(
        IF('Loan Tape'!U7="First",5000,7000),
    5000)</f>
        <v/>
      </c>
      <c r="I6" s="33">
        <f>G6*0.03</f>
        <v/>
      </c>
      <c r="J6" s="33">
        <f>H6+I6</f>
        <v/>
      </c>
      <c r="K6" s="33">
        <f>IFERROR(
        LET(
            is_btl,'Loan Tape'!K7="BTL",
            is_subsequent,'Loan Tape'!U7&lt;&gt;"First",
            months,IF(is_subsequent,21,IF(is_btl,12,18)),
            B6*'Loan Tape'!I7*months/12
        ),
    0)</f>
        <v/>
      </c>
      <c r="L6" s="33">
        <f>B6+J6+K6</f>
        <v/>
      </c>
      <c r="M6" s="33">
        <f>MAX(G6-J6,0)</f>
        <v/>
      </c>
      <c r="N6" s="33">
        <f>L6-M6</f>
        <v/>
      </c>
      <c r="O6" s="16">
        <f>IFERROR(N6/B6,0)</f>
        <v/>
      </c>
    </row>
    <row r="7">
      <c r="A7" s="32">
        <f>'Loan Tape'!A8</f>
        <v/>
      </c>
      <c r="B7" s="33">
        <f>'Loan Tape'!D8</f>
        <v/>
      </c>
      <c r="C7" s="33">
        <f>'Loan Tape'!B8*(1-IF(AND('Control Panel'!$B$15="YES",'Loan Tape'!W8&lt;&gt;"Full"),0.05,0))</f>
        <v/>
      </c>
      <c r="D7" s="35">
        <f>'FF Calculations'!F7</f>
        <v/>
      </c>
      <c r="E7" s="33">
        <f>IFERROR(
        LET(
            region,'Loan Tape'!M8,
            prop_val,C7,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" s="40">
        <f>0.45</f>
        <v/>
      </c>
      <c r="G7" s="33">
        <f>(C7-E7)*(1-F7)</f>
        <v/>
      </c>
      <c r="H7" s="33">
        <f>IFERROR(
        IF('Loan Tape'!U8="First",5000,7000),
    5000)</f>
        <v/>
      </c>
      <c r="I7" s="33">
        <f>G7*0.03</f>
        <v/>
      </c>
      <c r="J7" s="33">
        <f>H7+I7</f>
        <v/>
      </c>
      <c r="K7" s="33">
        <f>IFERROR(
        LET(
            is_btl,'Loan Tape'!K8="BTL",
            is_subsequent,'Loan Tape'!U8&lt;&gt;"First",
            months,IF(is_subsequent,21,IF(is_btl,12,18)),
            B7*'Loan Tape'!I8*months/12
        ),
    0)</f>
        <v/>
      </c>
      <c r="L7" s="33">
        <f>B7+J7+K7</f>
        <v/>
      </c>
      <c r="M7" s="33">
        <f>MAX(G7-J7,0)</f>
        <v/>
      </c>
      <c r="N7" s="33">
        <f>L7-M7</f>
        <v/>
      </c>
      <c r="O7" s="16">
        <f>IFERROR(N7/B7,0)</f>
        <v/>
      </c>
    </row>
    <row r="8">
      <c r="A8" s="32">
        <f>'Loan Tape'!A9</f>
        <v/>
      </c>
      <c r="B8" s="33">
        <f>'Loan Tape'!D9</f>
        <v/>
      </c>
      <c r="C8" s="33">
        <f>'Loan Tape'!B9*(1-IF(AND('Control Panel'!$B$15="YES",'Loan Tape'!W9&lt;&gt;"Full"),0.05,0))</f>
        <v/>
      </c>
      <c r="D8" s="35">
        <f>'FF Calculations'!F8</f>
        <v/>
      </c>
      <c r="E8" s="33">
        <f>IFERROR(
        LET(
            region,'Loan Tape'!M9,
            prop_val,C8,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" s="40">
        <f>0.45</f>
        <v/>
      </c>
      <c r="G8" s="33">
        <f>(C8-E8)*(1-F8)</f>
        <v/>
      </c>
      <c r="H8" s="33">
        <f>IFERROR(
        IF('Loan Tape'!U9="First",5000,7000),
    5000)</f>
        <v/>
      </c>
      <c r="I8" s="33">
        <f>G8*0.03</f>
        <v/>
      </c>
      <c r="J8" s="33">
        <f>H8+I8</f>
        <v/>
      </c>
      <c r="K8" s="33">
        <f>IFERROR(
        LET(
            is_btl,'Loan Tape'!K9="BTL",
            is_subsequent,'Loan Tape'!U9&lt;&gt;"First",
            months,IF(is_subsequent,21,IF(is_btl,12,18)),
            B8*'Loan Tape'!I9*months/12
        ),
    0)</f>
        <v/>
      </c>
      <c r="L8" s="33">
        <f>B8+J8+K8</f>
        <v/>
      </c>
      <c r="M8" s="33">
        <f>MAX(G8-J8,0)</f>
        <v/>
      </c>
      <c r="N8" s="33">
        <f>L8-M8</f>
        <v/>
      </c>
      <c r="O8" s="16">
        <f>IFERROR(N8/B8,0)</f>
        <v/>
      </c>
    </row>
    <row r="9">
      <c r="A9" s="32">
        <f>'Loan Tape'!A10</f>
        <v/>
      </c>
      <c r="B9" s="33">
        <f>'Loan Tape'!D10</f>
        <v/>
      </c>
      <c r="C9" s="33">
        <f>'Loan Tape'!B10*(1-IF(AND('Control Panel'!$B$15="YES",'Loan Tape'!W10&lt;&gt;"Full"),0.05,0))</f>
        <v/>
      </c>
      <c r="D9" s="35">
        <f>'FF Calculations'!F9</f>
        <v/>
      </c>
      <c r="E9" s="33">
        <f>IFERROR(
        LET(
            region,'Loan Tape'!M10,
            prop_val,C9,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" s="40">
        <f>0.45</f>
        <v/>
      </c>
      <c r="G9" s="33">
        <f>(C9-E9)*(1-F9)</f>
        <v/>
      </c>
      <c r="H9" s="33">
        <f>IFERROR(
        IF('Loan Tape'!U10="First",5000,7000),
    5000)</f>
        <v/>
      </c>
      <c r="I9" s="33">
        <f>G9*0.03</f>
        <v/>
      </c>
      <c r="J9" s="33">
        <f>H9+I9</f>
        <v/>
      </c>
      <c r="K9" s="33">
        <f>IFERROR(
        LET(
            is_btl,'Loan Tape'!K10="BTL",
            is_subsequent,'Loan Tape'!U10&lt;&gt;"First",
            months,IF(is_subsequent,21,IF(is_btl,12,18)),
            B9*'Loan Tape'!I10*months/12
        ),
    0)</f>
        <v/>
      </c>
      <c r="L9" s="33">
        <f>B9+J9+K9</f>
        <v/>
      </c>
      <c r="M9" s="33">
        <f>MAX(G9-J9,0)</f>
        <v/>
      </c>
      <c r="N9" s="33">
        <f>L9-M9</f>
        <v/>
      </c>
      <c r="O9" s="16">
        <f>IFERROR(N9/B9,0)</f>
        <v/>
      </c>
    </row>
    <row r="10">
      <c r="A10" s="32">
        <f>'Loan Tape'!A11</f>
        <v/>
      </c>
      <c r="B10" s="33">
        <f>'Loan Tape'!D11</f>
        <v/>
      </c>
      <c r="C10" s="33">
        <f>'Loan Tape'!B11*(1-IF(AND('Control Panel'!$B$15="YES",'Loan Tape'!W11&lt;&gt;"Full"),0.05,0))</f>
        <v/>
      </c>
      <c r="D10" s="35">
        <f>'FF Calculations'!F10</f>
        <v/>
      </c>
      <c r="E10" s="33">
        <f>IFERROR(
        LET(
            region,'Loan Tape'!M11,
            prop_val,C10,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0" s="40">
        <f>0.45</f>
        <v/>
      </c>
      <c r="G10" s="33">
        <f>(C10-E10)*(1-F10)</f>
        <v/>
      </c>
      <c r="H10" s="33">
        <f>IFERROR(
        IF('Loan Tape'!U11="First",5000,7000),
    5000)</f>
        <v/>
      </c>
      <c r="I10" s="33">
        <f>G10*0.03</f>
        <v/>
      </c>
      <c r="J10" s="33">
        <f>H10+I10</f>
        <v/>
      </c>
      <c r="K10" s="33">
        <f>IFERROR(
        LET(
            is_btl,'Loan Tape'!K11="BTL",
            is_subsequent,'Loan Tape'!U11&lt;&gt;"First",
            months,IF(is_subsequent,21,IF(is_btl,12,18)),
            B10*'Loan Tape'!I11*months/12
        ),
    0)</f>
        <v/>
      </c>
      <c r="L10" s="33">
        <f>B10+J10+K10</f>
        <v/>
      </c>
      <c r="M10" s="33">
        <f>MAX(G10-J10,0)</f>
        <v/>
      </c>
      <c r="N10" s="33">
        <f>L10-M10</f>
        <v/>
      </c>
      <c r="O10" s="16">
        <f>IFERROR(N10/B10,0)</f>
        <v/>
      </c>
    </row>
    <row r="11">
      <c r="A11" s="32">
        <f>'Loan Tape'!A12</f>
        <v/>
      </c>
      <c r="B11" s="33">
        <f>'Loan Tape'!D12</f>
        <v/>
      </c>
      <c r="C11" s="33">
        <f>'Loan Tape'!B12*(1-IF(AND('Control Panel'!$B$15="YES",'Loan Tape'!W12&lt;&gt;"Full"),0.05,0))</f>
        <v/>
      </c>
      <c r="D11" s="35">
        <f>'FF Calculations'!F11</f>
        <v/>
      </c>
      <c r="E11" s="33">
        <f>IFERROR(
        LET(
            region,'Loan Tape'!M12,
            prop_val,C11,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1" s="40">
        <f>0.45</f>
        <v/>
      </c>
      <c r="G11" s="33">
        <f>(C11-E11)*(1-F11)</f>
        <v/>
      </c>
      <c r="H11" s="33">
        <f>IFERROR(
        IF('Loan Tape'!U12="First",5000,7000),
    5000)</f>
        <v/>
      </c>
      <c r="I11" s="33">
        <f>G11*0.03</f>
        <v/>
      </c>
      <c r="J11" s="33">
        <f>H11+I11</f>
        <v/>
      </c>
      <c r="K11" s="33">
        <f>IFERROR(
        LET(
            is_btl,'Loan Tape'!K12="BTL",
            is_subsequent,'Loan Tape'!U12&lt;&gt;"First",
            months,IF(is_subsequent,21,IF(is_btl,12,18)),
            B11*'Loan Tape'!I12*months/12
        ),
    0)</f>
        <v/>
      </c>
      <c r="L11" s="33">
        <f>B11+J11+K11</f>
        <v/>
      </c>
      <c r="M11" s="33">
        <f>MAX(G11-J11,0)</f>
        <v/>
      </c>
      <c r="N11" s="33">
        <f>L11-M11</f>
        <v/>
      </c>
      <c r="O11" s="16">
        <f>IFERROR(N11/B11,0)</f>
        <v/>
      </c>
    </row>
    <row r="12">
      <c r="A12" s="32">
        <f>'Loan Tape'!A13</f>
        <v/>
      </c>
      <c r="B12" s="33">
        <f>'Loan Tape'!D13</f>
        <v/>
      </c>
      <c r="C12" s="33">
        <f>'Loan Tape'!B13*(1-IF(AND('Control Panel'!$B$15="YES",'Loan Tape'!W13&lt;&gt;"Full"),0.05,0))</f>
        <v/>
      </c>
      <c r="D12" s="35">
        <f>'FF Calculations'!F12</f>
        <v/>
      </c>
      <c r="E12" s="33">
        <f>IFERROR(
        LET(
            region,'Loan Tape'!M13,
            prop_val,C12,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2" s="40">
        <f>0.45</f>
        <v/>
      </c>
      <c r="G12" s="33">
        <f>(C12-E12)*(1-F12)</f>
        <v/>
      </c>
      <c r="H12" s="33">
        <f>IFERROR(
        IF('Loan Tape'!U13="First",5000,7000),
    5000)</f>
        <v/>
      </c>
      <c r="I12" s="33">
        <f>G12*0.03</f>
        <v/>
      </c>
      <c r="J12" s="33">
        <f>H12+I12</f>
        <v/>
      </c>
      <c r="K12" s="33">
        <f>IFERROR(
        LET(
            is_btl,'Loan Tape'!K13="BTL",
            is_subsequent,'Loan Tape'!U13&lt;&gt;"First",
            months,IF(is_subsequent,21,IF(is_btl,12,18)),
            B12*'Loan Tape'!I13*months/12
        ),
    0)</f>
        <v/>
      </c>
      <c r="L12" s="33">
        <f>B12+J12+K12</f>
        <v/>
      </c>
      <c r="M12" s="33">
        <f>MAX(G12-J12,0)</f>
        <v/>
      </c>
      <c r="N12" s="33">
        <f>L12-M12</f>
        <v/>
      </c>
      <c r="O12" s="16">
        <f>IFERROR(N12/B12,0)</f>
        <v/>
      </c>
    </row>
    <row r="13">
      <c r="A13" s="32">
        <f>'Loan Tape'!A14</f>
        <v/>
      </c>
      <c r="B13" s="33">
        <f>'Loan Tape'!D14</f>
        <v/>
      </c>
      <c r="C13" s="33">
        <f>'Loan Tape'!B14*(1-IF(AND('Control Panel'!$B$15="YES",'Loan Tape'!W14&lt;&gt;"Full"),0.05,0))</f>
        <v/>
      </c>
      <c r="D13" s="35">
        <f>'FF Calculations'!F13</f>
        <v/>
      </c>
      <c r="E13" s="33">
        <f>IFERROR(
        LET(
            region,'Loan Tape'!M14,
            prop_val,C13,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3" s="40">
        <f>0.45</f>
        <v/>
      </c>
      <c r="G13" s="33">
        <f>(C13-E13)*(1-F13)</f>
        <v/>
      </c>
      <c r="H13" s="33">
        <f>IFERROR(
        IF('Loan Tape'!U14="First",5000,7000),
    5000)</f>
        <v/>
      </c>
      <c r="I13" s="33">
        <f>G13*0.03</f>
        <v/>
      </c>
      <c r="J13" s="33">
        <f>H13+I13</f>
        <v/>
      </c>
      <c r="K13" s="33">
        <f>IFERROR(
        LET(
            is_btl,'Loan Tape'!K14="BTL",
            is_subsequent,'Loan Tape'!U14&lt;&gt;"First",
            months,IF(is_subsequent,21,IF(is_btl,12,18)),
            B13*'Loan Tape'!I14*months/12
        ),
    0)</f>
        <v/>
      </c>
      <c r="L13" s="33">
        <f>B13+J13+K13</f>
        <v/>
      </c>
      <c r="M13" s="33">
        <f>MAX(G13-J13,0)</f>
        <v/>
      </c>
      <c r="N13" s="33">
        <f>L13-M13</f>
        <v/>
      </c>
      <c r="O13" s="16">
        <f>IFERROR(N13/B13,0)</f>
        <v/>
      </c>
    </row>
    <row r="14">
      <c r="A14" s="32">
        <f>'Loan Tape'!A15</f>
        <v/>
      </c>
      <c r="B14" s="33">
        <f>'Loan Tape'!D15</f>
        <v/>
      </c>
      <c r="C14" s="33">
        <f>'Loan Tape'!B15*(1-IF(AND('Control Panel'!$B$15="YES",'Loan Tape'!W15&lt;&gt;"Full"),0.05,0))</f>
        <v/>
      </c>
      <c r="D14" s="35">
        <f>'FF Calculations'!F14</f>
        <v/>
      </c>
      <c r="E14" s="33">
        <f>IFERROR(
        LET(
            region,'Loan Tape'!M15,
            prop_val,C14,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4" s="40">
        <f>0.45</f>
        <v/>
      </c>
      <c r="G14" s="33">
        <f>(C14-E14)*(1-F14)</f>
        <v/>
      </c>
      <c r="H14" s="33">
        <f>IFERROR(
        IF('Loan Tape'!U15="First",5000,7000),
    5000)</f>
        <v/>
      </c>
      <c r="I14" s="33">
        <f>G14*0.03</f>
        <v/>
      </c>
      <c r="J14" s="33">
        <f>H14+I14</f>
        <v/>
      </c>
      <c r="K14" s="33">
        <f>IFERROR(
        LET(
            is_btl,'Loan Tape'!K15="BTL",
            is_subsequent,'Loan Tape'!U15&lt;&gt;"First",
            months,IF(is_subsequent,21,IF(is_btl,12,18)),
            B14*'Loan Tape'!I15*months/12
        ),
    0)</f>
        <v/>
      </c>
      <c r="L14" s="33">
        <f>B14+J14+K14</f>
        <v/>
      </c>
      <c r="M14" s="33">
        <f>MAX(G14-J14,0)</f>
        <v/>
      </c>
      <c r="N14" s="33">
        <f>L14-M14</f>
        <v/>
      </c>
      <c r="O14" s="16">
        <f>IFERROR(N14/B14,0)</f>
        <v/>
      </c>
    </row>
    <row r="15">
      <c r="A15" s="32">
        <f>'Loan Tape'!A16</f>
        <v/>
      </c>
      <c r="B15" s="33">
        <f>'Loan Tape'!D16</f>
        <v/>
      </c>
      <c r="C15" s="33">
        <f>'Loan Tape'!B16*(1-IF(AND('Control Panel'!$B$15="YES",'Loan Tape'!W16&lt;&gt;"Full"),0.05,0))</f>
        <v/>
      </c>
      <c r="D15" s="35">
        <f>'FF Calculations'!F15</f>
        <v/>
      </c>
      <c r="E15" s="33">
        <f>IFERROR(
        LET(
            region,'Loan Tape'!M16,
            prop_val,C15,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5" s="40">
        <f>0.45</f>
        <v/>
      </c>
      <c r="G15" s="33">
        <f>(C15-E15)*(1-F15)</f>
        <v/>
      </c>
      <c r="H15" s="33">
        <f>IFERROR(
        IF('Loan Tape'!U16="First",5000,7000),
    5000)</f>
        <v/>
      </c>
      <c r="I15" s="33">
        <f>G15*0.03</f>
        <v/>
      </c>
      <c r="J15" s="33">
        <f>H15+I15</f>
        <v/>
      </c>
      <c r="K15" s="33">
        <f>IFERROR(
        LET(
            is_btl,'Loan Tape'!K16="BTL",
            is_subsequent,'Loan Tape'!U16&lt;&gt;"First",
            months,IF(is_subsequent,21,IF(is_btl,12,18)),
            B15*'Loan Tape'!I16*months/12
        ),
    0)</f>
        <v/>
      </c>
      <c r="L15" s="33">
        <f>B15+J15+K15</f>
        <v/>
      </c>
      <c r="M15" s="33">
        <f>MAX(G15-J15,0)</f>
        <v/>
      </c>
      <c r="N15" s="33">
        <f>L15-M15</f>
        <v/>
      </c>
      <c r="O15" s="16">
        <f>IFERROR(N15/B15,0)</f>
        <v/>
      </c>
    </row>
    <row r="16">
      <c r="A16" s="32">
        <f>'Loan Tape'!A17</f>
        <v/>
      </c>
      <c r="B16" s="33">
        <f>'Loan Tape'!D17</f>
        <v/>
      </c>
      <c r="C16" s="33">
        <f>'Loan Tape'!B17*(1-IF(AND('Control Panel'!$B$15="YES",'Loan Tape'!W17&lt;&gt;"Full"),0.05,0))</f>
        <v/>
      </c>
      <c r="D16" s="35">
        <f>'FF Calculations'!F16</f>
        <v/>
      </c>
      <c r="E16" s="33">
        <f>IFERROR(
        LET(
            region,'Loan Tape'!M17,
            prop_val,C16,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6" s="40">
        <f>0.45</f>
        <v/>
      </c>
      <c r="G16" s="33">
        <f>(C16-E16)*(1-F16)</f>
        <v/>
      </c>
      <c r="H16" s="33">
        <f>IFERROR(
        IF('Loan Tape'!U17="First",5000,7000),
    5000)</f>
        <v/>
      </c>
      <c r="I16" s="33">
        <f>G16*0.03</f>
        <v/>
      </c>
      <c r="J16" s="33">
        <f>H16+I16</f>
        <v/>
      </c>
      <c r="K16" s="33">
        <f>IFERROR(
        LET(
            is_btl,'Loan Tape'!K17="BTL",
            is_subsequent,'Loan Tape'!U17&lt;&gt;"First",
            months,IF(is_subsequent,21,IF(is_btl,12,18)),
            B16*'Loan Tape'!I17*months/12
        ),
    0)</f>
        <v/>
      </c>
      <c r="L16" s="33">
        <f>B16+J16+K16</f>
        <v/>
      </c>
      <c r="M16" s="33">
        <f>MAX(G16-J16,0)</f>
        <v/>
      </c>
      <c r="N16" s="33">
        <f>L16-M16</f>
        <v/>
      </c>
      <c r="O16" s="16">
        <f>IFERROR(N16/B16,0)</f>
        <v/>
      </c>
    </row>
    <row r="17">
      <c r="A17" s="32">
        <f>'Loan Tape'!A18</f>
        <v/>
      </c>
      <c r="B17" s="33">
        <f>'Loan Tape'!D18</f>
        <v/>
      </c>
      <c r="C17" s="33">
        <f>'Loan Tape'!B18*(1-IF(AND('Control Panel'!$B$15="YES",'Loan Tape'!W18&lt;&gt;"Full"),0.05,0))</f>
        <v/>
      </c>
      <c r="D17" s="35">
        <f>'FF Calculations'!F17</f>
        <v/>
      </c>
      <c r="E17" s="33">
        <f>IFERROR(
        LET(
            region,'Loan Tape'!M18,
            prop_val,C17,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7" s="40">
        <f>0.45</f>
        <v/>
      </c>
      <c r="G17" s="33">
        <f>(C17-E17)*(1-F17)</f>
        <v/>
      </c>
      <c r="H17" s="33">
        <f>IFERROR(
        IF('Loan Tape'!U18="First",5000,7000),
    5000)</f>
        <v/>
      </c>
      <c r="I17" s="33">
        <f>G17*0.03</f>
        <v/>
      </c>
      <c r="J17" s="33">
        <f>H17+I17</f>
        <v/>
      </c>
      <c r="K17" s="33">
        <f>IFERROR(
        LET(
            is_btl,'Loan Tape'!K18="BTL",
            is_subsequent,'Loan Tape'!U18&lt;&gt;"First",
            months,IF(is_subsequent,21,IF(is_btl,12,18)),
            B17*'Loan Tape'!I18*months/12
        ),
    0)</f>
        <v/>
      </c>
      <c r="L17" s="33">
        <f>B17+J17+K17</f>
        <v/>
      </c>
      <c r="M17" s="33">
        <f>MAX(G17-J17,0)</f>
        <v/>
      </c>
      <c r="N17" s="33">
        <f>L17-M17</f>
        <v/>
      </c>
      <c r="O17" s="16">
        <f>IFERROR(N17/B17,0)</f>
        <v/>
      </c>
    </row>
    <row r="18">
      <c r="A18" s="32">
        <f>'Loan Tape'!A19</f>
        <v/>
      </c>
      <c r="B18" s="33">
        <f>'Loan Tape'!D19</f>
        <v/>
      </c>
      <c r="C18" s="33">
        <f>'Loan Tape'!B19*(1-IF(AND('Control Panel'!$B$15="YES",'Loan Tape'!W19&lt;&gt;"Full"),0.05,0))</f>
        <v/>
      </c>
      <c r="D18" s="35">
        <f>'FF Calculations'!F18</f>
        <v/>
      </c>
      <c r="E18" s="33">
        <f>IFERROR(
        LET(
            region,'Loan Tape'!M19,
            prop_val,C18,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8" s="40">
        <f>0.45</f>
        <v/>
      </c>
      <c r="G18" s="33">
        <f>(C18-E18)*(1-F18)</f>
        <v/>
      </c>
      <c r="H18" s="33">
        <f>IFERROR(
        IF('Loan Tape'!U19="First",5000,7000),
    5000)</f>
        <v/>
      </c>
      <c r="I18" s="33">
        <f>G18*0.03</f>
        <v/>
      </c>
      <c r="J18" s="33">
        <f>H18+I18</f>
        <v/>
      </c>
      <c r="K18" s="33">
        <f>IFERROR(
        LET(
            is_btl,'Loan Tape'!K19="BTL",
            is_subsequent,'Loan Tape'!U19&lt;&gt;"First",
            months,IF(is_subsequent,21,IF(is_btl,12,18)),
            B18*'Loan Tape'!I19*months/12
        ),
    0)</f>
        <v/>
      </c>
      <c r="L18" s="33">
        <f>B18+J18+K18</f>
        <v/>
      </c>
      <c r="M18" s="33">
        <f>MAX(G18-J18,0)</f>
        <v/>
      </c>
      <c r="N18" s="33">
        <f>L18-M18</f>
        <v/>
      </c>
      <c r="O18" s="16">
        <f>IFERROR(N18/B18,0)</f>
        <v/>
      </c>
    </row>
    <row r="19">
      <c r="A19" s="32">
        <f>'Loan Tape'!A20</f>
        <v/>
      </c>
      <c r="B19" s="33">
        <f>'Loan Tape'!D20</f>
        <v/>
      </c>
      <c r="C19" s="33">
        <f>'Loan Tape'!B20*(1-IF(AND('Control Panel'!$B$15="YES",'Loan Tape'!W20&lt;&gt;"Full"),0.05,0))</f>
        <v/>
      </c>
      <c r="D19" s="35">
        <f>'FF Calculations'!F19</f>
        <v/>
      </c>
      <c r="E19" s="33">
        <f>IFERROR(
        LET(
            region,'Loan Tape'!M20,
            prop_val,C19,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9" s="40">
        <f>0.45</f>
        <v/>
      </c>
      <c r="G19" s="33">
        <f>(C19-E19)*(1-F19)</f>
        <v/>
      </c>
      <c r="H19" s="33">
        <f>IFERROR(
        IF('Loan Tape'!U20="First",5000,7000),
    5000)</f>
        <v/>
      </c>
      <c r="I19" s="33">
        <f>G19*0.03</f>
        <v/>
      </c>
      <c r="J19" s="33">
        <f>H19+I19</f>
        <v/>
      </c>
      <c r="K19" s="33">
        <f>IFERROR(
        LET(
            is_btl,'Loan Tape'!K20="BTL",
            is_subsequent,'Loan Tape'!U20&lt;&gt;"First",
            months,IF(is_subsequent,21,IF(is_btl,12,18)),
            B19*'Loan Tape'!I20*months/12
        ),
    0)</f>
        <v/>
      </c>
      <c r="L19" s="33">
        <f>B19+J19+K19</f>
        <v/>
      </c>
      <c r="M19" s="33">
        <f>MAX(G19-J19,0)</f>
        <v/>
      </c>
      <c r="N19" s="33">
        <f>L19-M19</f>
        <v/>
      </c>
      <c r="O19" s="16">
        <f>IFERROR(N19/B19,0)</f>
        <v/>
      </c>
    </row>
    <row r="20">
      <c r="A20" s="32">
        <f>'Loan Tape'!A21</f>
        <v/>
      </c>
      <c r="B20" s="33">
        <f>'Loan Tape'!D21</f>
        <v/>
      </c>
      <c r="C20" s="33">
        <f>'Loan Tape'!B21*(1-IF(AND('Control Panel'!$B$15="YES",'Loan Tape'!W21&lt;&gt;"Full"),0.05,0))</f>
        <v/>
      </c>
      <c r="D20" s="35">
        <f>'FF Calculations'!F20</f>
        <v/>
      </c>
      <c r="E20" s="33">
        <f>IFERROR(
        LET(
            region,'Loan Tape'!M21,
            prop_val,C20,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0" s="40">
        <f>0.45</f>
        <v/>
      </c>
      <c r="G20" s="33">
        <f>(C20-E20)*(1-F20)</f>
        <v/>
      </c>
      <c r="H20" s="33">
        <f>IFERROR(
        IF('Loan Tape'!U21="First",5000,7000),
    5000)</f>
        <v/>
      </c>
      <c r="I20" s="33">
        <f>G20*0.03</f>
        <v/>
      </c>
      <c r="J20" s="33">
        <f>H20+I20</f>
        <v/>
      </c>
      <c r="K20" s="33">
        <f>IFERROR(
        LET(
            is_btl,'Loan Tape'!K21="BTL",
            is_subsequent,'Loan Tape'!U21&lt;&gt;"First",
            months,IF(is_subsequent,21,IF(is_btl,12,18)),
            B20*'Loan Tape'!I21*months/12
        ),
    0)</f>
        <v/>
      </c>
      <c r="L20" s="33">
        <f>B20+J20+K20</f>
        <v/>
      </c>
      <c r="M20" s="33">
        <f>MAX(G20-J20,0)</f>
        <v/>
      </c>
      <c r="N20" s="33">
        <f>L20-M20</f>
        <v/>
      </c>
      <c r="O20" s="16">
        <f>IFERROR(N20/B20,0)</f>
        <v/>
      </c>
    </row>
    <row r="21">
      <c r="A21" s="32">
        <f>'Loan Tape'!A22</f>
        <v/>
      </c>
      <c r="B21" s="33">
        <f>'Loan Tape'!D22</f>
        <v/>
      </c>
      <c r="C21" s="33">
        <f>'Loan Tape'!B22*(1-IF(AND('Control Panel'!$B$15="YES",'Loan Tape'!W22&lt;&gt;"Full"),0.05,0))</f>
        <v/>
      </c>
      <c r="D21" s="35">
        <f>'FF Calculations'!F21</f>
        <v/>
      </c>
      <c r="E21" s="33">
        <f>IFERROR(
        LET(
            region,'Loan Tape'!M22,
            prop_val,C21,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1" s="40">
        <f>0.45</f>
        <v/>
      </c>
      <c r="G21" s="33">
        <f>(C21-E21)*(1-F21)</f>
        <v/>
      </c>
      <c r="H21" s="33">
        <f>IFERROR(
        IF('Loan Tape'!U22="First",5000,7000),
    5000)</f>
        <v/>
      </c>
      <c r="I21" s="33">
        <f>G21*0.03</f>
        <v/>
      </c>
      <c r="J21" s="33">
        <f>H21+I21</f>
        <v/>
      </c>
      <c r="K21" s="33">
        <f>IFERROR(
        LET(
            is_btl,'Loan Tape'!K22="BTL",
            is_subsequent,'Loan Tape'!U22&lt;&gt;"First",
            months,IF(is_subsequent,21,IF(is_btl,12,18)),
            B21*'Loan Tape'!I22*months/12
        ),
    0)</f>
        <v/>
      </c>
      <c r="L21" s="33">
        <f>B21+J21+K21</f>
        <v/>
      </c>
      <c r="M21" s="33">
        <f>MAX(G21-J21,0)</f>
        <v/>
      </c>
      <c r="N21" s="33">
        <f>L21-M21</f>
        <v/>
      </c>
      <c r="O21" s="16">
        <f>IFERROR(N21/B21,0)</f>
        <v/>
      </c>
    </row>
    <row r="22">
      <c r="A22" s="32">
        <f>'Loan Tape'!A23</f>
        <v/>
      </c>
      <c r="B22" s="33">
        <f>'Loan Tape'!D23</f>
        <v/>
      </c>
      <c r="C22" s="33">
        <f>'Loan Tape'!B23*(1-IF(AND('Control Panel'!$B$15="YES",'Loan Tape'!W23&lt;&gt;"Full"),0.05,0))</f>
        <v/>
      </c>
      <c r="D22" s="35">
        <f>'FF Calculations'!F22</f>
        <v/>
      </c>
      <c r="E22" s="33">
        <f>IFERROR(
        LET(
            region,'Loan Tape'!M23,
            prop_val,C22,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2" s="40">
        <f>0.45</f>
        <v/>
      </c>
      <c r="G22" s="33">
        <f>(C22-E22)*(1-F22)</f>
        <v/>
      </c>
      <c r="H22" s="33">
        <f>IFERROR(
        IF('Loan Tape'!U23="First",5000,7000),
    5000)</f>
        <v/>
      </c>
      <c r="I22" s="33">
        <f>G22*0.03</f>
        <v/>
      </c>
      <c r="J22" s="33">
        <f>H22+I22</f>
        <v/>
      </c>
      <c r="K22" s="33">
        <f>IFERROR(
        LET(
            is_btl,'Loan Tape'!K23="BTL",
            is_subsequent,'Loan Tape'!U23&lt;&gt;"First",
            months,IF(is_subsequent,21,IF(is_btl,12,18)),
            B22*'Loan Tape'!I23*months/12
        ),
    0)</f>
        <v/>
      </c>
      <c r="L22" s="33">
        <f>B22+J22+K22</f>
        <v/>
      </c>
      <c r="M22" s="33">
        <f>MAX(G22-J22,0)</f>
        <v/>
      </c>
      <c r="N22" s="33">
        <f>L22-M22</f>
        <v/>
      </c>
      <c r="O22" s="16">
        <f>IFERROR(N22/B22,0)</f>
        <v/>
      </c>
    </row>
    <row r="23">
      <c r="A23" s="32">
        <f>'Loan Tape'!A24</f>
        <v/>
      </c>
      <c r="B23" s="33">
        <f>'Loan Tape'!D24</f>
        <v/>
      </c>
      <c r="C23" s="33">
        <f>'Loan Tape'!B24*(1-IF(AND('Control Panel'!$B$15="YES",'Loan Tape'!W24&lt;&gt;"Full"),0.05,0))</f>
        <v/>
      </c>
      <c r="D23" s="35">
        <f>'FF Calculations'!F23</f>
        <v/>
      </c>
      <c r="E23" s="33">
        <f>IFERROR(
        LET(
            region,'Loan Tape'!M24,
            prop_val,C23,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3" s="40">
        <f>0.45</f>
        <v/>
      </c>
      <c r="G23" s="33">
        <f>(C23-E23)*(1-F23)</f>
        <v/>
      </c>
      <c r="H23" s="33">
        <f>IFERROR(
        IF('Loan Tape'!U24="First",5000,7000),
    5000)</f>
        <v/>
      </c>
      <c r="I23" s="33">
        <f>G23*0.03</f>
        <v/>
      </c>
      <c r="J23" s="33">
        <f>H23+I23</f>
        <v/>
      </c>
      <c r="K23" s="33">
        <f>IFERROR(
        LET(
            is_btl,'Loan Tape'!K24="BTL",
            is_subsequent,'Loan Tape'!U24&lt;&gt;"First",
            months,IF(is_subsequent,21,IF(is_btl,12,18)),
            B23*'Loan Tape'!I24*months/12
        ),
    0)</f>
        <v/>
      </c>
      <c r="L23" s="33">
        <f>B23+J23+K23</f>
        <v/>
      </c>
      <c r="M23" s="33">
        <f>MAX(G23-J23,0)</f>
        <v/>
      </c>
      <c r="N23" s="33">
        <f>L23-M23</f>
        <v/>
      </c>
      <c r="O23" s="16">
        <f>IFERROR(N23/B23,0)</f>
        <v/>
      </c>
    </row>
    <row r="24">
      <c r="A24" s="32">
        <f>'Loan Tape'!A25</f>
        <v/>
      </c>
      <c r="B24" s="33">
        <f>'Loan Tape'!D25</f>
        <v/>
      </c>
      <c r="C24" s="33">
        <f>'Loan Tape'!B25*(1-IF(AND('Control Panel'!$B$15="YES",'Loan Tape'!W25&lt;&gt;"Full"),0.05,0))</f>
        <v/>
      </c>
      <c r="D24" s="35">
        <f>'FF Calculations'!F24</f>
        <v/>
      </c>
      <c r="E24" s="33">
        <f>IFERROR(
        LET(
            region,'Loan Tape'!M25,
            prop_val,C24,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4" s="40">
        <f>0.45</f>
        <v/>
      </c>
      <c r="G24" s="33">
        <f>(C24-E24)*(1-F24)</f>
        <v/>
      </c>
      <c r="H24" s="33">
        <f>IFERROR(
        IF('Loan Tape'!U25="First",5000,7000),
    5000)</f>
        <v/>
      </c>
      <c r="I24" s="33">
        <f>G24*0.03</f>
        <v/>
      </c>
      <c r="J24" s="33">
        <f>H24+I24</f>
        <v/>
      </c>
      <c r="K24" s="33">
        <f>IFERROR(
        LET(
            is_btl,'Loan Tape'!K25="BTL",
            is_subsequent,'Loan Tape'!U25&lt;&gt;"First",
            months,IF(is_subsequent,21,IF(is_btl,12,18)),
            B24*'Loan Tape'!I25*months/12
        ),
    0)</f>
        <v/>
      </c>
      <c r="L24" s="33">
        <f>B24+J24+K24</f>
        <v/>
      </c>
      <c r="M24" s="33">
        <f>MAX(G24-J24,0)</f>
        <v/>
      </c>
      <c r="N24" s="33">
        <f>L24-M24</f>
        <v/>
      </c>
      <c r="O24" s="16">
        <f>IFERROR(N24/B24,0)</f>
        <v/>
      </c>
    </row>
    <row r="25">
      <c r="A25" s="32">
        <f>'Loan Tape'!A26</f>
        <v/>
      </c>
      <c r="B25" s="33">
        <f>'Loan Tape'!D26</f>
        <v/>
      </c>
      <c r="C25" s="33">
        <f>'Loan Tape'!B26*(1-IF(AND('Control Panel'!$B$15="YES",'Loan Tape'!W26&lt;&gt;"Full"),0.05,0))</f>
        <v/>
      </c>
      <c r="D25" s="35">
        <f>'FF Calculations'!F25</f>
        <v/>
      </c>
      <c r="E25" s="33">
        <f>IFERROR(
        LET(
            region,'Loan Tape'!M26,
            prop_val,C25,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5" s="40">
        <f>0.45</f>
        <v/>
      </c>
      <c r="G25" s="33">
        <f>(C25-E25)*(1-F25)</f>
        <v/>
      </c>
      <c r="H25" s="33">
        <f>IFERROR(
        IF('Loan Tape'!U26="First",5000,7000),
    5000)</f>
        <v/>
      </c>
      <c r="I25" s="33">
        <f>G25*0.03</f>
        <v/>
      </c>
      <c r="J25" s="33">
        <f>H25+I25</f>
        <v/>
      </c>
      <c r="K25" s="33">
        <f>IFERROR(
        LET(
            is_btl,'Loan Tape'!K26="BTL",
            is_subsequent,'Loan Tape'!U26&lt;&gt;"First",
            months,IF(is_subsequent,21,IF(is_btl,12,18)),
            B25*'Loan Tape'!I26*months/12
        ),
    0)</f>
        <v/>
      </c>
      <c r="L25" s="33">
        <f>B25+J25+K25</f>
        <v/>
      </c>
      <c r="M25" s="33">
        <f>MAX(G25-J25,0)</f>
        <v/>
      </c>
      <c r="N25" s="33">
        <f>L25-M25</f>
        <v/>
      </c>
      <c r="O25" s="16">
        <f>IFERROR(N25/B25,0)</f>
        <v/>
      </c>
    </row>
    <row r="26">
      <c r="A26" s="32">
        <f>'Loan Tape'!A27</f>
        <v/>
      </c>
      <c r="B26" s="33">
        <f>'Loan Tape'!D27</f>
        <v/>
      </c>
      <c r="C26" s="33">
        <f>'Loan Tape'!B27*(1-IF(AND('Control Panel'!$B$15="YES",'Loan Tape'!W27&lt;&gt;"Full"),0.05,0))</f>
        <v/>
      </c>
      <c r="D26" s="35">
        <f>'FF Calculations'!F26</f>
        <v/>
      </c>
      <c r="E26" s="33">
        <f>IFERROR(
        LET(
            region,'Loan Tape'!M27,
            prop_val,C26,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6" s="40">
        <f>0.45</f>
        <v/>
      </c>
      <c r="G26" s="33">
        <f>(C26-E26)*(1-F26)</f>
        <v/>
      </c>
      <c r="H26" s="33">
        <f>IFERROR(
        IF('Loan Tape'!U27="First",5000,7000),
    5000)</f>
        <v/>
      </c>
      <c r="I26" s="33">
        <f>G26*0.03</f>
        <v/>
      </c>
      <c r="J26" s="33">
        <f>H26+I26</f>
        <v/>
      </c>
      <c r="K26" s="33">
        <f>IFERROR(
        LET(
            is_btl,'Loan Tape'!K27="BTL",
            is_subsequent,'Loan Tape'!U27&lt;&gt;"First",
            months,IF(is_subsequent,21,IF(is_btl,12,18)),
            B26*'Loan Tape'!I27*months/12
        ),
    0)</f>
        <v/>
      </c>
      <c r="L26" s="33">
        <f>B26+J26+K26</f>
        <v/>
      </c>
      <c r="M26" s="33">
        <f>MAX(G26-J26,0)</f>
        <v/>
      </c>
      <c r="N26" s="33">
        <f>L26-M26</f>
        <v/>
      </c>
      <c r="O26" s="16">
        <f>IFERROR(N26/B26,0)</f>
        <v/>
      </c>
    </row>
    <row r="27">
      <c r="A27" s="32">
        <f>'Loan Tape'!A28</f>
        <v/>
      </c>
      <c r="B27" s="33">
        <f>'Loan Tape'!D28</f>
        <v/>
      </c>
      <c r="C27" s="33">
        <f>'Loan Tape'!B28*(1-IF(AND('Control Panel'!$B$15="YES",'Loan Tape'!W28&lt;&gt;"Full"),0.05,0))</f>
        <v/>
      </c>
      <c r="D27" s="35">
        <f>'FF Calculations'!F27</f>
        <v/>
      </c>
      <c r="E27" s="33">
        <f>IFERROR(
        LET(
            region,'Loan Tape'!M28,
            prop_val,C27,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7" s="40">
        <f>0.45</f>
        <v/>
      </c>
      <c r="G27" s="33">
        <f>(C27-E27)*(1-F27)</f>
        <v/>
      </c>
      <c r="H27" s="33">
        <f>IFERROR(
        IF('Loan Tape'!U28="First",5000,7000),
    5000)</f>
        <v/>
      </c>
      <c r="I27" s="33">
        <f>G27*0.03</f>
        <v/>
      </c>
      <c r="J27" s="33">
        <f>H27+I27</f>
        <v/>
      </c>
      <c r="K27" s="33">
        <f>IFERROR(
        LET(
            is_btl,'Loan Tape'!K28="BTL",
            is_subsequent,'Loan Tape'!U28&lt;&gt;"First",
            months,IF(is_subsequent,21,IF(is_btl,12,18)),
            B27*'Loan Tape'!I28*months/12
        ),
    0)</f>
        <v/>
      </c>
      <c r="L27" s="33">
        <f>B27+J27+K27</f>
        <v/>
      </c>
      <c r="M27" s="33">
        <f>MAX(G27-J27,0)</f>
        <v/>
      </c>
      <c r="N27" s="33">
        <f>L27-M27</f>
        <v/>
      </c>
      <c r="O27" s="16">
        <f>IFERROR(N27/B27,0)</f>
        <v/>
      </c>
    </row>
    <row r="28">
      <c r="A28" s="32">
        <f>'Loan Tape'!A29</f>
        <v/>
      </c>
      <c r="B28" s="33">
        <f>'Loan Tape'!D29</f>
        <v/>
      </c>
      <c r="C28" s="33">
        <f>'Loan Tape'!B29*(1-IF(AND('Control Panel'!$B$15="YES",'Loan Tape'!W29&lt;&gt;"Full"),0.05,0))</f>
        <v/>
      </c>
      <c r="D28" s="35">
        <f>'FF Calculations'!F28</f>
        <v/>
      </c>
      <c r="E28" s="33">
        <f>IFERROR(
        LET(
            region,'Loan Tape'!M29,
            prop_val,C28,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8" s="40">
        <f>0.45</f>
        <v/>
      </c>
      <c r="G28" s="33">
        <f>(C28-E28)*(1-F28)</f>
        <v/>
      </c>
      <c r="H28" s="33">
        <f>IFERROR(
        IF('Loan Tape'!U29="First",5000,7000),
    5000)</f>
        <v/>
      </c>
      <c r="I28" s="33">
        <f>G28*0.03</f>
        <v/>
      </c>
      <c r="J28" s="33">
        <f>H28+I28</f>
        <v/>
      </c>
      <c r="K28" s="33">
        <f>IFERROR(
        LET(
            is_btl,'Loan Tape'!K29="BTL",
            is_subsequent,'Loan Tape'!U29&lt;&gt;"First",
            months,IF(is_subsequent,21,IF(is_btl,12,18)),
            B28*'Loan Tape'!I29*months/12
        ),
    0)</f>
        <v/>
      </c>
      <c r="L28" s="33">
        <f>B28+J28+K28</f>
        <v/>
      </c>
      <c r="M28" s="33">
        <f>MAX(G28-J28,0)</f>
        <v/>
      </c>
      <c r="N28" s="33">
        <f>L28-M28</f>
        <v/>
      </c>
      <c r="O28" s="16">
        <f>IFERROR(N28/B28,0)</f>
        <v/>
      </c>
    </row>
    <row r="29">
      <c r="A29" s="32">
        <f>'Loan Tape'!A30</f>
        <v/>
      </c>
      <c r="B29" s="33">
        <f>'Loan Tape'!D30</f>
        <v/>
      </c>
      <c r="C29" s="33">
        <f>'Loan Tape'!B30*(1-IF(AND('Control Panel'!$B$15="YES",'Loan Tape'!W30&lt;&gt;"Full"),0.05,0))</f>
        <v/>
      </c>
      <c r="D29" s="35">
        <f>'FF Calculations'!F29</f>
        <v/>
      </c>
      <c r="E29" s="33">
        <f>IFERROR(
        LET(
            region,'Loan Tape'!M30,
            prop_val,C29,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29" s="40">
        <f>0.45</f>
        <v/>
      </c>
      <c r="G29" s="33">
        <f>(C29-E29)*(1-F29)</f>
        <v/>
      </c>
      <c r="H29" s="33">
        <f>IFERROR(
        IF('Loan Tape'!U30="First",5000,7000),
    5000)</f>
        <v/>
      </c>
      <c r="I29" s="33">
        <f>G29*0.03</f>
        <v/>
      </c>
      <c r="J29" s="33">
        <f>H29+I29</f>
        <v/>
      </c>
      <c r="K29" s="33">
        <f>IFERROR(
        LET(
            is_btl,'Loan Tape'!K30="BTL",
            is_subsequent,'Loan Tape'!U30&lt;&gt;"First",
            months,IF(is_subsequent,21,IF(is_btl,12,18)),
            B29*'Loan Tape'!I30*months/12
        ),
    0)</f>
        <v/>
      </c>
      <c r="L29" s="33">
        <f>B29+J29+K29</f>
        <v/>
      </c>
      <c r="M29" s="33">
        <f>MAX(G29-J29,0)</f>
        <v/>
      </c>
      <c r="N29" s="33">
        <f>L29-M29</f>
        <v/>
      </c>
      <c r="O29" s="16">
        <f>IFERROR(N29/B29,0)</f>
        <v/>
      </c>
    </row>
    <row r="30">
      <c r="A30" s="32">
        <f>'Loan Tape'!A31</f>
        <v/>
      </c>
      <c r="B30" s="33">
        <f>'Loan Tape'!D31</f>
        <v/>
      </c>
      <c r="C30" s="33">
        <f>'Loan Tape'!B31*(1-IF(AND('Control Panel'!$B$15="YES",'Loan Tape'!W31&lt;&gt;"Full"),0.05,0))</f>
        <v/>
      </c>
      <c r="D30" s="35">
        <f>'FF Calculations'!F30</f>
        <v/>
      </c>
      <c r="E30" s="33">
        <f>IFERROR(
        LET(
            region,'Loan Tape'!M31,
            prop_val,C30,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0" s="40">
        <f>0.45</f>
        <v/>
      </c>
      <c r="G30" s="33">
        <f>(C30-E30)*(1-F30)</f>
        <v/>
      </c>
      <c r="H30" s="33">
        <f>IFERROR(
        IF('Loan Tape'!U31="First",5000,7000),
    5000)</f>
        <v/>
      </c>
      <c r="I30" s="33">
        <f>G30*0.03</f>
        <v/>
      </c>
      <c r="J30" s="33">
        <f>H30+I30</f>
        <v/>
      </c>
      <c r="K30" s="33">
        <f>IFERROR(
        LET(
            is_btl,'Loan Tape'!K31="BTL",
            is_subsequent,'Loan Tape'!U31&lt;&gt;"First",
            months,IF(is_subsequent,21,IF(is_btl,12,18)),
            B30*'Loan Tape'!I31*months/12
        ),
    0)</f>
        <v/>
      </c>
      <c r="L30" s="33">
        <f>B30+J30+K30</f>
        <v/>
      </c>
      <c r="M30" s="33">
        <f>MAX(G30-J30,0)</f>
        <v/>
      </c>
      <c r="N30" s="33">
        <f>L30-M30</f>
        <v/>
      </c>
      <c r="O30" s="16">
        <f>IFERROR(N30/B30,0)</f>
        <v/>
      </c>
    </row>
    <row r="31">
      <c r="A31" s="32">
        <f>'Loan Tape'!A32</f>
        <v/>
      </c>
      <c r="B31" s="33">
        <f>'Loan Tape'!D32</f>
        <v/>
      </c>
      <c r="C31" s="33">
        <f>'Loan Tape'!B32*(1-IF(AND('Control Panel'!$B$15="YES",'Loan Tape'!W32&lt;&gt;"Full"),0.05,0))</f>
        <v/>
      </c>
      <c r="D31" s="35">
        <f>'FF Calculations'!F31</f>
        <v/>
      </c>
      <c r="E31" s="33">
        <f>IFERROR(
        LET(
            region,'Loan Tape'!M32,
            prop_val,C31,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1" s="40">
        <f>0.45</f>
        <v/>
      </c>
      <c r="G31" s="33">
        <f>(C31-E31)*(1-F31)</f>
        <v/>
      </c>
      <c r="H31" s="33">
        <f>IFERROR(
        IF('Loan Tape'!U32="First",5000,7000),
    5000)</f>
        <v/>
      </c>
      <c r="I31" s="33">
        <f>G31*0.03</f>
        <v/>
      </c>
      <c r="J31" s="33">
        <f>H31+I31</f>
        <v/>
      </c>
      <c r="K31" s="33">
        <f>IFERROR(
        LET(
            is_btl,'Loan Tape'!K32="BTL",
            is_subsequent,'Loan Tape'!U32&lt;&gt;"First",
            months,IF(is_subsequent,21,IF(is_btl,12,18)),
            B31*'Loan Tape'!I32*months/12
        ),
    0)</f>
        <v/>
      </c>
      <c r="L31" s="33">
        <f>B31+J31+K31</f>
        <v/>
      </c>
      <c r="M31" s="33">
        <f>MAX(G31-J31,0)</f>
        <v/>
      </c>
      <c r="N31" s="33">
        <f>L31-M31</f>
        <v/>
      </c>
      <c r="O31" s="16">
        <f>IFERROR(N31/B31,0)</f>
        <v/>
      </c>
    </row>
    <row r="32">
      <c r="A32" s="32">
        <f>'Loan Tape'!A33</f>
        <v/>
      </c>
      <c r="B32" s="33">
        <f>'Loan Tape'!D33</f>
        <v/>
      </c>
      <c r="C32" s="33">
        <f>'Loan Tape'!B33*(1-IF(AND('Control Panel'!$B$15="YES",'Loan Tape'!W33&lt;&gt;"Full"),0.05,0))</f>
        <v/>
      </c>
      <c r="D32" s="35">
        <f>'FF Calculations'!F32</f>
        <v/>
      </c>
      <c r="E32" s="33">
        <f>IFERROR(
        LET(
            region,'Loan Tape'!M33,
            prop_val,C32,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2" s="40">
        <f>0.45</f>
        <v/>
      </c>
      <c r="G32" s="33">
        <f>(C32-E32)*(1-F32)</f>
        <v/>
      </c>
      <c r="H32" s="33">
        <f>IFERROR(
        IF('Loan Tape'!U33="First",5000,7000),
    5000)</f>
        <v/>
      </c>
      <c r="I32" s="33">
        <f>G32*0.03</f>
        <v/>
      </c>
      <c r="J32" s="33">
        <f>H32+I32</f>
        <v/>
      </c>
      <c r="K32" s="33">
        <f>IFERROR(
        LET(
            is_btl,'Loan Tape'!K33="BTL",
            is_subsequent,'Loan Tape'!U33&lt;&gt;"First",
            months,IF(is_subsequent,21,IF(is_btl,12,18)),
            B32*'Loan Tape'!I33*months/12
        ),
    0)</f>
        <v/>
      </c>
      <c r="L32" s="33">
        <f>B32+J32+K32</f>
        <v/>
      </c>
      <c r="M32" s="33">
        <f>MAX(G32-J32,0)</f>
        <v/>
      </c>
      <c r="N32" s="33">
        <f>L32-M32</f>
        <v/>
      </c>
      <c r="O32" s="16">
        <f>IFERROR(N32/B32,0)</f>
        <v/>
      </c>
    </row>
    <row r="33">
      <c r="A33" s="32">
        <f>'Loan Tape'!A34</f>
        <v/>
      </c>
      <c r="B33" s="33">
        <f>'Loan Tape'!D34</f>
        <v/>
      </c>
      <c r="C33" s="33">
        <f>'Loan Tape'!B34*(1-IF(AND('Control Panel'!$B$15="YES",'Loan Tape'!W34&lt;&gt;"Full"),0.05,0))</f>
        <v/>
      </c>
      <c r="D33" s="35">
        <f>'FF Calculations'!F33</f>
        <v/>
      </c>
      <c r="E33" s="33">
        <f>IFERROR(
        LET(
            region,'Loan Tape'!M34,
            prop_val,C33,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3" s="40">
        <f>0.45</f>
        <v/>
      </c>
      <c r="G33" s="33">
        <f>(C33-E33)*(1-F33)</f>
        <v/>
      </c>
      <c r="H33" s="33">
        <f>IFERROR(
        IF('Loan Tape'!U34="First",5000,7000),
    5000)</f>
        <v/>
      </c>
      <c r="I33" s="33">
        <f>G33*0.03</f>
        <v/>
      </c>
      <c r="J33" s="33">
        <f>H33+I33</f>
        <v/>
      </c>
      <c r="K33" s="33">
        <f>IFERROR(
        LET(
            is_btl,'Loan Tape'!K34="BTL",
            is_subsequent,'Loan Tape'!U34&lt;&gt;"First",
            months,IF(is_subsequent,21,IF(is_btl,12,18)),
            B33*'Loan Tape'!I34*months/12
        ),
    0)</f>
        <v/>
      </c>
      <c r="L33" s="33">
        <f>B33+J33+K33</f>
        <v/>
      </c>
      <c r="M33" s="33">
        <f>MAX(G33-J33,0)</f>
        <v/>
      </c>
      <c r="N33" s="33">
        <f>L33-M33</f>
        <v/>
      </c>
      <c r="O33" s="16">
        <f>IFERROR(N33/B33,0)</f>
        <v/>
      </c>
    </row>
    <row r="34">
      <c r="A34" s="32">
        <f>'Loan Tape'!A35</f>
        <v/>
      </c>
      <c r="B34" s="33">
        <f>'Loan Tape'!D35</f>
        <v/>
      </c>
      <c r="C34" s="33">
        <f>'Loan Tape'!B35*(1-IF(AND('Control Panel'!$B$15="YES",'Loan Tape'!W35&lt;&gt;"Full"),0.05,0))</f>
        <v/>
      </c>
      <c r="D34" s="35">
        <f>'FF Calculations'!F34</f>
        <v/>
      </c>
      <c r="E34" s="33">
        <f>IFERROR(
        LET(
            region,'Loan Tape'!M35,
            prop_val,C34,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4" s="40">
        <f>0.45</f>
        <v/>
      </c>
      <c r="G34" s="33">
        <f>(C34-E34)*(1-F34)</f>
        <v/>
      </c>
      <c r="H34" s="33">
        <f>IFERROR(
        IF('Loan Tape'!U35="First",5000,7000),
    5000)</f>
        <v/>
      </c>
      <c r="I34" s="33">
        <f>G34*0.03</f>
        <v/>
      </c>
      <c r="J34" s="33">
        <f>H34+I34</f>
        <v/>
      </c>
      <c r="K34" s="33">
        <f>IFERROR(
        LET(
            is_btl,'Loan Tape'!K35="BTL",
            is_subsequent,'Loan Tape'!U35&lt;&gt;"First",
            months,IF(is_subsequent,21,IF(is_btl,12,18)),
            B34*'Loan Tape'!I35*months/12
        ),
    0)</f>
        <v/>
      </c>
      <c r="L34" s="33">
        <f>B34+J34+K34</f>
        <v/>
      </c>
      <c r="M34" s="33">
        <f>MAX(G34-J34,0)</f>
        <v/>
      </c>
      <c r="N34" s="33">
        <f>L34-M34</f>
        <v/>
      </c>
      <c r="O34" s="16">
        <f>IFERROR(N34/B34,0)</f>
        <v/>
      </c>
    </row>
    <row r="35">
      <c r="A35" s="32">
        <f>'Loan Tape'!A36</f>
        <v/>
      </c>
      <c r="B35" s="33">
        <f>'Loan Tape'!D36</f>
        <v/>
      </c>
      <c r="C35" s="33">
        <f>'Loan Tape'!B36*(1-IF(AND('Control Panel'!$B$15="YES",'Loan Tape'!W36&lt;&gt;"Full"),0.05,0))</f>
        <v/>
      </c>
      <c r="D35" s="35">
        <f>'FF Calculations'!F35</f>
        <v/>
      </c>
      <c r="E35" s="33">
        <f>IFERROR(
        LET(
            region,'Loan Tape'!M36,
            prop_val,C35,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5" s="40">
        <f>0.45</f>
        <v/>
      </c>
      <c r="G35" s="33">
        <f>(C35-E35)*(1-F35)</f>
        <v/>
      </c>
      <c r="H35" s="33">
        <f>IFERROR(
        IF('Loan Tape'!U36="First",5000,7000),
    5000)</f>
        <v/>
      </c>
      <c r="I35" s="33">
        <f>G35*0.03</f>
        <v/>
      </c>
      <c r="J35" s="33">
        <f>H35+I35</f>
        <v/>
      </c>
      <c r="K35" s="33">
        <f>IFERROR(
        LET(
            is_btl,'Loan Tape'!K36="BTL",
            is_subsequent,'Loan Tape'!U36&lt;&gt;"First",
            months,IF(is_subsequent,21,IF(is_btl,12,18)),
            B35*'Loan Tape'!I36*months/12
        ),
    0)</f>
        <v/>
      </c>
      <c r="L35" s="33">
        <f>B35+J35+K35</f>
        <v/>
      </c>
      <c r="M35" s="33">
        <f>MAX(G35-J35,0)</f>
        <v/>
      </c>
      <c r="N35" s="33">
        <f>L35-M35</f>
        <v/>
      </c>
      <c r="O35" s="16">
        <f>IFERROR(N35/B35,0)</f>
        <v/>
      </c>
    </row>
    <row r="36">
      <c r="A36" s="32">
        <f>'Loan Tape'!A37</f>
        <v/>
      </c>
      <c r="B36" s="33">
        <f>'Loan Tape'!D37</f>
        <v/>
      </c>
      <c r="C36" s="33">
        <f>'Loan Tape'!B37*(1-IF(AND('Control Panel'!$B$15="YES",'Loan Tape'!W37&lt;&gt;"Full"),0.05,0))</f>
        <v/>
      </c>
      <c r="D36" s="35">
        <f>'FF Calculations'!F36</f>
        <v/>
      </c>
      <c r="E36" s="33">
        <f>IFERROR(
        LET(
            region,'Loan Tape'!M37,
            prop_val,C36,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6" s="40">
        <f>0.45</f>
        <v/>
      </c>
      <c r="G36" s="33">
        <f>(C36-E36)*(1-F36)</f>
        <v/>
      </c>
      <c r="H36" s="33">
        <f>IFERROR(
        IF('Loan Tape'!U37="First",5000,7000),
    5000)</f>
        <v/>
      </c>
      <c r="I36" s="33">
        <f>G36*0.03</f>
        <v/>
      </c>
      <c r="J36" s="33">
        <f>H36+I36</f>
        <v/>
      </c>
      <c r="K36" s="33">
        <f>IFERROR(
        LET(
            is_btl,'Loan Tape'!K37="BTL",
            is_subsequent,'Loan Tape'!U37&lt;&gt;"First",
            months,IF(is_subsequent,21,IF(is_btl,12,18)),
            B36*'Loan Tape'!I37*months/12
        ),
    0)</f>
        <v/>
      </c>
      <c r="L36" s="33">
        <f>B36+J36+K36</f>
        <v/>
      </c>
      <c r="M36" s="33">
        <f>MAX(G36-J36,0)</f>
        <v/>
      </c>
      <c r="N36" s="33">
        <f>L36-M36</f>
        <v/>
      </c>
      <c r="O36" s="16">
        <f>IFERROR(N36/B36,0)</f>
        <v/>
      </c>
    </row>
    <row r="37">
      <c r="A37" s="32">
        <f>'Loan Tape'!A38</f>
        <v/>
      </c>
      <c r="B37" s="33">
        <f>'Loan Tape'!D38</f>
        <v/>
      </c>
      <c r="C37" s="33">
        <f>'Loan Tape'!B38*(1-IF(AND('Control Panel'!$B$15="YES",'Loan Tape'!W38&lt;&gt;"Full"),0.05,0))</f>
        <v/>
      </c>
      <c r="D37" s="35">
        <f>'FF Calculations'!F37</f>
        <v/>
      </c>
      <c r="E37" s="33">
        <f>IFERROR(
        LET(
            region,'Loan Tape'!M38,
            prop_val,C37,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7" s="40">
        <f>0.45</f>
        <v/>
      </c>
      <c r="G37" s="33">
        <f>(C37-E37)*(1-F37)</f>
        <v/>
      </c>
      <c r="H37" s="33">
        <f>IFERROR(
        IF('Loan Tape'!U38="First",5000,7000),
    5000)</f>
        <v/>
      </c>
      <c r="I37" s="33">
        <f>G37*0.03</f>
        <v/>
      </c>
      <c r="J37" s="33">
        <f>H37+I37</f>
        <v/>
      </c>
      <c r="K37" s="33">
        <f>IFERROR(
        LET(
            is_btl,'Loan Tape'!K38="BTL",
            is_subsequent,'Loan Tape'!U38&lt;&gt;"First",
            months,IF(is_subsequent,21,IF(is_btl,12,18)),
            B37*'Loan Tape'!I38*months/12
        ),
    0)</f>
        <v/>
      </c>
      <c r="L37" s="33">
        <f>B37+J37+K37</f>
        <v/>
      </c>
      <c r="M37" s="33">
        <f>MAX(G37-J37,0)</f>
        <v/>
      </c>
      <c r="N37" s="33">
        <f>L37-M37</f>
        <v/>
      </c>
      <c r="O37" s="16">
        <f>IFERROR(N37/B37,0)</f>
        <v/>
      </c>
    </row>
    <row r="38">
      <c r="A38" s="32">
        <f>'Loan Tape'!A39</f>
        <v/>
      </c>
      <c r="B38" s="33">
        <f>'Loan Tape'!D39</f>
        <v/>
      </c>
      <c r="C38" s="33">
        <f>'Loan Tape'!B39*(1-IF(AND('Control Panel'!$B$15="YES",'Loan Tape'!W39&lt;&gt;"Full"),0.05,0))</f>
        <v/>
      </c>
      <c r="D38" s="35">
        <f>'FF Calculations'!F38</f>
        <v/>
      </c>
      <c r="E38" s="33">
        <f>IFERROR(
        LET(
            region,'Loan Tape'!M39,
            prop_val,C38,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8" s="40">
        <f>0.45</f>
        <v/>
      </c>
      <c r="G38" s="33">
        <f>(C38-E38)*(1-F38)</f>
        <v/>
      </c>
      <c r="H38" s="33">
        <f>IFERROR(
        IF('Loan Tape'!U39="First",5000,7000),
    5000)</f>
        <v/>
      </c>
      <c r="I38" s="33">
        <f>G38*0.03</f>
        <v/>
      </c>
      <c r="J38" s="33">
        <f>H38+I38</f>
        <v/>
      </c>
      <c r="K38" s="33">
        <f>IFERROR(
        LET(
            is_btl,'Loan Tape'!K39="BTL",
            is_subsequent,'Loan Tape'!U39&lt;&gt;"First",
            months,IF(is_subsequent,21,IF(is_btl,12,18)),
            B38*'Loan Tape'!I39*months/12
        ),
    0)</f>
        <v/>
      </c>
      <c r="L38" s="33">
        <f>B38+J38+K38</f>
        <v/>
      </c>
      <c r="M38" s="33">
        <f>MAX(G38-J38,0)</f>
        <v/>
      </c>
      <c r="N38" s="33">
        <f>L38-M38</f>
        <v/>
      </c>
      <c r="O38" s="16">
        <f>IFERROR(N38/B38,0)</f>
        <v/>
      </c>
    </row>
    <row r="39">
      <c r="A39" s="32">
        <f>'Loan Tape'!A40</f>
        <v/>
      </c>
      <c r="B39" s="33">
        <f>'Loan Tape'!D40</f>
        <v/>
      </c>
      <c r="C39" s="33">
        <f>'Loan Tape'!B40*(1-IF(AND('Control Panel'!$B$15="YES",'Loan Tape'!W40&lt;&gt;"Full"),0.05,0))</f>
        <v/>
      </c>
      <c r="D39" s="35">
        <f>'FF Calculations'!F39</f>
        <v/>
      </c>
      <c r="E39" s="33">
        <f>IFERROR(
        LET(
            region,'Loan Tape'!M40,
            prop_val,C39,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39" s="40">
        <f>0.45</f>
        <v/>
      </c>
      <c r="G39" s="33">
        <f>(C39-E39)*(1-F39)</f>
        <v/>
      </c>
      <c r="H39" s="33">
        <f>IFERROR(
        IF('Loan Tape'!U40="First",5000,7000),
    5000)</f>
        <v/>
      </c>
      <c r="I39" s="33">
        <f>G39*0.03</f>
        <v/>
      </c>
      <c r="J39" s="33">
        <f>H39+I39</f>
        <v/>
      </c>
      <c r="K39" s="33">
        <f>IFERROR(
        LET(
            is_btl,'Loan Tape'!K40="BTL",
            is_subsequent,'Loan Tape'!U40&lt;&gt;"First",
            months,IF(is_subsequent,21,IF(is_btl,12,18)),
            B39*'Loan Tape'!I40*months/12
        ),
    0)</f>
        <v/>
      </c>
      <c r="L39" s="33">
        <f>B39+J39+K39</f>
        <v/>
      </c>
      <c r="M39" s="33">
        <f>MAX(G39-J39,0)</f>
        <v/>
      </c>
      <c r="N39" s="33">
        <f>L39-M39</f>
        <v/>
      </c>
      <c r="O39" s="16">
        <f>IFERROR(N39/B39,0)</f>
        <v/>
      </c>
    </row>
    <row r="40">
      <c r="A40" s="32">
        <f>'Loan Tape'!A41</f>
        <v/>
      </c>
      <c r="B40" s="33">
        <f>'Loan Tape'!D41</f>
        <v/>
      </c>
      <c r="C40" s="33">
        <f>'Loan Tape'!B41*(1-IF(AND('Control Panel'!$B$15="YES",'Loan Tape'!W41&lt;&gt;"Full"),0.05,0))</f>
        <v/>
      </c>
      <c r="D40" s="35">
        <f>'FF Calculations'!F40</f>
        <v/>
      </c>
      <c r="E40" s="33">
        <f>IFERROR(
        LET(
            region,'Loan Tape'!M41,
            prop_val,C40,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0" s="40">
        <f>0.45</f>
        <v/>
      </c>
      <c r="G40" s="33">
        <f>(C40-E40)*(1-F40)</f>
        <v/>
      </c>
      <c r="H40" s="33">
        <f>IFERROR(
        IF('Loan Tape'!U41="First",5000,7000),
    5000)</f>
        <v/>
      </c>
      <c r="I40" s="33">
        <f>G40*0.03</f>
        <v/>
      </c>
      <c r="J40" s="33">
        <f>H40+I40</f>
        <v/>
      </c>
      <c r="K40" s="33">
        <f>IFERROR(
        LET(
            is_btl,'Loan Tape'!K41="BTL",
            is_subsequent,'Loan Tape'!U41&lt;&gt;"First",
            months,IF(is_subsequent,21,IF(is_btl,12,18)),
            B40*'Loan Tape'!I41*months/12
        ),
    0)</f>
        <v/>
      </c>
      <c r="L40" s="33">
        <f>B40+J40+K40</f>
        <v/>
      </c>
      <c r="M40" s="33">
        <f>MAX(G40-J40,0)</f>
        <v/>
      </c>
      <c r="N40" s="33">
        <f>L40-M40</f>
        <v/>
      </c>
      <c r="O40" s="16">
        <f>IFERROR(N40/B40,0)</f>
        <v/>
      </c>
    </row>
    <row r="41">
      <c r="A41" s="32">
        <f>'Loan Tape'!A42</f>
        <v/>
      </c>
      <c r="B41" s="33">
        <f>'Loan Tape'!D42</f>
        <v/>
      </c>
      <c r="C41" s="33">
        <f>'Loan Tape'!B42*(1-IF(AND('Control Panel'!$B$15="YES",'Loan Tape'!W42&lt;&gt;"Full"),0.05,0))</f>
        <v/>
      </c>
      <c r="D41" s="35">
        <f>'FF Calculations'!F41</f>
        <v/>
      </c>
      <c r="E41" s="33">
        <f>IFERROR(
        LET(
            region,'Loan Tape'!M42,
            prop_val,C41,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1" s="40">
        <f>0.45</f>
        <v/>
      </c>
      <c r="G41" s="33">
        <f>(C41-E41)*(1-F41)</f>
        <v/>
      </c>
      <c r="H41" s="33">
        <f>IFERROR(
        IF('Loan Tape'!U42="First",5000,7000),
    5000)</f>
        <v/>
      </c>
      <c r="I41" s="33">
        <f>G41*0.03</f>
        <v/>
      </c>
      <c r="J41" s="33">
        <f>H41+I41</f>
        <v/>
      </c>
      <c r="K41" s="33">
        <f>IFERROR(
        LET(
            is_btl,'Loan Tape'!K42="BTL",
            is_subsequent,'Loan Tape'!U42&lt;&gt;"First",
            months,IF(is_subsequent,21,IF(is_btl,12,18)),
            B41*'Loan Tape'!I42*months/12
        ),
    0)</f>
        <v/>
      </c>
      <c r="L41" s="33">
        <f>B41+J41+K41</f>
        <v/>
      </c>
      <c r="M41" s="33">
        <f>MAX(G41-J41,0)</f>
        <v/>
      </c>
      <c r="N41" s="33">
        <f>L41-M41</f>
        <v/>
      </c>
      <c r="O41" s="16">
        <f>IFERROR(N41/B41,0)</f>
        <v/>
      </c>
    </row>
    <row r="42">
      <c r="A42" s="32">
        <f>'Loan Tape'!A43</f>
        <v/>
      </c>
      <c r="B42" s="33">
        <f>'Loan Tape'!D43</f>
        <v/>
      </c>
      <c r="C42" s="33">
        <f>'Loan Tape'!B43*(1-IF(AND('Control Panel'!$B$15="YES",'Loan Tape'!W43&lt;&gt;"Full"),0.05,0))</f>
        <v/>
      </c>
      <c r="D42" s="35">
        <f>'FF Calculations'!F42</f>
        <v/>
      </c>
      <c r="E42" s="33">
        <f>IFERROR(
        LET(
            region,'Loan Tape'!M43,
            prop_val,C42,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2" s="40">
        <f>0.45</f>
        <v/>
      </c>
      <c r="G42" s="33">
        <f>(C42-E42)*(1-F42)</f>
        <v/>
      </c>
      <c r="H42" s="33">
        <f>IFERROR(
        IF('Loan Tape'!U43="First",5000,7000),
    5000)</f>
        <v/>
      </c>
      <c r="I42" s="33">
        <f>G42*0.03</f>
        <v/>
      </c>
      <c r="J42" s="33">
        <f>H42+I42</f>
        <v/>
      </c>
      <c r="K42" s="33">
        <f>IFERROR(
        LET(
            is_btl,'Loan Tape'!K43="BTL",
            is_subsequent,'Loan Tape'!U43&lt;&gt;"First",
            months,IF(is_subsequent,21,IF(is_btl,12,18)),
            B42*'Loan Tape'!I43*months/12
        ),
    0)</f>
        <v/>
      </c>
      <c r="L42" s="33">
        <f>B42+J42+K42</f>
        <v/>
      </c>
      <c r="M42" s="33">
        <f>MAX(G42-J42,0)</f>
        <v/>
      </c>
      <c r="N42" s="33">
        <f>L42-M42</f>
        <v/>
      </c>
      <c r="O42" s="16">
        <f>IFERROR(N42/B42,0)</f>
        <v/>
      </c>
    </row>
    <row r="43">
      <c r="A43" s="32">
        <f>'Loan Tape'!A44</f>
        <v/>
      </c>
      <c r="B43" s="33">
        <f>'Loan Tape'!D44</f>
        <v/>
      </c>
      <c r="C43" s="33">
        <f>'Loan Tape'!B44*(1-IF(AND('Control Panel'!$B$15="YES",'Loan Tape'!W44&lt;&gt;"Full"),0.05,0))</f>
        <v/>
      </c>
      <c r="D43" s="35">
        <f>'FF Calculations'!F43</f>
        <v/>
      </c>
      <c r="E43" s="33">
        <f>IFERROR(
        LET(
            region,'Loan Tape'!M44,
            prop_val,C43,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3" s="40">
        <f>0.45</f>
        <v/>
      </c>
      <c r="G43" s="33">
        <f>(C43-E43)*(1-F43)</f>
        <v/>
      </c>
      <c r="H43" s="33">
        <f>IFERROR(
        IF('Loan Tape'!U44="First",5000,7000),
    5000)</f>
        <v/>
      </c>
      <c r="I43" s="33">
        <f>G43*0.03</f>
        <v/>
      </c>
      <c r="J43" s="33">
        <f>H43+I43</f>
        <v/>
      </c>
      <c r="K43" s="33">
        <f>IFERROR(
        LET(
            is_btl,'Loan Tape'!K44="BTL",
            is_subsequent,'Loan Tape'!U44&lt;&gt;"First",
            months,IF(is_subsequent,21,IF(is_btl,12,18)),
            B43*'Loan Tape'!I44*months/12
        ),
    0)</f>
        <v/>
      </c>
      <c r="L43" s="33">
        <f>B43+J43+K43</f>
        <v/>
      </c>
      <c r="M43" s="33">
        <f>MAX(G43-J43,0)</f>
        <v/>
      </c>
      <c r="N43" s="33">
        <f>L43-M43</f>
        <v/>
      </c>
      <c r="O43" s="16">
        <f>IFERROR(N43/B43,0)</f>
        <v/>
      </c>
    </row>
    <row r="44">
      <c r="A44" s="32">
        <f>'Loan Tape'!A45</f>
        <v/>
      </c>
      <c r="B44" s="33">
        <f>'Loan Tape'!D45</f>
        <v/>
      </c>
      <c r="C44" s="33">
        <f>'Loan Tape'!B45*(1-IF(AND('Control Panel'!$B$15="YES",'Loan Tape'!W45&lt;&gt;"Full"),0.05,0))</f>
        <v/>
      </c>
      <c r="D44" s="35">
        <f>'FF Calculations'!F44</f>
        <v/>
      </c>
      <c r="E44" s="33">
        <f>IFERROR(
        LET(
            region,'Loan Tape'!M45,
            prop_val,C44,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4" s="40">
        <f>0.45</f>
        <v/>
      </c>
      <c r="G44" s="33">
        <f>(C44-E44)*(1-F44)</f>
        <v/>
      </c>
      <c r="H44" s="33">
        <f>IFERROR(
        IF('Loan Tape'!U45="First",5000,7000),
    5000)</f>
        <v/>
      </c>
      <c r="I44" s="33">
        <f>G44*0.03</f>
        <v/>
      </c>
      <c r="J44" s="33">
        <f>H44+I44</f>
        <v/>
      </c>
      <c r="K44" s="33">
        <f>IFERROR(
        LET(
            is_btl,'Loan Tape'!K45="BTL",
            is_subsequent,'Loan Tape'!U45&lt;&gt;"First",
            months,IF(is_subsequent,21,IF(is_btl,12,18)),
            B44*'Loan Tape'!I45*months/12
        ),
    0)</f>
        <v/>
      </c>
      <c r="L44" s="33">
        <f>B44+J44+K44</f>
        <v/>
      </c>
      <c r="M44" s="33">
        <f>MAX(G44-J44,0)</f>
        <v/>
      </c>
      <c r="N44" s="33">
        <f>L44-M44</f>
        <v/>
      </c>
      <c r="O44" s="16">
        <f>IFERROR(N44/B44,0)</f>
        <v/>
      </c>
    </row>
    <row r="45">
      <c r="A45" s="32">
        <f>'Loan Tape'!A46</f>
        <v/>
      </c>
      <c r="B45" s="33">
        <f>'Loan Tape'!D46</f>
        <v/>
      </c>
      <c r="C45" s="33">
        <f>'Loan Tape'!B46*(1-IF(AND('Control Panel'!$B$15="YES",'Loan Tape'!W46&lt;&gt;"Full"),0.05,0))</f>
        <v/>
      </c>
      <c r="D45" s="35">
        <f>'FF Calculations'!F45</f>
        <v/>
      </c>
      <c r="E45" s="33">
        <f>IFERROR(
        LET(
            region,'Loan Tape'!M46,
            prop_val,C45,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5" s="40">
        <f>0.45</f>
        <v/>
      </c>
      <c r="G45" s="33">
        <f>(C45-E45)*(1-F45)</f>
        <v/>
      </c>
      <c r="H45" s="33">
        <f>IFERROR(
        IF('Loan Tape'!U46="First",5000,7000),
    5000)</f>
        <v/>
      </c>
      <c r="I45" s="33">
        <f>G45*0.03</f>
        <v/>
      </c>
      <c r="J45" s="33">
        <f>H45+I45</f>
        <v/>
      </c>
      <c r="K45" s="33">
        <f>IFERROR(
        LET(
            is_btl,'Loan Tape'!K46="BTL",
            is_subsequent,'Loan Tape'!U46&lt;&gt;"First",
            months,IF(is_subsequent,21,IF(is_btl,12,18)),
            B45*'Loan Tape'!I46*months/12
        ),
    0)</f>
        <v/>
      </c>
      <c r="L45" s="33">
        <f>B45+J45+K45</f>
        <v/>
      </c>
      <c r="M45" s="33">
        <f>MAX(G45-J45,0)</f>
        <v/>
      </c>
      <c r="N45" s="33">
        <f>L45-M45</f>
        <v/>
      </c>
      <c r="O45" s="16">
        <f>IFERROR(N45/B45,0)</f>
        <v/>
      </c>
    </row>
    <row r="46">
      <c r="A46" s="32">
        <f>'Loan Tape'!A47</f>
        <v/>
      </c>
      <c r="B46" s="33">
        <f>'Loan Tape'!D47</f>
        <v/>
      </c>
      <c r="C46" s="33">
        <f>'Loan Tape'!B47*(1-IF(AND('Control Panel'!$B$15="YES",'Loan Tape'!W47&lt;&gt;"Full"),0.05,0))</f>
        <v/>
      </c>
      <c r="D46" s="35">
        <f>'FF Calculations'!F46</f>
        <v/>
      </c>
      <c r="E46" s="33">
        <f>IFERROR(
        LET(
            region,'Loan Tape'!M47,
            prop_val,C46,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6" s="40">
        <f>0.45</f>
        <v/>
      </c>
      <c r="G46" s="33">
        <f>(C46-E46)*(1-F46)</f>
        <v/>
      </c>
      <c r="H46" s="33">
        <f>IFERROR(
        IF('Loan Tape'!U47="First",5000,7000),
    5000)</f>
        <v/>
      </c>
      <c r="I46" s="33">
        <f>G46*0.03</f>
        <v/>
      </c>
      <c r="J46" s="33">
        <f>H46+I46</f>
        <v/>
      </c>
      <c r="K46" s="33">
        <f>IFERROR(
        LET(
            is_btl,'Loan Tape'!K47="BTL",
            is_subsequent,'Loan Tape'!U47&lt;&gt;"First",
            months,IF(is_subsequent,21,IF(is_btl,12,18)),
            B46*'Loan Tape'!I47*months/12
        ),
    0)</f>
        <v/>
      </c>
      <c r="L46" s="33">
        <f>B46+J46+K46</f>
        <v/>
      </c>
      <c r="M46" s="33">
        <f>MAX(G46-J46,0)</f>
        <v/>
      </c>
      <c r="N46" s="33">
        <f>L46-M46</f>
        <v/>
      </c>
      <c r="O46" s="16">
        <f>IFERROR(N46/B46,0)</f>
        <v/>
      </c>
    </row>
    <row r="47">
      <c r="A47" s="32">
        <f>'Loan Tape'!A48</f>
        <v/>
      </c>
      <c r="B47" s="33">
        <f>'Loan Tape'!D48</f>
        <v/>
      </c>
      <c r="C47" s="33">
        <f>'Loan Tape'!B48*(1-IF(AND('Control Panel'!$B$15="YES",'Loan Tape'!W48&lt;&gt;"Full"),0.05,0))</f>
        <v/>
      </c>
      <c r="D47" s="35">
        <f>'FF Calculations'!F47</f>
        <v/>
      </c>
      <c r="E47" s="33">
        <f>IFERROR(
        LET(
            region,'Loan Tape'!M48,
            prop_val,C47,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7" s="40">
        <f>0.45</f>
        <v/>
      </c>
      <c r="G47" s="33">
        <f>(C47-E47)*(1-F47)</f>
        <v/>
      </c>
      <c r="H47" s="33">
        <f>IFERROR(
        IF('Loan Tape'!U48="First",5000,7000),
    5000)</f>
        <v/>
      </c>
      <c r="I47" s="33">
        <f>G47*0.03</f>
        <v/>
      </c>
      <c r="J47" s="33">
        <f>H47+I47</f>
        <v/>
      </c>
      <c r="K47" s="33">
        <f>IFERROR(
        LET(
            is_btl,'Loan Tape'!K48="BTL",
            is_subsequent,'Loan Tape'!U48&lt;&gt;"First",
            months,IF(is_subsequent,21,IF(is_btl,12,18)),
            B47*'Loan Tape'!I48*months/12
        ),
    0)</f>
        <v/>
      </c>
      <c r="L47" s="33">
        <f>B47+J47+K47</f>
        <v/>
      </c>
      <c r="M47" s="33">
        <f>MAX(G47-J47,0)</f>
        <v/>
      </c>
      <c r="N47" s="33">
        <f>L47-M47</f>
        <v/>
      </c>
      <c r="O47" s="16">
        <f>IFERROR(N47/B47,0)</f>
        <v/>
      </c>
    </row>
    <row r="48">
      <c r="A48" s="32">
        <f>'Loan Tape'!A49</f>
        <v/>
      </c>
      <c r="B48" s="33">
        <f>'Loan Tape'!D49</f>
        <v/>
      </c>
      <c r="C48" s="33">
        <f>'Loan Tape'!B49*(1-IF(AND('Control Panel'!$B$15="YES",'Loan Tape'!W49&lt;&gt;"Full"),0.05,0))</f>
        <v/>
      </c>
      <c r="D48" s="35">
        <f>'FF Calculations'!F48</f>
        <v/>
      </c>
      <c r="E48" s="33">
        <f>IFERROR(
        LET(
            region,'Loan Tape'!M49,
            prop_val,C48,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8" s="40">
        <f>0.45</f>
        <v/>
      </c>
      <c r="G48" s="33">
        <f>(C48-E48)*(1-F48)</f>
        <v/>
      </c>
      <c r="H48" s="33">
        <f>IFERROR(
        IF('Loan Tape'!U49="First",5000,7000),
    5000)</f>
        <v/>
      </c>
      <c r="I48" s="33">
        <f>G48*0.03</f>
        <v/>
      </c>
      <c r="J48" s="33">
        <f>H48+I48</f>
        <v/>
      </c>
      <c r="K48" s="33">
        <f>IFERROR(
        LET(
            is_btl,'Loan Tape'!K49="BTL",
            is_subsequent,'Loan Tape'!U49&lt;&gt;"First",
            months,IF(is_subsequent,21,IF(is_btl,12,18)),
            B48*'Loan Tape'!I49*months/12
        ),
    0)</f>
        <v/>
      </c>
      <c r="L48" s="33">
        <f>B48+J48+K48</f>
        <v/>
      </c>
      <c r="M48" s="33">
        <f>MAX(G48-J48,0)</f>
        <v/>
      </c>
      <c r="N48" s="33">
        <f>L48-M48</f>
        <v/>
      </c>
      <c r="O48" s="16">
        <f>IFERROR(N48/B48,0)</f>
        <v/>
      </c>
    </row>
    <row r="49">
      <c r="A49" s="32">
        <f>'Loan Tape'!A50</f>
        <v/>
      </c>
      <c r="B49" s="33">
        <f>'Loan Tape'!D50</f>
        <v/>
      </c>
      <c r="C49" s="33">
        <f>'Loan Tape'!B50*(1-IF(AND('Control Panel'!$B$15="YES",'Loan Tape'!W50&lt;&gt;"Full"),0.05,0))</f>
        <v/>
      </c>
      <c r="D49" s="35">
        <f>'FF Calculations'!F49</f>
        <v/>
      </c>
      <c r="E49" s="33">
        <f>IFERROR(
        LET(
            region,'Loan Tape'!M50,
            prop_val,C49,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49" s="40">
        <f>0.45</f>
        <v/>
      </c>
      <c r="G49" s="33">
        <f>(C49-E49)*(1-F49)</f>
        <v/>
      </c>
      <c r="H49" s="33">
        <f>IFERROR(
        IF('Loan Tape'!U50="First",5000,7000),
    5000)</f>
        <v/>
      </c>
      <c r="I49" s="33">
        <f>G49*0.03</f>
        <v/>
      </c>
      <c r="J49" s="33">
        <f>H49+I49</f>
        <v/>
      </c>
      <c r="K49" s="33">
        <f>IFERROR(
        LET(
            is_btl,'Loan Tape'!K50="BTL",
            is_subsequent,'Loan Tape'!U50&lt;&gt;"First",
            months,IF(is_subsequent,21,IF(is_btl,12,18)),
            B49*'Loan Tape'!I50*months/12
        ),
    0)</f>
        <v/>
      </c>
      <c r="L49" s="33">
        <f>B49+J49+K49</f>
        <v/>
      </c>
      <c r="M49" s="33">
        <f>MAX(G49-J49,0)</f>
        <v/>
      </c>
      <c r="N49" s="33">
        <f>L49-M49</f>
        <v/>
      </c>
      <c r="O49" s="16">
        <f>IFERROR(N49/B49,0)</f>
        <v/>
      </c>
    </row>
    <row r="50">
      <c r="A50" s="32">
        <f>'Loan Tape'!A51</f>
        <v/>
      </c>
      <c r="B50" s="33">
        <f>'Loan Tape'!D51</f>
        <v/>
      </c>
      <c r="C50" s="33">
        <f>'Loan Tape'!B51*(1-IF(AND('Control Panel'!$B$15="YES",'Loan Tape'!W51&lt;&gt;"Full"),0.05,0))</f>
        <v/>
      </c>
      <c r="D50" s="35">
        <f>'FF Calculations'!F50</f>
        <v/>
      </c>
      <c r="E50" s="33">
        <f>IFERROR(
        LET(
            region,'Loan Tape'!M51,
            prop_val,C50,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0" s="40">
        <f>0.45</f>
        <v/>
      </c>
      <c r="G50" s="33">
        <f>(C50-E50)*(1-F50)</f>
        <v/>
      </c>
      <c r="H50" s="33">
        <f>IFERROR(
        IF('Loan Tape'!U51="First",5000,7000),
    5000)</f>
        <v/>
      </c>
      <c r="I50" s="33">
        <f>G50*0.03</f>
        <v/>
      </c>
      <c r="J50" s="33">
        <f>H50+I50</f>
        <v/>
      </c>
      <c r="K50" s="33">
        <f>IFERROR(
        LET(
            is_btl,'Loan Tape'!K51="BTL",
            is_subsequent,'Loan Tape'!U51&lt;&gt;"First",
            months,IF(is_subsequent,21,IF(is_btl,12,18)),
            B50*'Loan Tape'!I51*months/12
        ),
    0)</f>
        <v/>
      </c>
      <c r="L50" s="33">
        <f>B50+J50+K50</f>
        <v/>
      </c>
      <c r="M50" s="33">
        <f>MAX(G50-J50,0)</f>
        <v/>
      </c>
      <c r="N50" s="33">
        <f>L50-M50</f>
        <v/>
      </c>
      <c r="O50" s="16">
        <f>IFERROR(N50/B50,0)</f>
        <v/>
      </c>
    </row>
    <row r="51">
      <c r="A51" s="32">
        <f>'Loan Tape'!A52</f>
        <v/>
      </c>
      <c r="B51" s="33">
        <f>'Loan Tape'!D52</f>
        <v/>
      </c>
      <c r="C51" s="33">
        <f>'Loan Tape'!B52*(1-IF(AND('Control Panel'!$B$15="YES",'Loan Tape'!W52&lt;&gt;"Full"),0.05,0))</f>
        <v/>
      </c>
      <c r="D51" s="35">
        <f>'FF Calculations'!F51</f>
        <v/>
      </c>
      <c r="E51" s="33">
        <f>IFERROR(
        LET(
            region,'Loan Tape'!M52,
            prop_val,C51,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1" s="40">
        <f>0.45</f>
        <v/>
      </c>
      <c r="G51" s="33">
        <f>(C51-E51)*(1-F51)</f>
        <v/>
      </c>
      <c r="H51" s="33">
        <f>IFERROR(
        IF('Loan Tape'!U52="First",5000,7000),
    5000)</f>
        <v/>
      </c>
      <c r="I51" s="33">
        <f>G51*0.03</f>
        <v/>
      </c>
      <c r="J51" s="33">
        <f>H51+I51</f>
        <v/>
      </c>
      <c r="K51" s="33">
        <f>IFERROR(
        LET(
            is_btl,'Loan Tape'!K52="BTL",
            is_subsequent,'Loan Tape'!U52&lt;&gt;"First",
            months,IF(is_subsequent,21,IF(is_btl,12,18)),
            B51*'Loan Tape'!I52*months/12
        ),
    0)</f>
        <v/>
      </c>
      <c r="L51" s="33">
        <f>B51+J51+K51</f>
        <v/>
      </c>
      <c r="M51" s="33">
        <f>MAX(G51-J51,0)</f>
        <v/>
      </c>
      <c r="N51" s="33">
        <f>L51-M51</f>
        <v/>
      </c>
      <c r="O51" s="16">
        <f>IFERROR(N51/B51,0)</f>
        <v/>
      </c>
    </row>
    <row r="52">
      <c r="A52" s="32">
        <f>'Loan Tape'!A53</f>
        <v/>
      </c>
      <c r="B52" s="33">
        <f>'Loan Tape'!D53</f>
        <v/>
      </c>
      <c r="C52" s="33">
        <f>'Loan Tape'!B53*(1-IF(AND('Control Panel'!$B$15="YES",'Loan Tape'!W53&lt;&gt;"Full"),0.05,0))</f>
        <v/>
      </c>
      <c r="D52" s="35">
        <f>'FF Calculations'!F52</f>
        <v/>
      </c>
      <c r="E52" s="33">
        <f>IFERROR(
        LET(
            region,'Loan Tape'!M53,
            prop_val,C52,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2" s="40">
        <f>0.45</f>
        <v/>
      </c>
      <c r="G52" s="33">
        <f>(C52-E52)*(1-F52)</f>
        <v/>
      </c>
      <c r="H52" s="33">
        <f>IFERROR(
        IF('Loan Tape'!U53="First",5000,7000),
    5000)</f>
        <v/>
      </c>
      <c r="I52" s="33">
        <f>G52*0.03</f>
        <v/>
      </c>
      <c r="J52" s="33">
        <f>H52+I52</f>
        <v/>
      </c>
      <c r="K52" s="33">
        <f>IFERROR(
        LET(
            is_btl,'Loan Tape'!K53="BTL",
            is_subsequent,'Loan Tape'!U53&lt;&gt;"First",
            months,IF(is_subsequent,21,IF(is_btl,12,18)),
            B52*'Loan Tape'!I53*months/12
        ),
    0)</f>
        <v/>
      </c>
      <c r="L52" s="33">
        <f>B52+J52+K52</f>
        <v/>
      </c>
      <c r="M52" s="33">
        <f>MAX(G52-J52,0)</f>
        <v/>
      </c>
      <c r="N52" s="33">
        <f>L52-M52</f>
        <v/>
      </c>
      <c r="O52" s="16">
        <f>IFERROR(N52/B52,0)</f>
        <v/>
      </c>
    </row>
    <row r="53">
      <c r="A53" s="32">
        <f>'Loan Tape'!A54</f>
        <v/>
      </c>
      <c r="B53" s="33">
        <f>'Loan Tape'!D54</f>
        <v/>
      </c>
      <c r="C53" s="33">
        <f>'Loan Tape'!B54*(1-IF(AND('Control Panel'!$B$15="YES",'Loan Tape'!W54&lt;&gt;"Full"),0.05,0))</f>
        <v/>
      </c>
      <c r="D53" s="35">
        <f>'FF Calculations'!F53</f>
        <v/>
      </c>
      <c r="E53" s="33">
        <f>IFERROR(
        LET(
            region,'Loan Tape'!M54,
            prop_val,C53,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3" s="40">
        <f>0.45</f>
        <v/>
      </c>
      <c r="G53" s="33">
        <f>(C53-E53)*(1-F53)</f>
        <v/>
      </c>
      <c r="H53" s="33">
        <f>IFERROR(
        IF('Loan Tape'!U54="First",5000,7000),
    5000)</f>
        <v/>
      </c>
      <c r="I53" s="33">
        <f>G53*0.03</f>
        <v/>
      </c>
      <c r="J53" s="33">
        <f>H53+I53</f>
        <v/>
      </c>
      <c r="K53" s="33">
        <f>IFERROR(
        LET(
            is_btl,'Loan Tape'!K54="BTL",
            is_subsequent,'Loan Tape'!U54&lt;&gt;"First",
            months,IF(is_subsequent,21,IF(is_btl,12,18)),
            B53*'Loan Tape'!I54*months/12
        ),
    0)</f>
        <v/>
      </c>
      <c r="L53" s="33">
        <f>B53+J53+K53</f>
        <v/>
      </c>
      <c r="M53" s="33">
        <f>MAX(G53-J53,0)</f>
        <v/>
      </c>
      <c r="N53" s="33">
        <f>L53-M53</f>
        <v/>
      </c>
      <c r="O53" s="16">
        <f>IFERROR(N53/B53,0)</f>
        <v/>
      </c>
    </row>
    <row r="54">
      <c r="A54" s="32">
        <f>'Loan Tape'!A55</f>
        <v/>
      </c>
      <c r="B54" s="33">
        <f>'Loan Tape'!D55</f>
        <v/>
      </c>
      <c r="C54" s="33">
        <f>'Loan Tape'!B55*(1-IF(AND('Control Panel'!$B$15="YES",'Loan Tape'!W55&lt;&gt;"Full"),0.05,0))</f>
        <v/>
      </c>
      <c r="D54" s="35">
        <f>'FF Calculations'!F54</f>
        <v/>
      </c>
      <c r="E54" s="33">
        <f>IFERROR(
        LET(
            region,'Loan Tape'!M55,
            prop_val,C54,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4" s="40">
        <f>0.45</f>
        <v/>
      </c>
      <c r="G54" s="33">
        <f>(C54-E54)*(1-F54)</f>
        <v/>
      </c>
      <c r="H54" s="33">
        <f>IFERROR(
        IF('Loan Tape'!U55="First",5000,7000),
    5000)</f>
        <v/>
      </c>
      <c r="I54" s="33">
        <f>G54*0.03</f>
        <v/>
      </c>
      <c r="J54" s="33">
        <f>H54+I54</f>
        <v/>
      </c>
      <c r="K54" s="33">
        <f>IFERROR(
        LET(
            is_btl,'Loan Tape'!K55="BTL",
            is_subsequent,'Loan Tape'!U55&lt;&gt;"First",
            months,IF(is_subsequent,21,IF(is_btl,12,18)),
            B54*'Loan Tape'!I55*months/12
        ),
    0)</f>
        <v/>
      </c>
      <c r="L54" s="33">
        <f>B54+J54+K54</f>
        <v/>
      </c>
      <c r="M54" s="33">
        <f>MAX(G54-J54,0)</f>
        <v/>
      </c>
      <c r="N54" s="33">
        <f>L54-M54</f>
        <v/>
      </c>
      <c r="O54" s="16">
        <f>IFERROR(N54/B54,0)</f>
        <v/>
      </c>
    </row>
    <row r="55">
      <c r="A55" s="32">
        <f>'Loan Tape'!A56</f>
        <v/>
      </c>
      <c r="B55" s="33">
        <f>'Loan Tape'!D56</f>
        <v/>
      </c>
      <c r="C55" s="33">
        <f>'Loan Tape'!B56*(1-IF(AND('Control Panel'!$B$15="YES",'Loan Tape'!W56&lt;&gt;"Full"),0.05,0))</f>
        <v/>
      </c>
      <c r="D55" s="35">
        <f>'FF Calculations'!F55</f>
        <v/>
      </c>
      <c r="E55" s="33">
        <f>IFERROR(
        LET(
            region,'Loan Tape'!M56,
            prop_val,C55,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5" s="40">
        <f>0.45</f>
        <v/>
      </c>
      <c r="G55" s="33">
        <f>(C55-E55)*(1-F55)</f>
        <v/>
      </c>
      <c r="H55" s="33">
        <f>IFERROR(
        IF('Loan Tape'!U56="First",5000,7000),
    5000)</f>
        <v/>
      </c>
      <c r="I55" s="33">
        <f>G55*0.03</f>
        <v/>
      </c>
      <c r="J55" s="33">
        <f>H55+I55</f>
        <v/>
      </c>
      <c r="K55" s="33">
        <f>IFERROR(
        LET(
            is_btl,'Loan Tape'!K56="BTL",
            is_subsequent,'Loan Tape'!U56&lt;&gt;"First",
            months,IF(is_subsequent,21,IF(is_btl,12,18)),
            B55*'Loan Tape'!I56*months/12
        ),
    0)</f>
        <v/>
      </c>
      <c r="L55" s="33">
        <f>B55+J55+K55</f>
        <v/>
      </c>
      <c r="M55" s="33">
        <f>MAX(G55-J55,0)</f>
        <v/>
      </c>
      <c r="N55" s="33">
        <f>L55-M55</f>
        <v/>
      </c>
      <c r="O55" s="16">
        <f>IFERROR(N55/B55,0)</f>
        <v/>
      </c>
    </row>
    <row r="56">
      <c r="A56" s="32">
        <f>'Loan Tape'!A57</f>
        <v/>
      </c>
      <c r="B56" s="33">
        <f>'Loan Tape'!D57</f>
        <v/>
      </c>
      <c r="C56" s="33">
        <f>'Loan Tape'!B57*(1-IF(AND('Control Panel'!$B$15="YES",'Loan Tape'!W57&lt;&gt;"Full"),0.05,0))</f>
        <v/>
      </c>
      <c r="D56" s="35">
        <f>'FF Calculations'!F56</f>
        <v/>
      </c>
      <c r="E56" s="33">
        <f>IFERROR(
        LET(
            region,'Loan Tape'!M57,
            prop_val,C56,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6" s="40">
        <f>0.45</f>
        <v/>
      </c>
      <c r="G56" s="33">
        <f>(C56-E56)*(1-F56)</f>
        <v/>
      </c>
      <c r="H56" s="33">
        <f>IFERROR(
        IF('Loan Tape'!U57="First",5000,7000),
    5000)</f>
        <v/>
      </c>
      <c r="I56" s="33">
        <f>G56*0.03</f>
        <v/>
      </c>
      <c r="J56" s="33">
        <f>H56+I56</f>
        <v/>
      </c>
      <c r="K56" s="33">
        <f>IFERROR(
        LET(
            is_btl,'Loan Tape'!K57="BTL",
            is_subsequent,'Loan Tape'!U57&lt;&gt;"First",
            months,IF(is_subsequent,21,IF(is_btl,12,18)),
            B56*'Loan Tape'!I57*months/12
        ),
    0)</f>
        <v/>
      </c>
      <c r="L56" s="33">
        <f>B56+J56+K56</f>
        <v/>
      </c>
      <c r="M56" s="33">
        <f>MAX(G56-J56,0)</f>
        <v/>
      </c>
      <c r="N56" s="33">
        <f>L56-M56</f>
        <v/>
      </c>
      <c r="O56" s="16">
        <f>IFERROR(N56/B56,0)</f>
        <v/>
      </c>
    </row>
    <row r="57">
      <c r="A57" s="32">
        <f>'Loan Tape'!A58</f>
        <v/>
      </c>
      <c r="B57" s="33">
        <f>'Loan Tape'!D58</f>
        <v/>
      </c>
      <c r="C57" s="33">
        <f>'Loan Tape'!B58*(1-IF(AND('Control Panel'!$B$15="YES",'Loan Tape'!W58&lt;&gt;"Full"),0.05,0))</f>
        <v/>
      </c>
      <c r="D57" s="35">
        <f>'FF Calculations'!F57</f>
        <v/>
      </c>
      <c r="E57" s="33">
        <f>IFERROR(
        LET(
            region,'Loan Tape'!M58,
            prop_val,C57,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7" s="40">
        <f>0.45</f>
        <v/>
      </c>
      <c r="G57" s="33">
        <f>(C57-E57)*(1-F57)</f>
        <v/>
      </c>
      <c r="H57" s="33">
        <f>IFERROR(
        IF('Loan Tape'!U58="First",5000,7000),
    5000)</f>
        <v/>
      </c>
      <c r="I57" s="33">
        <f>G57*0.03</f>
        <v/>
      </c>
      <c r="J57" s="33">
        <f>H57+I57</f>
        <v/>
      </c>
      <c r="K57" s="33">
        <f>IFERROR(
        LET(
            is_btl,'Loan Tape'!K58="BTL",
            is_subsequent,'Loan Tape'!U58&lt;&gt;"First",
            months,IF(is_subsequent,21,IF(is_btl,12,18)),
            B57*'Loan Tape'!I58*months/12
        ),
    0)</f>
        <v/>
      </c>
      <c r="L57" s="33">
        <f>B57+J57+K57</f>
        <v/>
      </c>
      <c r="M57" s="33">
        <f>MAX(G57-J57,0)</f>
        <v/>
      </c>
      <c r="N57" s="33">
        <f>L57-M57</f>
        <v/>
      </c>
      <c r="O57" s="16">
        <f>IFERROR(N57/B57,0)</f>
        <v/>
      </c>
    </row>
    <row r="58">
      <c r="A58" s="32">
        <f>'Loan Tape'!A59</f>
        <v/>
      </c>
      <c r="B58" s="33">
        <f>'Loan Tape'!D59</f>
        <v/>
      </c>
      <c r="C58" s="33">
        <f>'Loan Tape'!B59*(1-IF(AND('Control Panel'!$B$15="YES",'Loan Tape'!W59&lt;&gt;"Full"),0.05,0))</f>
        <v/>
      </c>
      <c r="D58" s="35">
        <f>'FF Calculations'!F58</f>
        <v/>
      </c>
      <c r="E58" s="33">
        <f>IFERROR(
        LET(
            region,'Loan Tape'!M59,
            prop_val,C58,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8" s="40">
        <f>0.45</f>
        <v/>
      </c>
      <c r="G58" s="33">
        <f>(C58-E58)*(1-F58)</f>
        <v/>
      </c>
      <c r="H58" s="33">
        <f>IFERROR(
        IF('Loan Tape'!U59="First",5000,7000),
    5000)</f>
        <v/>
      </c>
      <c r="I58" s="33">
        <f>G58*0.03</f>
        <v/>
      </c>
      <c r="J58" s="33">
        <f>H58+I58</f>
        <v/>
      </c>
      <c r="K58" s="33">
        <f>IFERROR(
        LET(
            is_btl,'Loan Tape'!K59="BTL",
            is_subsequent,'Loan Tape'!U59&lt;&gt;"First",
            months,IF(is_subsequent,21,IF(is_btl,12,18)),
            B58*'Loan Tape'!I59*months/12
        ),
    0)</f>
        <v/>
      </c>
      <c r="L58" s="33">
        <f>B58+J58+K58</f>
        <v/>
      </c>
      <c r="M58" s="33">
        <f>MAX(G58-J58,0)</f>
        <v/>
      </c>
      <c r="N58" s="33">
        <f>L58-M58</f>
        <v/>
      </c>
      <c r="O58" s="16">
        <f>IFERROR(N58/B58,0)</f>
        <v/>
      </c>
    </row>
    <row r="59">
      <c r="A59" s="32">
        <f>'Loan Tape'!A60</f>
        <v/>
      </c>
      <c r="B59" s="33">
        <f>'Loan Tape'!D60</f>
        <v/>
      </c>
      <c r="C59" s="33">
        <f>'Loan Tape'!B60*(1-IF(AND('Control Panel'!$B$15="YES",'Loan Tape'!W60&lt;&gt;"Full"),0.05,0))</f>
        <v/>
      </c>
      <c r="D59" s="35">
        <f>'FF Calculations'!F59</f>
        <v/>
      </c>
      <c r="E59" s="33">
        <f>IFERROR(
        LET(
            region,'Loan Tape'!M60,
            prop_val,C59,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59" s="40">
        <f>0.45</f>
        <v/>
      </c>
      <c r="G59" s="33">
        <f>(C59-E59)*(1-F59)</f>
        <v/>
      </c>
      <c r="H59" s="33">
        <f>IFERROR(
        IF('Loan Tape'!U60="First",5000,7000),
    5000)</f>
        <v/>
      </c>
      <c r="I59" s="33">
        <f>G59*0.03</f>
        <v/>
      </c>
      <c r="J59" s="33">
        <f>H59+I59</f>
        <v/>
      </c>
      <c r="K59" s="33">
        <f>IFERROR(
        LET(
            is_btl,'Loan Tape'!K60="BTL",
            is_subsequent,'Loan Tape'!U60&lt;&gt;"First",
            months,IF(is_subsequent,21,IF(is_btl,12,18)),
            B59*'Loan Tape'!I60*months/12
        ),
    0)</f>
        <v/>
      </c>
      <c r="L59" s="33">
        <f>B59+J59+K59</f>
        <v/>
      </c>
      <c r="M59" s="33">
        <f>MAX(G59-J59,0)</f>
        <v/>
      </c>
      <c r="N59" s="33">
        <f>L59-M59</f>
        <v/>
      </c>
      <c r="O59" s="16">
        <f>IFERROR(N59/B59,0)</f>
        <v/>
      </c>
    </row>
    <row r="60">
      <c r="A60" s="32">
        <f>'Loan Tape'!A61</f>
        <v/>
      </c>
      <c r="B60" s="33">
        <f>'Loan Tape'!D61</f>
        <v/>
      </c>
      <c r="C60" s="33">
        <f>'Loan Tape'!B61*(1-IF(AND('Control Panel'!$B$15="YES",'Loan Tape'!W61&lt;&gt;"Full"),0.05,0))</f>
        <v/>
      </c>
      <c r="D60" s="35">
        <f>'FF Calculations'!F60</f>
        <v/>
      </c>
      <c r="E60" s="33">
        <f>IFERROR(
        LET(
            region,'Loan Tape'!M61,
            prop_val,C60,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0" s="40">
        <f>0.45</f>
        <v/>
      </c>
      <c r="G60" s="33">
        <f>(C60-E60)*(1-F60)</f>
        <v/>
      </c>
      <c r="H60" s="33">
        <f>IFERROR(
        IF('Loan Tape'!U61="First",5000,7000),
    5000)</f>
        <v/>
      </c>
      <c r="I60" s="33">
        <f>G60*0.03</f>
        <v/>
      </c>
      <c r="J60" s="33">
        <f>H60+I60</f>
        <v/>
      </c>
      <c r="K60" s="33">
        <f>IFERROR(
        LET(
            is_btl,'Loan Tape'!K61="BTL",
            is_subsequent,'Loan Tape'!U61&lt;&gt;"First",
            months,IF(is_subsequent,21,IF(is_btl,12,18)),
            B60*'Loan Tape'!I61*months/12
        ),
    0)</f>
        <v/>
      </c>
      <c r="L60" s="33">
        <f>B60+J60+K60</f>
        <v/>
      </c>
      <c r="M60" s="33">
        <f>MAX(G60-J60,0)</f>
        <v/>
      </c>
      <c r="N60" s="33">
        <f>L60-M60</f>
        <v/>
      </c>
      <c r="O60" s="16">
        <f>IFERROR(N60/B60,0)</f>
        <v/>
      </c>
    </row>
    <row r="61">
      <c r="A61" s="32">
        <f>'Loan Tape'!A62</f>
        <v/>
      </c>
      <c r="B61" s="33">
        <f>'Loan Tape'!D62</f>
        <v/>
      </c>
      <c r="C61" s="33">
        <f>'Loan Tape'!B62*(1-IF(AND('Control Panel'!$B$15="YES",'Loan Tape'!W62&lt;&gt;"Full"),0.05,0))</f>
        <v/>
      </c>
      <c r="D61" s="35">
        <f>'FF Calculations'!F61</f>
        <v/>
      </c>
      <c r="E61" s="33">
        <f>IFERROR(
        LET(
            region,'Loan Tape'!M62,
            prop_val,C61,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1" s="40">
        <f>0.45</f>
        <v/>
      </c>
      <c r="G61" s="33">
        <f>(C61-E61)*(1-F61)</f>
        <v/>
      </c>
      <c r="H61" s="33">
        <f>IFERROR(
        IF('Loan Tape'!U62="First",5000,7000),
    5000)</f>
        <v/>
      </c>
      <c r="I61" s="33">
        <f>G61*0.03</f>
        <v/>
      </c>
      <c r="J61" s="33">
        <f>H61+I61</f>
        <v/>
      </c>
      <c r="K61" s="33">
        <f>IFERROR(
        LET(
            is_btl,'Loan Tape'!K62="BTL",
            is_subsequent,'Loan Tape'!U62&lt;&gt;"First",
            months,IF(is_subsequent,21,IF(is_btl,12,18)),
            B61*'Loan Tape'!I62*months/12
        ),
    0)</f>
        <v/>
      </c>
      <c r="L61" s="33">
        <f>B61+J61+K61</f>
        <v/>
      </c>
      <c r="M61" s="33">
        <f>MAX(G61-J61,0)</f>
        <v/>
      </c>
      <c r="N61" s="33">
        <f>L61-M61</f>
        <v/>
      </c>
      <c r="O61" s="16">
        <f>IFERROR(N61/B61,0)</f>
        <v/>
      </c>
    </row>
    <row r="62">
      <c r="A62" s="32">
        <f>'Loan Tape'!A63</f>
        <v/>
      </c>
      <c r="B62" s="33">
        <f>'Loan Tape'!D63</f>
        <v/>
      </c>
      <c r="C62" s="33">
        <f>'Loan Tape'!B63*(1-IF(AND('Control Panel'!$B$15="YES",'Loan Tape'!W63&lt;&gt;"Full"),0.05,0))</f>
        <v/>
      </c>
      <c r="D62" s="35">
        <f>'FF Calculations'!F62</f>
        <v/>
      </c>
      <c r="E62" s="33">
        <f>IFERROR(
        LET(
            region,'Loan Tape'!M63,
            prop_val,C62,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2" s="40">
        <f>0.45</f>
        <v/>
      </c>
      <c r="G62" s="33">
        <f>(C62-E62)*(1-F62)</f>
        <v/>
      </c>
      <c r="H62" s="33">
        <f>IFERROR(
        IF('Loan Tape'!U63="First",5000,7000),
    5000)</f>
        <v/>
      </c>
      <c r="I62" s="33">
        <f>G62*0.03</f>
        <v/>
      </c>
      <c r="J62" s="33">
        <f>H62+I62</f>
        <v/>
      </c>
      <c r="K62" s="33">
        <f>IFERROR(
        LET(
            is_btl,'Loan Tape'!K63="BTL",
            is_subsequent,'Loan Tape'!U63&lt;&gt;"First",
            months,IF(is_subsequent,21,IF(is_btl,12,18)),
            B62*'Loan Tape'!I63*months/12
        ),
    0)</f>
        <v/>
      </c>
      <c r="L62" s="33">
        <f>B62+J62+K62</f>
        <v/>
      </c>
      <c r="M62" s="33">
        <f>MAX(G62-J62,0)</f>
        <v/>
      </c>
      <c r="N62" s="33">
        <f>L62-M62</f>
        <v/>
      </c>
      <c r="O62" s="16">
        <f>IFERROR(N62/B62,0)</f>
        <v/>
      </c>
    </row>
    <row r="63">
      <c r="A63" s="32">
        <f>'Loan Tape'!A64</f>
        <v/>
      </c>
      <c r="B63" s="33">
        <f>'Loan Tape'!D64</f>
        <v/>
      </c>
      <c r="C63" s="33">
        <f>'Loan Tape'!B64*(1-IF(AND('Control Panel'!$B$15="YES",'Loan Tape'!W64&lt;&gt;"Full"),0.05,0))</f>
        <v/>
      </c>
      <c r="D63" s="35">
        <f>'FF Calculations'!F63</f>
        <v/>
      </c>
      <c r="E63" s="33">
        <f>IFERROR(
        LET(
            region,'Loan Tape'!M64,
            prop_val,C63,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3" s="40">
        <f>0.45</f>
        <v/>
      </c>
      <c r="G63" s="33">
        <f>(C63-E63)*(1-F63)</f>
        <v/>
      </c>
      <c r="H63" s="33">
        <f>IFERROR(
        IF('Loan Tape'!U64="First",5000,7000),
    5000)</f>
        <v/>
      </c>
      <c r="I63" s="33">
        <f>G63*0.03</f>
        <v/>
      </c>
      <c r="J63" s="33">
        <f>H63+I63</f>
        <v/>
      </c>
      <c r="K63" s="33">
        <f>IFERROR(
        LET(
            is_btl,'Loan Tape'!K64="BTL",
            is_subsequent,'Loan Tape'!U64&lt;&gt;"First",
            months,IF(is_subsequent,21,IF(is_btl,12,18)),
            B63*'Loan Tape'!I64*months/12
        ),
    0)</f>
        <v/>
      </c>
      <c r="L63" s="33">
        <f>B63+J63+K63</f>
        <v/>
      </c>
      <c r="M63" s="33">
        <f>MAX(G63-J63,0)</f>
        <v/>
      </c>
      <c r="N63" s="33">
        <f>L63-M63</f>
        <v/>
      </c>
      <c r="O63" s="16">
        <f>IFERROR(N63/B63,0)</f>
        <v/>
      </c>
    </row>
    <row r="64">
      <c r="A64" s="32">
        <f>'Loan Tape'!A65</f>
        <v/>
      </c>
      <c r="B64" s="33">
        <f>'Loan Tape'!D65</f>
        <v/>
      </c>
      <c r="C64" s="33">
        <f>'Loan Tape'!B65*(1-IF(AND('Control Panel'!$B$15="YES",'Loan Tape'!W65&lt;&gt;"Full"),0.05,0))</f>
        <v/>
      </c>
      <c r="D64" s="35">
        <f>'FF Calculations'!F64</f>
        <v/>
      </c>
      <c r="E64" s="33">
        <f>IFERROR(
        LET(
            region,'Loan Tape'!M65,
            prop_val,C64,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4" s="40">
        <f>0.45</f>
        <v/>
      </c>
      <c r="G64" s="33">
        <f>(C64-E64)*(1-F64)</f>
        <v/>
      </c>
      <c r="H64" s="33">
        <f>IFERROR(
        IF('Loan Tape'!U65="First",5000,7000),
    5000)</f>
        <v/>
      </c>
      <c r="I64" s="33">
        <f>G64*0.03</f>
        <v/>
      </c>
      <c r="J64" s="33">
        <f>H64+I64</f>
        <v/>
      </c>
      <c r="K64" s="33">
        <f>IFERROR(
        LET(
            is_btl,'Loan Tape'!K65="BTL",
            is_subsequent,'Loan Tape'!U65&lt;&gt;"First",
            months,IF(is_subsequent,21,IF(is_btl,12,18)),
            B64*'Loan Tape'!I65*months/12
        ),
    0)</f>
        <v/>
      </c>
      <c r="L64" s="33">
        <f>B64+J64+K64</f>
        <v/>
      </c>
      <c r="M64" s="33">
        <f>MAX(G64-J64,0)</f>
        <v/>
      </c>
      <c r="N64" s="33">
        <f>L64-M64</f>
        <v/>
      </c>
      <c r="O64" s="16">
        <f>IFERROR(N64/B64,0)</f>
        <v/>
      </c>
    </row>
    <row r="65">
      <c r="A65" s="32">
        <f>'Loan Tape'!A66</f>
        <v/>
      </c>
      <c r="B65" s="33">
        <f>'Loan Tape'!D66</f>
        <v/>
      </c>
      <c r="C65" s="33">
        <f>'Loan Tape'!B66*(1-IF(AND('Control Panel'!$B$15="YES",'Loan Tape'!W66&lt;&gt;"Full"),0.05,0))</f>
        <v/>
      </c>
      <c r="D65" s="35">
        <f>'FF Calculations'!F65</f>
        <v/>
      </c>
      <c r="E65" s="33">
        <f>IFERROR(
        LET(
            region,'Loan Tape'!M66,
            prop_val,C65,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5" s="40">
        <f>0.45</f>
        <v/>
      </c>
      <c r="G65" s="33">
        <f>(C65-E65)*(1-F65)</f>
        <v/>
      </c>
      <c r="H65" s="33">
        <f>IFERROR(
        IF('Loan Tape'!U66="First",5000,7000),
    5000)</f>
        <v/>
      </c>
      <c r="I65" s="33">
        <f>G65*0.03</f>
        <v/>
      </c>
      <c r="J65" s="33">
        <f>H65+I65</f>
        <v/>
      </c>
      <c r="K65" s="33">
        <f>IFERROR(
        LET(
            is_btl,'Loan Tape'!K66="BTL",
            is_subsequent,'Loan Tape'!U66&lt;&gt;"First",
            months,IF(is_subsequent,21,IF(is_btl,12,18)),
            B65*'Loan Tape'!I66*months/12
        ),
    0)</f>
        <v/>
      </c>
      <c r="L65" s="33">
        <f>B65+J65+K65</f>
        <v/>
      </c>
      <c r="M65" s="33">
        <f>MAX(G65-J65,0)</f>
        <v/>
      </c>
      <c r="N65" s="33">
        <f>L65-M65</f>
        <v/>
      </c>
      <c r="O65" s="16">
        <f>IFERROR(N65/B65,0)</f>
        <v/>
      </c>
    </row>
    <row r="66">
      <c r="A66" s="32">
        <f>'Loan Tape'!A67</f>
        <v/>
      </c>
      <c r="B66" s="33">
        <f>'Loan Tape'!D67</f>
        <v/>
      </c>
      <c r="C66" s="33">
        <f>'Loan Tape'!B67*(1-IF(AND('Control Panel'!$B$15="YES",'Loan Tape'!W67&lt;&gt;"Full"),0.05,0))</f>
        <v/>
      </c>
      <c r="D66" s="35">
        <f>'FF Calculations'!F66</f>
        <v/>
      </c>
      <c r="E66" s="33">
        <f>IFERROR(
        LET(
            region,'Loan Tape'!M67,
            prop_val,C66,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6" s="40">
        <f>0.45</f>
        <v/>
      </c>
      <c r="G66" s="33">
        <f>(C66-E66)*(1-F66)</f>
        <v/>
      </c>
      <c r="H66" s="33">
        <f>IFERROR(
        IF('Loan Tape'!U67="First",5000,7000),
    5000)</f>
        <v/>
      </c>
      <c r="I66" s="33">
        <f>G66*0.03</f>
        <v/>
      </c>
      <c r="J66" s="33">
        <f>H66+I66</f>
        <v/>
      </c>
      <c r="K66" s="33">
        <f>IFERROR(
        LET(
            is_btl,'Loan Tape'!K67="BTL",
            is_subsequent,'Loan Tape'!U67&lt;&gt;"First",
            months,IF(is_subsequent,21,IF(is_btl,12,18)),
            B66*'Loan Tape'!I67*months/12
        ),
    0)</f>
        <v/>
      </c>
      <c r="L66" s="33">
        <f>B66+J66+K66</f>
        <v/>
      </c>
      <c r="M66" s="33">
        <f>MAX(G66-J66,0)</f>
        <v/>
      </c>
      <c r="N66" s="33">
        <f>L66-M66</f>
        <v/>
      </c>
      <c r="O66" s="16">
        <f>IFERROR(N66/B66,0)</f>
        <v/>
      </c>
    </row>
    <row r="67">
      <c r="A67" s="32">
        <f>'Loan Tape'!A68</f>
        <v/>
      </c>
      <c r="B67" s="33">
        <f>'Loan Tape'!D68</f>
        <v/>
      </c>
      <c r="C67" s="33">
        <f>'Loan Tape'!B68*(1-IF(AND('Control Panel'!$B$15="YES",'Loan Tape'!W68&lt;&gt;"Full"),0.05,0))</f>
        <v/>
      </c>
      <c r="D67" s="35">
        <f>'FF Calculations'!F67</f>
        <v/>
      </c>
      <c r="E67" s="33">
        <f>IFERROR(
        LET(
            region,'Loan Tape'!M68,
            prop_val,C67,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7" s="40">
        <f>0.45</f>
        <v/>
      </c>
      <c r="G67" s="33">
        <f>(C67-E67)*(1-F67)</f>
        <v/>
      </c>
      <c r="H67" s="33">
        <f>IFERROR(
        IF('Loan Tape'!U68="First",5000,7000),
    5000)</f>
        <v/>
      </c>
      <c r="I67" s="33">
        <f>G67*0.03</f>
        <v/>
      </c>
      <c r="J67" s="33">
        <f>H67+I67</f>
        <v/>
      </c>
      <c r="K67" s="33">
        <f>IFERROR(
        LET(
            is_btl,'Loan Tape'!K68="BTL",
            is_subsequent,'Loan Tape'!U68&lt;&gt;"First",
            months,IF(is_subsequent,21,IF(is_btl,12,18)),
            B67*'Loan Tape'!I68*months/12
        ),
    0)</f>
        <v/>
      </c>
      <c r="L67" s="33">
        <f>B67+J67+K67</f>
        <v/>
      </c>
      <c r="M67" s="33">
        <f>MAX(G67-J67,0)</f>
        <v/>
      </c>
      <c r="N67" s="33">
        <f>L67-M67</f>
        <v/>
      </c>
      <c r="O67" s="16">
        <f>IFERROR(N67/B67,0)</f>
        <v/>
      </c>
    </row>
    <row r="68">
      <c r="A68" s="32">
        <f>'Loan Tape'!A69</f>
        <v/>
      </c>
      <c r="B68" s="33">
        <f>'Loan Tape'!D69</f>
        <v/>
      </c>
      <c r="C68" s="33">
        <f>'Loan Tape'!B69*(1-IF(AND('Control Panel'!$B$15="YES",'Loan Tape'!W69&lt;&gt;"Full"),0.05,0))</f>
        <v/>
      </c>
      <c r="D68" s="35">
        <f>'FF Calculations'!F68</f>
        <v/>
      </c>
      <c r="E68" s="33">
        <f>IFERROR(
        LET(
            region,'Loan Tape'!M69,
            prop_val,C68,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8" s="40">
        <f>0.45</f>
        <v/>
      </c>
      <c r="G68" s="33">
        <f>(C68-E68)*(1-F68)</f>
        <v/>
      </c>
      <c r="H68" s="33">
        <f>IFERROR(
        IF('Loan Tape'!U69="First",5000,7000),
    5000)</f>
        <v/>
      </c>
      <c r="I68" s="33">
        <f>G68*0.03</f>
        <v/>
      </c>
      <c r="J68" s="33">
        <f>H68+I68</f>
        <v/>
      </c>
      <c r="K68" s="33">
        <f>IFERROR(
        LET(
            is_btl,'Loan Tape'!K69="BTL",
            is_subsequent,'Loan Tape'!U69&lt;&gt;"First",
            months,IF(is_subsequent,21,IF(is_btl,12,18)),
            B68*'Loan Tape'!I69*months/12
        ),
    0)</f>
        <v/>
      </c>
      <c r="L68" s="33">
        <f>B68+J68+K68</f>
        <v/>
      </c>
      <c r="M68" s="33">
        <f>MAX(G68-J68,0)</f>
        <v/>
      </c>
      <c r="N68" s="33">
        <f>L68-M68</f>
        <v/>
      </c>
      <c r="O68" s="16">
        <f>IFERROR(N68/B68,0)</f>
        <v/>
      </c>
    </row>
    <row r="69">
      <c r="A69" s="32">
        <f>'Loan Tape'!A70</f>
        <v/>
      </c>
      <c r="B69" s="33">
        <f>'Loan Tape'!D70</f>
        <v/>
      </c>
      <c r="C69" s="33">
        <f>'Loan Tape'!B70*(1-IF(AND('Control Panel'!$B$15="YES",'Loan Tape'!W70&lt;&gt;"Full"),0.05,0))</f>
        <v/>
      </c>
      <c r="D69" s="35">
        <f>'FF Calculations'!F69</f>
        <v/>
      </c>
      <c r="E69" s="33">
        <f>IFERROR(
        LET(
            region,'Loan Tape'!M70,
            prop_val,C69,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69" s="40">
        <f>0.45</f>
        <v/>
      </c>
      <c r="G69" s="33">
        <f>(C69-E69)*(1-F69)</f>
        <v/>
      </c>
      <c r="H69" s="33">
        <f>IFERROR(
        IF('Loan Tape'!U70="First",5000,7000),
    5000)</f>
        <v/>
      </c>
      <c r="I69" s="33">
        <f>G69*0.03</f>
        <v/>
      </c>
      <c r="J69" s="33">
        <f>H69+I69</f>
        <v/>
      </c>
      <c r="K69" s="33">
        <f>IFERROR(
        LET(
            is_btl,'Loan Tape'!K70="BTL",
            is_subsequent,'Loan Tape'!U70&lt;&gt;"First",
            months,IF(is_subsequent,21,IF(is_btl,12,18)),
            B69*'Loan Tape'!I70*months/12
        ),
    0)</f>
        <v/>
      </c>
      <c r="L69" s="33">
        <f>B69+J69+K69</f>
        <v/>
      </c>
      <c r="M69" s="33">
        <f>MAX(G69-J69,0)</f>
        <v/>
      </c>
      <c r="N69" s="33">
        <f>L69-M69</f>
        <v/>
      </c>
      <c r="O69" s="16">
        <f>IFERROR(N69/B69,0)</f>
        <v/>
      </c>
    </row>
    <row r="70">
      <c r="A70" s="32">
        <f>'Loan Tape'!A71</f>
        <v/>
      </c>
      <c r="B70" s="33">
        <f>'Loan Tape'!D71</f>
        <v/>
      </c>
      <c r="C70" s="33">
        <f>'Loan Tape'!B71*(1-IF(AND('Control Panel'!$B$15="YES",'Loan Tape'!W71&lt;&gt;"Full"),0.05,0))</f>
        <v/>
      </c>
      <c r="D70" s="35">
        <f>'FF Calculations'!F70</f>
        <v/>
      </c>
      <c r="E70" s="33">
        <f>IFERROR(
        LET(
            region,'Loan Tape'!M71,
            prop_val,C70,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0" s="40">
        <f>0.45</f>
        <v/>
      </c>
      <c r="G70" s="33">
        <f>(C70-E70)*(1-F70)</f>
        <v/>
      </c>
      <c r="H70" s="33">
        <f>IFERROR(
        IF('Loan Tape'!U71="First",5000,7000),
    5000)</f>
        <v/>
      </c>
      <c r="I70" s="33">
        <f>G70*0.03</f>
        <v/>
      </c>
      <c r="J70" s="33">
        <f>H70+I70</f>
        <v/>
      </c>
      <c r="K70" s="33">
        <f>IFERROR(
        LET(
            is_btl,'Loan Tape'!K71="BTL",
            is_subsequent,'Loan Tape'!U71&lt;&gt;"First",
            months,IF(is_subsequent,21,IF(is_btl,12,18)),
            B70*'Loan Tape'!I71*months/12
        ),
    0)</f>
        <v/>
      </c>
      <c r="L70" s="33">
        <f>B70+J70+K70</f>
        <v/>
      </c>
      <c r="M70" s="33">
        <f>MAX(G70-J70,0)</f>
        <v/>
      </c>
      <c r="N70" s="33">
        <f>L70-M70</f>
        <v/>
      </c>
      <c r="O70" s="16">
        <f>IFERROR(N70/B70,0)</f>
        <v/>
      </c>
    </row>
    <row r="71">
      <c r="A71" s="32">
        <f>'Loan Tape'!A72</f>
        <v/>
      </c>
      <c r="B71" s="33">
        <f>'Loan Tape'!D72</f>
        <v/>
      </c>
      <c r="C71" s="33">
        <f>'Loan Tape'!B72*(1-IF(AND('Control Panel'!$B$15="YES",'Loan Tape'!W72&lt;&gt;"Full"),0.05,0))</f>
        <v/>
      </c>
      <c r="D71" s="35">
        <f>'FF Calculations'!F71</f>
        <v/>
      </c>
      <c r="E71" s="33">
        <f>IFERROR(
        LET(
            region,'Loan Tape'!M72,
            prop_val,C71,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1" s="40">
        <f>0.45</f>
        <v/>
      </c>
      <c r="G71" s="33">
        <f>(C71-E71)*(1-F71)</f>
        <v/>
      </c>
      <c r="H71" s="33">
        <f>IFERROR(
        IF('Loan Tape'!U72="First",5000,7000),
    5000)</f>
        <v/>
      </c>
      <c r="I71" s="33">
        <f>G71*0.03</f>
        <v/>
      </c>
      <c r="J71" s="33">
        <f>H71+I71</f>
        <v/>
      </c>
      <c r="K71" s="33">
        <f>IFERROR(
        LET(
            is_btl,'Loan Tape'!K72="BTL",
            is_subsequent,'Loan Tape'!U72&lt;&gt;"First",
            months,IF(is_subsequent,21,IF(is_btl,12,18)),
            B71*'Loan Tape'!I72*months/12
        ),
    0)</f>
        <v/>
      </c>
      <c r="L71" s="33">
        <f>B71+J71+K71</f>
        <v/>
      </c>
      <c r="M71" s="33">
        <f>MAX(G71-J71,0)</f>
        <v/>
      </c>
      <c r="N71" s="33">
        <f>L71-M71</f>
        <v/>
      </c>
      <c r="O71" s="16">
        <f>IFERROR(N71/B71,0)</f>
        <v/>
      </c>
    </row>
    <row r="72">
      <c r="A72" s="32">
        <f>'Loan Tape'!A73</f>
        <v/>
      </c>
      <c r="B72" s="33">
        <f>'Loan Tape'!D73</f>
        <v/>
      </c>
      <c r="C72" s="33">
        <f>'Loan Tape'!B73*(1-IF(AND('Control Panel'!$B$15="YES",'Loan Tape'!W73&lt;&gt;"Full"),0.05,0))</f>
        <v/>
      </c>
      <c r="D72" s="35">
        <f>'FF Calculations'!F72</f>
        <v/>
      </c>
      <c r="E72" s="33">
        <f>IFERROR(
        LET(
            region,'Loan Tape'!M73,
            prop_val,C72,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2" s="40">
        <f>0.45</f>
        <v/>
      </c>
      <c r="G72" s="33">
        <f>(C72-E72)*(1-F72)</f>
        <v/>
      </c>
      <c r="H72" s="33">
        <f>IFERROR(
        IF('Loan Tape'!U73="First",5000,7000),
    5000)</f>
        <v/>
      </c>
      <c r="I72" s="33">
        <f>G72*0.03</f>
        <v/>
      </c>
      <c r="J72" s="33">
        <f>H72+I72</f>
        <v/>
      </c>
      <c r="K72" s="33">
        <f>IFERROR(
        LET(
            is_btl,'Loan Tape'!K73="BTL",
            is_subsequent,'Loan Tape'!U73&lt;&gt;"First",
            months,IF(is_subsequent,21,IF(is_btl,12,18)),
            B72*'Loan Tape'!I73*months/12
        ),
    0)</f>
        <v/>
      </c>
      <c r="L72" s="33">
        <f>B72+J72+K72</f>
        <v/>
      </c>
      <c r="M72" s="33">
        <f>MAX(G72-J72,0)</f>
        <v/>
      </c>
      <c r="N72" s="33">
        <f>L72-M72</f>
        <v/>
      </c>
      <c r="O72" s="16">
        <f>IFERROR(N72/B72,0)</f>
        <v/>
      </c>
    </row>
    <row r="73">
      <c r="A73" s="32">
        <f>'Loan Tape'!A74</f>
        <v/>
      </c>
      <c r="B73" s="33">
        <f>'Loan Tape'!D74</f>
        <v/>
      </c>
      <c r="C73" s="33">
        <f>'Loan Tape'!B74*(1-IF(AND('Control Panel'!$B$15="YES",'Loan Tape'!W74&lt;&gt;"Full"),0.05,0))</f>
        <v/>
      </c>
      <c r="D73" s="35">
        <f>'FF Calculations'!F73</f>
        <v/>
      </c>
      <c r="E73" s="33">
        <f>IFERROR(
        LET(
            region,'Loan Tape'!M74,
            prop_val,C73,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3" s="40">
        <f>0.45</f>
        <v/>
      </c>
      <c r="G73" s="33">
        <f>(C73-E73)*(1-F73)</f>
        <v/>
      </c>
      <c r="H73" s="33">
        <f>IFERROR(
        IF('Loan Tape'!U74="First",5000,7000),
    5000)</f>
        <v/>
      </c>
      <c r="I73" s="33">
        <f>G73*0.03</f>
        <v/>
      </c>
      <c r="J73" s="33">
        <f>H73+I73</f>
        <v/>
      </c>
      <c r="K73" s="33">
        <f>IFERROR(
        LET(
            is_btl,'Loan Tape'!K74="BTL",
            is_subsequent,'Loan Tape'!U74&lt;&gt;"First",
            months,IF(is_subsequent,21,IF(is_btl,12,18)),
            B73*'Loan Tape'!I74*months/12
        ),
    0)</f>
        <v/>
      </c>
      <c r="L73" s="33">
        <f>B73+J73+K73</f>
        <v/>
      </c>
      <c r="M73" s="33">
        <f>MAX(G73-J73,0)</f>
        <v/>
      </c>
      <c r="N73" s="33">
        <f>L73-M73</f>
        <v/>
      </c>
      <c r="O73" s="16">
        <f>IFERROR(N73/B73,0)</f>
        <v/>
      </c>
    </row>
    <row r="74">
      <c r="A74" s="32">
        <f>'Loan Tape'!A75</f>
        <v/>
      </c>
      <c r="B74" s="33">
        <f>'Loan Tape'!D75</f>
        <v/>
      </c>
      <c r="C74" s="33">
        <f>'Loan Tape'!B75*(1-IF(AND('Control Panel'!$B$15="YES",'Loan Tape'!W75&lt;&gt;"Full"),0.05,0))</f>
        <v/>
      </c>
      <c r="D74" s="35">
        <f>'FF Calculations'!F74</f>
        <v/>
      </c>
      <c r="E74" s="33">
        <f>IFERROR(
        LET(
            region,'Loan Tape'!M75,
            prop_val,C74,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4" s="40">
        <f>0.45</f>
        <v/>
      </c>
      <c r="G74" s="33">
        <f>(C74-E74)*(1-F74)</f>
        <v/>
      </c>
      <c r="H74" s="33">
        <f>IFERROR(
        IF('Loan Tape'!U75="First",5000,7000),
    5000)</f>
        <v/>
      </c>
      <c r="I74" s="33">
        <f>G74*0.03</f>
        <v/>
      </c>
      <c r="J74" s="33">
        <f>H74+I74</f>
        <v/>
      </c>
      <c r="K74" s="33">
        <f>IFERROR(
        LET(
            is_btl,'Loan Tape'!K75="BTL",
            is_subsequent,'Loan Tape'!U75&lt;&gt;"First",
            months,IF(is_subsequent,21,IF(is_btl,12,18)),
            B74*'Loan Tape'!I75*months/12
        ),
    0)</f>
        <v/>
      </c>
      <c r="L74" s="33">
        <f>B74+J74+K74</f>
        <v/>
      </c>
      <c r="M74" s="33">
        <f>MAX(G74-J74,0)</f>
        <v/>
      </c>
      <c r="N74" s="33">
        <f>L74-M74</f>
        <v/>
      </c>
      <c r="O74" s="16">
        <f>IFERROR(N74/B74,0)</f>
        <v/>
      </c>
    </row>
    <row r="75">
      <c r="A75" s="32">
        <f>'Loan Tape'!A76</f>
        <v/>
      </c>
      <c r="B75" s="33">
        <f>'Loan Tape'!D76</f>
        <v/>
      </c>
      <c r="C75" s="33">
        <f>'Loan Tape'!B76*(1-IF(AND('Control Panel'!$B$15="YES",'Loan Tape'!W76&lt;&gt;"Full"),0.05,0))</f>
        <v/>
      </c>
      <c r="D75" s="35">
        <f>'FF Calculations'!F75</f>
        <v/>
      </c>
      <c r="E75" s="33">
        <f>IFERROR(
        LET(
            region,'Loan Tape'!M76,
            prop_val,C75,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5" s="40">
        <f>0.45</f>
        <v/>
      </c>
      <c r="G75" s="33">
        <f>(C75-E75)*(1-F75)</f>
        <v/>
      </c>
      <c r="H75" s="33">
        <f>IFERROR(
        IF('Loan Tape'!U76="First",5000,7000),
    5000)</f>
        <v/>
      </c>
      <c r="I75" s="33">
        <f>G75*0.03</f>
        <v/>
      </c>
      <c r="J75" s="33">
        <f>H75+I75</f>
        <v/>
      </c>
      <c r="K75" s="33">
        <f>IFERROR(
        LET(
            is_btl,'Loan Tape'!K76="BTL",
            is_subsequent,'Loan Tape'!U76&lt;&gt;"First",
            months,IF(is_subsequent,21,IF(is_btl,12,18)),
            B75*'Loan Tape'!I76*months/12
        ),
    0)</f>
        <v/>
      </c>
      <c r="L75" s="33">
        <f>B75+J75+K75</f>
        <v/>
      </c>
      <c r="M75" s="33">
        <f>MAX(G75-J75,0)</f>
        <v/>
      </c>
      <c r="N75" s="33">
        <f>L75-M75</f>
        <v/>
      </c>
      <c r="O75" s="16">
        <f>IFERROR(N75/B75,0)</f>
        <v/>
      </c>
    </row>
    <row r="76">
      <c r="A76" s="32">
        <f>'Loan Tape'!A77</f>
        <v/>
      </c>
      <c r="B76" s="33">
        <f>'Loan Tape'!D77</f>
        <v/>
      </c>
      <c r="C76" s="33">
        <f>'Loan Tape'!B77*(1-IF(AND('Control Panel'!$B$15="YES",'Loan Tape'!W77&lt;&gt;"Full"),0.05,0))</f>
        <v/>
      </c>
      <c r="D76" s="35">
        <f>'FF Calculations'!F76</f>
        <v/>
      </c>
      <c r="E76" s="33">
        <f>IFERROR(
        LET(
            region,'Loan Tape'!M77,
            prop_val,C76,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6" s="40">
        <f>0.45</f>
        <v/>
      </c>
      <c r="G76" s="33">
        <f>(C76-E76)*(1-F76)</f>
        <v/>
      </c>
      <c r="H76" s="33">
        <f>IFERROR(
        IF('Loan Tape'!U77="First",5000,7000),
    5000)</f>
        <v/>
      </c>
      <c r="I76" s="33">
        <f>G76*0.03</f>
        <v/>
      </c>
      <c r="J76" s="33">
        <f>H76+I76</f>
        <v/>
      </c>
      <c r="K76" s="33">
        <f>IFERROR(
        LET(
            is_btl,'Loan Tape'!K77="BTL",
            is_subsequent,'Loan Tape'!U77&lt;&gt;"First",
            months,IF(is_subsequent,21,IF(is_btl,12,18)),
            B76*'Loan Tape'!I77*months/12
        ),
    0)</f>
        <v/>
      </c>
      <c r="L76" s="33">
        <f>B76+J76+K76</f>
        <v/>
      </c>
      <c r="M76" s="33">
        <f>MAX(G76-J76,0)</f>
        <v/>
      </c>
      <c r="N76" s="33">
        <f>L76-M76</f>
        <v/>
      </c>
      <c r="O76" s="16">
        <f>IFERROR(N76/B76,0)</f>
        <v/>
      </c>
    </row>
    <row r="77">
      <c r="A77" s="32">
        <f>'Loan Tape'!A78</f>
        <v/>
      </c>
      <c r="B77" s="33">
        <f>'Loan Tape'!D78</f>
        <v/>
      </c>
      <c r="C77" s="33">
        <f>'Loan Tape'!B78*(1-IF(AND('Control Panel'!$B$15="YES",'Loan Tape'!W78&lt;&gt;"Full"),0.05,0))</f>
        <v/>
      </c>
      <c r="D77" s="35">
        <f>'FF Calculations'!F77</f>
        <v/>
      </c>
      <c r="E77" s="33">
        <f>IFERROR(
        LET(
            region,'Loan Tape'!M78,
            prop_val,C77,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7" s="40">
        <f>0.45</f>
        <v/>
      </c>
      <c r="G77" s="33">
        <f>(C77-E77)*(1-F77)</f>
        <v/>
      </c>
      <c r="H77" s="33">
        <f>IFERROR(
        IF('Loan Tape'!U78="First",5000,7000),
    5000)</f>
        <v/>
      </c>
      <c r="I77" s="33">
        <f>G77*0.03</f>
        <v/>
      </c>
      <c r="J77" s="33">
        <f>H77+I77</f>
        <v/>
      </c>
      <c r="K77" s="33">
        <f>IFERROR(
        LET(
            is_btl,'Loan Tape'!K78="BTL",
            is_subsequent,'Loan Tape'!U78&lt;&gt;"First",
            months,IF(is_subsequent,21,IF(is_btl,12,18)),
            B77*'Loan Tape'!I78*months/12
        ),
    0)</f>
        <v/>
      </c>
      <c r="L77" s="33">
        <f>B77+J77+K77</f>
        <v/>
      </c>
      <c r="M77" s="33">
        <f>MAX(G77-J77,0)</f>
        <v/>
      </c>
      <c r="N77" s="33">
        <f>L77-M77</f>
        <v/>
      </c>
      <c r="O77" s="16">
        <f>IFERROR(N77/B77,0)</f>
        <v/>
      </c>
    </row>
    <row r="78">
      <c r="A78" s="32">
        <f>'Loan Tape'!A79</f>
        <v/>
      </c>
      <c r="B78" s="33">
        <f>'Loan Tape'!D79</f>
        <v/>
      </c>
      <c r="C78" s="33">
        <f>'Loan Tape'!B79*(1-IF(AND('Control Panel'!$B$15="YES",'Loan Tape'!W79&lt;&gt;"Full"),0.05,0))</f>
        <v/>
      </c>
      <c r="D78" s="35">
        <f>'FF Calculations'!F78</f>
        <v/>
      </c>
      <c r="E78" s="33">
        <f>IFERROR(
        LET(
            region,'Loan Tape'!M79,
            prop_val,C78,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8" s="40">
        <f>0.45</f>
        <v/>
      </c>
      <c r="G78" s="33">
        <f>(C78-E78)*(1-F78)</f>
        <v/>
      </c>
      <c r="H78" s="33">
        <f>IFERROR(
        IF('Loan Tape'!U79="First",5000,7000),
    5000)</f>
        <v/>
      </c>
      <c r="I78" s="33">
        <f>G78*0.03</f>
        <v/>
      </c>
      <c r="J78" s="33">
        <f>H78+I78</f>
        <v/>
      </c>
      <c r="K78" s="33">
        <f>IFERROR(
        LET(
            is_btl,'Loan Tape'!K79="BTL",
            is_subsequent,'Loan Tape'!U79&lt;&gt;"First",
            months,IF(is_subsequent,21,IF(is_btl,12,18)),
            B78*'Loan Tape'!I79*months/12
        ),
    0)</f>
        <v/>
      </c>
      <c r="L78" s="33">
        <f>B78+J78+K78</f>
        <v/>
      </c>
      <c r="M78" s="33">
        <f>MAX(G78-J78,0)</f>
        <v/>
      </c>
      <c r="N78" s="33">
        <f>L78-M78</f>
        <v/>
      </c>
      <c r="O78" s="16">
        <f>IFERROR(N78/B78,0)</f>
        <v/>
      </c>
    </row>
    <row r="79">
      <c r="A79" s="32">
        <f>'Loan Tape'!A80</f>
        <v/>
      </c>
      <c r="B79" s="33">
        <f>'Loan Tape'!D80</f>
        <v/>
      </c>
      <c r="C79" s="33">
        <f>'Loan Tape'!B80*(1-IF(AND('Control Panel'!$B$15="YES",'Loan Tape'!W80&lt;&gt;"Full"),0.05,0))</f>
        <v/>
      </c>
      <c r="D79" s="35">
        <f>'FF Calculations'!F79</f>
        <v/>
      </c>
      <c r="E79" s="33">
        <f>IFERROR(
        LET(
            region,'Loan Tape'!M80,
            prop_val,C79,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79" s="40">
        <f>0.45</f>
        <v/>
      </c>
      <c r="G79" s="33">
        <f>(C79-E79)*(1-F79)</f>
        <v/>
      </c>
      <c r="H79" s="33">
        <f>IFERROR(
        IF('Loan Tape'!U80="First",5000,7000),
    5000)</f>
        <v/>
      </c>
      <c r="I79" s="33">
        <f>G79*0.03</f>
        <v/>
      </c>
      <c r="J79" s="33">
        <f>H79+I79</f>
        <v/>
      </c>
      <c r="K79" s="33">
        <f>IFERROR(
        LET(
            is_btl,'Loan Tape'!K80="BTL",
            is_subsequent,'Loan Tape'!U80&lt;&gt;"First",
            months,IF(is_subsequent,21,IF(is_btl,12,18)),
            B79*'Loan Tape'!I80*months/12
        ),
    0)</f>
        <v/>
      </c>
      <c r="L79" s="33">
        <f>B79+J79+K79</f>
        <v/>
      </c>
      <c r="M79" s="33">
        <f>MAX(G79-J79,0)</f>
        <v/>
      </c>
      <c r="N79" s="33">
        <f>L79-M79</f>
        <v/>
      </c>
      <c r="O79" s="16">
        <f>IFERROR(N79/B79,0)</f>
        <v/>
      </c>
    </row>
    <row r="80">
      <c r="A80" s="32">
        <f>'Loan Tape'!A81</f>
        <v/>
      </c>
      <c r="B80" s="33">
        <f>'Loan Tape'!D81</f>
        <v/>
      </c>
      <c r="C80" s="33">
        <f>'Loan Tape'!B81*(1-IF(AND('Control Panel'!$B$15="YES",'Loan Tape'!W81&lt;&gt;"Full"),0.05,0))</f>
        <v/>
      </c>
      <c r="D80" s="35">
        <f>'FF Calculations'!F80</f>
        <v/>
      </c>
      <c r="E80" s="33">
        <f>IFERROR(
        LET(
            region,'Loan Tape'!M81,
            prop_val,C80,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0" s="40">
        <f>0.45</f>
        <v/>
      </c>
      <c r="G80" s="33">
        <f>(C80-E80)*(1-F80)</f>
        <v/>
      </c>
      <c r="H80" s="33">
        <f>IFERROR(
        IF('Loan Tape'!U81="First",5000,7000),
    5000)</f>
        <v/>
      </c>
      <c r="I80" s="33">
        <f>G80*0.03</f>
        <v/>
      </c>
      <c r="J80" s="33">
        <f>H80+I80</f>
        <v/>
      </c>
      <c r="K80" s="33">
        <f>IFERROR(
        LET(
            is_btl,'Loan Tape'!K81="BTL",
            is_subsequent,'Loan Tape'!U81&lt;&gt;"First",
            months,IF(is_subsequent,21,IF(is_btl,12,18)),
            B80*'Loan Tape'!I81*months/12
        ),
    0)</f>
        <v/>
      </c>
      <c r="L80" s="33">
        <f>B80+J80+K80</f>
        <v/>
      </c>
      <c r="M80" s="33">
        <f>MAX(G80-J80,0)</f>
        <v/>
      </c>
      <c r="N80" s="33">
        <f>L80-M80</f>
        <v/>
      </c>
      <c r="O80" s="16">
        <f>IFERROR(N80/B80,0)</f>
        <v/>
      </c>
    </row>
    <row r="81">
      <c r="A81" s="32">
        <f>'Loan Tape'!A82</f>
        <v/>
      </c>
      <c r="B81" s="33">
        <f>'Loan Tape'!D82</f>
        <v/>
      </c>
      <c r="C81" s="33">
        <f>'Loan Tape'!B82*(1-IF(AND('Control Panel'!$B$15="YES",'Loan Tape'!W82&lt;&gt;"Full"),0.05,0))</f>
        <v/>
      </c>
      <c r="D81" s="35">
        <f>'FF Calculations'!F81</f>
        <v/>
      </c>
      <c r="E81" s="33">
        <f>IFERROR(
        LET(
            region,'Loan Tape'!M82,
            prop_val,C81,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1" s="40">
        <f>0.45</f>
        <v/>
      </c>
      <c r="G81" s="33">
        <f>(C81-E81)*(1-F81)</f>
        <v/>
      </c>
      <c r="H81" s="33">
        <f>IFERROR(
        IF('Loan Tape'!U82="First",5000,7000),
    5000)</f>
        <v/>
      </c>
      <c r="I81" s="33">
        <f>G81*0.03</f>
        <v/>
      </c>
      <c r="J81" s="33">
        <f>H81+I81</f>
        <v/>
      </c>
      <c r="K81" s="33">
        <f>IFERROR(
        LET(
            is_btl,'Loan Tape'!K82="BTL",
            is_subsequent,'Loan Tape'!U82&lt;&gt;"First",
            months,IF(is_subsequent,21,IF(is_btl,12,18)),
            B81*'Loan Tape'!I82*months/12
        ),
    0)</f>
        <v/>
      </c>
      <c r="L81" s="33">
        <f>B81+J81+K81</f>
        <v/>
      </c>
      <c r="M81" s="33">
        <f>MAX(G81-J81,0)</f>
        <v/>
      </c>
      <c r="N81" s="33">
        <f>L81-M81</f>
        <v/>
      </c>
      <c r="O81" s="16">
        <f>IFERROR(N81/B81,0)</f>
        <v/>
      </c>
    </row>
    <row r="82">
      <c r="A82" s="32">
        <f>'Loan Tape'!A83</f>
        <v/>
      </c>
      <c r="B82" s="33">
        <f>'Loan Tape'!D83</f>
        <v/>
      </c>
      <c r="C82" s="33">
        <f>'Loan Tape'!B83*(1-IF(AND('Control Panel'!$B$15="YES",'Loan Tape'!W83&lt;&gt;"Full"),0.05,0))</f>
        <v/>
      </c>
      <c r="D82" s="35">
        <f>'FF Calculations'!F82</f>
        <v/>
      </c>
      <c r="E82" s="33">
        <f>IFERROR(
        LET(
            region,'Loan Tape'!M83,
            prop_val,C82,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2" s="40">
        <f>0.45</f>
        <v/>
      </c>
      <c r="G82" s="33">
        <f>(C82-E82)*(1-F82)</f>
        <v/>
      </c>
      <c r="H82" s="33">
        <f>IFERROR(
        IF('Loan Tape'!U83="First",5000,7000),
    5000)</f>
        <v/>
      </c>
      <c r="I82" s="33">
        <f>G82*0.03</f>
        <v/>
      </c>
      <c r="J82" s="33">
        <f>H82+I82</f>
        <v/>
      </c>
      <c r="K82" s="33">
        <f>IFERROR(
        LET(
            is_btl,'Loan Tape'!K83="BTL",
            is_subsequent,'Loan Tape'!U83&lt;&gt;"First",
            months,IF(is_subsequent,21,IF(is_btl,12,18)),
            B82*'Loan Tape'!I83*months/12
        ),
    0)</f>
        <v/>
      </c>
      <c r="L82" s="33">
        <f>B82+J82+K82</f>
        <v/>
      </c>
      <c r="M82" s="33">
        <f>MAX(G82-J82,0)</f>
        <v/>
      </c>
      <c r="N82" s="33">
        <f>L82-M82</f>
        <v/>
      </c>
      <c r="O82" s="16">
        <f>IFERROR(N82/B82,0)</f>
        <v/>
      </c>
    </row>
    <row r="83">
      <c r="A83" s="32">
        <f>'Loan Tape'!A84</f>
        <v/>
      </c>
      <c r="B83" s="33">
        <f>'Loan Tape'!D84</f>
        <v/>
      </c>
      <c r="C83" s="33">
        <f>'Loan Tape'!B84*(1-IF(AND('Control Panel'!$B$15="YES",'Loan Tape'!W84&lt;&gt;"Full"),0.05,0))</f>
        <v/>
      </c>
      <c r="D83" s="35">
        <f>'FF Calculations'!F83</f>
        <v/>
      </c>
      <c r="E83" s="33">
        <f>IFERROR(
        LET(
            region,'Loan Tape'!M84,
            prop_val,C83,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3" s="40">
        <f>0.45</f>
        <v/>
      </c>
      <c r="G83" s="33">
        <f>(C83-E83)*(1-F83)</f>
        <v/>
      </c>
      <c r="H83" s="33">
        <f>IFERROR(
        IF('Loan Tape'!U84="First",5000,7000),
    5000)</f>
        <v/>
      </c>
      <c r="I83" s="33">
        <f>G83*0.03</f>
        <v/>
      </c>
      <c r="J83" s="33">
        <f>H83+I83</f>
        <v/>
      </c>
      <c r="K83" s="33">
        <f>IFERROR(
        LET(
            is_btl,'Loan Tape'!K84="BTL",
            is_subsequent,'Loan Tape'!U84&lt;&gt;"First",
            months,IF(is_subsequent,21,IF(is_btl,12,18)),
            B83*'Loan Tape'!I84*months/12
        ),
    0)</f>
        <v/>
      </c>
      <c r="L83" s="33">
        <f>B83+J83+K83</f>
        <v/>
      </c>
      <c r="M83" s="33">
        <f>MAX(G83-J83,0)</f>
        <v/>
      </c>
      <c r="N83" s="33">
        <f>L83-M83</f>
        <v/>
      </c>
      <c r="O83" s="16">
        <f>IFERROR(N83/B83,0)</f>
        <v/>
      </c>
    </row>
    <row r="84">
      <c r="A84" s="32">
        <f>'Loan Tape'!A85</f>
        <v/>
      </c>
      <c r="B84" s="33">
        <f>'Loan Tape'!D85</f>
        <v/>
      </c>
      <c r="C84" s="33">
        <f>'Loan Tape'!B85*(1-IF(AND('Control Panel'!$B$15="YES",'Loan Tape'!W85&lt;&gt;"Full"),0.05,0))</f>
        <v/>
      </c>
      <c r="D84" s="35">
        <f>'FF Calculations'!F84</f>
        <v/>
      </c>
      <c r="E84" s="33">
        <f>IFERROR(
        LET(
            region,'Loan Tape'!M85,
            prop_val,C84,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4" s="40">
        <f>0.45</f>
        <v/>
      </c>
      <c r="G84" s="33">
        <f>(C84-E84)*(1-F84)</f>
        <v/>
      </c>
      <c r="H84" s="33">
        <f>IFERROR(
        IF('Loan Tape'!U85="First",5000,7000),
    5000)</f>
        <v/>
      </c>
      <c r="I84" s="33">
        <f>G84*0.03</f>
        <v/>
      </c>
      <c r="J84" s="33">
        <f>H84+I84</f>
        <v/>
      </c>
      <c r="K84" s="33">
        <f>IFERROR(
        LET(
            is_btl,'Loan Tape'!K85="BTL",
            is_subsequent,'Loan Tape'!U85&lt;&gt;"First",
            months,IF(is_subsequent,21,IF(is_btl,12,18)),
            B84*'Loan Tape'!I85*months/12
        ),
    0)</f>
        <v/>
      </c>
      <c r="L84" s="33">
        <f>B84+J84+K84</f>
        <v/>
      </c>
      <c r="M84" s="33">
        <f>MAX(G84-J84,0)</f>
        <v/>
      </c>
      <c r="N84" s="33">
        <f>L84-M84</f>
        <v/>
      </c>
      <c r="O84" s="16">
        <f>IFERROR(N84/B84,0)</f>
        <v/>
      </c>
    </row>
    <row r="85">
      <c r="A85" s="32">
        <f>'Loan Tape'!A86</f>
        <v/>
      </c>
      <c r="B85" s="33">
        <f>'Loan Tape'!D86</f>
        <v/>
      </c>
      <c r="C85" s="33">
        <f>'Loan Tape'!B86*(1-IF(AND('Control Panel'!$B$15="YES",'Loan Tape'!W86&lt;&gt;"Full"),0.05,0))</f>
        <v/>
      </c>
      <c r="D85" s="35">
        <f>'FF Calculations'!F85</f>
        <v/>
      </c>
      <c r="E85" s="33">
        <f>IFERROR(
        LET(
            region,'Loan Tape'!M86,
            prop_val,C85,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5" s="40">
        <f>0.45</f>
        <v/>
      </c>
      <c r="G85" s="33">
        <f>(C85-E85)*(1-F85)</f>
        <v/>
      </c>
      <c r="H85" s="33">
        <f>IFERROR(
        IF('Loan Tape'!U86="First",5000,7000),
    5000)</f>
        <v/>
      </c>
      <c r="I85" s="33">
        <f>G85*0.03</f>
        <v/>
      </c>
      <c r="J85" s="33">
        <f>H85+I85</f>
        <v/>
      </c>
      <c r="K85" s="33">
        <f>IFERROR(
        LET(
            is_btl,'Loan Tape'!K86="BTL",
            is_subsequent,'Loan Tape'!U86&lt;&gt;"First",
            months,IF(is_subsequent,21,IF(is_btl,12,18)),
            B85*'Loan Tape'!I86*months/12
        ),
    0)</f>
        <v/>
      </c>
      <c r="L85" s="33">
        <f>B85+J85+K85</f>
        <v/>
      </c>
      <c r="M85" s="33">
        <f>MAX(G85-J85,0)</f>
        <v/>
      </c>
      <c r="N85" s="33">
        <f>L85-M85</f>
        <v/>
      </c>
      <c r="O85" s="16">
        <f>IFERROR(N85/B85,0)</f>
        <v/>
      </c>
    </row>
    <row r="86">
      <c r="A86" s="32">
        <f>'Loan Tape'!A87</f>
        <v/>
      </c>
      <c r="B86" s="33">
        <f>'Loan Tape'!D87</f>
        <v/>
      </c>
      <c r="C86" s="33">
        <f>'Loan Tape'!B87*(1-IF(AND('Control Panel'!$B$15="YES",'Loan Tape'!W87&lt;&gt;"Full"),0.05,0))</f>
        <v/>
      </c>
      <c r="D86" s="35">
        <f>'FF Calculations'!F86</f>
        <v/>
      </c>
      <c r="E86" s="33">
        <f>IFERROR(
        LET(
            region,'Loan Tape'!M87,
            prop_val,C86,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6" s="40">
        <f>0.45</f>
        <v/>
      </c>
      <c r="G86" s="33">
        <f>(C86-E86)*(1-F86)</f>
        <v/>
      </c>
      <c r="H86" s="33">
        <f>IFERROR(
        IF('Loan Tape'!U87="First",5000,7000),
    5000)</f>
        <v/>
      </c>
      <c r="I86" s="33">
        <f>G86*0.03</f>
        <v/>
      </c>
      <c r="J86" s="33">
        <f>H86+I86</f>
        <v/>
      </c>
      <c r="K86" s="33">
        <f>IFERROR(
        LET(
            is_btl,'Loan Tape'!K87="BTL",
            is_subsequent,'Loan Tape'!U87&lt;&gt;"First",
            months,IF(is_subsequent,21,IF(is_btl,12,18)),
            B86*'Loan Tape'!I87*months/12
        ),
    0)</f>
        <v/>
      </c>
      <c r="L86" s="33">
        <f>B86+J86+K86</f>
        <v/>
      </c>
      <c r="M86" s="33">
        <f>MAX(G86-J86,0)</f>
        <v/>
      </c>
      <c r="N86" s="33">
        <f>L86-M86</f>
        <v/>
      </c>
      <c r="O86" s="16">
        <f>IFERROR(N86/B86,0)</f>
        <v/>
      </c>
    </row>
    <row r="87">
      <c r="A87" s="32">
        <f>'Loan Tape'!A88</f>
        <v/>
      </c>
      <c r="B87" s="33">
        <f>'Loan Tape'!D88</f>
        <v/>
      </c>
      <c r="C87" s="33">
        <f>'Loan Tape'!B88*(1-IF(AND('Control Panel'!$B$15="YES",'Loan Tape'!W88&lt;&gt;"Full"),0.05,0))</f>
        <v/>
      </c>
      <c r="D87" s="35">
        <f>'FF Calculations'!F87</f>
        <v/>
      </c>
      <c r="E87" s="33">
        <f>IFERROR(
        LET(
            region,'Loan Tape'!M88,
            prop_val,C87,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7" s="40">
        <f>0.45</f>
        <v/>
      </c>
      <c r="G87" s="33">
        <f>(C87-E87)*(1-F87)</f>
        <v/>
      </c>
      <c r="H87" s="33">
        <f>IFERROR(
        IF('Loan Tape'!U88="First",5000,7000),
    5000)</f>
        <v/>
      </c>
      <c r="I87" s="33">
        <f>G87*0.03</f>
        <v/>
      </c>
      <c r="J87" s="33">
        <f>H87+I87</f>
        <v/>
      </c>
      <c r="K87" s="33">
        <f>IFERROR(
        LET(
            is_btl,'Loan Tape'!K88="BTL",
            is_subsequent,'Loan Tape'!U88&lt;&gt;"First",
            months,IF(is_subsequent,21,IF(is_btl,12,18)),
            B87*'Loan Tape'!I88*months/12
        ),
    0)</f>
        <v/>
      </c>
      <c r="L87" s="33">
        <f>B87+J87+K87</f>
        <v/>
      </c>
      <c r="M87" s="33">
        <f>MAX(G87-J87,0)</f>
        <v/>
      </c>
      <c r="N87" s="33">
        <f>L87-M87</f>
        <v/>
      </c>
      <c r="O87" s="16">
        <f>IFERROR(N87/B87,0)</f>
        <v/>
      </c>
    </row>
    <row r="88">
      <c r="A88" s="32">
        <f>'Loan Tape'!A89</f>
        <v/>
      </c>
      <c r="B88" s="33">
        <f>'Loan Tape'!D89</f>
        <v/>
      </c>
      <c r="C88" s="33">
        <f>'Loan Tape'!B89*(1-IF(AND('Control Panel'!$B$15="YES",'Loan Tape'!W89&lt;&gt;"Full"),0.05,0))</f>
        <v/>
      </c>
      <c r="D88" s="35">
        <f>'FF Calculations'!F88</f>
        <v/>
      </c>
      <c r="E88" s="33">
        <f>IFERROR(
        LET(
            region,'Loan Tape'!M89,
            prop_val,C88,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8" s="40">
        <f>0.45</f>
        <v/>
      </c>
      <c r="G88" s="33">
        <f>(C88-E88)*(1-F88)</f>
        <v/>
      </c>
      <c r="H88" s="33">
        <f>IFERROR(
        IF('Loan Tape'!U89="First",5000,7000),
    5000)</f>
        <v/>
      </c>
      <c r="I88" s="33">
        <f>G88*0.03</f>
        <v/>
      </c>
      <c r="J88" s="33">
        <f>H88+I88</f>
        <v/>
      </c>
      <c r="K88" s="33">
        <f>IFERROR(
        LET(
            is_btl,'Loan Tape'!K89="BTL",
            is_subsequent,'Loan Tape'!U89&lt;&gt;"First",
            months,IF(is_subsequent,21,IF(is_btl,12,18)),
            B88*'Loan Tape'!I89*months/12
        ),
    0)</f>
        <v/>
      </c>
      <c r="L88" s="33">
        <f>B88+J88+K88</f>
        <v/>
      </c>
      <c r="M88" s="33">
        <f>MAX(G88-J88,0)</f>
        <v/>
      </c>
      <c r="N88" s="33">
        <f>L88-M88</f>
        <v/>
      </c>
      <c r="O88" s="16">
        <f>IFERROR(N88/B88,0)</f>
        <v/>
      </c>
    </row>
    <row r="89">
      <c r="A89" s="32">
        <f>'Loan Tape'!A90</f>
        <v/>
      </c>
      <c r="B89" s="33">
        <f>'Loan Tape'!D90</f>
        <v/>
      </c>
      <c r="C89" s="33">
        <f>'Loan Tape'!B90*(1-IF(AND('Control Panel'!$B$15="YES",'Loan Tape'!W90&lt;&gt;"Full"),0.05,0))</f>
        <v/>
      </c>
      <c r="D89" s="35">
        <f>'FF Calculations'!F89</f>
        <v/>
      </c>
      <c r="E89" s="33">
        <f>IFERROR(
        LET(
            region,'Loan Tape'!M90,
            prop_val,C89,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89" s="40">
        <f>0.45</f>
        <v/>
      </c>
      <c r="G89" s="33">
        <f>(C89-E89)*(1-F89)</f>
        <v/>
      </c>
      <c r="H89" s="33">
        <f>IFERROR(
        IF('Loan Tape'!U90="First",5000,7000),
    5000)</f>
        <v/>
      </c>
      <c r="I89" s="33">
        <f>G89*0.03</f>
        <v/>
      </c>
      <c r="J89" s="33">
        <f>H89+I89</f>
        <v/>
      </c>
      <c r="K89" s="33">
        <f>IFERROR(
        LET(
            is_btl,'Loan Tape'!K90="BTL",
            is_subsequent,'Loan Tape'!U90&lt;&gt;"First",
            months,IF(is_subsequent,21,IF(is_btl,12,18)),
            B89*'Loan Tape'!I90*months/12
        ),
    0)</f>
        <v/>
      </c>
      <c r="L89" s="33">
        <f>B89+J89+K89</f>
        <v/>
      </c>
      <c r="M89" s="33">
        <f>MAX(G89-J89,0)</f>
        <v/>
      </c>
      <c r="N89" s="33">
        <f>L89-M89</f>
        <v/>
      </c>
      <c r="O89" s="16">
        <f>IFERROR(N89/B89,0)</f>
        <v/>
      </c>
    </row>
    <row r="90">
      <c r="A90" s="32">
        <f>'Loan Tape'!A91</f>
        <v/>
      </c>
      <c r="B90" s="33">
        <f>'Loan Tape'!D91</f>
        <v/>
      </c>
      <c r="C90" s="33">
        <f>'Loan Tape'!B91*(1-IF(AND('Control Panel'!$B$15="YES",'Loan Tape'!W91&lt;&gt;"Full"),0.05,0))</f>
        <v/>
      </c>
      <c r="D90" s="35">
        <f>'FF Calculations'!F90</f>
        <v/>
      </c>
      <c r="E90" s="33">
        <f>IFERROR(
        LET(
            region,'Loan Tape'!M91,
            prop_val,C90,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0" s="40">
        <f>0.45</f>
        <v/>
      </c>
      <c r="G90" s="33">
        <f>(C90-E90)*(1-F90)</f>
        <v/>
      </c>
      <c r="H90" s="33">
        <f>IFERROR(
        IF('Loan Tape'!U91="First",5000,7000),
    5000)</f>
        <v/>
      </c>
      <c r="I90" s="33">
        <f>G90*0.03</f>
        <v/>
      </c>
      <c r="J90" s="33">
        <f>H90+I90</f>
        <v/>
      </c>
      <c r="K90" s="33">
        <f>IFERROR(
        LET(
            is_btl,'Loan Tape'!K91="BTL",
            is_subsequent,'Loan Tape'!U91&lt;&gt;"First",
            months,IF(is_subsequent,21,IF(is_btl,12,18)),
            B90*'Loan Tape'!I91*months/12
        ),
    0)</f>
        <v/>
      </c>
      <c r="L90" s="33">
        <f>B90+J90+K90</f>
        <v/>
      </c>
      <c r="M90" s="33">
        <f>MAX(G90-J90,0)</f>
        <v/>
      </c>
      <c r="N90" s="33">
        <f>L90-M90</f>
        <v/>
      </c>
      <c r="O90" s="16">
        <f>IFERROR(N90/B90,0)</f>
        <v/>
      </c>
    </row>
    <row r="91">
      <c r="A91" s="32">
        <f>'Loan Tape'!A92</f>
        <v/>
      </c>
      <c r="B91" s="33">
        <f>'Loan Tape'!D92</f>
        <v/>
      </c>
      <c r="C91" s="33">
        <f>'Loan Tape'!B92*(1-IF(AND('Control Panel'!$B$15="YES",'Loan Tape'!W92&lt;&gt;"Full"),0.05,0))</f>
        <v/>
      </c>
      <c r="D91" s="35">
        <f>'FF Calculations'!F91</f>
        <v/>
      </c>
      <c r="E91" s="33">
        <f>IFERROR(
        LET(
            region,'Loan Tape'!M92,
            prop_val,C91,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1" s="40">
        <f>0.45</f>
        <v/>
      </c>
      <c r="G91" s="33">
        <f>(C91-E91)*(1-F91)</f>
        <v/>
      </c>
      <c r="H91" s="33">
        <f>IFERROR(
        IF('Loan Tape'!U92="First",5000,7000),
    5000)</f>
        <v/>
      </c>
      <c r="I91" s="33">
        <f>G91*0.03</f>
        <v/>
      </c>
      <c r="J91" s="33">
        <f>H91+I91</f>
        <v/>
      </c>
      <c r="K91" s="33">
        <f>IFERROR(
        LET(
            is_btl,'Loan Tape'!K92="BTL",
            is_subsequent,'Loan Tape'!U92&lt;&gt;"First",
            months,IF(is_subsequent,21,IF(is_btl,12,18)),
            B91*'Loan Tape'!I92*months/12
        ),
    0)</f>
        <v/>
      </c>
      <c r="L91" s="33">
        <f>B91+J91+K91</f>
        <v/>
      </c>
      <c r="M91" s="33">
        <f>MAX(G91-J91,0)</f>
        <v/>
      </c>
      <c r="N91" s="33">
        <f>L91-M91</f>
        <v/>
      </c>
      <c r="O91" s="16">
        <f>IFERROR(N91/B91,0)</f>
        <v/>
      </c>
    </row>
    <row r="92">
      <c r="A92" s="32">
        <f>'Loan Tape'!A93</f>
        <v/>
      </c>
      <c r="B92" s="33">
        <f>'Loan Tape'!D93</f>
        <v/>
      </c>
      <c r="C92" s="33">
        <f>'Loan Tape'!B93*(1-IF(AND('Control Panel'!$B$15="YES",'Loan Tape'!W93&lt;&gt;"Full"),0.05,0))</f>
        <v/>
      </c>
      <c r="D92" s="35">
        <f>'FF Calculations'!F92</f>
        <v/>
      </c>
      <c r="E92" s="33">
        <f>IFERROR(
        LET(
            region,'Loan Tape'!M93,
            prop_val,C92,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2" s="40">
        <f>0.45</f>
        <v/>
      </c>
      <c r="G92" s="33">
        <f>(C92-E92)*(1-F92)</f>
        <v/>
      </c>
      <c r="H92" s="33">
        <f>IFERROR(
        IF('Loan Tape'!U93="First",5000,7000),
    5000)</f>
        <v/>
      </c>
      <c r="I92" s="33">
        <f>G92*0.03</f>
        <v/>
      </c>
      <c r="J92" s="33">
        <f>H92+I92</f>
        <v/>
      </c>
      <c r="K92" s="33">
        <f>IFERROR(
        LET(
            is_btl,'Loan Tape'!K93="BTL",
            is_subsequent,'Loan Tape'!U93&lt;&gt;"First",
            months,IF(is_subsequent,21,IF(is_btl,12,18)),
            B92*'Loan Tape'!I93*months/12
        ),
    0)</f>
        <v/>
      </c>
      <c r="L92" s="33">
        <f>B92+J92+K92</f>
        <v/>
      </c>
      <c r="M92" s="33">
        <f>MAX(G92-J92,0)</f>
        <v/>
      </c>
      <c r="N92" s="33">
        <f>L92-M92</f>
        <v/>
      </c>
      <c r="O92" s="16">
        <f>IFERROR(N92/B92,0)</f>
        <v/>
      </c>
    </row>
    <row r="93">
      <c r="A93" s="32">
        <f>'Loan Tape'!A94</f>
        <v/>
      </c>
      <c r="B93" s="33">
        <f>'Loan Tape'!D94</f>
        <v/>
      </c>
      <c r="C93" s="33">
        <f>'Loan Tape'!B94*(1-IF(AND('Control Panel'!$B$15="YES",'Loan Tape'!W94&lt;&gt;"Full"),0.05,0))</f>
        <v/>
      </c>
      <c r="D93" s="35">
        <f>'FF Calculations'!F93</f>
        <v/>
      </c>
      <c r="E93" s="33">
        <f>IFERROR(
        LET(
            region,'Loan Tape'!M94,
            prop_val,C93,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3" s="40">
        <f>0.45</f>
        <v/>
      </c>
      <c r="G93" s="33">
        <f>(C93-E93)*(1-F93)</f>
        <v/>
      </c>
      <c r="H93" s="33">
        <f>IFERROR(
        IF('Loan Tape'!U94="First",5000,7000),
    5000)</f>
        <v/>
      </c>
      <c r="I93" s="33">
        <f>G93*0.03</f>
        <v/>
      </c>
      <c r="J93" s="33">
        <f>H93+I93</f>
        <v/>
      </c>
      <c r="K93" s="33">
        <f>IFERROR(
        LET(
            is_btl,'Loan Tape'!K94="BTL",
            is_subsequent,'Loan Tape'!U94&lt;&gt;"First",
            months,IF(is_subsequent,21,IF(is_btl,12,18)),
            B93*'Loan Tape'!I94*months/12
        ),
    0)</f>
        <v/>
      </c>
      <c r="L93" s="33">
        <f>B93+J93+K93</f>
        <v/>
      </c>
      <c r="M93" s="33">
        <f>MAX(G93-J93,0)</f>
        <v/>
      </c>
      <c r="N93" s="33">
        <f>L93-M93</f>
        <v/>
      </c>
      <c r="O93" s="16">
        <f>IFERROR(N93/B93,0)</f>
        <v/>
      </c>
    </row>
    <row r="94">
      <c r="A94" s="32">
        <f>'Loan Tape'!A95</f>
        <v/>
      </c>
      <c r="B94" s="33">
        <f>'Loan Tape'!D95</f>
        <v/>
      </c>
      <c r="C94" s="33">
        <f>'Loan Tape'!B95*(1-IF(AND('Control Panel'!$B$15="YES",'Loan Tape'!W95&lt;&gt;"Full"),0.05,0))</f>
        <v/>
      </c>
      <c r="D94" s="35">
        <f>'FF Calculations'!F94</f>
        <v/>
      </c>
      <c r="E94" s="33">
        <f>IFERROR(
        LET(
            region,'Loan Tape'!M95,
            prop_val,C94,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4" s="40">
        <f>0.45</f>
        <v/>
      </c>
      <c r="G94" s="33">
        <f>(C94-E94)*(1-F94)</f>
        <v/>
      </c>
      <c r="H94" s="33">
        <f>IFERROR(
        IF('Loan Tape'!U95="First",5000,7000),
    5000)</f>
        <v/>
      </c>
      <c r="I94" s="33">
        <f>G94*0.03</f>
        <v/>
      </c>
      <c r="J94" s="33">
        <f>H94+I94</f>
        <v/>
      </c>
      <c r="K94" s="33">
        <f>IFERROR(
        LET(
            is_btl,'Loan Tape'!K95="BTL",
            is_subsequent,'Loan Tape'!U95&lt;&gt;"First",
            months,IF(is_subsequent,21,IF(is_btl,12,18)),
            B94*'Loan Tape'!I95*months/12
        ),
    0)</f>
        <v/>
      </c>
      <c r="L94" s="33">
        <f>B94+J94+K94</f>
        <v/>
      </c>
      <c r="M94" s="33">
        <f>MAX(G94-J94,0)</f>
        <v/>
      </c>
      <c r="N94" s="33">
        <f>L94-M94</f>
        <v/>
      </c>
      <c r="O94" s="16">
        <f>IFERROR(N94/B94,0)</f>
        <v/>
      </c>
    </row>
    <row r="95">
      <c r="A95" s="32">
        <f>'Loan Tape'!A96</f>
        <v/>
      </c>
      <c r="B95" s="33">
        <f>'Loan Tape'!D96</f>
        <v/>
      </c>
      <c r="C95" s="33">
        <f>'Loan Tape'!B96*(1-IF(AND('Control Panel'!$B$15="YES",'Loan Tape'!W96&lt;&gt;"Full"),0.05,0))</f>
        <v/>
      </c>
      <c r="D95" s="35">
        <f>'FF Calculations'!F95</f>
        <v/>
      </c>
      <c r="E95" s="33">
        <f>IFERROR(
        LET(
            region,'Loan Tape'!M96,
            prop_val,C95,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5" s="40">
        <f>0.45</f>
        <v/>
      </c>
      <c r="G95" s="33">
        <f>(C95-E95)*(1-F95)</f>
        <v/>
      </c>
      <c r="H95" s="33">
        <f>IFERROR(
        IF('Loan Tape'!U96="First",5000,7000),
    5000)</f>
        <v/>
      </c>
      <c r="I95" s="33">
        <f>G95*0.03</f>
        <v/>
      </c>
      <c r="J95" s="33">
        <f>H95+I95</f>
        <v/>
      </c>
      <c r="K95" s="33">
        <f>IFERROR(
        LET(
            is_btl,'Loan Tape'!K96="BTL",
            is_subsequent,'Loan Tape'!U96&lt;&gt;"First",
            months,IF(is_subsequent,21,IF(is_btl,12,18)),
            B95*'Loan Tape'!I96*months/12
        ),
    0)</f>
        <v/>
      </c>
      <c r="L95" s="33">
        <f>B95+J95+K95</f>
        <v/>
      </c>
      <c r="M95" s="33">
        <f>MAX(G95-J95,0)</f>
        <v/>
      </c>
      <c r="N95" s="33">
        <f>L95-M95</f>
        <v/>
      </c>
      <c r="O95" s="16">
        <f>IFERROR(N95/B95,0)</f>
        <v/>
      </c>
    </row>
    <row r="96">
      <c r="A96" s="32">
        <f>'Loan Tape'!A97</f>
        <v/>
      </c>
      <c r="B96" s="33">
        <f>'Loan Tape'!D97</f>
        <v/>
      </c>
      <c r="C96" s="33">
        <f>'Loan Tape'!B97*(1-IF(AND('Control Panel'!$B$15="YES",'Loan Tape'!W97&lt;&gt;"Full"),0.05,0))</f>
        <v/>
      </c>
      <c r="D96" s="35">
        <f>'FF Calculations'!F96</f>
        <v/>
      </c>
      <c r="E96" s="33">
        <f>IFERROR(
        LET(
            region,'Loan Tape'!M97,
            prop_val,C96,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6" s="40">
        <f>0.45</f>
        <v/>
      </c>
      <c r="G96" s="33">
        <f>(C96-E96)*(1-F96)</f>
        <v/>
      </c>
      <c r="H96" s="33">
        <f>IFERROR(
        IF('Loan Tape'!U97="First",5000,7000),
    5000)</f>
        <v/>
      </c>
      <c r="I96" s="33">
        <f>G96*0.03</f>
        <v/>
      </c>
      <c r="J96" s="33">
        <f>H96+I96</f>
        <v/>
      </c>
      <c r="K96" s="33">
        <f>IFERROR(
        LET(
            is_btl,'Loan Tape'!K97="BTL",
            is_subsequent,'Loan Tape'!U97&lt;&gt;"First",
            months,IF(is_subsequent,21,IF(is_btl,12,18)),
            B96*'Loan Tape'!I97*months/12
        ),
    0)</f>
        <v/>
      </c>
      <c r="L96" s="33">
        <f>B96+J96+K96</f>
        <v/>
      </c>
      <c r="M96" s="33">
        <f>MAX(G96-J96,0)</f>
        <v/>
      </c>
      <c r="N96" s="33">
        <f>L96-M96</f>
        <v/>
      </c>
      <c r="O96" s="16">
        <f>IFERROR(N96/B96,0)</f>
        <v/>
      </c>
    </row>
    <row r="97">
      <c r="A97" s="32">
        <f>'Loan Tape'!A98</f>
        <v/>
      </c>
      <c r="B97" s="33">
        <f>'Loan Tape'!D98</f>
        <v/>
      </c>
      <c r="C97" s="33">
        <f>'Loan Tape'!B98*(1-IF(AND('Control Panel'!$B$15="YES",'Loan Tape'!W98&lt;&gt;"Full"),0.05,0))</f>
        <v/>
      </c>
      <c r="D97" s="35">
        <f>'FF Calculations'!F97</f>
        <v/>
      </c>
      <c r="E97" s="33">
        <f>IFERROR(
        LET(
            region,'Loan Tape'!M98,
            prop_val,C97,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7" s="40">
        <f>0.45</f>
        <v/>
      </c>
      <c r="G97" s="33">
        <f>(C97-E97)*(1-F97)</f>
        <v/>
      </c>
      <c r="H97" s="33">
        <f>IFERROR(
        IF('Loan Tape'!U98="First",5000,7000),
    5000)</f>
        <v/>
      </c>
      <c r="I97" s="33">
        <f>G97*0.03</f>
        <v/>
      </c>
      <c r="J97" s="33">
        <f>H97+I97</f>
        <v/>
      </c>
      <c r="K97" s="33">
        <f>IFERROR(
        LET(
            is_btl,'Loan Tape'!K98="BTL",
            is_subsequent,'Loan Tape'!U98&lt;&gt;"First",
            months,IF(is_subsequent,21,IF(is_btl,12,18)),
            B97*'Loan Tape'!I98*months/12
        ),
    0)</f>
        <v/>
      </c>
      <c r="L97" s="33">
        <f>B97+J97+K97</f>
        <v/>
      </c>
      <c r="M97" s="33">
        <f>MAX(G97-J97,0)</f>
        <v/>
      </c>
      <c r="N97" s="33">
        <f>L97-M97</f>
        <v/>
      </c>
      <c r="O97" s="16">
        <f>IFERROR(N97/B97,0)</f>
        <v/>
      </c>
    </row>
    <row r="98">
      <c r="A98" s="32">
        <f>'Loan Tape'!A99</f>
        <v/>
      </c>
      <c r="B98" s="33">
        <f>'Loan Tape'!D99</f>
        <v/>
      </c>
      <c r="C98" s="33">
        <f>'Loan Tape'!B99*(1-IF(AND('Control Panel'!$B$15="YES",'Loan Tape'!W99&lt;&gt;"Full"),0.05,0))</f>
        <v/>
      </c>
      <c r="D98" s="35">
        <f>'FF Calculations'!F98</f>
        <v/>
      </c>
      <c r="E98" s="33">
        <f>IFERROR(
        LET(
            region,'Loan Tape'!M99,
            prop_val,C98,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8" s="40">
        <f>0.45</f>
        <v/>
      </c>
      <c r="G98" s="33">
        <f>(C98-E98)*(1-F98)</f>
        <v/>
      </c>
      <c r="H98" s="33">
        <f>IFERROR(
        IF('Loan Tape'!U99="First",5000,7000),
    5000)</f>
        <v/>
      </c>
      <c r="I98" s="33">
        <f>G98*0.03</f>
        <v/>
      </c>
      <c r="J98" s="33">
        <f>H98+I98</f>
        <v/>
      </c>
      <c r="K98" s="33">
        <f>IFERROR(
        LET(
            is_btl,'Loan Tape'!K99="BTL",
            is_subsequent,'Loan Tape'!U99&lt;&gt;"First",
            months,IF(is_subsequent,21,IF(is_btl,12,18)),
            B98*'Loan Tape'!I99*months/12
        ),
    0)</f>
        <v/>
      </c>
      <c r="L98" s="33">
        <f>B98+J98+K98</f>
        <v/>
      </c>
      <c r="M98" s="33">
        <f>MAX(G98-J98,0)</f>
        <v/>
      </c>
      <c r="N98" s="33">
        <f>L98-M98</f>
        <v/>
      </c>
      <c r="O98" s="16">
        <f>IFERROR(N98/B98,0)</f>
        <v/>
      </c>
    </row>
    <row r="99">
      <c r="A99" s="32">
        <f>'Loan Tape'!A100</f>
        <v/>
      </c>
      <c r="B99" s="33">
        <f>'Loan Tape'!D100</f>
        <v/>
      </c>
      <c r="C99" s="33">
        <f>'Loan Tape'!B100*(1-IF(AND('Control Panel'!$B$15="YES",'Loan Tape'!W100&lt;&gt;"Full"),0.05,0))</f>
        <v/>
      </c>
      <c r="D99" s="35">
        <f>'FF Calculations'!F99</f>
        <v/>
      </c>
      <c r="E99" s="33">
        <f>IFERROR(
        LET(
            region,'Loan Tape'!M100,
            prop_val,C99,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99" s="40">
        <f>0.45</f>
        <v/>
      </c>
      <c r="G99" s="33">
        <f>(C99-E99)*(1-F99)</f>
        <v/>
      </c>
      <c r="H99" s="33">
        <f>IFERROR(
        IF('Loan Tape'!U100="First",5000,7000),
    5000)</f>
        <v/>
      </c>
      <c r="I99" s="33">
        <f>G99*0.03</f>
        <v/>
      </c>
      <c r="J99" s="33">
        <f>H99+I99</f>
        <v/>
      </c>
      <c r="K99" s="33">
        <f>IFERROR(
        LET(
            is_btl,'Loan Tape'!K100="BTL",
            is_subsequent,'Loan Tape'!U100&lt;&gt;"First",
            months,IF(is_subsequent,21,IF(is_btl,12,18)),
            B99*'Loan Tape'!I100*months/12
        ),
    0)</f>
        <v/>
      </c>
      <c r="L99" s="33">
        <f>B99+J99+K99</f>
        <v/>
      </c>
      <c r="M99" s="33">
        <f>MAX(G99-J99,0)</f>
        <v/>
      </c>
      <c r="N99" s="33">
        <f>L99-M99</f>
        <v/>
      </c>
      <c r="O99" s="16">
        <f>IFERROR(N99/B99,0)</f>
        <v/>
      </c>
    </row>
    <row r="100">
      <c r="A100" s="32">
        <f>'Loan Tape'!A101</f>
        <v/>
      </c>
      <c r="B100" s="33">
        <f>'Loan Tape'!D101</f>
        <v/>
      </c>
      <c r="C100" s="33">
        <f>'Loan Tape'!B101*(1-IF(AND('Control Panel'!$B$15="YES",'Loan Tape'!W101&lt;&gt;"Full"),0.05,0))</f>
        <v/>
      </c>
      <c r="D100" s="35">
        <f>'FF Calculations'!F100</f>
        <v/>
      </c>
      <c r="E100" s="33">
        <f>IFERROR(
        LET(
            region,'Loan Tape'!M101,
            prop_val,C100,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00" s="40">
        <f>0.45</f>
        <v/>
      </c>
      <c r="G100" s="33">
        <f>(C100-E100)*(1-F100)</f>
        <v/>
      </c>
      <c r="H100" s="33">
        <f>IFERROR(
        IF('Loan Tape'!U101="First",5000,7000),
    5000)</f>
        <v/>
      </c>
      <c r="I100" s="33">
        <f>G100*0.03</f>
        <v/>
      </c>
      <c r="J100" s="33">
        <f>H100+I100</f>
        <v/>
      </c>
      <c r="K100" s="33">
        <f>IFERROR(
        LET(
            is_btl,'Loan Tape'!K101="BTL",
            is_subsequent,'Loan Tape'!U101&lt;&gt;"First",
            months,IF(is_subsequent,21,IF(is_btl,12,18)),
            B100*'Loan Tape'!I101*months/12
        ),
    0)</f>
        <v/>
      </c>
      <c r="L100" s="33">
        <f>B100+J100+K100</f>
        <v/>
      </c>
      <c r="M100" s="33">
        <f>MAX(G100-J100,0)</f>
        <v/>
      </c>
      <c r="N100" s="33">
        <f>L100-M100</f>
        <v/>
      </c>
      <c r="O100" s="16">
        <f>IFERROR(N100/B100,0)</f>
        <v/>
      </c>
    </row>
    <row r="101">
      <c r="A101" s="32">
        <f>'Loan Tape'!A102</f>
        <v/>
      </c>
      <c r="B101" s="33">
        <f>'Loan Tape'!D102</f>
        <v/>
      </c>
      <c r="C101" s="33">
        <f>'Loan Tape'!B102*(1-IF(AND('Control Panel'!$B$15="YES",'Loan Tape'!W102&lt;&gt;"Full"),0.05,0))</f>
        <v/>
      </c>
      <c r="D101" s="35">
        <f>'FF Calculations'!F101</f>
        <v/>
      </c>
      <c r="E101" s="33">
        <f>IFERROR(
        LET(
            region,'Loan Tape'!M102,
            prop_val,C101,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01" s="40">
        <f>0.45</f>
        <v/>
      </c>
      <c r="G101" s="33">
        <f>(C101-E101)*(1-F101)</f>
        <v/>
      </c>
      <c r="H101" s="33">
        <f>IFERROR(
        IF('Loan Tape'!U102="First",5000,7000),
    5000)</f>
        <v/>
      </c>
      <c r="I101" s="33">
        <f>G101*0.03</f>
        <v/>
      </c>
      <c r="J101" s="33">
        <f>H101+I101</f>
        <v/>
      </c>
      <c r="K101" s="33">
        <f>IFERROR(
        LET(
            is_btl,'Loan Tape'!K102="BTL",
            is_subsequent,'Loan Tape'!U102&lt;&gt;"First",
            months,IF(is_subsequent,21,IF(is_btl,12,18)),
            B101*'Loan Tape'!I102*months/12
        ),
    0)</f>
        <v/>
      </c>
      <c r="L101" s="33">
        <f>B101+J101+K101</f>
        <v/>
      </c>
      <c r="M101" s="33">
        <f>MAX(G101-J101,0)</f>
        <v/>
      </c>
      <c r="N101" s="33">
        <f>L101-M101</f>
        <v/>
      </c>
      <c r="O101" s="16">
        <f>IFERROR(N101/B101,0)</f>
        <v/>
      </c>
    </row>
    <row r="102">
      <c r="A102" s="32">
        <f>'Loan Tape'!A103</f>
        <v/>
      </c>
      <c r="B102" s="33">
        <f>'Loan Tape'!D103</f>
        <v/>
      </c>
      <c r="C102" s="33">
        <f>'Loan Tape'!B103*(1-IF(AND('Control Panel'!$B$15="YES",'Loan Tape'!W103&lt;&gt;"Full"),0.05,0))</f>
        <v/>
      </c>
      <c r="D102" s="35">
        <f>'FF Calculations'!F102</f>
        <v/>
      </c>
      <c r="E102" s="33">
        <f>IFERROR(
        LET(
            region,'Loan Tape'!M103,
            prop_val,C102,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02" s="40">
        <f>0.45</f>
        <v/>
      </c>
      <c r="G102" s="33">
        <f>(C102-E102)*(1-F102)</f>
        <v/>
      </c>
      <c r="H102" s="33">
        <f>IFERROR(
        IF('Loan Tape'!U103="First",5000,7000),
    5000)</f>
        <v/>
      </c>
      <c r="I102" s="33">
        <f>G102*0.03</f>
        <v/>
      </c>
      <c r="J102" s="33">
        <f>H102+I102</f>
        <v/>
      </c>
      <c r="K102" s="33">
        <f>IFERROR(
        LET(
            is_btl,'Loan Tape'!K103="BTL",
            is_subsequent,'Loan Tape'!U103&lt;&gt;"First",
            months,IF(is_subsequent,21,IF(is_btl,12,18)),
            B102*'Loan Tape'!I103*months/12
        ),
    0)</f>
        <v/>
      </c>
      <c r="L102" s="33">
        <f>B102+J102+K102</f>
        <v/>
      </c>
      <c r="M102" s="33">
        <f>MAX(G102-J102,0)</f>
        <v/>
      </c>
      <c r="N102" s="33">
        <f>L102-M102</f>
        <v/>
      </c>
      <c r="O102" s="16">
        <f>IFERROR(N102/B102,0)</f>
        <v/>
      </c>
    </row>
    <row r="103">
      <c r="A103" s="32">
        <f>'Loan Tape'!A104</f>
        <v/>
      </c>
      <c r="B103" s="33">
        <f>'Loan Tape'!D104</f>
        <v/>
      </c>
      <c r="C103" s="33">
        <f>'Loan Tape'!B104*(1-IF(AND('Control Panel'!$B$15="YES",'Loan Tape'!W104&lt;&gt;"Full"),0.05,0))</f>
        <v/>
      </c>
      <c r="D103" s="35">
        <f>'FF Calculations'!F103</f>
        <v/>
      </c>
      <c r="E103" s="33">
        <f>IFERROR(
        LET(
            region,'Loan Tape'!M104,
            prop_val,C103,
            london_thresh,'Parameter Tables'!$G$36,
            south_thresh,'Parameter Tables'!$G$35,
            north_thresh,'Parameter Tables'!$G$34,
            threshold,IF(region="Greater London",london_thresh,
                IF(OR(region="South East",region="South West"),south_thresh,north_thresh)
            ),
            IF(prop_val&gt;threshold,(prop_val-threshold)*0.20,0)
        ),
    0)</f>
        <v/>
      </c>
      <c r="F103" s="40">
        <f>0.45</f>
        <v/>
      </c>
      <c r="G103" s="33">
        <f>(C103-E103)*(1-F103)</f>
        <v/>
      </c>
      <c r="H103" s="33">
        <f>IFERROR(
        IF('Loan Tape'!U104="First",5000,7000),
    5000)</f>
        <v/>
      </c>
      <c r="I103" s="33">
        <f>G103*0.03</f>
        <v/>
      </c>
      <c r="J103" s="33">
        <f>H103+I103</f>
        <v/>
      </c>
      <c r="K103" s="33">
        <f>IFERROR(
        LET(
            is_btl,'Loan Tape'!K104="BTL",
            is_subsequent,'Loan Tape'!U104&lt;&gt;"First",
            months,IF(is_subsequent,21,IF(is_btl,12,18)),
            B103*'Loan Tape'!I104*months/12
        ),
    0)</f>
        <v/>
      </c>
      <c r="L103" s="33">
        <f>B103+J103+K103</f>
        <v/>
      </c>
      <c r="M103" s="33">
        <f>MAX(G103-J103,0)</f>
        <v/>
      </c>
      <c r="N103" s="33">
        <f>L103-M103</f>
        <v/>
      </c>
      <c r="O103" s="16">
        <f>IFERROR(N103/B103,0)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0" customWidth="1" min="4" max="4"/>
  </cols>
  <sheetData>
    <row r="1">
      <c r="A1" s="20" t="inlineStr">
        <is>
          <t>POOL SUMMARY - WAFF &amp; WALS</t>
        </is>
      </c>
    </row>
    <row r="3">
      <c r="A3" s="41" t="inlineStr">
        <is>
          <t>Pool Metric</t>
        </is>
      </c>
      <c r="B3" s="41" t="inlineStr">
        <is>
          <t>Value</t>
        </is>
      </c>
      <c r="C3" s="41" t="inlineStr">
        <is>
          <t>Weight/Balance</t>
        </is>
      </c>
      <c r="D3" s="41" t="inlineStr">
        <is>
          <t>Note</t>
        </is>
      </c>
    </row>
    <row r="4">
      <c r="A4" s="42" t="inlineStr">
        <is>
          <t>Total Pool Balance</t>
        </is>
      </c>
      <c r="B4" s="43">
        <f>SUM('Loan Tape'!D:D)</f>
        <v/>
      </c>
      <c r="C4" s="42" t="inlineStr"/>
      <c r="D4" s="42" t="inlineStr">
        <is>
          <t>Sum of all loan balances</t>
        </is>
      </c>
    </row>
    <row r="5">
      <c r="A5" s="42" t="inlineStr">
        <is>
          <t>Pool WAFF (%)</t>
        </is>
      </c>
      <c r="B5" s="39">
        <f>SUMPRODUCT('FF Calculations'!Z4:Z103,'FF Calculations'!B4:B103)/SUM('FF Calculations'!B4:B103)</f>
        <v/>
      </c>
      <c r="C5" s="42" t="inlineStr"/>
      <c r="D5" s="42" t="inlineStr">
        <is>
          <t>Weighted Average Foreclosure Frequency</t>
        </is>
      </c>
    </row>
    <row r="6">
      <c r="A6" s="42" t="inlineStr">
        <is>
          <t>Pool WALS (%)</t>
        </is>
      </c>
      <c r="B6" s="39">
        <f>SUMPRODUCT('LS Calculations'!O4:O103,'LS Calculations'!B4:B103)/SUM('LS Calculations'!B4:B103)</f>
        <v/>
      </c>
      <c r="C6" s="42" t="inlineStr"/>
      <c r="D6" s="42" t="inlineStr">
        <is>
          <t>Weighted Average Loss Severity</t>
        </is>
      </c>
    </row>
    <row r="7">
      <c r="A7" s="42" t="inlineStr">
        <is>
          <t>Pool Expected Loss (%)</t>
        </is>
      </c>
      <c r="B7" s="39">
        <f>B5*B6</f>
        <v/>
      </c>
      <c r="C7" s="42" t="inlineStr"/>
      <c r="D7" s="42" t="inlineStr">
        <is>
          <t>WAFF × WALS</t>
        </is>
      </c>
    </row>
    <row r="8">
      <c r="A8" s="42" t="inlineStr">
        <is>
          <t>Weighted Average LTV</t>
        </is>
      </c>
      <c r="B8" s="39">
        <f>SUMPRODUCT('FF Calculations'!F4:F103,'FF Calculations'!B4:B103)/SUM('FF Calculations'!B4:B103)</f>
        <v/>
      </c>
      <c r="C8" s="42" t="inlineStr"/>
      <c r="D8" s="42" t="inlineStr">
        <is>
          <t>Portfolio weighted average LTV</t>
        </is>
      </c>
    </row>
    <row r="9">
      <c r="A9" s="42" t="inlineStr">
        <is>
          <t>Weighted Average FICO</t>
        </is>
      </c>
      <c r="B9" s="17">
        <f>SUMPRODUCT('Loan Tape'!F5:F104,'Loan Tape'!D5:D104)/SUM('Loan Tape'!D5:D104)</f>
        <v/>
      </c>
      <c r="C9" s="42" t="inlineStr"/>
      <c r="D9" s="42" t="inlineStr">
        <is>
          <t>Portfolio credit quality</t>
        </is>
      </c>
    </row>
    <row r="10">
      <c r="A10" s="42" t="inlineStr">
        <is>
          <t>Number of Loans</t>
        </is>
      </c>
      <c r="B10" s="17">
        <f>COUNTA('Loan Tape'!A5:A104)</f>
        <v/>
      </c>
      <c r="C10" s="42" t="inlineStr"/>
      <c r="D10" s="42" t="inlineStr">
        <is>
          <t>Count of loans in pool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2" customWidth="1" min="4" max="4"/>
    <col width="20" customWidth="1" min="5" max="5"/>
  </cols>
  <sheetData>
    <row r="1">
      <c r="A1" s="20" t="inlineStr">
        <is>
          <t>CREDIT ENHANCEMENT BY RATING</t>
        </is>
      </c>
    </row>
    <row r="3">
      <c r="A3" s="41" t="inlineStr">
        <is>
          <t>Rating</t>
        </is>
      </c>
      <c r="B3" s="41" t="inlineStr">
        <is>
          <t>Stress Multiple</t>
        </is>
      </c>
      <c r="C3" s="41" t="inlineStr">
        <is>
          <t>Pool EL (%)</t>
        </is>
      </c>
      <c r="D3" s="41" t="inlineStr">
        <is>
          <t>Operational Buffer (%)</t>
        </is>
      </c>
      <c r="E3" s="41" t="inlineStr">
        <is>
          <t>Required CE (%)</t>
        </is>
      </c>
    </row>
    <row r="4">
      <c r="A4" s="42" t="inlineStr">
        <is>
          <t>AAA</t>
        </is>
      </c>
      <c r="B4" s="44">
        <f>'Parameter Tables'!$G$20</f>
        <v/>
      </c>
      <c r="C4" s="45">
        <f>'Pool Summary'!$B$7</f>
        <v/>
      </c>
      <c r="D4" s="46" t="n">
        <v>0.02</v>
      </c>
      <c r="E4" s="16">
        <f>(C4*B4)+D4</f>
        <v/>
      </c>
    </row>
    <row r="5">
      <c r="A5" s="42" t="inlineStr">
        <is>
          <t>AA+</t>
        </is>
      </c>
      <c r="B5" s="44">
        <f>'Parameter Tables'!$G$21</f>
        <v/>
      </c>
      <c r="C5" s="45">
        <f>'Pool Summary'!$B$7</f>
        <v/>
      </c>
      <c r="D5" s="46" t="n">
        <v>0.02</v>
      </c>
      <c r="E5" s="16">
        <f>(C5*B5)+D5</f>
        <v/>
      </c>
    </row>
    <row r="6">
      <c r="A6" s="42" t="inlineStr">
        <is>
          <t>AA</t>
        </is>
      </c>
      <c r="B6" s="44">
        <f>'Parameter Tables'!$G$22</f>
        <v/>
      </c>
      <c r="C6" s="45">
        <f>'Pool Summary'!$B$7</f>
        <v/>
      </c>
      <c r="D6" s="46" t="n">
        <v>0.02</v>
      </c>
      <c r="E6" s="16">
        <f>(C6*B6)+D6</f>
        <v/>
      </c>
    </row>
    <row r="7">
      <c r="A7" s="42" t="inlineStr">
        <is>
          <t>AA-</t>
        </is>
      </c>
      <c r="B7" s="44">
        <f>'Parameter Tables'!$G$23</f>
        <v/>
      </c>
      <c r="C7" s="45">
        <f>'Pool Summary'!$B$7</f>
        <v/>
      </c>
      <c r="D7" s="46" t="n">
        <v>0.02</v>
      </c>
      <c r="E7" s="16">
        <f>(C7*B7)+D7</f>
        <v/>
      </c>
    </row>
    <row r="8">
      <c r="A8" s="42" t="inlineStr">
        <is>
          <t>A+</t>
        </is>
      </c>
      <c r="B8" s="44">
        <f>'Parameter Tables'!$G$24</f>
        <v/>
      </c>
      <c r="C8" s="45">
        <f>'Pool Summary'!$B$7</f>
        <v/>
      </c>
      <c r="D8" s="46" t="n">
        <v>0.02</v>
      </c>
      <c r="E8" s="16">
        <f>(C8*B8)+D8</f>
        <v/>
      </c>
    </row>
    <row r="9">
      <c r="A9" s="42" t="inlineStr">
        <is>
          <t>A</t>
        </is>
      </c>
      <c r="B9" s="44">
        <f>'Parameter Tables'!$G$25</f>
        <v/>
      </c>
      <c r="C9" s="45">
        <f>'Pool Summary'!$B$7</f>
        <v/>
      </c>
      <c r="D9" s="46" t="n">
        <v>0.02</v>
      </c>
      <c r="E9" s="16">
        <f>(C9*B9)+D9</f>
        <v/>
      </c>
    </row>
    <row r="10">
      <c r="A10" s="42" t="inlineStr">
        <is>
          <t>A-</t>
        </is>
      </c>
      <c r="B10" s="44">
        <f>'Parameter Tables'!$G$26</f>
        <v/>
      </c>
      <c r="C10" s="45">
        <f>'Pool Summary'!$B$7</f>
        <v/>
      </c>
      <c r="D10" s="46" t="n">
        <v>0.02</v>
      </c>
      <c r="E10" s="16">
        <f>(C10*B10)+D10</f>
        <v/>
      </c>
    </row>
    <row r="11">
      <c r="A11" s="42" t="inlineStr">
        <is>
          <t>BBB+</t>
        </is>
      </c>
      <c r="B11" s="44">
        <f>'Parameter Tables'!$G$27</f>
        <v/>
      </c>
      <c r="C11" s="45">
        <f>'Pool Summary'!$B$7</f>
        <v/>
      </c>
      <c r="D11" s="46" t="n">
        <v>0.02</v>
      </c>
      <c r="E11" s="16">
        <f>(C11*B11)+D11</f>
        <v/>
      </c>
    </row>
    <row r="12">
      <c r="A12" s="42" t="inlineStr">
        <is>
          <t>BBB</t>
        </is>
      </c>
      <c r="B12" s="44">
        <f>'Parameter Tables'!$G$28</f>
        <v/>
      </c>
      <c r="C12" s="45">
        <f>'Pool Summary'!$B$7</f>
        <v/>
      </c>
      <c r="D12" s="46" t="n">
        <v>0.02</v>
      </c>
      <c r="E12" s="16">
        <f>(C12*B12)+D12</f>
        <v/>
      </c>
    </row>
    <row r="13">
      <c r="A13" s="42" t="inlineStr">
        <is>
          <t>BBB-</t>
        </is>
      </c>
      <c r="B13" s="44">
        <f>'Parameter Tables'!$G$29</f>
        <v/>
      </c>
      <c r="C13" s="45">
        <f>'Pool Summary'!$B$7</f>
        <v/>
      </c>
      <c r="D13" s="46" t="n">
        <v>0.02</v>
      </c>
      <c r="E13" s="16">
        <f>(C13*B13)+D13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0" customWidth="1" min="4" max="4"/>
    <col width="3" customWidth="1" min="5" max="5"/>
    <col width="30" customWidth="1" min="6" max="6"/>
    <col width="20" customWidth="1" min="7" max="7"/>
    <col width="30" customWidth="1" min="8" max="8"/>
  </cols>
  <sheetData>
    <row r="1">
      <c r="A1" s="20" t="inlineStr">
        <is>
          <t>S&amp;P WAFF/WALS PARAMETER TABLES</t>
        </is>
      </c>
    </row>
    <row r="3">
      <c r="A3" s="21" t="inlineStr">
        <is>
          <t>UK FORECLOSURE FREQUENCY ANCHORS</t>
        </is>
      </c>
      <c r="F3" s="21" t="inlineStr">
        <is>
          <t>UK LOSS SEVERITY PARAMETERS</t>
        </is>
      </c>
    </row>
    <row r="4">
      <c r="A4" s="22" t="inlineStr">
        <is>
          <t>Rating</t>
        </is>
      </c>
      <c r="B4" s="22" t="inlineStr">
        <is>
          <t>FF Anchor (%)</t>
        </is>
      </c>
      <c r="C4" s="22" t="inlineStr">
        <is>
          <t>Source</t>
        </is>
      </c>
      <c r="F4" s="22" t="inlineStr">
        <is>
          <t>Parameter</t>
        </is>
      </c>
      <c r="G4" s="22" t="inlineStr">
        <is>
          <t>Value</t>
        </is>
      </c>
      <c r="H4" s="22" t="inlineStr">
        <is>
          <t>Note</t>
        </is>
      </c>
    </row>
    <row r="5">
      <c r="A5" t="inlineStr">
        <is>
          <t>AAA</t>
        </is>
      </c>
      <c r="B5" s="23" t="n">
        <v>0.12</v>
      </c>
      <c r="C5" t="inlineStr">
        <is>
          <t>S&amp;P Europe Supplement Table 72</t>
        </is>
      </c>
      <c r="F5" t="inlineStr">
        <is>
          <t>Base Loss Severity</t>
        </is>
      </c>
      <c r="G5" t="inlineStr">
        <is>
          <t>55%</t>
        </is>
      </c>
      <c r="H5" t="inlineStr">
        <is>
          <t>UK baseline</t>
        </is>
      </c>
    </row>
    <row r="6">
      <c r="A6" t="inlineStr">
        <is>
          <t>AA</t>
        </is>
      </c>
      <c r="B6" s="23" t="n">
        <v>0.08</v>
      </c>
      <c r="C6" t="inlineStr">
        <is>
          <t>S&amp;P Europe Supplement Table 72</t>
        </is>
      </c>
      <c r="F6" t="inlineStr">
        <is>
          <t>Foreclosure Fixed Cost (Senior)</t>
        </is>
      </c>
      <c r="G6" t="inlineStr">
        <is>
          <t>£5,000</t>
        </is>
      </c>
      <c r="H6" t="inlineStr">
        <is>
          <t>Table 75</t>
        </is>
      </c>
    </row>
    <row r="7">
      <c r="A7" t="inlineStr">
        <is>
          <t>A</t>
        </is>
      </c>
      <c r="B7" s="23" t="n">
        <v>0.06</v>
      </c>
      <c r="C7" t="inlineStr">
        <is>
          <t>S&amp;P Europe Supplement Table 72</t>
        </is>
      </c>
      <c r="F7" t="inlineStr">
        <is>
          <t>Foreclosure Fixed Cost (Subsequent)</t>
        </is>
      </c>
      <c r="G7" t="inlineStr">
        <is>
          <t>£7,000</t>
        </is>
      </c>
      <c r="H7" t="inlineStr">
        <is>
          <t>Table 75</t>
        </is>
      </c>
    </row>
    <row r="8">
      <c r="A8" t="inlineStr">
        <is>
          <t>BBB</t>
        </is>
      </c>
      <c r="B8" s="23" t="n">
        <v>0.04</v>
      </c>
      <c r="C8" t="inlineStr">
        <is>
          <t>S&amp;P Europe Supplement Table 72</t>
        </is>
      </c>
      <c r="F8" t="inlineStr">
        <is>
          <t>Foreclosure Variable Cost</t>
        </is>
      </c>
      <c r="G8" t="inlineStr">
        <is>
          <t>3%</t>
        </is>
      </c>
      <c r="H8" t="inlineStr">
        <is>
          <t>% of post-repo value</t>
        </is>
      </c>
    </row>
    <row r="9">
      <c r="A9" t="inlineStr">
        <is>
          <t>BB</t>
        </is>
      </c>
      <c r="B9" s="23" t="n">
        <v>0.02</v>
      </c>
      <c r="C9" t="inlineStr">
        <is>
          <t>S&amp;P Europe Supplement Table 72</t>
        </is>
      </c>
      <c r="F9" t="inlineStr">
        <is>
          <t>Foreclosure Timeline (Owner-Occupied)</t>
        </is>
      </c>
      <c r="G9" t="inlineStr">
        <is>
          <t>18 months</t>
        </is>
      </c>
      <c r="H9" t="inlineStr">
        <is>
          <t>Table 75</t>
        </is>
      </c>
    </row>
    <row r="10">
      <c r="A10" t="inlineStr">
        <is>
          <t>B</t>
        </is>
      </c>
      <c r="B10" s="23" t="n">
        <v>0.015</v>
      </c>
      <c r="C10" t="inlineStr">
        <is>
          <t>S&amp;P Europe Supplement Table 72</t>
        </is>
      </c>
      <c r="F10" t="inlineStr">
        <is>
          <t>Foreclosure Timeline (BTL - E&amp;W)</t>
        </is>
      </c>
      <c r="G10" t="inlineStr">
        <is>
          <t>12 months</t>
        </is>
      </c>
      <c r="H10" t="inlineStr">
        <is>
          <t>Table 75</t>
        </is>
      </c>
    </row>
    <row r="11">
      <c r="F11" t="inlineStr">
        <is>
          <t>Foreclosure Timeline (BTL - Other)</t>
        </is>
      </c>
      <c r="G11" t="inlineStr">
        <is>
          <t>18 months</t>
        </is>
      </c>
      <c r="H11" t="inlineStr">
        <is>
          <t>Table 75</t>
        </is>
      </c>
    </row>
    <row r="12">
      <c r="F12" t="inlineStr">
        <is>
          <t>Foreclosure Timeline (Subsequent Lien)</t>
        </is>
      </c>
      <c r="G12" t="inlineStr">
        <is>
          <t>21 months</t>
        </is>
      </c>
      <c r="H12" t="inlineStr">
        <is>
          <t>Table 75</t>
        </is>
      </c>
    </row>
    <row r="13">
      <c r="A13" s="21" t="inlineStr">
        <is>
          <t>UK LTV CURVE (Type 2 - Full Recourse)</t>
        </is>
      </c>
      <c r="F13" t="inlineStr">
        <is>
          <t>Valuation Haircut (Non-Full Appraisal)</t>
        </is>
      </c>
      <c r="G13" t="inlineStr">
        <is>
          <t>5%</t>
        </is>
      </c>
      <c r="H13" t="inlineStr">
        <is>
          <t>Table 75</t>
        </is>
      </c>
    </row>
    <row r="14">
      <c r="A14" s="22" t="inlineStr">
        <is>
          <t>LTV (%)</t>
        </is>
      </c>
      <c r="B14" s="22" t="inlineStr">
        <is>
          <t>FF Multiplier</t>
        </is>
      </c>
      <c r="C14" s="22" t="inlineStr">
        <is>
          <t>Note</t>
        </is>
      </c>
      <c r="F14" t="inlineStr">
        <is>
          <t>Commercial/Mixed Property LS Adj</t>
        </is>
      </c>
      <c r="G14" t="inlineStr">
        <is>
          <t>1.15x</t>
        </is>
      </c>
      <c r="H14" t="inlineStr">
        <is>
          <t>MVD adjustment</t>
        </is>
      </c>
    </row>
    <row r="15">
      <c r="A15" s="24" t="n">
        <v>0</v>
      </c>
      <c r="B15" s="25" t="n">
        <v>0.1</v>
      </c>
      <c r="C15" t="inlineStr">
        <is>
          <t>Very low risk</t>
        </is>
      </c>
    </row>
    <row r="16">
      <c r="A16" s="24" t="n">
        <v>0.2</v>
      </c>
      <c r="B16" s="25" t="n">
        <v>0.2</v>
      </c>
    </row>
    <row r="17">
      <c r="A17" s="24" t="n">
        <v>0.3</v>
      </c>
      <c r="B17" s="25" t="n">
        <v>0.3</v>
      </c>
      <c r="F17" s="21" t="inlineStr">
        <is>
          <t>JUMBO VALUATION THRESHOLDS</t>
        </is>
      </c>
    </row>
    <row r="18">
      <c r="A18" s="24" t="n">
        <v>0.4</v>
      </c>
      <c r="B18" s="25" t="n">
        <v>0.45</v>
      </c>
      <c r="F18" s="22" t="inlineStr">
        <is>
          <t>Region</t>
        </is>
      </c>
      <c r="G18" s="22" t="inlineStr">
        <is>
          <t>Threshold</t>
        </is>
      </c>
      <c r="H18" s="22" t="inlineStr">
        <is>
          <t>Adj on Excess</t>
        </is>
      </c>
    </row>
    <row r="19">
      <c r="A19" s="24" t="n">
        <v>0.5</v>
      </c>
      <c r="B19" s="25" t="n">
        <v>0.65</v>
      </c>
      <c r="F19" t="inlineStr">
        <is>
          <t>North</t>
        </is>
      </c>
      <c r="G19" s="26" t="n">
        <v>525000</v>
      </c>
      <c r="H19" t="inlineStr">
        <is>
          <t>20%</t>
        </is>
      </c>
    </row>
    <row r="20">
      <c r="A20" s="24" t="n">
        <v>0.6</v>
      </c>
      <c r="B20" s="25" t="n">
        <v>0.9</v>
      </c>
      <c r="F20" t="inlineStr">
        <is>
          <t>South (ex London)</t>
        </is>
      </c>
      <c r="G20" s="26" t="n">
        <v>900000</v>
      </c>
      <c r="H20" t="inlineStr">
        <is>
          <t>20%</t>
        </is>
      </c>
    </row>
    <row r="21">
      <c r="A21" s="24" t="n">
        <v>0.7</v>
      </c>
      <c r="B21" s="25" t="n">
        <v>1</v>
      </c>
      <c r="C21" t="inlineStr">
        <is>
          <t>Archetypal reference</t>
        </is>
      </c>
      <c r="F21" t="inlineStr">
        <is>
          <t>Greater London</t>
        </is>
      </c>
      <c r="G21" s="26" t="n">
        <v>1635000</v>
      </c>
      <c r="H21" t="inlineStr">
        <is>
          <t>20%</t>
        </is>
      </c>
    </row>
    <row r="22">
      <c r="A22" s="24" t="n">
        <v>0.75</v>
      </c>
      <c r="B22" s="25" t="n">
        <v>1.15</v>
      </c>
    </row>
    <row r="23">
      <c r="A23" s="24" t="n">
        <v>0.8</v>
      </c>
      <c r="B23" s="25" t="n">
        <v>1.35</v>
      </c>
    </row>
    <row r="24">
      <c r="A24" s="24" t="n">
        <v>0.85</v>
      </c>
      <c r="B24" s="25" t="n">
        <v>1.7</v>
      </c>
      <c r="F24" s="21" t="inlineStr">
        <is>
          <t>GEOGRAPHIC CONCENTRATION THRESHOLDS</t>
        </is>
      </c>
    </row>
    <row r="25">
      <c r="A25" s="24" t="n">
        <v>0.9</v>
      </c>
      <c r="B25" s="25" t="n">
        <v>2.15</v>
      </c>
      <c r="F25" s="22" t="inlineStr">
        <is>
          <t>Region</t>
        </is>
      </c>
      <c r="G25" s="22" t="inlineStr">
        <is>
          <t>Threshold %</t>
        </is>
      </c>
    </row>
    <row r="26">
      <c r="A26" s="24" t="n">
        <v>0.95</v>
      </c>
      <c r="B26" s="25" t="n">
        <v>2.75</v>
      </c>
      <c r="F26" t="inlineStr">
        <is>
          <t>East Midlands</t>
        </is>
      </c>
      <c r="G26" s="24" t="n">
        <v>0.14</v>
      </c>
    </row>
    <row r="27">
      <c r="A27" s="24" t="n">
        <v>1</v>
      </c>
      <c r="B27" s="25" t="n">
        <v>3.5</v>
      </c>
      <c r="F27" t="inlineStr">
        <is>
          <t>North</t>
        </is>
      </c>
      <c r="G27" s="24" t="n">
        <v>0.09</v>
      </c>
    </row>
    <row r="28">
      <c r="A28" s="24" t="n">
        <v>1.05</v>
      </c>
      <c r="B28" s="25" t="n">
        <v>4.1</v>
      </c>
      <c r="F28" t="inlineStr">
        <is>
          <t>North West</t>
        </is>
      </c>
      <c r="G28" s="24" t="n">
        <v>0.23</v>
      </c>
    </row>
    <row r="29">
      <c r="A29" s="24" t="n">
        <v>1.1</v>
      </c>
      <c r="B29" s="25" t="n">
        <v>4.5</v>
      </c>
      <c r="F29" t="inlineStr">
        <is>
          <t>Northern Ireland</t>
        </is>
      </c>
      <c r="G29" s="24" t="n">
        <v>0.06</v>
      </c>
    </row>
    <row r="30">
      <c r="A30" s="24" t="n">
        <v>1.2</v>
      </c>
      <c r="B30" s="25" t="n">
        <v>4.8</v>
      </c>
      <c r="F30" t="inlineStr">
        <is>
          <t>Scotland</t>
        </is>
      </c>
      <c r="G30" s="24" t="n">
        <v>0.17</v>
      </c>
    </row>
    <row r="31">
      <c r="A31" s="24" t="n">
        <v>1.5</v>
      </c>
      <c r="B31" s="25" t="n">
        <v>5</v>
      </c>
      <c r="C31" t="inlineStr">
        <is>
          <t>Maximum</t>
        </is>
      </c>
      <c r="F31" t="inlineStr">
        <is>
          <t>Wales</t>
        </is>
      </c>
      <c r="G31" s="24" t="n">
        <v>0.1</v>
      </c>
    </row>
    <row r="32">
      <c r="F32" t="inlineStr">
        <is>
          <t>West Midlands</t>
        </is>
      </c>
      <c r="G32" s="24" t="n">
        <v>0.18</v>
      </c>
    </row>
    <row r="33">
      <c r="F33" t="inlineStr">
        <is>
          <t>Yorks and Humber</t>
        </is>
      </c>
      <c r="G33" s="24" t="n">
        <v>0.17</v>
      </c>
    </row>
    <row r="34">
      <c r="A34" s="21" t="inlineStr">
        <is>
          <t>ORIGINATOR ADJUSTMENT RANGE</t>
        </is>
      </c>
      <c r="F34" t="inlineStr">
        <is>
          <t>East Anglia</t>
        </is>
      </c>
      <c r="G34" s="24" t="n">
        <v>0.18</v>
      </c>
    </row>
    <row r="35">
      <c r="A35" s="22" t="inlineStr">
        <is>
          <t>Type</t>
        </is>
      </c>
      <c r="B35" s="22" t="inlineStr">
        <is>
          <t>Min</t>
        </is>
      </c>
      <c r="C35" s="22" t="inlineStr">
        <is>
          <t>Max</t>
        </is>
      </c>
      <c r="F35" t="inlineStr">
        <is>
          <t>South East</t>
        </is>
      </c>
      <c r="G35" s="24" t="n">
        <v>0.26</v>
      </c>
    </row>
    <row r="36">
      <c r="A36" t="inlineStr">
        <is>
          <t>Typical Range</t>
        </is>
      </c>
      <c r="B36" s="25" t="n">
        <v>0.7</v>
      </c>
      <c r="C36" s="25" t="n">
        <v>1.3</v>
      </c>
      <c r="F36" t="inlineStr">
        <is>
          <t>Greater London</t>
        </is>
      </c>
      <c r="G36" s="24" t="n">
        <v>0.26</v>
      </c>
    </row>
    <row r="37">
      <c r="F37" t="inlineStr">
        <is>
          <t>South West</t>
        </is>
      </c>
      <c r="G37" s="24" t="n">
        <v>0.17</v>
      </c>
    </row>
    <row r="39">
      <c r="A39" s="21" t="inlineStr">
        <is>
          <t>FF ADJUSTMENT FACTORS</t>
        </is>
      </c>
    </row>
    <row r="40">
      <c r="A40" s="22" t="inlineStr">
        <is>
          <t>Factor</t>
        </is>
      </c>
      <c r="B40" s="22" t="inlineStr">
        <is>
          <t>Condition</t>
        </is>
      </c>
      <c r="C40" s="22" t="inlineStr">
        <is>
          <t>Multiplier</t>
        </is>
      </c>
      <c r="D40" s="22" t="inlineStr">
        <is>
          <t>Source</t>
        </is>
      </c>
    </row>
    <row r="41">
      <c r="A41" t="inlineStr">
        <is>
          <t>Income Multiple (Single)</t>
        </is>
      </c>
      <c r="B41" t="inlineStr">
        <is>
          <t>&gt;5x</t>
        </is>
      </c>
      <c r="C41" s="25" t="n">
        <v>1.5</v>
      </c>
      <c r="D41" t="inlineStr">
        <is>
          <t>Table 73</t>
        </is>
      </c>
      <c r="F41" s="21" t="inlineStr">
        <is>
          <t>RATING STRESS MULTIPLES (CE Calculation)</t>
        </is>
      </c>
    </row>
    <row r="42">
      <c r="A42" t="inlineStr">
        <is>
          <t>Income Multiple (Single)</t>
        </is>
      </c>
      <c r="B42" t="inlineStr">
        <is>
          <t>&gt;3.5x and &lt;=5x</t>
        </is>
      </c>
      <c r="C42" s="25" t="n">
        <v>1.2</v>
      </c>
      <c r="D42" t="inlineStr">
        <is>
          <t>Table 73</t>
        </is>
      </c>
      <c r="F42" s="22" t="inlineStr">
        <is>
          <t>Rating</t>
        </is>
      </c>
      <c r="G42" s="22" t="inlineStr">
        <is>
          <t>Stress Multiple</t>
        </is>
      </c>
    </row>
    <row r="43">
      <c r="A43" t="inlineStr">
        <is>
          <t>Income Multiple (Joint)</t>
        </is>
      </c>
      <c r="B43" t="inlineStr">
        <is>
          <t>&gt;3.25x</t>
        </is>
      </c>
      <c r="C43" s="25" t="n">
        <v>1.5</v>
      </c>
      <c r="D43" t="inlineStr">
        <is>
          <t>Table 73</t>
        </is>
      </c>
      <c r="F43" t="inlineStr">
        <is>
          <t>AAA</t>
        </is>
      </c>
      <c r="G43" s="27" t="n">
        <v>14</v>
      </c>
    </row>
    <row r="44">
      <c r="A44" t="inlineStr">
        <is>
          <t>Income Multiple (Joint)</t>
        </is>
      </c>
      <c r="B44" t="inlineStr">
        <is>
          <t>&gt;2.75x and &lt;=3.25x</t>
        </is>
      </c>
      <c r="C44" s="25" t="n">
        <v>1.2</v>
      </c>
      <c r="D44" t="inlineStr">
        <is>
          <t>Table 73</t>
        </is>
      </c>
      <c r="F44" t="inlineStr">
        <is>
          <t>AA+</t>
        </is>
      </c>
      <c r="G44" s="27" t="n">
        <v>12</v>
      </c>
    </row>
    <row r="45">
      <c r="A45" t="inlineStr">
        <is>
          <t>BTL DSCR</t>
        </is>
      </c>
      <c r="B45" t="inlineStr">
        <is>
          <t>&gt;135%</t>
        </is>
      </c>
      <c r="C45" s="25" t="n">
        <v>1.25</v>
      </c>
      <c r="D45" t="inlineStr">
        <is>
          <t>Table 73</t>
        </is>
      </c>
      <c r="F45" t="inlineStr">
        <is>
          <t>AA</t>
        </is>
      </c>
      <c r="G45" s="27" t="n">
        <v>10.5</v>
      </c>
    </row>
    <row r="46">
      <c r="A46" t="inlineStr">
        <is>
          <t>BTL DSCR</t>
        </is>
      </c>
      <c r="B46" t="inlineStr">
        <is>
          <t>&lt;=120%-135%</t>
        </is>
      </c>
      <c r="C46" s="25" t="n">
        <v>1.35</v>
      </c>
      <c r="D46" t="inlineStr">
        <is>
          <t>Table 73</t>
        </is>
      </c>
      <c r="F46" t="inlineStr">
        <is>
          <t>AA-</t>
        </is>
      </c>
      <c r="G46" s="27" t="n">
        <v>9</v>
      </c>
    </row>
    <row r="47">
      <c r="A47" t="inlineStr">
        <is>
          <t>BTL DSCR</t>
        </is>
      </c>
      <c r="B47" t="inlineStr">
        <is>
          <t>&lt;=100%-120%</t>
        </is>
      </c>
      <c r="C47" s="25" t="n">
        <v>1.45</v>
      </c>
      <c r="D47" t="inlineStr">
        <is>
          <t>Table 73</t>
        </is>
      </c>
      <c r="F47" t="inlineStr">
        <is>
          <t>A+</t>
        </is>
      </c>
      <c r="G47" s="27" t="n">
        <v>7.5</v>
      </c>
    </row>
    <row r="48">
      <c r="A48" t="inlineStr">
        <is>
          <t>BTL DSCR</t>
        </is>
      </c>
      <c r="B48" t="inlineStr">
        <is>
          <t>&lt;100%</t>
        </is>
      </c>
      <c r="C48" s="25" t="n">
        <v>1.55</v>
      </c>
      <c r="D48" t="inlineStr">
        <is>
          <t>Table 73</t>
        </is>
      </c>
      <c r="F48" t="inlineStr">
        <is>
          <t>A</t>
        </is>
      </c>
      <c r="G48" s="27" t="n">
        <v>6.5</v>
      </c>
    </row>
    <row r="49">
      <c r="A49" t="inlineStr">
        <is>
          <t>BTL No DSCR Data</t>
        </is>
      </c>
      <c r="B49" t="inlineStr">
        <is>
          <t>N/A</t>
        </is>
      </c>
      <c r="C49" s="25" t="n">
        <v>1.7</v>
      </c>
      <c r="D49" t="inlineStr">
        <is>
          <t>Table 73</t>
        </is>
      </c>
      <c r="F49" t="inlineStr">
        <is>
          <t>A-</t>
        </is>
      </c>
      <c r="G49" s="27" t="n">
        <v>5.5</v>
      </c>
    </row>
    <row r="50">
      <c r="A50" t="inlineStr">
        <is>
          <t>Second Lien (Low Risk)</t>
        </is>
      </c>
      <c r="B50" t="inlineStr">
        <is>
          <t>No risk layering</t>
        </is>
      </c>
      <c r="C50" s="25" t="n">
        <v>1.3</v>
      </c>
      <c r="D50" t="inlineStr">
        <is>
          <t>Table 73</t>
        </is>
      </c>
      <c r="F50" t="inlineStr">
        <is>
          <t>BBB+</t>
        </is>
      </c>
      <c r="G50" s="27" t="n">
        <v>4.5</v>
      </c>
    </row>
    <row r="51">
      <c r="A51" t="inlineStr">
        <is>
          <t>Second Lien (Medium Risk)</t>
        </is>
      </c>
      <c r="B51" t="inlineStr">
        <is>
          <t>Risk layering</t>
        </is>
      </c>
      <c r="C51" s="25" t="n">
        <v>1.5</v>
      </c>
      <c r="D51" t="inlineStr">
        <is>
          <t>Table 73</t>
        </is>
      </c>
      <c r="F51" t="inlineStr">
        <is>
          <t>BBB</t>
        </is>
      </c>
      <c r="G51" s="27" t="n">
        <v>4</v>
      </c>
    </row>
    <row r="52">
      <c r="A52" t="inlineStr">
        <is>
          <t>Second Lien (High Risk)</t>
        </is>
      </c>
      <c r="B52" t="inlineStr">
        <is>
          <t>Insufficient data</t>
        </is>
      </c>
      <c r="C52" s="25" t="n">
        <v>1.7</v>
      </c>
      <c r="D52" t="inlineStr">
        <is>
          <t>Table 73</t>
        </is>
      </c>
      <c r="F52" t="inlineStr">
        <is>
          <t>BBB-</t>
        </is>
      </c>
      <c r="G52" s="27" t="n">
        <v>3.5</v>
      </c>
    </row>
    <row r="53">
      <c r="A53" t="inlineStr">
        <is>
          <t>Subsequent Lien</t>
        </is>
      </c>
      <c r="B53" t="inlineStr">
        <is>
          <t>Third+</t>
        </is>
      </c>
      <c r="C53" s="25" t="n">
        <v>1.7</v>
      </c>
      <c r="D53" t="inlineStr">
        <is>
          <t>Table 73</t>
        </is>
      </c>
    </row>
    <row r="54">
      <c r="A54" t="inlineStr">
        <is>
          <t>Loan Purpose - Cash Out</t>
        </is>
      </c>
      <c r="B54" t="inlineStr">
        <is>
          <t>Debt consolidation/equity release</t>
        </is>
      </c>
      <c r="C54" s="25" t="n">
        <v>1.2</v>
      </c>
      <c r="D54" t="inlineStr">
        <is>
          <t>Table 73</t>
        </is>
      </c>
    </row>
    <row r="55">
      <c r="A55" t="inlineStr">
        <is>
          <t>Arrears</t>
        </is>
      </c>
      <c r="B55" t="inlineStr">
        <is>
          <t>30-59 days</t>
        </is>
      </c>
      <c r="C55" s="25" t="n">
        <v>2.5</v>
      </c>
      <c r="D55" t="inlineStr">
        <is>
          <t>Table 73</t>
        </is>
      </c>
    </row>
    <row r="56">
      <c r="A56" t="inlineStr">
        <is>
          <t>Arrears</t>
        </is>
      </c>
      <c r="B56" t="inlineStr">
        <is>
          <t>60-89 days</t>
        </is>
      </c>
      <c r="C56" s="25" t="n">
        <v>5</v>
      </c>
      <c r="D56" t="inlineStr">
        <is>
          <t>Table 73</t>
        </is>
      </c>
    </row>
    <row r="57">
      <c r="A57" t="inlineStr">
        <is>
          <t>Arrears</t>
        </is>
      </c>
      <c r="B57" t="inlineStr">
        <is>
          <t>90+ days</t>
        </is>
      </c>
      <c r="C57" s="25" t="n">
        <v>100</v>
      </c>
      <c r="D57" t="inlineStr">
        <is>
          <t>Table 73 (100% FF)</t>
        </is>
      </c>
    </row>
    <row r="58">
      <c r="A58" t="inlineStr">
        <is>
          <t>Seasoning</t>
        </is>
      </c>
      <c r="B58" t="inlineStr">
        <is>
          <t>&gt;5 and &lt;=6 years</t>
        </is>
      </c>
      <c r="C58" s="25" t="n">
        <v>0.75</v>
      </c>
      <c r="D58" t="inlineStr">
        <is>
          <t>Table 73</t>
        </is>
      </c>
    </row>
    <row r="59">
      <c r="A59" t="inlineStr">
        <is>
          <t>Seasoning</t>
        </is>
      </c>
      <c r="B59" t="inlineStr">
        <is>
          <t>&gt;6 and &lt;=7 years</t>
        </is>
      </c>
      <c r="C59" s="25" t="n">
        <v>0.7</v>
      </c>
      <c r="D59" t="inlineStr">
        <is>
          <t>Table 73</t>
        </is>
      </c>
    </row>
    <row r="60">
      <c r="A60" t="inlineStr">
        <is>
          <t>Seasoning</t>
        </is>
      </c>
      <c r="B60" t="inlineStr">
        <is>
          <t>&gt;7 and &lt;=8 years</t>
        </is>
      </c>
      <c r="C60" s="25" t="n">
        <v>0.65</v>
      </c>
      <c r="D60" t="inlineStr">
        <is>
          <t>Table 73</t>
        </is>
      </c>
    </row>
    <row r="61">
      <c r="A61" t="inlineStr">
        <is>
          <t>Seasoning</t>
        </is>
      </c>
      <c r="B61" t="inlineStr">
        <is>
          <t>&gt;8 and &lt;=9 years</t>
        </is>
      </c>
      <c r="C61" s="25" t="n">
        <v>0.6</v>
      </c>
      <c r="D61" t="inlineStr">
        <is>
          <t>Table 73</t>
        </is>
      </c>
    </row>
    <row r="62">
      <c r="A62" t="inlineStr">
        <is>
          <t>Seasoning</t>
        </is>
      </c>
      <c r="B62" t="inlineStr">
        <is>
          <t>&gt;9 and &lt;=10 years</t>
        </is>
      </c>
      <c r="C62" s="25" t="n">
        <v>0.55</v>
      </c>
      <c r="D62" t="inlineStr">
        <is>
          <t>Table 73</t>
        </is>
      </c>
    </row>
    <row r="63">
      <c r="A63" t="inlineStr">
        <is>
          <t>Seasoning</t>
        </is>
      </c>
      <c r="B63" t="inlineStr">
        <is>
          <t>&gt;10 years</t>
        </is>
      </c>
      <c r="C63" s="25" t="n">
        <v>0.5</v>
      </c>
      <c r="D63" t="inlineStr">
        <is>
          <t>Table 73</t>
        </is>
      </c>
    </row>
    <row r="64">
      <c r="A64" t="inlineStr">
        <is>
          <t>First Time Buyer</t>
        </is>
      </c>
      <c r="B64" t="inlineStr">
        <is>
          <t>&lt;= 18 months seasoning</t>
        </is>
      </c>
      <c r="C64" s="25" t="n">
        <v>1.1</v>
      </c>
      <c r="D64" t="inlineStr">
        <is>
          <t>Table 73</t>
        </is>
      </c>
    </row>
    <row r="65">
      <c r="A65" t="inlineStr">
        <is>
          <t>Help to Buy</t>
        </is>
      </c>
      <c r="B65" t="inlineStr">
        <is>
          <t>All HTB loans</t>
        </is>
      </c>
      <c r="C65" s="25" t="n">
        <v>1.35</v>
      </c>
      <c r="D65" t="inlineStr">
        <is>
          <t>Table 73</t>
        </is>
      </c>
    </row>
    <row r="66">
      <c r="A66" t="inlineStr">
        <is>
          <t>Self-Certification</t>
        </is>
      </c>
      <c r="B66" t="inlineStr">
        <is>
          <t>Base (reduces with seasoning)</t>
        </is>
      </c>
      <c r="C66" s="25" t="n">
        <v>1.5</v>
      </c>
      <c r="D66" t="inlineStr">
        <is>
          <t>Table 73</t>
        </is>
      </c>
    </row>
    <row r="67">
      <c r="A67" t="inlineStr">
        <is>
          <t>Payment Shock</t>
        </is>
      </c>
      <c r="B67" t="inlineStr">
        <is>
          <t>Discount/fixed-float/float-revert</t>
        </is>
      </c>
      <c r="C67" s="25" t="n">
        <v>1.1</v>
      </c>
      <c r="D67" t="inlineStr">
        <is>
          <t>Table 73 (1.1x-1.2x)</t>
        </is>
      </c>
    </row>
    <row r="68">
      <c r="A68" t="inlineStr">
        <is>
          <t>Interest Only</t>
        </is>
      </c>
      <c r="B68" t="inlineStr">
        <is>
          <t>Maturity &gt;25 years</t>
        </is>
      </c>
      <c r="C68" s="25" t="n">
        <v>1.1</v>
      </c>
      <c r="D68" t="inlineStr">
        <is>
          <t>Table 73</t>
        </is>
      </c>
    </row>
    <row r="69">
      <c r="A69" t="inlineStr">
        <is>
          <t>Interest Only</t>
        </is>
      </c>
      <c r="B69" t="inlineStr">
        <is>
          <t>Maturity &gt;=15-25 years</t>
        </is>
      </c>
      <c r="C69" s="25" t="n">
        <v>1.2</v>
      </c>
      <c r="D69" t="inlineStr">
        <is>
          <t>Table 73</t>
        </is>
      </c>
    </row>
    <row r="70">
      <c r="A70" t="inlineStr">
        <is>
          <t>Interest Only</t>
        </is>
      </c>
      <c r="B70" t="inlineStr">
        <is>
          <t>Maturity &gt;=5-15 years</t>
        </is>
      </c>
      <c r="C70" s="25" t="n">
        <v>1.25</v>
      </c>
      <c r="D70" t="inlineStr">
        <is>
          <t>Table 73</t>
        </is>
      </c>
    </row>
    <row r="71">
      <c r="A71" t="inlineStr">
        <is>
          <t>Interest Only</t>
        </is>
      </c>
      <c r="B71" t="inlineStr">
        <is>
          <t>Maturity 0-5 years</t>
        </is>
      </c>
      <c r="C71" s="25" t="n">
        <v>1.25</v>
      </c>
      <c r="D71" t="inlineStr">
        <is>
          <t>Table 73 (min)</t>
        </is>
      </c>
    </row>
    <row r="72">
      <c r="A72" t="inlineStr">
        <is>
          <t>Geographic Concentration</t>
        </is>
      </c>
      <c r="B72" t="inlineStr">
        <is>
          <t>Above threshold</t>
        </is>
      </c>
      <c r="C72" s="25" t="n">
        <v>1.2</v>
      </c>
      <c r="D72" t="inlineStr">
        <is>
          <t>Table 73</t>
        </is>
      </c>
    </row>
    <row r="73">
      <c r="A73" t="inlineStr">
        <is>
          <t>Commercial/Mixed Use</t>
        </is>
      </c>
      <c r="B73" t="inlineStr">
        <is>
          <t>Commercial property</t>
        </is>
      </c>
      <c r="C73" s="25" t="n">
        <v>1.7</v>
      </c>
      <c r="D73" t="inlineStr">
        <is>
          <t>Table 73 (1.7x-2.0x)</t>
        </is>
      </c>
    </row>
    <row r="74">
      <c r="A74" t="inlineStr">
        <is>
          <t>Commercial Borrower</t>
        </is>
      </c>
      <c r="B74" t="inlineStr">
        <is>
          <t>No personal guarantee</t>
        </is>
      </c>
      <c r="C74" s="25" t="n">
        <v>2</v>
      </c>
      <c r="D74" t="inlineStr">
        <is>
          <t>Table 73</t>
        </is>
      </c>
    </row>
    <row r="75">
      <c r="A75" t="inlineStr">
        <is>
          <t>Residential Bridging</t>
        </is>
      </c>
      <c r="B75" t="inlineStr">
        <is>
          <t>Bridging loan</t>
        </is>
      </c>
      <c r="C75" s="25" t="n">
        <v>2</v>
      </c>
      <c r="D75" t="inlineStr">
        <is>
          <t>Table 73</t>
        </is>
      </c>
    </row>
    <row r="76">
      <c r="A76" t="inlineStr">
        <is>
          <t>Self-Employed</t>
        </is>
      </c>
      <c r="B76" t="inlineStr">
        <is>
          <t>Self-employed borrower</t>
        </is>
      </c>
      <c r="C76" s="25" t="n">
        <v>1.15</v>
      </c>
      <c r="D76" t="inlineStr">
        <is>
          <t>Table 73</t>
        </is>
      </c>
    </row>
    <row r="77">
      <c r="A77" t="inlineStr">
        <is>
          <t>Reperforming</t>
        </is>
      </c>
      <c r="B77" t="inlineStr">
        <is>
          <t>&lt;=12 months since 90+dpd</t>
        </is>
      </c>
      <c r="C77" s="25" t="n">
        <v>2</v>
      </c>
      <c r="D77" t="inlineStr">
        <is>
          <t>Table 73</t>
        </is>
      </c>
    </row>
    <row r="78">
      <c r="A78" t="inlineStr">
        <is>
          <t>Reperforming</t>
        </is>
      </c>
      <c r="B78" t="inlineStr">
        <is>
          <t>&gt;12&lt;=24 months since 90+dpd</t>
        </is>
      </c>
      <c r="C78" s="25" t="n">
        <v>1.5</v>
      </c>
      <c r="D78" t="inlineStr">
        <is>
          <t>Table 73</t>
        </is>
      </c>
    </row>
    <row r="79">
      <c r="A79" t="inlineStr">
        <is>
          <t>Reperforming</t>
        </is>
      </c>
      <c r="B79" t="inlineStr">
        <is>
          <t>&gt;24&lt;=36 months since 90+dpd</t>
        </is>
      </c>
      <c r="C79" s="25" t="n">
        <v>1.2</v>
      </c>
      <c r="D79" t="inlineStr">
        <is>
          <t>Table 73</t>
        </is>
      </c>
    </row>
    <row r="82">
      <c r="A82" s="21" t="inlineStr">
        <is>
          <t>CCJ ADJUSTMENT FACTORS (Table 74)</t>
        </is>
      </c>
    </row>
    <row r="83">
      <c r="A83" s="22" t="inlineStr">
        <is>
          <t>Number of CCJs</t>
        </is>
      </c>
      <c r="B83" s="22" t="inlineStr">
        <is>
          <t>Less than 1 year old</t>
        </is>
      </c>
      <c r="C83" s="22" t="inlineStr">
        <is>
          <t>At least 1 year old</t>
        </is>
      </c>
    </row>
    <row r="84">
      <c r="A84" t="n">
        <v>1</v>
      </c>
      <c r="B84" s="25" t="n">
        <v>1.1</v>
      </c>
      <c r="C84" s="25" t="n">
        <v>1.075</v>
      </c>
    </row>
    <row r="85">
      <c r="A85" t="n">
        <v>2</v>
      </c>
      <c r="B85" s="25" t="n">
        <v>1.5</v>
      </c>
      <c r="C85" s="25" t="n">
        <v>1.375</v>
      </c>
    </row>
    <row r="86">
      <c r="A86" t="n">
        <v>3</v>
      </c>
      <c r="B86" s="25" t="n">
        <v>2.5</v>
      </c>
      <c r="C86" s="25" t="n">
        <v>2.125</v>
      </c>
    </row>
    <row r="87">
      <c r="A87" t="n">
        <v>4</v>
      </c>
      <c r="B87" s="25" t="n">
        <v>3.8</v>
      </c>
      <c r="C87" s="25" t="n">
        <v>3.1</v>
      </c>
    </row>
    <row r="88">
      <c r="A88" t="inlineStr">
        <is>
          <t>5+</t>
        </is>
      </c>
      <c r="B88" s="25" t="n">
        <v>4</v>
      </c>
      <c r="C88" s="25" t="n">
        <v>3.25</v>
      </c>
    </row>
  </sheetData>
  <mergeCells count="10">
    <mergeCell ref="A82:C82"/>
    <mergeCell ref="A13:C13"/>
    <mergeCell ref="F24:G24"/>
    <mergeCell ref="A1:F1"/>
    <mergeCell ref="A39:D39"/>
    <mergeCell ref="A3:C3"/>
    <mergeCell ref="F17:H17"/>
    <mergeCell ref="A34:C34"/>
    <mergeCell ref="F3:H3"/>
    <mergeCell ref="F41:G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5" customWidth="1" min="3" max="3"/>
  </cols>
  <sheetData>
    <row r="1">
      <c r="A1" s="20" t="inlineStr">
        <is>
          <t>S&amp;P WAFF/WALS MODEL DOCUMENTATION</t>
        </is>
      </c>
    </row>
    <row r="3">
      <c r="A3" s="47" t="inlineStr">
        <is>
          <t>MODEL OVERVIEW</t>
        </is>
      </c>
    </row>
    <row r="4">
      <c r="A4" s="48" t="inlineStr">
        <is>
          <t>Purpose</t>
        </is>
      </c>
      <c r="B4" s="49" t="inlineStr">
        <is>
          <t>Implements S&amp;P Global Ratings' UK RMBS WAFF/WALS methodology with full criteria compliance</t>
        </is>
      </c>
    </row>
    <row r="5">
      <c r="A5" s="50" t="inlineStr">
        <is>
          <t>Source</t>
        </is>
      </c>
      <c r="B5" s="51" t="inlineStr">
        <is>
          <t>S&amp;P 'Global Methodology - Assessing Pools Of Residential Loans--Europe Supplement' (Apr 2024)</t>
        </is>
      </c>
    </row>
    <row r="6">
      <c r="A6" s="47" t="inlineStr"/>
    </row>
    <row r="7">
      <c r="A7" s="47" t="inlineStr">
        <is>
          <t>KEY FEATURES</t>
        </is>
      </c>
    </row>
    <row r="8">
      <c r="A8" t="inlineStr"/>
      <c r="B8" s="51" t="inlineStr">
        <is>
          <t>• Complete implementation of UK-specific adjustments per S&amp;P Table 73</t>
        </is>
      </c>
    </row>
    <row r="9">
      <c r="A9" t="inlineStr"/>
      <c r="B9" s="51" t="inlineStr">
        <is>
          <t>• Dynamic formulas capturing all interdependencies</t>
        </is>
      </c>
    </row>
    <row r="10">
      <c r="A10" t="inlineStr"/>
      <c r="B10" s="51" t="inlineStr">
        <is>
          <t>• Bank of England loan tape format compatibility</t>
        </is>
      </c>
    </row>
    <row r="11">
      <c r="A11" t="inlineStr"/>
      <c r="B11" s="51" t="inlineStr">
        <is>
          <t>• Automated credit enhancement calculation by rating</t>
        </is>
      </c>
    </row>
    <row r="12">
      <c r="A12" s="47" t="inlineStr"/>
    </row>
    <row r="13">
      <c r="A13" s="47" t="inlineStr">
        <is>
          <t>FORECLOSURE FREQUENCY</t>
        </is>
      </c>
    </row>
    <row r="14">
      <c r="A14" s="48" t="inlineStr">
        <is>
          <t>Base Calculation</t>
        </is>
      </c>
      <c r="B14" s="49" t="inlineStr">
        <is>
          <t>Starts with rating-level anchor (AAA = 12% for UK)</t>
        </is>
      </c>
    </row>
    <row r="15">
      <c r="A15" s="50" t="inlineStr">
        <is>
          <t>S&amp;P LTV</t>
        </is>
      </c>
      <c r="B15" s="51" t="inlineStr">
        <is>
          <t>Weighted: 80% Original LTV + 20% Current LTV</t>
        </is>
      </c>
    </row>
    <row r="16">
      <c r="A16" s="48" t="inlineStr">
        <is>
          <t>LTV Curve</t>
        </is>
      </c>
      <c r="B16" s="49" t="inlineStr">
        <is>
          <t>Type 2 Full Recourse curve applied as multiplier</t>
        </is>
      </c>
    </row>
    <row r="17">
      <c r="A17" s="47" t="inlineStr"/>
    </row>
    <row r="18">
      <c r="A18" s="47" t="inlineStr">
        <is>
          <t>ADJUSTMENT FACTORS</t>
        </is>
      </c>
    </row>
    <row r="19">
      <c r="A19" s="50" t="inlineStr">
        <is>
          <t>Income Multiple</t>
        </is>
      </c>
      <c r="B19" s="51" t="inlineStr">
        <is>
          <t>1.2x - 1.5x for high debt-to-income</t>
        </is>
      </c>
    </row>
    <row r="20">
      <c r="A20" s="48" t="inlineStr">
        <is>
          <t>BTL/DSCR</t>
        </is>
      </c>
      <c r="B20" s="49" t="inlineStr">
        <is>
          <t>1.25x - 1.70x based on rental coverage</t>
        </is>
      </c>
    </row>
    <row r="21">
      <c r="A21" s="50" t="inlineStr">
        <is>
          <t>Arrears</t>
        </is>
      </c>
      <c r="B21" s="51" t="inlineStr">
        <is>
          <t>2.5x - 100% (90+ days = 100% FF)</t>
        </is>
      </c>
    </row>
    <row r="22">
      <c r="A22" s="48" t="inlineStr">
        <is>
          <t>Seasoning</t>
        </is>
      </c>
      <c r="B22" s="49" t="inlineStr">
        <is>
          <t>0.50x - 0.75x benefit for aged loans (if performing)</t>
        </is>
      </c>
    </row>
    <row r="23">
      <c r="A23" s="50" t="inlineStr">
        <is>
          <t>CCJ</t>
        </is>
      </c>
      <c r="B23" s="51" t="inlineStr">
        <is>
          <t>1.075x - 4.0x based on count, recency, amount</t>
        </is>
      </c>
    </row>
    <row r="24">
      <c r="A24" s="48" t="inlineStr">
        <is>
          <t>Help to Buy</t>
        </is>
      </c>
      <c r="B24" s="49" t="inlineStr">
        <is>
          <t>1.35x for shared equity schemes</t>
        </is>
      </c>
    </row>
    <row r="25">
      <c r="A25" s="50" t="inlineStr">
        <is>
          <t>Self-Certification</t>
        </is>
      </c>
      <c r="B25" s="51" t="inlineStr">
        <is>
          <t>1.5x reducing with seasoning</t>
        </is>
      </c>
    </row>
    <row r="26">
      <c r="A26" s="48" t="inlineStr">
        <is>
          <t>Interest Only</t>
        </is>
      </c>
      <c r="B26" s="49" t="inlineStr">
        <is>
          <t>1.1x - 1.25x based on maturity</t>
        </is>
      </c>
    </row>
    <row r="27">
      <c r="A27" s="47" t="inlineStr"/>
    </row>
    <row r="28">
      <c r="A28" s="47" t="inlineStr">
        <is>
          <t>LOSS SEVERITY</t>
        </is>
      </c>
    </row>
    <row r="29">
      <c r="A29" s="50" t="inlineStr">
        <is>
          <t>Base LS</t>
        </is>
      </c>
      <c r="B29" s="51" t="inlineStr">
        <is>
          <t>55% for UK</t>
        </is>
      </c>
    </row>
    <row r="30">
      <c r="A30" s="48" t="inlineStr">
        <is>
          <t>MVD</t>
        </is>
      </c>
      <c r="B30" s="49" t="inlineStr">
        <is>
          <t>Rating-specific market value decline (AAA = 45%)</t>
        </is>
      </c>
    </row>
    <row r="31">
      <c r="A31" s="50" t="inlineStr">
        <is>
          <t>Foreclosure Costs</t>
        </is>
      </c>
      <c r="B31" s="51" t="inlineStr">
        <is>
          <t>Fixed: £5k (senior) or £7k (subsequent) + 3% variable</t>
        </is>
      </c>
    </row>
    <row r="32">
      <c r="A32" s="48" t="inlineStr">
        <is>
          <t>Timeline</t>
        </is>
      </c>
      <c r="B32" s="49" t="inlineStr">
        <is>
          <t>18 months (owner-occ), 12 months (BTL E&amp;W), 21 months (sub lien)</t>
        </is>
      </c>
    </row>
    <row r="33">
      <c r="A33" s="50" t="inlineStr">
        <is>
          <t>Jumbo Adjustment</t>
        </is>
      </c>
      <c r="B33" s="51" t="inlineStr">
        <is>
          <t>20% haircut on excess above regional thresholds</t>
        </is>
      </c>
    </row>
    <row r="34">
      <c r="A34" s="47" t="inlineStr"/>
    </row>
    <row r="35">
      <c r="A35" s="47" t="inlineStr">
        <is>
          <t>POOL METRICS</t>
        </is>
      </c>
    </row>
    <row r="36">
      <c r="A36" s="48" t="inlineStr">
        <is>
          <t>WAFF</t>
        </is>
      </c>
      <c r="B36" s="49" t="inlineStr">
        <is>
          <t>Balance-weighted average of loan-level FFs</t>
        </is>
      </c>
    </row>
    <row r="37">
      <c r="A37" s="50" t="inlineStr">
        <is>
          <t>WALS</t>
        </is>
      </c>
      <c r="B37" s="51" t="inlineStr">
        <is>
          <t>Balance-weighted average of loan-level LSs</t>
        </is>
      </c>
    </row>
    <row r="38">
      <c r="A38" s="48" t="inlineStr">
        <is>
          <t>Expected Loss</t>
        </is>
      </c>
      <c r="B38" s="49" t="inlineStr">
        <is>
          <t>WAFF × WALS</t>
        </is>
      </c>
    </row>
    <row r="39">
      <c r="A39" s="47" t="inlineStr"/>
    </row>
    <row r="40">
      <c r="A40" s="47" t="inlineStr">
        <is>
          <t>CREDIT ENHANCEMENT</t>
        </is>
      </c>
    </row>
    <row r="41">
      <c r="A41" s="50" t="inlineStr">
        <is>
          <t>Formula</t>
        </is>
      </c>
      <c r="B41" s="51" t="inlineStr">
        <is>
          <t>CE = (Pool EL × Rating Stress Multiple) + 2% operational buffer</t>
        </is>
      </c>
    </row>
    <row r="42">
      <c r="A42" s="48" t="inlineStr">
        <is>
          <t>Stress Multiples</t>
        </is>
      </c>
      <c r="B42" s="49" t="inlineStr">
        <is>
          <t>3.5x (BBB-) to 14.0x (AAA)</t>
        </is>
      </c>
    </row>
    <row r="43">
      <c r="A43" s="47" t="inlineStr"/>
    </row>
    <row r="44">
      <c r="A44" s="47" t="inlineStr">
        <is>
          <t>USAGE</t>
        </is>
      </c>
    </row>
    <row r="45">
      <c r="A45" s="50" t="inlineStr">
        <is>
          <t>Step 1</t>
        </is>
      </c>
      <c r="B45" s="51" t="inlineStr">
        <is>
          <t>Input loan data in 'Loan Tape' sheet (Bank of England format)</t>
        </is>
      </c>
    </row>
    <row r="46">
      <c r="A46" s="48" t="inlineStr">
        <is>
          <t>Step 2</t>
        </is>
      </c>
      <c r="B46" s="49" t="inlineStr">
        <is>
          <t>Configure settings in 'Control Panel' (yellow cells)</t>
        </is>
      </c>
    </row>
    <row r="47">
      <c r="A47" s="50" t="inlineStr">
        <is>
          <t>Step 3</t>
        </is>
      </c>
      <c r="B47" s="51" t="inlineStr">
        <is>
          <t>Set originator adjustments in FF Calculations col I (orange cells)</t>
        </is>
      </c>
    </row>
    <row r="48">
      <c r="A48" s="48" t="inlineStr">
        <is>
          <t>Step 4</t>
        </is>
      </c>
      <c r="B48" s="49" t="inlineStr">
        <is>
          <t>Review Pool Summary for WAFF/WALS results</t>
        </is>
      </c>
    </row>
    <row r="49">
      <c r="A49" s="50" t="inlineStr">
        <is>
          <t>Step 5</t>
        </is>
      </c>
      <c r="B49" s="51" t="inlineStr">
        <is>
          <t>Check Rating CE sheet for enhancement by rating level</t>
        </is>
      </c>
    </row>
    <row r="50">
      <c r="A50" s="47" t="inlineStr"/>
    </row>
    <row r="51">
      <c r="A51" s="47" t="inlineStr">
        <is>
          <t>REFERENCES</t>
        </is>
      </c>
    </row>
    <row r="52">
      <c r="A52" s="48" t="inlineStr">
        <is>
          <t>Primary</t>
        </is>
      </c>
      <c r="B52" s="49" t="inlineStr">
        <is>
          <t>S&amp;P Global - Europe Supplement Tables 72-76</t>
        </is>
      </c>
    </row>
    <row r="53">
      <c r="A53" s="50" t="inlineStr">
        <is>
          <t>Secondary</t>
        </is>
      </c>
      <c r="B53" s="51" t="inlineStr">
        <is>
          <t>Bank of England PRA110 loan tape requirements</t>
        </is>
      </c>
    </row>
    <row r="54">
      <c r="A54" s="47" t="inlineStr"/>
    </row>
    <row r="55">
      <c r="A55" s="47" t="inlineStr">
        <is>
          <t>MODEL VERSION</t>
        </is>
      </c>
    </row>
    <row r="56">
      <c r="A56" s="48" t="inlineStr">
        <is>
          <t>Version</t>
        </is>
      </c>
      <c r="B56" s="49" t="inlineStr">
        <is>
          <t>1.0 - January 2026</t>
        </is>
      </c>
    </row>
    <row r="57">
      <c r="A57" s="50" t="inlineStr">
        <is>
          <t>Capacity</t>
        </is>
      </c>
      <c r="B57" s="51" t="inlineStr">
        <is>
          <t>100 loans (expandable by copying formulas down)</t>
        </is>
      </c>
    </row>
    <row r="58">
      <c r="A58" s="48" t="inlineStr">
        <is>
          <t>Quality</t>
        </is>
      </c>
      <c r="B58" s="49" t="inlineStr">
        <is>
          <t>All formulas validated against S&amp;P published criteria</t>
        </is>
      </c>
    </row>
  </sheetData>
  <mergeCells count="57">
    <mergeCell ref="B47:C47"/>
    <mergeCell ref="B16:C16"/>
    <mergeCell ref="B25:C25"/>
    <mergeCell ref="B46:C46"/>
    <mergeCell ref="A18:C18"/>
    <mergeCell ref="B22:C22"/>
    <mergeCell ref="A27:C27"/>
    <mergeCell ref="A3:C3"/>
    <mergeCell ref="B31:C31"/>
    <mergeCell ref="A55:C55"/>
    <mergeCell ref="A12:C12"/>
    <mergeCell ref="A50:C50"/>
    <mergeCell ref="B56:C56"/>
    <mergeCell ref="B58:C58"/>
    <mergeCell ref="B52:C52"/>
    <mergeCell ref="B21:C21"/>
    <mergeCell ref="B48:C48"/>
    <mergeCell ref="B11:C11"/>
    <mergeCell ref="B42:C42"/>
    <mergeCell ref="A17:C17"/>
    <mergeCell ref="B23:C23"/>
    <mergeCell ref="B14:C14"/>
    <mergeCell ref="A35:C35"/>
    <mergeCell ref="B57:C57"/>
    <mergeCell ref="B8:C8"/>
    <mergeCell ref="A43:C43"/>
    <mergeCell ref="B53:C53"/>
    <mergeCell ref="A28:C28"/>
    <mergeCell ref="B38:C38"/>
    <mergeCell ref="A13:C13"/>
    <mergeCell ref="B29:C29"/>
    <mergeCell ref="A44:C44"/>
    <mergeCell ref="B19:C19"/>
    <mergeCell ref="B37:C37"/>
    <mergeCell ref="B10:C10"/>
    <mergeCell ref="A40:C40"/>
    <mergeCell ref="A39:C39"/>
    <mergeCell ref="A34:C34"/>
    <mergeCell ref="B9:C9"/>
    <mergeCell ref="B49:C49"/>
    <mergeCell ref="A51:C51"/>
    <mergeCell ref="B24:C24"/>
    <mergeCell ref="B30:C30"/>
    <mergeCell ref="B15:C15"/>
    <mergeCell ref="B33:C33"/>
    <mergeCell ref="A1:C1"/>
    <mergeCell ref="B5:C5"/>
    <mergeCell ref="B20:C20"/>
    <mergeCell ref="A6:C6"/>
    <mergeCell ref="B45:C45"/>
    <mergeCell ref="B36:C36"/>
    <mergeCell ref="B32:C32"/>
    <mergeCell ref="B26:C26"/>
    <mergeCell ref="B41:C41"/>
    <mergeCell ref="A7:C7"/>
    <mergeCell ref="B4:C4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2026-01-14T08:11:47Z</dcterms:created>
  <dcterms:modified xmlns:dcterms="http://purl.org/dc/terms/" xmlns:xsi="http://www.w3.org/2001/XMLSchema-instance" xsi:type="dcterms:W3CDTF">2026-01-14T08:18:30Z</dcterms:modified>
</cp:coreProperties>
</file>