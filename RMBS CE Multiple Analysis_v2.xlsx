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 Data" sheetId="1" state="visible" r:id="rId3"/>
    <sheet name="Calculations" sheetId="2" state="visible" r:id="rId4"/>
    <sheet name="CE Multiple Analysis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<sst xmlns="http://schemas.openxmlformats.org/spreadsheetml/2006/main" count="205" uniqueCount="130">
  <si>
    <t xml:space="preserve">RMBS Structural Efficiency Analysis</t>
  </si>
  <si>
    <t xml:space="preserve">CE Multiple Methodology: Interactive Effects Decomposition</t>
  </si>
  <si>
    <t xml:space="preserve">OLD STRUCTURE</t>
  </si>
  <si>
    <t xml:space="preserve">Class</t>
  </si>
  <si>
    <t xml:space="preserve">Rating</t>
  </si>
  <si>
    <t xml:space="preserve">% of Coll</t>
  </si>
  <si>
    <t xml:space="preserve">CE %</t>
  </si>
  <si>
    <t xml:space="preserve">£ Balance</t>
  </si>
  <si>
    <t xml:space="preserve">CE Multiple</t>
  </si>
  <si>
    <t xml:space="preserve">Margin</t>
  </si>
  <si>
    <t xml:space="preserve">WAFF×WAL</t>
  </si>
  <si>
    <t xml:space="preserve">Calc CE Mult</t>
  </si>
  <si>
    <t xml:space="preserve">Notes</t>
  </si>
  <si>
    <t xml:space="preserve">A</t>
  </si>
  <si>
    <t xml:space="preserve">AAA</t>
  </si>
  <si>
    <t xml:space="preserve">B</t>
  </si>
  <si>
    <t xml:space="preserve">AA</t>
  </si>
  <si>
    <t xml:space="preserve">C</t>
  </si>
  <si>
    <t xml:space="preserve">D</t>
  </si>
  <si>
    <t xml:space="preserve">BBB</t>
  </si>
  <si>
    <t xml:space="preserve">E</t>
  </si>
  <si>
    <t xml:space="preserve">BB</t>
  </si>
  <si>
    <t xml:space="preserve">F</t>
  </si>
  <si>
    <t xml:space="preserve">G</t>
  </si>
  <si>
    <t xml:space="preserve">CCC</t>
  </si>
  <si>
    <t xml:space="preserve">-</t>
  </si>
  <si>
    <t xml:space="preserve">First Loss</t>
  </si>
  <si>
    <t xml:space="preserve">Total / Weighted Avg</t>
  </si>
  <si>
    <t xml:space="preserve">Portfolio WAFF×WAL</t>
  </si>
  <si>
    <t xml:space="preserve">Σ(% Coll × WAFF×WAL)</t>
  </si>
  <si>
    <t xml:space="preserve">NEW STRUCTURE</t>
  </si>
  <si>
    <t xml:space="preserve">Risk Ratio (New/Old)</t>
  </si>
  <si>
    <t xml:space="preserve">New Portfolio Risk / Old Portfolio Risk</t>
  </si>
  <si>
    <t xml:space="preserve">INTERACTIVE EFFECTS CALCULATIONS</t>
  </si>
  <si>
    <t xml:space="preserve">Using CE Multiple Methodology with Actual Class-Specific WAFF×WAL Values</t>
  </si>
  <si>
    <t xml:space="preserve">1. WEIGHTED AVERAGE COST OF DEBT (WACD)</t>
  </si>
  <si>
    <t xml:space="preserve">Structure</t>
  </si>
  <si>
    <t xml:space="preserve">WACD (bps)</t>
  </si>
  <si>
    <t xml:space="preserve">Formula</t>
  </si>
  <si>
    <t xml:space="preserve">Old Structure</t>
  </si>
  <si>
    <t xml:space="preserve">SUMPRODUCT(% of Coll, Margin) × 10000</t>
  </si>
  <si>
    <t xml:space="preserve">New Structure</t>
  </si>
  <si>
    <t xml:space="preserve">Raw Difference</t>
  </si>
  <si>
    <t xml:space="preserve">2. PORTFOLIO RISK METRICS</t>
  </si>
  <si>
    <t xml:space="preserve">Metric</t>
  </si>
  <si>
    <t xml:space="preserve">Risk Ratio</t>
  </si>
  <si>
    <t xml:space="preserve">New / Old</t>
  </si>
  <si>
    <t xml:space="preserve">3. SCENARIO 1: CREDIT QUALITY IMPACT (CE Multiple Methodology)</t>
  </si>
  <si>
    <t xml:space="preserve">Approach: Apply Old Structure CE Multiples to New Pool's Actual Class-Specific WAFF×WAL</t>
  </si>
  <si>
    <t xml:space="preserve">Old CE Multiple</t>
  </si>
  <si>
    <t xml:space="preserve">New Class WAFF×WAL</t>
  </si>
  <si>
    <t xml:space="preserve">Required CE</t>
  </si>
  <si>
    <t xml:space="preserve">Class Size</t>
  </si>
  <si>
    <t xml:space="preserve">Old Margin</t>
  </si>
  <si>
    <t xml:space="preserve">Contribution</t>
  </si>
  <si>
    <t xml:space="preserve">Formula CE</t>
  </si>
  <si>
    <t xml:space="preserve">Formula Size</t>
  </si>
  <si>
    <t xml:space="preserve">0.00</t>
  </si>
  <si>
    <t xml:space="preserve">0.00%</t>
  </si>
  <si>
    <t xml:space="preserve">N/A - First Loss</t>
  </si>
  <si>
    <t xml:space="preserve">TOTAL</t>
  </si>
  <si>
    <t xml:space="preserve">4. SCENARIO 2: CREDIT + PRICING IMPACT</t>
  </si>
  <si>
    <t xml:space="preserve">Approach: Apply New Market Pricing to Scenario 1 Structure</t>
  </si>
  <si>
    <t xml:space="preserve">Scenario 1 Size</t>
  </si>
  <si>
    <t xml:space="preserve">New Margin</t>
  </si>
  <si>
    <t xml:space="preserve">5. SCENARIO CASCADE SUMMARY</t>
  </si>
  <si>
    <t xml:space="preserve">Scenario</t>
  </si>
  <si>
    <t xml:space="preserve">Description</t>
  </si>
  <si>
    <t xml:space="preserve">Credit</t>
  </si>
  <si>
    <t xml:space="preserve">Pricing</t>
  </si>
  <si>
    <t xml:space="preserve">Δ Marginal</t>
  </si>
  <si>
    <t xml:space="preserve">Δ Cumulative</t>
  </si>
  <si>
    <t xml:space="preserve">0: Baseline</t>
  </si>
  <si>
    <t xml:space="preserve">Old structure, old credit, old pricing</t>
  </si>
  <si>
    <t xml:space="preserve">Old</t>
  </si>
  <si>
    <t xml:space="preserve">Old (7 classes)</t>
  </si>
  <si>
    <t xml:space="preserve">1: Credit Δ</t>
  </si>
  <si>
    <t xml:space="preserve">Old CE Multiples × New Class WAFF×WAL, old pricing</t>
  </si>
  <si>
    <t xml:space="preserve">New</t>
  </si>
  <si>
    <t xml:space="preserve">Old (7 cls scaled)</t>
  </si>
  <si>
    <t xml:space="preserve">2: Credit+Pricing Δ</t>
  </si>
  <si>
    <t xml:space="preserve">Scenario 1 structure with new market pricing</t>
  </si>
  <si>
    <t xml:space="preserve">3: Actual New</t>
  </si>
  <si>
    <t xml:space="preserve">Actual new structure (optimized, 6 classes)</t>
  </si>
  <si>
    <t xml:space="preserve">New (6 classes)</t>
  </si>
  <si>
    <t xml:space="preserve">CE MULTIPLE EFFICIENCY ANALYSIS</t>
  </si>
  <si>
    <t xml:space="preserve">Quantifying Structural Optimization by Rating Level</t>
  </si>
  <si>
    <t xml:space="preserve">CE Multiple Comparison</t>
  </si>
  <si>
    <t xml:space="preserve">Old CE Mult</t>
  </si>
  <si>
    <t xml:space="preserve">New CE Mult</t>
  </si>
  <si>
    <t xml:space="preserve">Efficiency Gain</t>
  </si>
  <si>
    <t xml:space="preserve">New WAFF×WAL</t>
  </si>
  <si>
    <t xml:space="preserve">Subord. Saved</t>
  </si>
  <si>
    <t xml:space="preserve">Interpretation</t>
  </si>
  <si>
    <t xml:space="preserve">Tighter AAA subordination</t>
  </si>
  <si>
    <t xml:space="preserve">Slight increase needed</t>
  </si>
  <si>
    <t xml:space="preserve">Significant efficiency</t>
  </si>
  <si>
    <t xml:space="preserve">Major improvement</t>
  </si>
  <si>
    <t xml:space="preserve">Massive optimization</t>
  </si>
  <si>
    <t xml:space="preserve">100% improvement</t>
  </si>
  <si>
    <t xml:space="preserve">TOTAL STRUCTURAL BENEFIT</t>
  </si>
  <si>
    <t xml:space="preserve">Key Insights</t>
  </si>
  <si>
    <t xml:space="preserve">1. AAA optimization: Reduced CE Multiple from 1.13% to 1.07% - tighter subordination for better pricing</t>
  </si>
  <si>
    <t xml:space="preserve">2. Mezzanine efficiency: Classes C-E show 10-50% CE Multiple reduction - major structural gains</t>
  </si>
  <si>
    <t xml:space="preserve">3. Class F transformed: From 0.45% CE Multiple to 0% - eliminated inefficient equity-like piece</t>
  </si>
  <si>
    <t xml:space="preserve">4. Class G removed: 100% efficiency gain by eliminating 20bps first-loss piece at 5.48% margin</t>
  </si>
  <si>
    <t xml:space="preserve">5. Total subordination saved: Sum of (Efficiency Gain × WAFF×WAL) = structural benefit in bps</t>
  </si>
  <si>
    <t xml:space="preserve">EXECUTIVE SUMMARY</t>
  </si>
  <si>
    <t xml:space="preserve">Decomposition of Cost Change</t>
  </si>
  <si>
    <t xml:space="preserve">Component</t>
  </si>
  <si>
    <t xml:space="preserve">Impact (bps)</t>
  </si>
  <si>
    <t xml:space="preserve">% of Total Δ</t>
  </si>
  <si>
    <t xml:space="preserve">Cumulative (bps)</t>
  </si>
  <si>
    <t xml:space="preserve">Baseline (Old Structure)</t>
  </si>
  <si>
    <t xml:space="preserve">Old WACD</t>
  </si>
  <si>
    <t xml:space="preserve">Credit Quality Deterioration</t>
  </si>
  <si>
    <t xml:space="preserve">Scen1 - Scen0</t>
  </si>
  <si>
    <t xml:space="preserve">Market Pricing Widening</t>
  </si>
  <si>
    <t xml:space="preserve">Scen2 - Scen1</t>
  </si>
  <si>
    <t xml:space="preserve">Structural Optimization</t>
  </si>
  <si>
    <t xml:space="preserve">Scen3 - Scen2</t>
  </si>
  <si>
    <t xml:space="preserve">Total Change</t>
  </si>
  <si>
    <t xml:space="preserve">100.0%</t>
  </si>
  <si>
    <t xml:space="preserve">New - Old WACD</t>
  </si>
  <si>
    <t xml:space="preserve">Monetary Value of Structural Optimization</t>
  </si>
  <si>
    <t xml:space="preserve">Structural Saving (bps)</t>
  </si>
  <si>
    <t xml:space="preserve">New Structure Collateral (£)</t>
  </si>
  <si>
    <t xml:space="preserve">Total new collateral</t>
  </si>
  <si>
    <t xml:space="preserve">Annual Saving (£)</t>
  </si>
  <si>
    <t xml:space="preserve">Collateral × bps / 10000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</si>
</sst>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#,##0"/>
    <numFmt numFmtId="167" formatCode="0.00"/>
    <numFmt numFmtId="168" formatCode="General"/>
    <numFmt numFmtId="169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8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99"/>
      </patternFill>
    </fill>
    <fill>
      <patternFill patternType="solid">
        <fgColor rgb="FFFFC000"/>
        <bgColor rgb="FFFF9900"/>
      </patternFill>
    </fill>
    <fill>
      <patternFill patternType="solid">
        <fgColor rgb="FFC6EFCE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9" min="8" style="1" width="12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</row>
    <row r="6" customFormat="false" ht="15" hidden="false" customHeight="true" outlineLevel="0" collapsed="false">
      <c r="A6" s="6" t="s">
        <v>13</v>
      </c>
      <c r="B6" s="6" t="s">
        <v>14</v>
      </c>
      <c r="C6" s="7" t="n">
        <v>0.8775</v>
      </c>
      <c r="D6" s="7" t="n">
        <v>0.1225</v>
      </c>
      <c r="E6" s="8" t="n">
        <v>342225000</v>
      </c>
      <c r="F6" s="7" t="n">
        <v>0.0113</v>
      </c>
      <c r="G6" s="7" t="n">
        <v>0.0082</v>
      </c>
      <c r="H6" s="9" t="n">
        <v>10.88</v>
      </c>
      <c r="I6" s="10" t="n">
        <f aca="false">D6/H6</f>
        <v>0.0112591911764706</v>
      </c>
      <c r="J6" s="11" t="n">
        <f aca="false">D6 / H6</f>
        <v>0.0112591911764706</v>
      </c>
    </row>
    <row r="7" customFormat="false" ht="15" hidden="false" customHeight="true" outlineLevel="0" collapsed="false">
      <c r="A7" s="6" t="s">
        <v>15</v>
      </c>
      <c r="B7" s="6" t="s">
        <v>16</v>
      </c>
      <c r="C7" s="7" t="n">
        <v>0.055</v>
      </c>
      <c r="D7" s="7" t="n">
        <v>0.0675</v>
      </c>
      <c r="E7" s="8" t="n">
        <v>21450000</v>
      </c>
      <c r="F7" s="7" t="n">
        <v>0.0108</v>
      </c>
      <c r="G7" s="7" t="n">
        <v>0.011</v>
      </c>
      <c r="H7" s="9" t="n">
        <v>6.23</v>
      </c>
      <c r="I7" s="10" t="n">
        <f aca="false">D7/H7</f>
        <v>0.0108346709470305</v>
      </c>
      <c r="J7" s="11" t="n">
        <f aca="false">D7 / H7</f>
        <v>0.0108346709470305</v>
      </c>
    </row>
    <row r="8" customFormat="false" ht="15" hidden="false" customHeight="true" outlineLevel="0" collapsed="false">
      <c r="A8" s="6" t="s">
        <v>17</v>
      </c>
      <c r="B8" s="6" t="s">
        <v>13</v>
      </c>
      <c r="C8" s="7" t="n">
        <v>0.0325</v>
      </c>
      <c r="D8" s="7" t="n">
        <v>0.035</v>
      </c>
      <c r="E8" s="8" t="n">
        <v>12675000</v>
      </c>
      <c r="F8" s="7" t="n">
        <v>0.0104</v>
      </c>
      <c r="G8" s="7" t="n">
        <v>0.014</v>
      </c>
      <c r="H8" s="9" t="n">
        <v>3.38</v>
      </c>
      <c r="I8" s="10" t="n">
        <f aca="false">D8/H8</f>
        <v>0.0103550295857988</v>
      </c>
      <c r="J8" s="11" t="n">
        <f aca="false">D8 / H8</f>
        <v>0.0103550295857988</v>
      </c>
    </row>
    <row r="9" customFormat="false" ht="15" hidden="false" customHeight="true" outlineLevel="0" collapsed="false">
      <c r="A9" s="6" t="s">
        <v>18</v>
      </c>
      <c r="B9" s="6" t="s">
        <v>19</v>
      </c>
      <c r="C9" s="7" t="n">
        <v>0.0175</v>
      </c>
      <c r="D9" s="7" t="n">
        <v>0.0175</v>
      </c>
      <c r="E9" s="8" t="n">
        <v>6825000</v>
      </c>
      <c r="F9" s="7" t="n">
        <v>0.0098</v>
      </c>
      <c r="G9" s="7" t="n">
        <v>0.0165</v>
      </c>
      <c r="H9" s="9" t="n">
        <v>1.78</v>
      </c>
      <c r="I9" s="10" t="n">
        <f aca="false">D9/H9</f>
        <v>0.00983146067415731</v>
      </c>
      <c r="J9" s="11" t="n">
        <f aca="false">D9 / H9</f>
        <v>0.00983146067415731</v>
      </c>
    </row>
    <row r="10" customFormat="false" ht="15" hidden="false" customHeight="true" outlineLevel="0" collapsed="false">
      <c r="A10" s="6" t="s">
        <v>20</v>
      </c>
      <c r="B10" s="6" t="s">
        <v>21</v>
      </c>
      <c r="C10" s="7" t="n">
        <v>0.0075</v>
      </c>
      <c r="D10" s="7" t="n">
        <v>0.01</v>
      </c>
      <c r="E10" s="8" t="n">
        <v>2925000</v>
      </c>
      <c r="F10" s="7" t="n">
        <v>0.0137</v>
      </c>
      <c r="G10" s="7" t="n">
        <v>0.0248</v>
      </c>
      <c r="H10" s="9" t="n">
        <v>0.73</v>
      </c>
      <c r="I10" s="10" t="n">
        <f aca="false">D10/H10</f>
        <v>0.0136986301369863</v>
      </c>
      <c r="J10" s="11" t="n">
        <f aca="false">D10 / H10</f>
        <v>0.0136986301369863</v>
      </c>
    </row>
    <row r="11" customFormat="false" ht="15" hidden="false" customHeight="true" outlineLevel="0" collapsed="false">
      <c r="A11" s="6" t="s">
        <v>22</v>
      </c>
      <c r="B11" s="6" t="s">
        <v>15</v>
      </c>
      <c r="C11" s="7" t="n">
        <v>0.008</v>
      </c>
      <c r="D11" s="7" t="n">
        <v>0.002</v>
      </c>
      <c r="E11" s="8" t="n">
        <v>3120000</v>
      </c>
      <c r="F11" s="7" t="n">
        <v>0.0045</v>
      </c>
      <c r="G11" s="7" t="n">
        <v>0.0398</v>
      </c>
      <c r="H11" s="9" t="n">
        <v>0.44</v>
      </c>
      <c r="I11" s="10" t="n">
        <f aca="false">D11/H11</f>
        <v>0.00454545454545455</v>
      </c>
      <c r="J11" s="11" t="n">
        <f aca="false">D11 / H11</f>
        <v>0.00454545454545455</v>
      </c>
    </row>
    <row r="12" customFormat="false" ht="15" hidden="false" customHeight="true" outlineLevel="0" collapsed="false">
      <c r="A12" s="6" t="s">
        <v>23</v>
      </c>
      <c r="B12" s="6" t="s">
        <v>24</v>
      </c>
      <c r="C12" s="7" t="n">
        <v>0.002</v>
      </c>
      <c r="D12" s="7" t="n">
        <v>0</v>
      </c>
      <c r="E12" s="8" t="n">
        <v>780000</v>
      </c>
      <c r="F12" s="6" t="s">
        <v>25</v>
      </c>
      <c r="G12" s="7" t="n">
        <v>0.0548</v>
      </c>
      <c r="H12" s="6" t="s">
        <v>25</v>
      </c>
      <c r="I12" s="6" t="s">
        <v>25</v>
      </c>
      <c r="J12" s="11" t="s">
        <v>26</v>
      </c>
    </row>
    <row r="13" customFormat="false" ht="15" hidden="false" customHeight="true" outlineLevel="0" collapsed="false">
      <c r="A13" s="12" t="s">
        <v>27</v>
      </c>
      <c r="C13" s="13" t="n">
        <f aca="false">SUM(C6:C12)</f>
        <v>1</v>
      </c>
      <c r="E13" s="14" t="n">
        <f aca="false">SUM(E6:E12)</f>
        <v>390000000</v>
      </c>
    </row>
    <row r="14" customFormat="false" ht="15" hidden="false" customHeight="true" outlineLevel="0" collapsed="false">
      <c r="A14" s="12" t="s">
        <v>28</v>
      </c>
      <c r="C14" s="15" t="n">
        <f aca="false">SUMPRODUCT(C6:C11,H6:H11)</f>
        <v>10.039845</v>
      </c>
      <c r="J14" s="16" t="s">
        <v>29</v>
      </c>
    </row>
    <row r="16" customFormat="false" ht="15" hidden="false" customHeight="true" outlineLevel="0" collapsed="false">
      <c r="A16" s="4" t="s">
        <v>30</v>
      </c>
      <c r="B16" s="4"/>
      <c r="C16" s="4"/>
      <c r="D16" s="4"/>
      <c r="E16" s="4"/>
      <c r="F16" s="4"/>
      <c r="G16" s="4"/>
      <c r="H16" s="4"/>
      <c r="I16" s="4"/>
      <c r="J16" s="4"/>
    </row>
    <row r="17" customFormat="false" ht="15" hidden="false" customHeight="true" outlineLevel="0" collapsed="false">
      <c r="A17" s="5" t="s">
        <v>3</v>
      </c>
      <c r="B17" s="5" t="s">
        <v>4</v>
      </c>
      <c r="C17" s="5" t="s">
        <v>5</v>
      </c>
      <c r="D17" s="5" t="s">
        <v>6</v>
      </c>
      <c r="E17" s="5" t="s">
        <v>7</v>
      </c>
      <c r="F17" s="5" t="s">
        <v>8</v>
      </c>
      <c r="G17" s="5" t="s">
        <v>9</v>
      </c>
      <c r="H17" s="5" t="s">
        <v>10</v>
      </c>
      <c r="I17" s="5" t="s">
        <v>11</v>
      </c>
      <c r="J17" s="5" t="s">
        <v>12</v>
      </c>
    </row>
    <row r="18" customFormat="false" ht="15" hidden="false" customHeight="true" outlineLevel="0" collapsed="false">
      <c r="A18" s="6" t="s">
        <v>13</v>
      </c>
      <c r="B18" s="6" t="s">
        <v>14</v>
      </c>
      <c r="C18" s="7" t="n">
        <v>0.8665</v>
      </c>
      <c r="D18" s="7" t="n">
        <v>0.1335</v>
      </c>
      <c r="E18" s="8" t="n">
        <v>338930000</v>
      </c>
      <c r="F18" s="7" t="n">
        <v>0.0107</v>
      </c>
      <c r="G18" s="7" t="n">
        <v>0.0085</v>
      </c>
      <c r="H18" s="9" t="n">
        <v>12.44</v>
      </c>
      <c r="I18" s="10" t="n">
        <f aca="false">D18/H18</f>
        <v>0.0107315112540193</v>
      </c>
      <c r="J18" s="11" t="n">
        <f aca="false">D18 / H18</f>
        <v>0.0107315112540193</v>
      </c>
    </row>
    <row r="19" customFormat="false" ht="15" hidden="false" customHeight="true" outlineLevel="0" collapsed="false">
      <c r="A19" s="6" t="s">
        <v>15</v>
      </c>
      <c r="B19" s="6" t="s">
        <v>16</v>
      </c>
      <c r="C19" s="7" t="n">
        <v>0.0535</v>
      </c>
      <c r="D19" s="7" t="n">
        <v>0.08</v>
      </c>
      <c r="E19" s="8" t="n">
        <v>20926000</v>
      </c>
      <c r="F19" s="7" t="n">
        <v>0.0111</v>
      </c>
      <c r="G19" s="7" t="n">
        <v>0.012</v>
      </c>
      <c r="H19" s="9" t="n">
        <v>7.21</v>
      </c>
      <c r="I19" s="10" t="n">
        <f aca="false">D19/H19</f>
        <v>0.0110957004160888</v>
      </c>
      <c r="J19" s="11" t="n">
        <f aca="false">D19 / H19</f>
        <v>0.0110957004160888</v>
      </c>
    </row>
    <row r="20" customFormat="false" ht="15" hidden="false" customHeight="true" outlineLevel="0" collapsed="false">
      <c r="A20" s="6" t="s">
        <v>17</v>
      </c>
      <c r="B20" s="6" t="s">
        <v>13</v>
      </c>
      <c r="C20" s="7" t="n">
        <v>0.044</v>
      </c>
      <c r="D20" s="7" t="n">
        <v>0.036</v>
      </c>
      <c r="E20" s="8" t="n">
        <v>17211000</v>
      </c>
      <c r="F20" s="7" t="n">
        <v>0.009</v>
      </c>
      <c r="G20" s="7" t="n">
        <v>0.015</v>
      </c>
      <c r="H20" s="9" t="n">
        <v>3.99</v>
      </c>
      <c r="I20" s="10" t="n">
        <f aca="false">D20/H20</f>
        <v>0.00902255639097744</v>
      </c>
      <c r="J20" s="11" t="n">
        <f aca="false">D20 / H20</f>
        <v>0.00902255639097744</v>
      </c>
    </row>
    <row r="21" customFormat="false" ht="15" hidden="false" customHeight="true" outlineLevel="0" collapsed="false">
      <c r="A21" s="6" t="s">
        <v>18</v>
      </c>
      <c r="B21" s="6" t="s">
        <v>19</v>
      </c>
      <c r="C21" s="7" t="n">
        <v>0.018</v>
      </c>
      <c r="D21" s="7" t="n">
        <v>0.018</v>
      </c>
      <c r="E21" s="8" t="n">
        <v>7041000</v>
      </c>
      <c r="F21" s="7" t="n">
        <v>0.0085</v>
      </c>
      <c r="G21" s="7" t="n">
        <v>0.018</v>
      </c>
      <c r="H21" s="9" t="n">
        <v>2.13</v>
      </c>
      <c r="I21" s="10" t="n">
        <f aca="false">D21/H21</f>
        <v>0.00845070422535211</v>
      </c>
      <c r="J21" s="11" t="n">
        <f aca="false">D21 / H21</f>
        <v>0.00845070422535211</v>
      </c>
    </row>
    <row r="22" customFormat="false" ht="15" hidden="false" customHeight="true" outlineLevel="0" collapsed="false">
      <c r="A22" s="6" t="s">
        <v>20</v>
      </c>
      <c r="B22" s="6" t="s">
        <v>21</v>
      </c>
      <c r="C22" s="7" t="n">
        <v>0.012</v>
      </c>
      <c r="D22" s="7" t="n">
        <v>0.006</v>
      </c>
      <c r="E22" s="8" t="n">
        <v>4694000</v>
      </c>
      <c r="F22" s="7" t="n">
        <v>0.0068</v>
      </c>
      <c r="G22" s="7" t="n">
        <v>0.0275</v>
      </c>
      <c r="H22" s="9" t="n">
        <v>0.88</v>
      </c>
      <c r="I22" s="10" t="n">
        <f aca="false">D22/H22</f>
        <v>0.00681818181818182</v>
      </c>
      <c r="J22" s="11" t="n">
        <f aca="false">D22 / H22</f>
        <v>0.00681818181818182</v>
      </c>
    </row>
    <row r="23" customFormat="false" ht="15" hidden="false" customHeight="true" outlineLevel="0" collapsed="false">
      <c r="A23" s="6" t="s">
        <v>22</v>
      </c>
      <c r="B23" s="6" t="s">
        <v>15</v>
      </c>
      <c r="C23" s="7" t="n">
        <v>0.006</v>
      </c>
      <c r="D23" s="7" t="n">
        <v>0</v>
      </c>
      <c r="E23" s="8" t="n">
        <v>2347000</v>
      </c>
      <c r="F23" s="6" t="s">
        <v>25</v>
      </c>
      <c r="G23" s="7" t="n">
        <v>0.05</v>
      </c>
      <c r="H23" s="9" t="n">
        <v>0.54</v>
      </c>
      <c r="I23" s="10" t="n">
        <f aca="false">D23/H23</f>
        <v>0</v>
      </c>
      <c r="J23" s="11" t="n">
        <f aca="false">D23 / H23</f>
        <v>0</v>
      </c>
    </row>
    <row r="24" customFormat="false" ht="15" hidden="false" customHeight="true" outlineLevel="0" collapsed="false">
      <c r="A24" s="12" t="s">
        <v>27</v>
      </c>
      <c r="C24" s="13" t="n">
        <f aca="false">SUM(C18:C23)</f>
        <v>1</v>
      </c>
      <c r="E24" s="14" t="n">
        <f aca="false">SUM(E18:E23)</f>
        <v>391149000</v>
      </c>
    </row>
    <row r="25" customFormat="false" ht="15" hidden="false" customHeight="true" outlineLevel="0" collapsed="false">
      <c r="A25" s="12" t="s">
        <v>28</v>
      </c>
      <c r="C25" s="15" t="n">
        <f aca="false">SUMPRODUCT(C18:C23,H18:H23)</f>
        <v>11.392695</v>
      </c>
      <c r="J25" s="16" t="s">
        <v>29</v>
      </c>
    </row>
    <row r="26" customFormat="false" ht="15" hidden="false" customHeight="true" outlineLevel="0" collapsed="false">
      <c r="A26" s="12" t="s">
        <v>31</v>
      </c>
      <c r="C26" s="10" t="n">
        <f aca="false">C25/C14</f>
        <v>1.13474809621065</v>
      </c>
      <c r="J26" s="16" t="s">
        <v>32</v>
      </c>
    </row>
  </sheetData>
  <mergeCells count="4">
    <mergeCell ref="A1:J1"/>
    <mergeCell ref="A2:J2"/>
    <mergeCell ref="A4:J4"/>
    <mergeCell ref="A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8"/>
    <col collapsed="false" customWidth="true" hidden="false" outlineLevel="0" max="7" min="3" style="1" width="14"/>
    <col collapsed="false" customWidth="true" hidden="false" outlineLevel="0" max="9" min="8" style="1" width="18"/>
    <col collapsed="false" customWidth="true" hidden="false" outlineLevel="0" max="11" min="10" style="1" width="14"/>
  </cols>
  <sheetData>
    <row r="1" customFormat="false" ht="17.25" hidden="false" customHeight="true" outlineLevel="0" collapsed="false">
      <c r="A1" s="2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" t="s">
        <v>34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15" hidden="false" customHeight="true" outlineLevel="0" collapsed="false">
      <c r="A4" s="4" t="s">
        <v>35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15" hidden="false" customHeight="true" outlineLevel="0" collapsed="false">
      <c r="A5" s="17" t="s">
        <v>36</v>
      </c>
      <c r="B5" s="17" t="s">
        <v>37</v>
      </c>
      <c r="C5" s="17" t="s">
        <v>38</v>
      </c>
    </row>
    <row r="6" customFormat="false" ht="15" hidden="false" customHeight="true" outlineLevel="0" collapsed="false">
      <c r="A6" s="6" t="s">
        <v>39</v>
      </c>
      <c r="B6" s="15" t="n">
        <f aca="false">SUMPRODUCT('Input Data'!C6:C12,'Input Data'!G6:G12)*10000</f>
        <v>91.5825</v>
      </c>
      <c r="C6" s="11" t="s">
        <v>40</v>
      </c>
    </row>
    <row r="7" customFormat="false" ht="15" hidden="false" customHeight="true" outlineLevel="0" collapsed="false">
      <c r="A7" s="6" t="s">
        <v>41</v>
      </c>
      <c r="B7" s="15" t="n">
        <f aca="false">SUMPRODUCT('Input Data'!C18:C23,'Input Data'!G18:G23)*10000</f>
        <v>96.2125</v>
      </c>
      <c r="C7" s="11" t="s">
        <v>40</v>
      </c>
    </row>
    <row r="8" customFormat="false" ht="15" hidden="false" customHeight="true" outlineLevel="0" collapsed="false">
      <c r="A8" s="12" t="s">
        <v>42</v>
      </c>
      <c r="B8" s="18" t="n">
        <f aca="false">B7-B6</f>
        <v>4.63000000000002</v>
      </c>
    </row>
    <row r="10" customFormat="false" ht="15" hidden="false" customHeight="true" outlineLevel="0" collapsed="false">
      <c r="A10" s="4" t="s">
        <v>43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customFormat="false" ht="15" hidden="false" customHeight="true" outlineLevel="0" collapsed="false">
      <c r="A11" s="17" t="s">
        <v>44</v>
      </c>
      <c r="B11" s="17" t="s">
        <v>39</v>
      </c>
      <c r="C11" s="17" t="s">
        <v>41</v>
      </c>
      <c r="D11" s="17" t="s">
        <v>45</v>
      </c>
      <c r="E11" s="17" t="s">
        <v>38</v>
      </c>
    </row>
    <row r="12" customFormat="false" ht="15" hidden="false" customHeight="true" outlineLevel="0" collapsed="false">
      <c r="A12" s="6" t="s">
        <v>28</v>
      </c>
      <c r="B12" s="19" t="n">
        <f aca="false">'Input Data'!C14</f>
        <v>10.039845</v>
      </c>
      <c r="C12" s="19" t="n">
        <f aca="false">'Input Data'!C25</f>
        <v>11.392695</v>
      </c>
      <c r="D12" s="20" t="n">
        <f aca="false">'Input Data'!C26</f>
        <v>1.13474809621065</v>
      </c>
      <c r="E12" s="11" t="s">
        <v>46</v>
      </c>
    </row>
    <row r="14" customFormat="false" ht="15" hidden="false" customHeight="true" outlineLevel="0" collapsed="false">
      <c r="A14" s="21" t="s">
        <v>47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customFormat="false" ht="15" hidden="false" customHeight="true" outlineLevel="0" collapsed="false">
      <c r="A15" s="22" t="s">
        <v>48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</row>
    <row r="16" customFormat="false" ht="23.25" hidden="false" customHeight="true" outlineLevel="0" collapsed="false">
      <c r="A16" s="5" t="s">
        <v>3</v>
      </c>
      <c r="B16" s="5" t="s">
        <v>49</v>
      </c>
      <c r="C16" s="5" t="s">
        <v>50</v>
      </c>
      <c r="D16" s="5" t="s">
        <v>51</v>
      </c>
      <c r="E16" s="5" t="s">
        <v>52</v>
      </c>
      <c r="F16" s="5" t="s">
        <v>53</v>
      </c>
      <c r="G16" s="5" t="s">
        <v>54</v>
      </c>
      <c r="H16" s="5" t="s">
        <v>55</v>
      </c>
      <c r="I16" s="5" t="s">
        <v>56</v>
      </c>
    </row>
    <row r="17" customFormat="false" ht="15" hidden="false" customHeight="true" outlineLevel="0" collapsed="false">
      <c r="A17" s="6" t="s">
        <v>13</v>
      </c>
      <c r="B17" s="20" t="n">
        <f aca="false">'Input Data'!I6</f>
        <v>0.0112591911764706</v>
      </c>
      <c r="C17" s="19" t="n">
        <f aca="false">'Input Data'!H18</f>
        <v>12.44</v>
      </c>
      <c r="D17" s="10" t="n">
        <f aca="false">B17*C17</f>
        <v>0.140064338235294</v>
      </c>
      <c r="E17" s="10" t="n">
        <f aca="false">1-D17</f>
        <v>0.859935661764706</v>
      </c>
      <c r="F17" s="20" t="n">
        <f aca="false">'Input Data'!G6</f>
        <v>0.0082</v>
      </c>
      <c r="G17" s="15" t="n">
        <f aca="false">E17*F17*10000</f>
        <v>70.5147242647059</v>
      </c>
      <c r="H17" s="23" t="n">
        <f aca="false">B17*C17</f>
        <v>0.140064338235294</v>
      </c>
      <c r="I17" s="24" t="n">
        <f aca="false">1-D17</f>
        <v>0.859935661764706</v>
      </c>
    </row>
    <row r="18" customFormat="false" ht="15" hidden="false" customHeight="true" outlineLevel="0" collapsed="false">
      <c r="A18" s="6" t="s">
        <v>15</v>
      </c>
      <c r="B18" s="20" t="n">
        <f aca="false">'Input Data'!I7</f>
        <v>0.0108346709470305</v>
      </c>
      <c r="C18" s="19" t="n">
        <f aca="false">'Input Data'!H19</f>
        <v>7.21</v>
      </c>
      <c r="D18" s="10" t="n">
        <f aca="false">B18*C18</f>
        <v>0.0781179775280899</v>
      </c>
      <c r="E18" s="10" t="n">
        <f aca="false">D17-D18</f>
        <v>0.0619463607072042</v>
      </c>
      <c r="F18" s="20" t="n">
        <f aca="false">'Input Data'!G7</f>
        <v>0.011</v>
      </c>
      <c r="G18" s="15" t="n">
        <f aca="false">E18*F18*10000</f>
        <v>6.81409967779246</v>
      </c>
      <c r="H18" s="23" t="n">
        <f aca="false">B18*C18</f>
        <v>0.0781179775280899</v>
      </c>
      <c r="I18" s="24" t="n">
        <f aca="false">D17-D18</f>
        <v>0.0619463607072042</v>
      </c>
    </row>
    <row r="19" customFormat="false" ht="15" hidden="false" customHeight="true" outlineLevel="0" collapsed="false">
      <c r="A19" s="6" t="s">
        <v>17</v>
      </c>
      <c r="B19" s="20" t="n">
        <f aca="false">'Input Data'!I8</f>
        <v>0.0103550295857988</v>
      </c>
      <c r="C19" s="19" t="n">
        <f aca="false">'Input Data'!H20</f>
        <v>3.99</v>
      </c>
      <c r="D19" s="10" t="n">
        <f aca="false">B19*C19</f>
        <v>0.0413165680473373</v>
      </c>
      <c r="E19" s="10" t="n">
        <f aca="false">D18-D19</f>
        <v>0.0368014094807526</v>
      </c>
      <c r="F19" s="20" t="n">
        <f aca="false">'Input Data'!G8</f>
        <v>0.014</v>
      </c>
      <c r="G19" s="15" t="n">
        <f aca="false">E19*F19*10000</f>
        <v>5.15219732730536</v>
      </c>
      <c r="H19" s="23" t="n">
        <f aca="false">B19*C19</f>
        <v>0.0413165680473373</v>
      </c>
      <c r="I19" s="24" t="n">
        <f aca="false">D18-D19</f>
        <v>0.0368014094807526</v>
      </c>
    </row>
    <row r="20" customFormat="false" ht="15" hidden="false" customHeight="true" outlineLevel="0" collapsed="false">
      <c r="A20" s="6" t="s">
        <v>18</v>
      </c>
      <c r="B20" s="20" t="n">
        <f aca="false">'Input Data'!I9</f>
        <v>0.00983146067415731</v>
      </c>
      <c r="C20" s="19" t="n">
        <f aca="false">'Input Data'!H21</f>
        <v>2.13</v>
      </c>
      <c r="D20" s="10" t="n">
        <f aca="false">B20*C20</f>
        <v>0.0209410112359551</v>
      </c>
      <c r="E20" s="10" t="n">
        <f aca="false">D19-D20</f>
        <v>0.0203755568113822</v>
      </c>
      <c r="F20" s="20" t="n">
        <f aca="false">'Input Data'!G9</f>
        <v>0.0165</v>
      </c>
      <c r="G20" s="15" t="n">
        <f aca="false">E20*F20*10000</f>
        <v>3.36196687387807</v>
      </c>
      <c r="H20" s="23" t="n">
        <f aca="false">B20*C20</f>
        <v>0.0209410112359551</v>
      </c>
      <c r="I20" s="24" t="n">
        <f aca="false">D19-D20</f>
        <v>0.0203755568113822</v>
      </c>
    </row>
    <row r="21" customFormat="false" ht="15" hidden="false" customHeight="true" outlineLevel="0" collapsed="false">
      <c r="A21" s="6" t="s">
        <v>20</v>
      </c>
      <c r="B21" s="20" t="n">
        <f aca="false">'Input Data'!I10</f>
        <v>0.0136986301369863</v>
      </c>
      <c r="C21" s="19" t="n">
        <f aca="false">'Input Data'!H22</f>
        <v>0.88</v>
      </c>
      <c r="D21" s="10" t="n">
        <f aca="false">B21*C21</f>
        <v>0.0120547945205479</v>
      </c>
      <c r="E21" s="10" t="n">
        <f aca="false">D20-D21</f>
        <v>0.00888621671540711</v>
      </c>
      <c r="F21" s="20" t="n">
        <f aca="false">'Input Data'!G10</f>
        <v>0.0248</v>
      </c>
      <c r="G21" s="15" t="n">
        <f aca="false">E21*F21*10000</f>
        <v>2.20378174542096</v>
      </c>
      <c r="H21" s="23" t="n">
        <f aca="false">B21*C21</f>
        <v>0.0120547945205479</v>
      </c>
      <c r="I21" s="24" t="n">
        <f aca="false">D20-D21</f>
        <v>0.00888621671540711</v>
      </c>
    </row>
    <row r="22" customFormat="false" ht="15" hidden="false" customHeight="true" outlineLevel="0" collapsed="false">
      <c r="A22" s="6" t="s">
        <v>22</v>
      </c>
      <c r="B22" s="20" t="n">
        <f aca="false">'Input Data'!I11</f>
        <v>0.00454545454545455</v>
      </c>
      <c r="C22" s="19" t="n">
        <f aca="false">'Input Data'!H23</f>
        <v>0.54</v>
      </c>
      <c r="D22" s="10" t="n">
        <f aca="false">B22*C22</f>
        <v>0.00245454545454545</v>
      </c>
      <c r="E22" s="10" t="n">
        <f aca="false">D21-D22</f>
        <v>0.00960024906600249</v>
      </c>
      <c r="F22" s="20" t="n">
        <f aca="false">'Input Data'!G11</f>
        <v>0.0398</v>
      </c>
      <c r="G22" s="15" t="n">
        <f aca="false">E22*F22*10000</f>
        <v>3.82089912826899</v>
      </c>
      <c r="H22" s="23" t="n">
        <f aca="false">B22*C22</f>
        <v>0.00245454545454545</v>
      </c>
      <c r="I22" s="24" t="n">
        <f aca="false">D21-D22</f>
        <v>0.00960024906600249</v>
      </c>
    </row>
    <row r="23" customFormat="false" ht="15" hidden="false" customHeight="true" outlineLevel="0" collapsed="false">
      <c r="A23" s="6" t="s">
        <v>23</v>
      </c>
      <c r="B23" s="20" t="str">
        <f aca="false">'Input Data'!I12</f>
        <v>-</v>
      </c>
      <c r="C23" s="9" t="s">
        <v>57</v>
      </c>
      <c r="D23" s="7" t="s">
        <v>58</v>
      </c>
      <c r="E23" s="10" t="n">
        <f aca="false">D22</f>
        <v>0.00245454545454545</v>
      </c>
      <c r="F23" s="20" t="n">
        <f aca="false">'Input Data'!G12</f>
        <v>0.0548</v>
      </c>
      <c r="G23" s="15" t="n">
        <f aca="false">E23*F23*10000</f>
        <v>1.34509090909091</v>
      </c>
      <c r="H23" s="23" t="s">
        <v>59</v>
      </c>
      <c r="I23" s="24" t="n">
        <f aca="false">D22-D23</f>
        <v>0.00245454545454545</v>
      </c>
    </row>
    <row r="24" customFormat="false" ht="15" hidden="false" customHeight="true" outlineLevel="0" collapsed="false">
      <c r="A24" s="12" t="s">
        <v>60</v>
      </c>
      <c r="E24" s="13" t="n">
        <f aca="false">SUM(E17:E23)</f>
        <v>1</v>
      </c>
      <c r="G24" s="18" t="n">
        <f aca="false">SUM(G17:G23)</f>
        <v>93.2127599264627</v>
      </c>
    </row>
    <row r="26" customFormat="false" ht="15" hidden="false" customHeight="true" outlineLevel="0" collapsed="false">
      <c r="A26" s="21" t="s">
        <v>61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</row>
    <row r="27" customFormat="false" ht="15" hidden="false" customHeight="true" outlineLevel="0" collapsed="false">
      <c r="A27" s="22" t="s">
        <v>62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</row>
    <row r="28" customFormat="false" ht="15" hidden="false" customHeight="true" outlineLevel="0" collapsed="false">
      <c r="A28" s="5" t="s">
        <v>3</v>
      </c>
      <c r="B28" s="5" t="s">
        <v>63</v>
      </c>
      <c r="C28" s="5" t="s">
        <v>64</v>
      </c>
      <c r="D28" s="5" t="s">
        <v>54</v>
      </c>
      <c r="E28" s="5" t="s">
        <v>38</v>
      </c>
    </row>
    <row r="29" customFormat="false" ht="15" hidden="false" customHeight="true" outlineLevel="0" collapsed="false">
      <c r="A29" s="6" t="s">
        <v>13</v>
      </c>
      <c r="B29" s="20" t="n">
        <f aca="false">E17</f>
        <v>0.859935661764706</v>
      </c>
      <c r="C29" s="20" t="n">
        <f aca="false">'Input Data'!G18</f>
        <v>0.0085</v>
      </c>
      <c r="D29" s="15" t="n">
        <f aca="false">B29*C29*10000</f>
        <v>73.09453125</v>
      </c>
      <c r="E29" s="23" t="n">
        <f aca="false">B29*C29*10000</f>
        <v>73.09453125</v>
      </c>
    </row>
    <row r="30" customFormat="false" ht="15" hidden="false" customHeight="true" outlineLevel="0" collapsed="false">
      <c r="A30" s="6" t="s">
        <v>15</v>
      </c>
      <c r="B30" s="20" t="n">
        <f aca="false">E18</f>
        <v>0.0619463607072042</v>
      </c>
      <c r="C30" s="20" t="n">
        <f aca="false">'Input Data'!G19</f>
        <v>0.012</v>
      </c>
      <c r="D30" s="15" t="n">
        <f aca="false">B30*C30*10000</f>
        <v>7.43356328486451</v>
      </c>
      <c r="E30" s="23" t="n">
        <f aca="false">B30*C30*10000</f>
        <v>7.43356328486451</v>
      </c>
    </row>
    <row r="31" customFormat="false" ht="15" hidden="false" customHeight="true" outlineLevel="0" collapsed="false">
      <c r="A31" s="6" t="s">
        <v>17</v>
      </c>
      <c r="B31" s="20" t="n">
        <f aca="false">E19</f>
        <v>0.0368014094807526</v>
      </c>
      <c r="C31" s="20" t="n">
        <f aca="false">'Input Data'!G20</f>
        <v>0.015</v>
      </c>
      <c r="D31" s="15" t="n">
        <f aca="false">B31*C31*10000</f>
        <v>5.52021142211289</v>
      </c>
      <c r="E31" s="23" t="n">
        <f aca="false">B31*C31*10000</f>
        <v>5.52021142211289</v>
      </c>
    </row>
    <row r="32" customFormat="false" ht="15" hidden="false" customHeight="true" outlineLevel="0" collapsed="false">
      <c r="A32" s="6" t="s">
        <v>18</v>
      </c>
      <c r="B32" s="20" t="n">
        <f aca="false">E20</f>
        <v>0.0203755568113822</v>
      </c>
      <c r="C32" s="20" t="n">
        <f aca="false">'Input Data'!G21</f>
        <v>0.018</v>
      </c>
      <c r="D32" s="15" t="n">
        <f aca="false">B32*C32*10000</f>
        <v>3.6676002260488</v>
      </c>
      <c r="E32" s="23" t="n">
        <f aca="false">B32*C32*10000</f>
        <v>3.6676002260488</v>
      </c>
    </row>
    <row r="33" customFormat="false" ht="15" hidden="false" customHeight="true" outlineLevel="0" collapsed="false">
      <c r="A33" s="6" t="s">
        <v>20</v>
      </c>
      <c r="B33" s="20" t="n">
        <f aca="false">E21</f>
        <v>0.00888621671540711</v>
      </c>
      <c r="C33" s="20" t="n">
        <f aca="false">'Input Data'!G22</f>
        <v>0.0275</v>
      </c>
      <c r="D33" s="15" t="n">
        <f aca="false">B33*C33*10000</f>
        <v>2.44370959673696</v>
      </c>
      <c r="E33" s="23" t="n">
        <f aca="false">B33*C33*10000</f>
        <v>2.44370959673696</v>
      </c>
    </row>
    <row r="34" customFormat="false" ht="15" hidden="false" customHeight="true" outlineLevel="0" collapsed="false">
      <c r="A34" s="6" t="s">
        <v>22</v>
      </c>
      <c r="B34" s="20" t="n">
        <f aca="false">E22</f>
        <v>0.00960024906600249</v>
      </c>
      <c r="C34" s="20" t="n">
        <f aca="false">'Input Data'!G23</f>
        <v>0.05</v>
      </c>
      <c r="D34" s="15" t="n">
        <f aca="false">B34*C34*10000</f>
        <v>4.80012453300125</v>
      </c>
      <c r="E34" s="23" t="n">
        <f aca="false">B34*C34*10000</f>
        <v>4.80012453300125</v>
      </c>
    </row>
    <row r="35" customFormat="false" ht="15" hidden="false" customHeight="true" outlineLevel="0" collapsed="false">
      <c r="A35" s="6" t="s">
        <v>23</v>
      </c>
      <c r="B35" s="20" t="n">
        <f aca="false">E23</f>
        <v>0.00245454545454545</v>
      </c>
      <c r="C35" s="7" t="n">
        <v>0.065</v>
      </c>
      <c r="D35" s="15" t="n">
        <f aca="false">B35*C35*10000</f>
        <v>1.59545454545455</v>
      </c>
      <c r="E35" s="23" t="n">
        <f aca="false">B35*C35*10000</f>
        <v>1.59545454545455</v>
      </c>
    </row>
    <row r="36" customFormat="false" ht="15" hidden="false" customHeight="true" outlineLevel="0" collapsed="false">
      <c r="A36" s="12" t="s">
        <v>60</v>
      </c>
      <c r="B36" s="13" t="n">
        <f aca="false">SUM(B29:B35)</f>
        <v>1</v>
      </c>
      <c r="D36" s="18" t="n">
        <f aca="false">SUM(D29:D35)</f>
        <v>98.555194858219</v>
      </c>
    </row>
    <row r="38" customFormat="false" ht="15" hidden="false" customHeight="true" outlineLevel="0" collapsed="false">
      <c r="A38" s="4" t="s">
        <v>65</v>
      </c>
      <c r="B38" s="4"/>
      <c r="C38" s="4"/>
      <c r="D38" s="4"/>
      <c r="E38" s="4"/>
      <c r="F38" s="4"/>
      <c r="G38" s="4"/>
      <c r="H38" s="4"/>
      <c r="I38" s="4"/>
      <c r="J38" s="4"/>
      <c r="K38" s="4"/>
    </row>
    <row r="39" customFormat="false" ht="15" hidden="false" customHeight="true" outlineLevel="0" collapsed="false">
      <c r="A39" s="5" t="s">
        <v>66</v>
      </c>
      <c r="B39" s="5" t="s">
        <v>67</v>
      </c>
      <c r="C39" s="5" t="s">
        <v>68</v>
      </c>
      <c r="D39" s="5" t="s">
        <v>69</v>
      </c>
      <c r="E39" s="5" t="s">
        <v>36</v>
      </c>
      <c r="F39" s="5" t="s">
        <v>37</v>
      </c>
      <c r="G39" s="5" t="s">
        <v>70</v>
      </c>
      <c r="H39" s="5" t="s">
        <v>71</v>
      </c>
    </row>
    <row r="40" customFormat="false" ht="15" hidden="false" customHeight="true" outlineLevel="0" collapsed="false">
      <c r="A40" s="6" t="s">
        <v>72</v>
      </c>
      <c r="B40" s="6" t="s">
        <v>73</v>
      </c>
      <c r="C40" s="6" t="s">
        <v>74</v>
      </c>
      <c r="D40" s="6" t="s">
        <v>74</v>
      </c>
      <c r="E40" s="6" t="s">
        <v>75</v>
      </c>
      <c r="F40" s="19" t="n">
        <f aca="false">B6</f>
        <v>91.5825</v>
      </c>
      <c r="G40" s="25" t="s">
        <v>25</v>
      </c>
      <c r="H40" s="25" t="s">
        <v>25</v>
      </c>
    </row>
    <row r="41" customFormat="false" ht="15" hidden="false" customHeight="true" outlineLevel="0" collapsed="false">
      <c r="A41" s="6" t="s">
        <v>76</v>
      </c>
      <c r="B41" s="6" t="s">
        <v>77</v>
      </c>
      <c r="C41" s="6" t="s">
        <v>78</v>
      </c>
      <c r="D41" s="6" t="s">
        <v>74</v>
      </c>
      <c r="E41" s="6" t="s">
        <v>79</v>
      </c>
      <c r="F41" s="15" t="n">
        <f aca="false">G24</f>
        <v>93.2127599264627</v>
      </c>
      <c r="G41" s="15" t="n">
        <f aca="false">F41-F40</f>
        <v>1.63025992646266</v>
      </c>
      <c r="H41" s="15" t="n">
        <f aca="false">F41-F40</f>
        <v>1.63025992646266</v>
      </c>
    </row>
    <row r="42" customFormat="false" ht="15" hidden="false" customHeight="true" outlineLevel="0" collapsed="false">
      <c r="A42" s="6" t="s">
        <v>80</v>
      </c>
      <c r="B42" s="6" t="s">
        <v>81</v>
      </c>
      <c r="C42" s="6" t="s">
        <v>78</v>
      </c>
      <c r="D42" s="6" t="s">
        <v>78</v>
      </c>
      <c r="E42" s="6" t="s">
        <v>79</v>
      </c>
      <c r="F42" s="15" t="n">
        <f aca="false">D36</f>
        <v>98.555194858219</v>
      </c>
      <c r="G42" s="15" t="n">
        <f aca="false">F42-F41</f>
        <v>5.3424349317563</v>
      </c>
      <c r="H42" s="15" t="n">
        <f aca="false">F42-F40</f>
        <v>6.97269485821896</v>
      </c>
    </row>
    <row r="43" customFormat="false" ht="15" hidden="false" customHeight="true" outlineLevel="0" collapsed="false">
      <c r="A43" s="6" t="s">
        <v>82</v>
      </c>
      <c r="B43" s="6" t="s">
        <v>83</v>
      </c>
      <c r="C43" s="6" t="s">
        <v>78</v>
      </c>
      <c r="D43" s="6" t="s">
        <v>78</v>
      </c>
      <c r="E43" s="6" t="s">
        <v>84</v>
      </c>
      <c r="F43" s="15" t="n">
        <f aca="false">B7</f>
        <v>96.2125</v>
      </c>
      <c r="G43" s="15" t="n">
        <f aca="false">F43-F42</f>
        <v>-2.34269485821893</v>
      </c>
      <c r="H43" s="15" t="n">
        <f aca="false">F43-F40</f>
        <v>4.63000000000002</v>
      </c>
    </row>
  </sheetData>
  <mergeCells count="9">
    <mergeCell ref="A1:K1"/>
    <mergeCell ref="A2:K2"/>
    <mergeCell ref="A4:K4"/>
    <mergeCell ref="A10:K10"/>
    <mergeCell ref="A14:K14"/>
    <mergeCell ref="A15:K15"/>
    <mergeCell ref="A26:K26"/>
    <mergeCell ref="A27:K27"/>
    <mergeCell ref="A38:K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4" min="3" style="1" width="12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25"/>
  </cols>
  <sheetData>
    <row r="1" customFormat="false" ht="17.25" hidden="false" customHeight="true" outlineLevel="0" collapsed="false">
      <c r="A1" s="2" t="s">
        <v>85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86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87</v>
      </c>
      <c r="B4" s="4"/>
      <c r="C4" s="4"/>
      <c r="D4" s="4"/>
      <c r="E4" s="4"/>
      <c r="F4" s="4"/>
      <c r="G4" s="4"/>
      <c r="H4" s="4"/>
    </row>
    <row r="5" customFormat="false" ht="23.25" hidden="false" customHeight="true" outlineLevel="0" collapsed="false">
      <c r="A5" s="5" t="s">
        <v>3</v>
      </c>
      <c r="B5" s="5" t="s">
        <v>4</v>
      </c>
      <c r="C5" s="5" t="s">
        <v>88</v>
      </c>
      <c r="D5" s="5" t="s">
        <v>89</v>
      </c>
      <c r="E5" s="5" t="s">
        <v>90</v>
      </c>
      <c r="F5" s="5" t="s">
        <v>91</v>
      </c>
      <c r="G5" s="5" t="s">
        <v>92</v>
      </c>
      <c r="H5" s="5" t="s">
        <v>93</v>
      </c>
    </row>
    <row r="6" customFormat="false" ht="15" hidden="false" customHeight="true" outlineLevel="0" collapsed="false">
      <c r="A6" s="6" t="s">
        <v>13</v>
      </c>
      <c r="B6" s="26" t="str">
        <f aca="false">'Input Data'!B18</f>
        <v>AAA</v>
      </c>
      <c r="C6" s="20" t="n">
        <f aca="false">'Input Data'!I6</f>
        <v>0.0112591911764706</v>
      </c>
      <c r="D6" s="20" t="n">
        <f aca="false">'Input Data'!I18</f>
        <v>0.0107315112540193</v>
      </c>
      <c r="E6" s="27" t="n">
        <f aca="false">C6-D6</f>
        <v>0.000527679922451292</v>
      </c>
      <c r="F6" s="19" t="n">
        <f aca="false">'Input Data'!H18</f>
        <v>12.44</v>
      </c>
      <c r="G6" s="27" t="n">
        <f aca="false">E6*F6</f>
        <v>0.00656433823529407</v>
      </c>
      <c r="H6" s="11" t="s">
        <v>94</v>
      </c>
    </row>
    <row r="7" customFormat="false" ht="15" hidden="false" customHeight="true" outlineLevel="0" collapsed="false">
      <c r="A7" s="6" t="s">
        <v>15</v>
      </c>
      <c r="B7" s="26" t="str">
        <f aca="false">'Input Data'!B19</f>
        <v>AA</v>
      </c>
      <c r="C7" s="20" t="n">
        <f aca="false">'Input Data'!I7</f>
        <v>0.0108346709470305</v>
      </c>
      <c r="D7" s="20" t="n">
        <f aca="false">'Input Data'!I19</f>
        <v>0.0110957004160888</v>
      </c>
      <c r="E7" s="10" t="n">
        <f aca="false">C7-D7</f>
        <v>-0.000261029469058269</v>
      </c>
      <c r="F7" s="19" t="n">
        <f aca="false">'Input Data'!H19</f>
        <v>7.21</v>
      </c>
      <c r="G7" s="10" t="n">
        <f aca="false">E7*F7</f>
        <v>-0.00188202247191012</v>
      </c>
      <c r="H7" s="11" t="s">
        <v>95</v>
      </c>
    </row>
    <row r="8" customFormat="false" ht="15" hidden="false" customHeight="true" outlineLevel="0" collapsed="false">
      <c r="A8" s="6" t="s">
        <v>17</v>
      </c>
      <c r="B8" s="26" t="str">
        <f aca="false">'Input Data'!B20</f>
        <v>A</v>
      </c>
      <c r="C8" s="20" t="n">
        <f aca="false">'Input Data'!I8</f>
        <v>0.0103550295857988</v>
      </c>
      <c r="D8" s="20" t="n">
        <f aca="false">'Input Data'!I20</f>
        <v>0.00902255639097744</v>
      </c>
      <c r="E8" s="27" t="n">
        <f aca="false">C8-D8</f>
        <v>0.00133247319482138</v>
      </c>
      <c r="F8" s="19" t="n">
        <f aca="false">'Input Data'!H20</f>
        <v>3.99</v>
      </c>
      <c r="G8" s="27" t="n">
        <f aca="false">E8*F8</f>
        <v>0.00531656804733729</v>
      </c>
      <c r="H8" s="11" t="s">
        <v>96</v>
      </c>
    </row>
    <row r="9" customFormat="false" ht="15" hidden="false" customHeight="true" outlineLevel="0" collapsed="false">
      <c r="A9" s="6" t="s">
        <v>18</v>
      </c>
      <c r="B9" s="26" t="str">
        <f aca="false">'Input Data'!B21</f>
        <v>BBB</v>
      </c>
      <c r="C9" s="20" t="n">
        <f aca="false">'Input Data'!I9</f>
        <v>0.00983146067415731</v>
      </c>
      <c r="D9" s="20" t="n">
        <f aca="false">'Input Data'!I21</f>
        <v>0.00845070422535211</v>
      </c>
      <c r="E9" s="27" t="n">
        <f aca="false">C9-D9</f>
        <v>0.00138075644880519</v>
      </c>
      <c r="F9" s="19" t="n">
        <f aca="false">'Input Data'!H21</f>
        <v>2.13</v>
      </c>
      <c r="G9" s="27" t="n">
        <f aca="false">E9*F9</f>
        <v>0.00294101123595506</v>
      </c>
      <c r="H9" s="11" t="s">
        <v>97</v>
      </c>
    </row>
    <row r="10" customFormat="false" ht="15" hidden="false" customHeight="true" outlineLevel="0" collapsed="false">
      <c r="A10" s="6" t="s">
        <v>20</v>
      </c>
      <c r="B10" s="26" t="str">
        <f aca="false">'Input Data'!B22</f>
        <v>BB</v>
      </c>
      <c r="C10" s="20" t="n">
        <f aca="false">'Input Data'!I10</f>
        <v>0.0136986301369863</v>
      </c>
      <c r="D10" s="20" t="n">
        <f aca="false">'Input Data'!I22</f>
        <v>0.00681818181818182</v>
      </c>
      <c r="E10" s="27" t="n">
        <f aca="false">C10-D10</f>
        <v>0.00688044831880448</v>
      </c>
      <c r="F10" s="19" t="n">
        <f aca="false">'Input Data'!H22</f>
        <v>0.88</v>
      </c>
      <c r="G10" s="27" t="n">
        <f aca="false">E10*F10</f>
        <v>0.00605479452054795</v>
      </c>
      <c r="H10" s="11" t="s">
        <v>98</v>
      </c>
    </row>
    <row r="11" customFormat="false" ht="15" hidden="false" customHeight="true" outlineLevel="0" collapsed="false">
      <c r="A11" s="6" t="s">
        <v>22</v>
      </c>
      <c r="B11" s="26" t="str">
        <f aca="false">'Input Data'!B23</f>
        <v>B</v>
      </c>
      <c r="C11" s="20" t="n">
        <f aca="false">'Input Data'!I11</f>
        <v>0.00454545454545455</v>
      </c>
      <c r="D11" s="20" t="n">
        <f aca="false">'Input Data'!I23</f>
        <v>0</v>
      </c>
      <c r="E11" s="27" t="n">
        <f aca="false">C11-D11</f>
        <v>0.00454545454545455</v>
      </c>
      <c r="F11" s="19" t="n">
        <f aca="false">'Input Data'!H23</f>
        <v>0.54</v>
      </c>
      <c r="G11" s="27" t="n">
        <f aca="false">E11*F11</f>
        <v>0.00245454545454545</v>
      </c>
      <c r="H11" s="11" t="s">
        <v>99</v>
      </c>
    </row>
    <row r="12" customFormat="false" ht="15" hidden="false" customHeight="true" outlineLevel="0" collapsed="false">
      <c r="A12" s="28" t="s">
        <v>100</v>
      </c>
      <c r="G12" s="29" t="n">
        <f aca="false">SUM(G6:G11)</f>
        <v>0.0214492350217697</v>
      </c>
    </row>
    <row r="14" customFormat="false" ht="15" hidden="false" customHeight="true" outlineLevel="0" collapsed="false">
      <c r="A14" s="4" t="s">
        <v>101</v>
      </c>
      <c r="B14" s="4"/>
      <c r="C14" s="4"/>
      <c r="D14" s="4"/>
      <c r="E14" s="4"/>
      <c r="F14" s="4"/>
      <c r="G14" s="4"/>
      <c r="H14" s="4"/>
    </row>
    <row r="15" customFormat="false" ht="15" hidden="false" customHeight="true" outlineLevel="0" collapsed="false">
      <c r="A15" s="30" t="s">
        <v>102</v>
      </c>
      <c r="B15" s="30"/>
      <c r="C15" s="30"/>
      <c r="D15" s="30"/>
      <c r="E15" s="30"/>
      <c r="F15" s="30"/>
      <c r="G15" s="30"/>
      <c r="H15" s="30"/>
    </row>
    <row r="16" customFormat="false" ht="15" hidden="false" customHeight="true" outlineLevel="0" collapsed="false">
      <c r="A16" s="30" t="s">
        <v>103</v>
      </c>
      <c r="B16" s="30"/>
      <c r="C16" s="30"/>
      <c r="D16" s="30"/>
      <c r="E16" s="30"/>
      <c r="F16" s="30"/>
      <c r="G16" s="30"/>
      <c r="H16" s="30"/>
    </row>
    <row r="17" customFormat="false" ht="15" hidden="false" customHeight="true" outlineLevel="0" collapsed="false">
      <c r="A17" s="30" t="s">
        <v>104</v>
      </c>
      <c r="B17" s="30"/>
      <c r="C17" s="30"/>
      <c r="D17" s="30"/>
      <c r="E17" s="30"/>
      <c r="F17" s="30"/>
      <c r="G17" s="30"/>
      <c r="H17" s="30"/>
    </row>
    <row r="18" customFormat="false" ht="15" hidden="false" customHeight="true" outlineLevel="0" collapsed="false">
      <c r="A18" s="30" t="s">
        <v>105</v>
      </c>
      <c r="B18" s="30"/>
      <c r="C18" s="30"/>
      <c r="D18" s="30"/>
      <c r="E18" s="30"/>
      <c r="F18" s="30"/>
      <c r="G18" s="30"/>
      <c r="H18" s="30"/>
    </row>
    <row r="19" customFormat="false" ht="15" hidden="false" customHeight="true" outlineLevel="0" collapsed="false">
      <c r="A19" s="30" t="s">
        <v>106</v>
      </c>
      <c r="B19" s="30"/>
      <c r="C19" s="30"/>
      <c r="D19" s="30"/>
      <c r="E19" s="30"/>
      <c r="F19" s="30"/>
      <c r="G19" s="30"/>
      <c r="H19" s="30"/>
    </row>
  </sheetData>
  <mergeCells count="9">
    <mergeCell ref="A1:H1"/>
    <mergeCell ref="A2:H2"/>
    <mergeCell ref="A4:H4"/>
    <mergeCell ref="A14:H14"/>
    <mergeCell ref="A15:H15"/>
    <mergeCell ref="A16:H16"/>
    <mergeCell ref="A17:H17"/>
    <mergeCell ref="A18:H18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20"/>
  </cols>
  <sheetData>
    <row r="1" customFormat="false" ht="17.25" hidden="false" customHeight="true" outlineLevel="0" collapsed="false">
      <c r="A1" s="2" t="s">
        <v>107</v>
      </c>
      <c r="B1" s="2"/>
      <c r="C1" s="2"/>
      <c r="D1" s="2"/>
      <c r="E1" s="2"/>
    </row>
    <row r="3" customFormat="false" ht="15" hidden="false" customHeight="true" outlineLevel="0" collapsed="false">
      <c r="A3" s="4" t="s">
        <v>108</v>
      </c>
      <c r="B3" s="4"/>
      <c r="C3" s="4"/>
      <c r="D3" s="4"/>
      <c r="E3" s="4"/>
    </row>
    <row r="4" customFormat="false" ht="15" hidden="false" customHeight="true" outlineLevel="0" collapsed="false">
      <c r="A4" s="17" t="s">
        <v>109</v>
      </c>
      <c r="B4" s="17" t="s">
        <v>110</v>
      </c>
      <c r="C4" s="17" t="s">
        <v>111</v>
      </c>
      <c r="D4" s="17" t="s">
        <v>112</v>
      </c>
      <c r="E4" s="17" t="s">
        <v>38</v>
      </c>
    </row>
    <row r="5" customFormat="false" ht="15" hidden="false" customHeight="true" outlineLevel="0" collapsed="false">
      <c r="A5" s="12" t="s">
        <v>113</v>
      </c>
      <c r="B5" s="18" t="n">
        <f aca="false">Calculations!F40</f>
        <v>91.5825</v>
      </c>
      <c r="C5" s="25" t="s">
        <v>25</v>
      </c>
      <c r="D5" s="18" t="n">
        <f aca="false">B5</f>
        <v>91.5825</v>
      </c>
      <c r="E5" s="11" t="s">
        <v>114</v>
      </c>
    </row>
    <row r="6" customFormat="false" ht="15" hidden="false" customHeight="true" outlineLevel="0" collapsed="false">
      <c r="A6" s="6" t="s">
        <v>115</v>
      </c>
      <c r="B6" s="15" t="n">
        <f aca="false">Calculations!G41</f>
        <v>1.63025992646266</v>
      </c>
      <c r="C6" s="31" t="n">
        <f aca="false">B6/B9</f>
        <v>0.352107975477894</v>
      </c>
      <c r="D6" s="15" t="n">
        <f aca="false">B5+B6</f>
        <v>93.2127599264627</v>
      </c>
      <c r="E6" s="11" t="s">
        <v>116</v>
      </c>
    </row>
    <row r="7" customFormat="false" ht="15" hidden="false" customHeight="true" outlineLevel="0" collapsed="false">
      <c r="A7" s="6" t="s">
        <v>117</v>
      </c>
      <c r="B7" s="15" t="n">
        <f aca="false">Calculations!G42</f>
        <v>5.3424349317563</v>
      </c>
      <c r="C7" s="31" t="n">
        <f aca="false">B7/B9</f>
        <v>1.15387363536853</v>
      </c>
      <c r="D7" s="15" t="n">
        <f aca="false">D6+B7</f>
        <v>98.555194858219</v>
      </c>
      <c r="E7" s="11" t="s">
        <v>118</v>
      </c>
    </row>
    <row r="8" customFormat="false" ht="15" hidden="false" customHeight="true" outlineLevel="0" collapsed="false">
      <c r="A8" s="6" t="s">
        <v>119</v>
      </c>
      <c r="B8" s="32" t="n">
        <f aca="false">Calculations!G43</f>
        <v>-2.34269485821893</v>
      </c>
      <c r="C8" s="31" t="n">
        <f aca="false">B8/B9</f>
        <v>-0.50598161084642</v>
      </c>
      <c r="D8" s="15" t="n">
        <f aca="false">D7+B8</f>
        <v>96.2125</v>
      </c>
      <c r="E8" s="11" t="s">
        <v>120</v>
      </c>
    </row>
    <row r="9" customFormat="false" ht="15" hidden="false" customHeight="true" outlineLevel="0" collapsed="false">
      <c r="A9" s="12" t="s">
        <v>121</v>
      </c>
      <c r="B9" s="18" t="n">
        <f aca="false">Calculations!H43</f>
        <v>4.63000000000002</v>
      </c>
      <c r="C9" s="33" t="s">
        <v>122</v>
      </c>
      <c r="D9" s="18" t="n">
        <f aca="false">Calculations!F43</f>
        <v>96.2125</v>
      </c>
      <c r="E9" s="11" t="s">
        <v>123</v>
      </c>
    </row>
    <row r="11" customFormat="false" ht="15" hidden="false" customHeight="true" outlineLevel="0" collapsed="false">
      <c r="A11" s="4" t="s">
        <v>124</v>
      </c>
      <c r="B11" s="4"/>
      <c r="C11" s="4"/>
      <c r="D11" s="4"/>
      <c r="E11" s="4"/>
    </row>
    <row r="12" customFormat="false" ht="15" hidden="false" customHeight="true" outlineLevel="0" collapsed="false">
      <c r="A12" s="6" t="s">
        <v>125</v>
      </c>
      <c r="B12" s="15" t="n">
        <f aca="false">ABS(B8)</f>
        <v>2.34269485821893</v>
      </c>
      <c r="E12" s="11" t="n">
        <f aca="false">ABS(B8)</f>
        <v>2.34269485821893</v>
      </c>
    </row>
    <row r="13" customFormat="false" ht="15" hidden="false" customHeight="true" outlineLevel="0" collapsed="false">
      <c r="A13" s="6" t="s">
        <v>126</v>
      </c>
      <c r="B13" s="34" t="n">
        <f aca="false">'Input Data'!E24</f>
        <v>391149000</v>
      </c>
      <c r="E13" s="11" t="s">
        <v>127</v>
      </c>
    </row>
    <row r="14" customFormat="false" ht="15" hidden="false" customHeight="true" outlineLevel="0" collapsed="false">
      <c r="A14" s="35" t="s">
        <v>128</v>
      </c>
      <c r="B14" s="36" t="n">
        <f aca="false">B13*(B12/10000)</f>
        <v>91634.2751097478</v>
      </c>
      <c r="E14" s="11" t="s">
        <v>129</v>
      </c>
    </row>
  </sheetData>
  <mergeCells count="3">
    <mergeCell ref="A1:E1"/>
    <mergeCell ref="A3:E3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2026-01-27T12:13:53Z</dcterms:created>
  <dc:creator>openpyxl</dc:creator>
  <dc:description/>
  <dc:language>en-US</dc:language>
  <cp:lastModifiedBy/>
  <dcterms:modified xsi:type="dcterms:W3CDTF">2026-01-27T12:14:26Z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