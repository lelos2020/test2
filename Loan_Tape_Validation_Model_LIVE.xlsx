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Loan_Tape_Input" sheetId="2" r:id="rId2"/>
    <sheet name="Validation_Results" sheetId="3" r:id="rId3"/>
    <sheet name="Validation_Summary" sheetId="4" r:id="rId4"/>
  </sheets>
  <definedNames>
    <definedName name="Param_LTV_Tol">Parameters!$B$6</definedName>
    <definedName name="Param_MaxDTI">Parameters!$B$10</definedName>
    <definedName name="Param_MaxOrigLTV">Parameters!$B$4</definedName>
    <definedName name="Param_MinDSCR">Parameters!$B$11</definedName>
    <definedName name="Param_Rate_Tol">Parameters!$B$9</definedName>
  </definedNames>
  <calcPr calcId="124519" fullCalcOnLoad="1"/>
</workbook>
</file>

<file path=xl/sharedStrings.xml><?xml version="1.0" encoding="utf-8"?>
<sst xmlns="http://schemas.openxmlformats.org/spreadsheetml/2006/main" count="237" uniqueCount="139">
  <si>
    <t>VALIDATION PARAMETERS - CONFIGURE THRESHOLDS HERE</t>
  </si>
  <si>
    <t>Parameter</t>
  </si>
  <si>
    <t>Value</t>
  </si>
  <si>
    <t>Notes</t>
  </si>
  <si>
    <t>Max_Orig_LTV_Prime</t>
  </si>
  <si>
    <t>Above requires MIG</t>
  </si>
  <si>
    <t>Max_Orig_LTV_Overall</t>
  </si>
  <si>
    <t>Hard limit</t>
  </si>
  <si>
    <t>Min_Orig_LTV</t>
  </si>
  <si>
    <t>Very low - check second lien</t>
  </si>
  <si>
    <t>LTV_Calc_Tolerance</t>
  </si>
  <si>
    <t>Rounding tolerance %</t>
  </si>
  <si>
    <t>Min_Rate</t>
  </si>
  <si>
    <t>Below is unusual</t>
  </si>
  <si>
    <t>Max_Rate_Overall</t>
  </si>
  <si>
    <t>Sub-prime maximum</t>
  </si>
  <si>
    <t>Rate_Calc_Tolerance</t>
  </si>
  <si>
    <t>Index+Margin vs Current Rate</t>
  </si>
  <si>
    <t>Max_DTI</t>
  </si>
  <si>
    <t>Overall DTI limit %</t>
  </si>
  <si>
    <t>Min_BTL_DSCR</t>
  </si>
  <si>
    <t>Below is negative cash flow</t>
  </si>
  <si>
    <t>Min_Term_Months</t>
  </si>
  <si>
    <t>5 years minimum</t>
  </si>
  <si>
    <t>Max_Term_Months</t>
  </si>
  <si>
    <t>40 years maximum</t>
  </si>
  <si>
    <t>AR1_Cutoff</t>
  </si>
  <si>
    <t>AR3_LoanID</t>
  </si>
  <si>
    <t>AR19_NumDebt</t>
  </si>
  <si>
    <t>AR26_Income1</t>
  </si>
  <si>
    <t>AR27_IncomeVerif</t>
  </si>
  <si>
    <t>AR36_Bankrupt</t>
  </si>
  <si>
    <t>AR46_BureauScore</t>
  </si>
  <si>
    <t>AR55_Orig</t>
  </si>
  <si>
    <t>AR56_Maturity</t>
  </si>
  <si>
    <t>AR61_Term</t>
  </si>
  <si>
    <t>AR66_OrigBal</t>
  </si>
  <si>
    <t>AR67_CurrBal</t>
  </si>
  <si>
    <t>AR69_RepayMethod</t>
  </si>
  <si>
    <t>AR70_PayFreq</t>
  </si>
  <si>
    <t>AR71_PayDue</t>
  </si>
  <si>
    <t>AR73_DTI</t>
  </si>
  <si>
    <t>AR84_Lien</t>
  </si>
  <si>
    <t>AR107_RateType</t>
  </si>
  <si>
    <t>AR108_RateIndex</t>
  </si>
  <si>
    <t>AR109_CurrRate</t>
  </si>
  <si>
    <t>AR110_Margin</t>
  </si>
  <si>
    <t>AR122_Restruc</t>
  </si>
  <si>
    <t>AR130_Occupancy</t>
  </si>
  <si>
    <t>AR135_OrigLTV</t>
  </si>
  <si>
    <t>AR136_OrigVal</t>
  </si>
  <si>
    <t>AR141_CurrLTV</t>
  </si>
  <si>
    <t>AR143_CurrVal</t>
  </si>
  <si>
    <t>AR154_Rental</t>
  </si>
  <si>
    <t>AR155_NumBTL</t>
  </si>
  <si>
    <t>AR156_DSCR</t>
  </si>
  <si>
    <t>AR166_Status</t>
  </si>
  <si>
    <t>AR169_ArrBal</t>
  </si>
  <si>
    <t>AR170_MonthsArr</t>
  </si>
  <si>
    <t>AR177_Default</t>
  </si>
  <si>
    <t>AR189_Employ2</t>
  </si>
  <si>
    <t>AR207_BureauScore2</t>
  </si>
  <si>
    <t>2024-11-30</t>
  </si>
  <si>
    <t>LOAN001</t>
  </si>
  <si>
    <t>Full</t>
  </si>
  <si>
    <t>No</t>
  </si>
  <si>
    <t>2020-01-15</t>
  </si>
  <si>
    <t>2045-01-15</t>
  </si>
  <si>
    <t>Repayment</t>
  </si>
  <si>
    <t>Monthly</t>
  </si>
  <si>
    <t>First</t>
  </si>
  <si>
    <t>Fixed</t>
  </si>
  <si>
    <t>Owner Occupied</t>
  </si>
  <si>
    <t>Current</t>
  </si>
  <si>
    <t>LOAN002</t>
  </si>
  <si>
    <t>Basic</t>
  </si>
  <si>
    <t>2019-06-20</t>
  </si>
  <si>
    <t>2044-06-20</t>
  </si>
  <si>
    <t>Interest Only</t>
  </si>
  <si>
    <t>Variable</t>
  </si>
  <si>
    <t>SONIA</t>
  </si>
  <si>
    <t>Buy-to-Let</t>
  </si>
  <si>
    <t>Employed</t>
  </si>
  <si>
    <t>LOAN003</t>
  </si>
  <si>
    <t>Yes</t>
  </si>
  <si>
    <t>2021-03-10</t>
  </si>
  <si>
    <t>2046-03-10</t>
  </si>
  <si>
    <t>Bullet</t>
  </si>
  <si>
    <t>Tracker</t>
  </si>
  <si>
    <t>BoE Base</t>
  </si>
  <si>
    <t>Arrears</t>
  </si>
  <si>
    <t>COMPREHENSIVE LOAN-LEVEL VALIDATION RESULTS</t>
  </si>
  <si>
    <t>Row</t>
  </si>
  <si>
    <t>LoanID</t>
  </si>
  <si>
    <t>Rule</t>
  </si>
  <si>
    <t>Description</t>
  </si>
  <si>
    <t>Severity</t>
  </si>
  <si>
    <t>Status</t>
  </si>
  <si>
    <t>Field1</t>
  </si>
  <si>
    <t>Val1</t>
  </si>
  <si>
    <t>Field2</t>
  </si>
  <si>
    <t>Val2</t>
  </si>
  <si>
    <t>Details</t>
  </si>
  <si>
    <t>R1.1</t>
  </si>
  <si>
    <t>Bullet must be Semi-Annual/Annual</t>
  </si>
  <si>
    <t>CRITICAL</t>
  </si>
  <si>
    <t>AR69</t>
  </si>
  <si>
    <t>AR70</t>
  </si>
  <si>
    <t>R2.1</t>
  </si>
  <si>
    <t>BTL: Rental&gt;0, NumBTL&gt;=1, DSCR&gt;=100</t>
  </si>
  <si>
    <t>AR130</t>
  </si>
  <si>
    <t>BTL Fields</t>
  </si>
  <si>
    <t>R6.1</t>
  </si>
  <si>
    <t>Orig LTV = (OrigBal/OrigVal)*100</t>
  </si>
  <si>
    <t>AR135</t>
  </si>
  <si>
    <t>Calculated</t>
  </si>
  <si>
    <t>R6.2</t>
  </si>
  <si>
    <t>Curr LTV = (CurrBal/CurrVal)*100</t>
  </si>
  <si>
    <t>AR141</t>
  </si>
  <si>
    <t>R5.1</t>
  </si>
  <si>
    <t>MonthsArr=0 then ArrBal=0</t>
  </si>
  <si>
    <t>AR170</t>
  </si>
  <si>
    <t>AR169</t>
  </si>
  <si>
    <t>R9.1</t>
  </si>
  <si>
    <t>Orig&lt;=Cutoff&lt;Maturity</t>
  </si>
  <si>
    <t>AR55</t>
  </si>
  <si>
    <t>AR56</t>
  </si>
  <si>
    <t>VALIDATION SUMMARY BY RULE</t>
  </si>
  <si>
    <t>Checks</t>
  </si>
  <si>
    <t>Pass</t>
  </si>
  <si>
    <t>Fail</t>
  </si>
  <si>
    <t>Fail_Rate</t>
  </si>
  <si>
    <t>Bullet repayment frequency</t>
  </si>
  <si>
    <t>BTL required fields</t>
  </si>
  <si>
    <t>Original LTV calculation</t>
  </si>
  <si>
    <t>Current LTV calculation</t>
  </si>
  <si>
    <t>Arrears consistency</t>
  </si>
  <si>
    <t>Date sequencing</t>
  </si>
  <si>
    <t>TOTAL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</si>
</sst>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4"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3" borderId="1" xfId="0" applyNumberFormat="1" applyFill="1" applyBorder="1"/>
    <xf numFmtId="0" fontId="3" fillId="4" borderId="1" xfId="0" applyFont="1" applyFill="1" applyBorder="1" applyAlignment="1">
      <alignment horizontal="center" vertical="center" wrapText="1"/>
    </xf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35.7109375" customWidth="1"/>
  </cols>
  <sheetData>
    <row r="1" spans="1:3">
      <c r="A1" s="1" t="s">
        <v>0</v>
      </c>
    </row>
    <row r="4" spans="1:3">
      <c r="A4" s="2" t="s">
        <v>1</v>
      </c>
      <c r="B4" s="2" t="s">
        <v>2</v>
      </c>
      <c r="C4" s="2" t="s">
        <v>3</v>
      </c>
    </row>
    <row r="5" spans="1:3">
      <c r="A5" t="s">
        <v>4</v>
      </c>
      <c r="B5" s="3">
        <v>80</v>
      </c>
      <c r="C5" t="s">
        <v>5</v>
      </c>
    </row>
    <row r="6" spans="1:3">
      <c r="A6" t="s">
        <v>6</v>
      </c>
      <c r="B6" s="3">
        <v>95</v>
      </c>
      <c r="C6" t="s">
        <v>7</v>
      </c>
    </row>
    <row r="7" spans="1:3">
      <c r="A7" t="s">
        <v>8</v>
      </c>
      <c r="B7" s="3">
        <v>10</v>
      </c>
      <c r="C7" t="s">
        <v>9</v>
      </c>
    </row>
    <row r="8" spans="1:3">
      <c r="A8" t="s">
        <v>10</v>
      </c>
      <c r="B8" s="3">
        <v>0.5</v>
      </c>
      <c r="C8" t="s">
        <v>11</v>
      </c>
    </row>
    <row r="9" spans="1:3">
      <c r="A9" t="s">
        <v>12</v>
      </c>
      <c r="B9" s="3">
        <v>0.5</v>
      </c>
      <c r="C9" t="s">
        <v>13</v>
      </c>
    </row>
    <row r="10" spans="1:3">
      <c r="A10" t="s">
        <v>14</v>
      </c>
      <c r="B10" s="3">
        <v>15</v>
      </c>
      <c r="C10" t="s">
        <v>15</v>
      </c>
    </row>
    <row r="11" spans="1:3">
      <c r="A11" t="s">
        <v>16</v>
      </c>
      <c r="B11" s="3">
        <v>0.25</v>
      </c>
      <c r="C11" t="s">
        <v>17</v>
      </c>
    </row>
    <row r="12" spans="1:3">
      <c r="A12" t="s">
        <v>18</v>
      </c>
      <c r="B12" s="3">
        <v>60</v>
      </c>
      <c r="C12" t="s">
        <v>19</v>
      </c>
    </row>
    <row r="13" spans="1:3">
      <c r="A13" t="s">
        <v>20</v>
      </c>
      <c r="B13" s="3">
        <v>100</v>
      </c>
      <c r="C13" t="s">
        <v>21</v>
      </c>
    </row>
    <row r="14" spans="1:3">
      <c r="A14" t="s">
        <v>22</v>
      </c>
      <c r="B14" s="3">
        <v>60</v>
      </c>
      <c r="C14" t="s">
        <v>23</v>
      </c>
    </row>
    <row r="15" spans="1:3">
      <c r="A15" t="s">
        <v>24</v>
      </c>
      <c r="B15" s="3">
        <v>480</v>
      </c>
      <c r="C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AD47"/>
  </sheetPr>
  <dimension ref="A1:AJ4"/>
  <sheetViews>
    <sheetView workbookViewId="0"/>
  </sheetViews>
  <sheetFormatPr defaultRowHeight="15"/>
  <cols>
    <col min="1" max="36" width="13.7109375" customWidth="1"/>
  </cols>
  <sheetData>
    <row r="1" spans="1:36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  <c r="V1" s="4" t="s">
        <v>47</v>
      </c>
      <c r="W1" s="4" t="s">
        <v>48</v>
      </c>
      <c r="X1" s="4" t="s">
        <v>49</v>
      </c>
      <c r="Y1" s="4" t="s">
        <v>50</v>
      </c>
      <c r="Z1" s="4" t="s">
        <v>51</v>
      </c>
      <c r="AA1" s="4" t="s">
        <v>52</v>
      </c>
      <c r="AB1" s="4" t="s">
        <v>53</v>
      </c>
      <c r="AC1" s="4" t="s">
        <v>54</v>
      </c>
      <c r="AD1" s="4" t="s">
        <v>55</v>
      </c>
      <c r="AE1" s="4" t="s">
        <v>56</v>
      </c>
      <c r="AF1" s="4" t="s">
        <v>57</v>
      </c>
      <c r="AG1" s="4" t="s">
        <v>58</v>
      </c>
      <c r="AH1" s="4" t="s">
        <v>59</v>
      </c>
      <c r="AI1" s="4" t="s">
        <v>60</v>
      </c>
      <c r="AJ1" s="4" t="s">
        <v>61</v>
      </c>
    </row>
    <row r="2" spans="1:36">
      <c r="A2" t="s">
        <v>62</v>
      </c>
      <c r="B2" t="s">
        <v>63</v>
      </c>
      <c r="C2">
        <v>1</v>
      </c>
      <c r="D2">
        <v>50000</v>
      </c>
      <c r="E2" t="s">
        <v>64</v>
      </c>
      <c r="F2" t="s">
        <v>65</v>
      </c>
      <c r="G2">
        <v>750</v>
      </c>
      <c r="H2" t="s">
        <v>66</v>
      </c>
      <c r="I2" t="s">
        <v>67</v>
      </c>
      <c r="J2">
        <v>300</v>
      </c>
      <c r="K2">
        <v>200000</v>
      </c>
      <c r="L2">
        <v>185000</v>
      </c>
      <c r="M2" t="s">
        <v>68</v>
      </c>
      <c r="N2" t="s">
        <v>69</v>
      </c>
      <c r="O2">
        <v>1200</v>
      </c>
      <c r="P2">
        <v>35</v>
      </c>
      <c r="Q2" t="s">
        <v>70</v>
      </c>
      <c r="R2" t="s">
        <v>71</v>
      </c>
      <c r="S2" t="s">
        <v>71</v>
      </c>
      <c r="T2">
        <v>3.5</v>
      </c>
      <c r="U2">
        <v>0</v>
      </c>
      <c r="V2" t="s">
        <v>65</v>
      </c>
      <c r="W2" t="s">
        <v>72</v>
      </c>
      <c r="X2">
        <v>75</v>
      </c>
      <c r="Y2">
        <v>266667</v>
      </c>
      <c r="Z2">
        <v>69</v>
      </c>
      <c r="AA2">
        <v>268000</v>
      </c>
      <c r="AB2">
        <v>0</v>
      </c>
      <c r="AC2">
        <v>0</v>
      </c>
      <c r="AD2">
        <v>0</v>
      </c>
      <c r="AE2" t="s">
        <v>73</v>
      </c>
      <c r="AF2">
        <v>0</v>
      </c>
      <c r="AG2">
        <v>0</v>
      </c>
      <c r="AH2" t="s">
        <v>65</v>
      </c>
      <c r="AJ2">
        <v>0</v>
      </c>
    </row>
    <row r="3" spans="1:36">
      <c r="A3" t="s">
        <v>62</v>
      </c>
      <c r="B3" t="s">
        <v>74</v>
      </c>
      <c r="C3">
        <v>2</v>
      </c>
      <c r="D3">
        <v>60000</v>
      </c>
      <c r="E3" t="s">
        <v>75</v>
      </c>
      <c r="F3" t="s">
        <v>65</v>
      </c>
      <c r="G3">
        <v>680</v>
      </c>
      <c r="H3" t="s">
        <v>76</v>
      </c>
      <c r="I3" t="s">
        <v>77</v>
      </c>
      <c r="J3">
        <v>300</v>
      </c>
      <c r="K3">
        <v>300000</v>
      </c>
      <c r="L3">
        <v>280000</v>
      </c>
      <c r="M3" t="s">
        <v>78</v>
      </c>
      <c r="N3" t="s">
        <v>69</v>
      </c>
      <c r="O3">
        <v>850</v>
      </c>
      <c r="P3">
        <v>40</v>
      </c>
      <c r="Q3" t="s">
        <v>70</v>
      </c>
      <c r="R3" t="s">
        <v>79</v>
      </c>
      <c r="S3" t="s">
        <v>80</v>
      </c>
      <c r="T3">
        <v>4.25</v>
      </c>
      <c r="U3">
        <v>1.5</v>
      </c>
      <c r="V3" t="s">
        <v>65</v>
      </c>
      <c r="W3" t="s">
        <v>81</v>
      </c>
      <c r="X3">
        <v>80</v>
      </c>
      <c r="Y3">
        <v>375000</v>
      </c>
      <c r="Z3">
        <v>74.7</v>
      </c>
      <c r="AA3">
        <v>375000</v>
      </c>
      <c r="AB3">
        <v>18000</v>
      </c>
      <c r="AC3">
        <v>2</v>
      </c>
      <c r="AD3">
        <v>127</v>
      </c>
      <c r="AE3" t="s">
        <v>73</v>
      </c>
      <c r="AF3">
        <v>0</v>
      </c>
      <c r="AG3">
        <v>0</v>
      </c>
      <c r="AH3" t="s">
        <v>65</v>
      </c>
      <c r="AI3" t="s">
        <v>82</v>
      </c>
      <c r="AJ3">
        <v>720</v>
      </c>
    </row>
    <row r="4" spans="1:36">
      <c r="A4" t="s">
        <v>62</v>
      </c>
      <c r="B4" t="s">
        <v>83</v>
      </c>
      <c r="C4">
        <v>1</v>
      </c>
      <c r="D4">
        <v>45000</v>
      </c>
      <c r="E4" t="s">
        <v>64</v>
      </c>
      <c r="F4" t="s">
        <v>84</v>
      </c>
      <c r="G4">
        <v>550</v>
      </c>
      <c r="H4" t="s">
        <v>85</v>
      </c>
      <c r="I4" t="s">
        <v>86</v>
      </c>
      <c r="J4">
        <v>300</v>
      </c>
      <c r="K4">
        <v>150000</v>
      </c>
      <c r="L4">
        <v>145000</v>
      </c>
      <c r="M4" t="s">
        <v>87</v>
      </c>
      <c r="N4" t="s">
        <v>69</v>
      </c>
      <c r="O4">
        <v>0</v>
      </c>
      <c r="P4">
        <v>30</v>
      </c>
      <c r="Q4" t="s">
        <v>70</v>
      </c>
      <c r="R4" t="s">
        <v>88</v>
      </c>
      <c r="S4" t="s">
        <v>89</v>
      </c>
      <c r="T4">
        <v>5.5</v>
      </c>
      <c r="U4">
        <v>2</v>
      </c>
      <c r="V4" t="s">
        <v>65</v>
      </c>
      <c r="W4" t="s">
        <v>72</v>
      </c>
      <c r="X4">
        <v>70</v>
      </c>
      <c r="Y4">
        <v>214286</v>
      </c>
      <c r="Z4">
        <v>67.8</v>
      </c>
      <c r="AA4">
        <v>214000</v>
      </c>
      <c r="AB4">
        <v>0</v>
      </c>
      <c r="AC4">
        <v>0</v>
      </c>
      <c r="AD4">
        <v>0</v>
      </c>
      <c r="AE4" t="s">
        <v>90</v>
      </c>
      <c r="AF4">
        <v>2400</v>
      </c>
      <c r="AG4">
        <v>2</v>
      </c>
      <c r="AH4" t="s">
        <v>65</v>
      </c>
      <c r="AJ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K20"/>
  <sheetViews>
    <sheetView workbookViewId="0"/>
  </sheetViews>
  <sheetFormatPr defaultRowHeight="15"/>
  <cols>
    <col min="1" max="1" width="6.7109375" customWidth="1"/>
    <col min="2" max="3" width="10.7109375" customWidth="1"/>
    <col min="4" max="4" width="35.7109375" customWidth="1"/>
    <col min="5" max="10" width="12.7109375" customWidth="1"/>
    <col min="11" max="11" width="40.7109375" customWidth="1"/>
  </cols>
  <sheetData>
    <row r="1" spans="1:11">
      <c r="A1" s="1" t="s">
        <v>91</v>
      </c>
    </row>
    <row r="2" spans="1:11">
      <c r="A2" s="4" t="s">
        <v>92</v>
      </c>
      <c r="B2" s="4" t="s">
        <v>93</v>
      </c>
      <c r="C2" s="4" t="s">
        <v>94</v>
      </c>
      <c r="D2" s="4" t="s">
        <v>95</v>
      </c>
      <c r="E2" s="4" t="s">
        <v>96</v>
      </c>
      <c r="F2" s="4" t="s">
        <v>97</v>
      </c>
      <c r="G2" s="4" t="s">
        <v>98</v>
      </c>
      <c r="H2" s="4" t="s">
        <v>99</v>
      </c>
      <c r="I2" s="4" t="s">
        <v>100</v>
      </c>
      <c r="J2" s="4" t="s">
        <v>101</v>
      </c>
      <c r="K2" s="4" t="s">
        <v>102</v>
      </c>
    </row>
    <row r="3" spans="1:11">
      <c r="A3">
        <v>2</v>
      </c>
      <c r="B3">
        <f>Loan_Tape_Input!B2</f>
        <v>0</v>
      </c>
      <c r="C3" t="s">
        <v>103</v>
      </c>
      <c r="D3" t="s">
        <v>104</v>
      </c>
      <c r="E3" t="s">
        <v>105</v>
      </c>
      <c r="F3">
        <f>IF(Loan_Tape_Input!M2="Bullet",IF(OR(Loan_Tape_Input!N2="Semi-Annual",Loan_Tape_Input!N2="Annual"),"PASS","FAIL"),"N/A")</f>
        <v>0</v>
      </c>
      <c r="G3" t="s">
        <v>106</v>
      </c>
      <c r="H3">
        <f>Loan_Tape_Input!M2</f>
        <v>0</v>
      </c>
      <c r="I3" t="s">
        <v>107</v>
      </c>
      <c r="J3">
        <f>Loan_Tape_Input!N2</f>
        <v>0</v>
      </c>
      <c r="K3">
        <f>IF(F3="FAIL",H3&amp;" with "&amp;J3,"")</f>
        <v>0</v>
      </c>
    </row>
    <row r="4" spans="1:11">
      <c r="A4">
        <v>2</v>
      </c>
      <c r="B4">
        <f>Loan_Tape_Input!B2</f>
        <v>0</v>
      </c>
      <c r="C4" t="s">
        <v>108</v>
      </c>
      <c r="D4" t="s">
        <v>109</v>
      </c>
      <c r="E4" t="s">
        <v>105</v>
      </c>
      <c r="F4">
        <f>IF(Loan_Tape_Input!W2="Buy-to-Let",IF(AND(Loan_Tape_Input!AB2&gt;0,Loan_Tape_Input!AC2&gt;=1,Loan_Tape_Input!AD2&gt;=100),"PASS","FAIL"),"N/A")</f>
        <v>0</v>
      </c>
      <c r="G4" t="s">
        <v>110</v>
      </c>
      <c r="H4">
        <f>Loan_Tape_Input!W2</f>
        <v>0</v>
      </c>
      <c r="I4" t="s">
        <v>111</v>
      </c>
      <c r="J4">
        <f>Loan_Tape_Input!AB2&amp;"/"&amp;Loan_Tape_Input!AC2&amp;"/"&amp;Loan_Tape_Input!AD2</f>
        <v>0</v>
      </c>
      <c r="K4">
        <f>IF(F4="FAIL","BTL missing required fields","")</f>
        <v>0</v>
      </c>
    </row>
    <row r="5" spans="1:11">
      <c r="A5">
        <v>2</v>
      </c>
      <c r="B5">
        <f>Loan_Tape_Input!B2</f>
        <v>0</v>
      </c>
      <c r="C5" t="s">
        <v>112</v>
      </c>
      <c r="D5" t="s">
        <v>113</v>
      </c>
      <c r="E5" t="s">
        <v>105</v>
      </c>
      <c r="F5">
        <f>IF(ABS(Loan_Tape_Input!X2-(Loan_Tape_Input!K2/Loan_Tape_Input!Y2*100))&lt;=Param_LTV_Tol,"PASS","FAIL")</f>
        <v>0</v>
      </c>
      <c r="G5" t="s">
        <v>114</v>
      </c>
      <c r="H5">
        <f>Loan_Tape_Input!X2</f>
        <v>0</v>
      </c>
      <c r="I5" t="s">
        <v>115</v>
      </c>
      <c r="J5">
        <f>Loan_Tape_Input!K2/Loan_Tape_Input!Y2*100</f>
        <v>0</v>
      </c>
      <c r="K5">
        <f>IF(F5="FAIL","LTV: "&amp;TEXT(H5,"0.0")&amp;"% vs "&amp;TEXT(J5,"0.0")&amp;"%","")</f>
        <v>0</v>
      </c>
    </row>
    <row r="6" spans="1:11">
      <c r="A6">
        <v>2</v>
      </c>
      <c r="B6">
        <f>Loan_Tape_Input!B2</f>
        <v>0</v>
      </c>
      <c r="C6" t="s">
        <v>116</v>
      </c>
      <c r="D6" t="s">
        <v>117</v>
      </c>
      <c r="E6" t="s">
        <v>105</v>
      </c>
      <c r="F6">
        <f>IF(ABS(Loan_Tape_Input!Z2-(Loan_Tape_Input!L2/Loan_Tape_Input!AA2*100))&lt;=Param_LTV_Tol,"PASS","FAIL")</f>
        <v>0</v>
      </c>
      <c r="G6" t="s">
        <v>118</v>
      </c>
      <c r="H6">
        <f>Loan_Tape_Input!Z2</f>
        <v>0</v>
      </c>
      <c r="I6" t="s">
        <v>115</v>
      </c>
      <c r="J6">
        <f>Loan_Tape_Input!L2/Loan_Tape_Input!AA2*100</f>
        <v>0</v>
      </c>
      <c r="K6">
        <f>IF(F6="FAIL","CLTV: "&amp;TEXT(H6,"0.0")&amp;"% vs "&amp;TEXT(J6,"0.0")&amp;"%","")</f>
        <v>0</v>
      </c>
    </row>
    <row r="7" spans="1:11">
      <c r="A7">
        <v>2</v>
      </c>
      <c r="B7">
        <f>Loan_Tape_Input!B2</f>
        <v>0</v>
      </c>
      <c r="C7" t="s">
        <v>119</v>
      </c>
      <c r="D7" t="s">
        <v>120</v>
      </c>
      <c r="E7" t="s">
        <v>105</v>
      </c>
      <c r="F7">
        <f>IF(Loan_Tape_Input!AG2=0,IF(Loan_Tape_Input!AF2=0,"PASS","FAIL"),"N/A")</f>
        <v>0</v>
      </c>
      <c r="G7" t="s">
        <v>121</v>
      </c>
      <c r="H7">
        <f>Loan_Tape_Input!AG2</f>
        <v>0</v>
      </c>
      <c r="I7" t="s">
        <v>122</v>
      </c>
      <c r="J7">
        <f>Loan_Tape_Input!AF2</f>
        <v>0</v>
      </c>
      <c r="K7">
        <f>IF(F7="FAIL","Months=0 but Bal="&amp;J7,"")</f>
        <v>0</v>
      </c>
    </row>
    <row r="8" spans="1:11">
      <c r="A8">
        <v>2</v>
      </c>
      <c r="B8">
        <f>Loan_Tape_Input!B2</f>
        <v>0</v>
      </c>
      <c r="C8" t="s">
        <v>123</v>
      </c>
      <c r="D8" t="s">
        <v>124</v>
      </c>
      <c r="E8" t="s">
        <v>105</v>
      </c>
      <c r="F8">
        <f>IF(AND(Loan_Tape_Input!H2&lt;=Loan_Tape_Input!A2,Loan_Tape_Input!A2&lt;Loan_Tape_Input!I2),"PASS","FAIL")</f>
        <v>0</v>
      </c>
      <c r="G8" t="s">
        <v>125</v>
      </c>
      <c r="H8">
        <f>Loan_Tape_Input!H2</f>
        <v>0</v>
      </c>
      <c r="I8" t="s">
        <v>126</v>
      </c>
      <c r="J8">
        <f>Loan_Tape_Input!I2</f>
        <v>0</v>
      </c>
      <c r="K8">
        <f>IF(F8="FAIL","Date sequence error","")</f>
        <v>0</v>
      </c>
    </row>
    <row r="9" spans="1:11">
      <c r="A9">
        <v>3</v>
      </c>
      <c r="B9">
        <f>Loan_Tape_Input!B3</f>
        <v>0</v>
      </c>
      <c r="C9" t="s">
        <v>103</v>
      </c>
      <c r="D9" t="s">
        <v>104</v>
      </c>
      <c r="E9" t="s">
        <v>105</v>
      </c>
      <c r="F9">
        <f>IF(Loan_Tape_Input!M3="Bullet",IF(OR(Loan_Tape_Input!N3="Semi-Annual",Loan_Tape_Input!N3="Annual"),"PASS","FAIL"),"N/A")</f>
        <v>0</v>
      </c>
      <c r="G9" t="s">
        <v>106</v>
      </c>
      <c r="H9">
        <f>Loan_Tape_Input!M3</f>
        <v>0</v>
      </c>
      <c r="I9" t="s">
        <v>107</v>
      </c>
      <c r="J9">
        <f>Loan_Tape_Input!N3</f>
        <v>0</v>
      </c>
      <c r="K9">
        <f>IF(F9="FAIL",H9&amp;" with "&amp;J9,"")</f>
        <v>0</v>
      </c>
    </row>
    <row r="10" spans="1:11">
      <c r="A10">
        <v>3</v>
      </c>
      <c r="B10">
        <f>Loan_Tape_Input!B3</f>
        <v>0</v>
      </c>
      <c r="C10" t="s">
        <v>108</v>
      </c>
      <c r="D10" t="s">
        <v>109</v>
      </c>
      <c r="E10" t="s">
        <v>105</v>
      </c>
      <c r="F10">
        <f>IF(Loan_Tape_Input!W3="Buy-to-Let",IF(AND(Loan_Tape_Input!AB3&gt;0,Loan_Tape_Input!AC3&gt;=1,Loan_Tape_Input!AD3&gt;=100),"PASS","FAIL"),"N/A")</f>
        <v>0</v>
      </c>
      <c r="G10" t="s">
        <v>110</v>
      </c>
      <c r="H10">
        <f>Loan_Tape_Input!W3</f>
        <v>0</v>
      </c>
      <c r="I10" t="s">
        <v>111</v>
      </c>
      <c r="J10">
        <f>Loan_Tape_Input!AB3&amp;"/"&amp;Loan_Tape_Input!AC3&amp;"/"&amp;Loan_Tape_Input!AD3</f>
        <v>0</v>
      </c>
      <c r="K10">
        <f>IF(F10="FAIL","BTL missing required fields","")</f>
        <v>0</v>
      </c>
    </row>
    <row r="11" spans="1:11">
      <c r="A11">
        <v>3</v>
      </c>
      <c r="B11">
        <f>Loan_Tape_Input!B3</f>
        <v>0</v>
      </c>
      <c r="C11" t="s">
        <v>112</v>
      </c>
      <c r="D11" t="s">
        <v>113</v>
      </c>
      <c r="E11" t="s">
        <v>105</v>
      </c>
      <c r="F11">
        <f>IF(ABS(Loan_Tape_Input!X3-(Loan_Tape_Input!K3/Loan_Tape_Input!Y3*100))&lt;=Param_LTV_Tol,"PASS","FAIL")</f>
        <v>0</v>
      </c>
      <c r="G11" t="s">
        <v>114</v>
      </c>
      <c r="H11">
        <f>Loan_Tape_Input!X3</f>
        <v>0</v>
      </c>
      <c r="I11" t="s">
        <v>115</v>
      </c>
      <c r="J11">
        <f>Loan_Tape_Input!K3/Loan_Tape_Input!Y3*100</f>
        <v>0</v>
      </c>
      <c r="K11">
        <f>IF(F11="FAIL","LTV: "&amp;TEXT(H11,"0.0")&amp;"% vs "&amp;TEXT(J11,"0.0")&amp;"%","")</f>
        <v>0</v>
      </c>
    </row>
    <row r="12" spans="1:11">
      <c r="A12">
        <v>3</v>
      </c>
      <c r="B12">
        <f>Loan_Tape_Input!B3</f>
        <v>0</v>
      </c>
      <c r="C12" t="s">
        <v>116</v>
      </c>
      <c r="D12" t="s">
        <v>117</v>
      </c>
      <c r="E12" t="s">
        <v>105</v>
      </c>
      <c r="F12">
        <f>IF(ABS(Loan_Tape_Input!Z3-(Loan_Tape_Input!L3/Loan_Tape_Input!AA3*100))&lt;=Param_LTV_Tol,"PASS","FAIL")</f>
        <v>0</v>
      </c>
      <c r="G12" t="s">
        <v>118</v>
      </c>
      <c r="H12">
        <f>Loan_Tape_Input!Z3</f>
        <v>0</v>
      </c>
      <c r="I12" t="s">
        <v>115</v>
      </c>
      <c r="J12">
        <f>Loan_Tape_Input!L3/Loan_Tape_Input!AA3*100</f>
        <v>0</v>
      </c>
      <c r="K12">
        <f>IF(F12="FAIL","CLTV: "&amp;TEXT(H12,"0.0")&amp;"% vs "&amp;TEXT(J12,"0.0")&amp;"%","")</f>
        <v>0</v>
      </c>
    </row>
    <row r="13" spans="1:11">
      <c r="A13">
        <v>3</v>
      </c>
      <c r="B13">
        <f>Loan_Tape_Input!B3</f>
        <v>0</v>
      </c>
      <c r="C13" t="s">
        <v>119</v>
      </c>
      <c r="D13" t="s">
        <v>120</v>
      </c>
      <c r="E13" t="s">
        <v>105</v>
      </c>
      <c r="F13">
        <f>IF(Loan_Tape_Input!AG3=0,IF(Loan_Tape_Input!AF3=0,"PASS","FAIL"),"N/A")</f>
        <v>0</v>
      </c>
      <c r="G13" t="s">
        <v>121</v>
      </c>
      <c r="H13">
        <f>Loan_Tape_Input!AG3</f>
        <v>0</v>
      </c>
      <c r="I13" t="s">
        <v>122</v>
      </c>
      <c r="J13">
        <f>Loan_Tape_Input!AF3</f>
        <v>0</v>
      </c>
      <c r="K13">
        <f>IF(F13="FAIL","Months=0 but Bal="&amp;J13,"")</f>
        <v>0</v>
      </c>
    </row>
    <row r="14" spans="1:11">
      <c r="A14">
        <v>3</v>
      </c>
      <c r="B14">
        <f>Loan_Tape_Input!B3</f>
        <v>0</v>
      </c>
      <c r="C14" t="s">
        <v>123</v>
      </c>
      <c r="D14" t="s">
        <v>124</v>
      </c>
      <c r="E14" t="s">
        <v>105</v>
      </c>
      <c r="F14">
        <f>IF(AND(Loan_Tape_Input!H3&lt;=Loan_Tape_Input!A3,Loan_Tape_Input!A3&lt;Loan_Tape_Input!I3),"PASS","FAIL")</f>
        <v>0</v>
      </c>
      <c r="G14" t="s">
        <v>125</v>
      </c>
      <c r="H14">
        <f>Loan_Tape_Input!H3</f>
        <v>0</v>
      </c>
      <c r="I14" t="s">
        <v>126</v>
      </c>
      <c r="J14">
        <f>Loan_Tape_Input!I3</f>
        <v>0</v>
      </c>
      <c r="K14">
        <f>IF(F14="FAIL","Date sequence error","")</f>
        <v>0</v>
      </c>
    </row>
    <row r="15" spans="1:11">
      <c r="A15">
        <v>4</v>
      </c>
      <c r="B15">
        <f>Loan_Tape_Input!B4</f>
        <v>0</v>
      </c>
      <c r="C15" t="s">
        <v>103</v>
      </c>
      <c r="D15" t="s">
        <v>104</v>
      </c>
      <c r="E15" t="s">
        <v>105</v>
      </c>
      <c r="F15">
        <f>IF(Loan_Tape_Input!M4="Bullet",IF(OR(Loan_Tape_Input!N4="Semi-Annual",Loan_Tape_Input!N4="Annual"),"PASS","FAIL"),"N/A")</f>
        <v>0</v>
      </c>
      <c r="G15" t="s">
        <v>106</v>
      </c>
      <c r="H15">
        <f>Loan_Tape_Input!M4</f>
        <v>0</v>
      </c>
      <c r="I15" t="s">
        <v>107</v>
      </c>
      <c r="J15">
        <f>Loan_Tape_Input!N4</f>
        <v>0</v>
      </c>
      <c r="K15">
        <f>IF(F15="FAIL",H15&amp;" with "&amp;J15,"")</f>
        <v>0</v>
      </c>
    </row>
    <row r="16" spans="1:11">
      <c r="A16">
        <v>4</v>
      </c>
      <c r="B16">
        <f>Loan_Tape_Input!B4</f>
        <v>0</v>
      </c>
      <c r="C16" t="s">
        <v>108</v>
      </c>
      <c r="D16" t="s">
        <v>109</v>
      </c>
      <c r="E16" t="s">
        <v>105</v>
      </c>
      <c r="F16">
        <f>IF(Loan_Tape_Input!W4="Buy-to-Let",IF(AND(Loan_Tape_Input!AB4&gt;0,Loan_Tape_Input!AC4&gt;=1,Loan_Tape_Input!AD4&gt;=100),"PASS","FAIL"),"N/A")</f>
        <v>0</v>
      </c>
      <c r="G16" t="s">
        <v>110</v>
      </c>
      <c r="H16">
        <f>Loan_Tape_Input!W4</f>
        <v>0</v>
      </c>
      <c r="I16" t="s">
        <v>111</v>
      </c>
      <c r="J16">
        <f>Loan_Tape_Input!AB4&amp;"/"&amp;Loan_Tape_Input!AC4&amp;"/"&amp;Loan_Tape_Input!AD4</f>
        <v>0</v>
      </c>
      <c r="K16">
        <f>IF(F16="FAIL","BTL missing required fields","")</f>
        <v>0</v>
      </c>
    </row>
    <row r="17" spans="1:11">
      <c r="A17">
        <v>4</v>
      </c>
      <c r="B17">
        <f>Loan_Tape_Input!B4</f>
        <v>0</v>
      </c>
      <c r="C17" t="s">
        <v>112</v>
      </c>
      <c r="D17" t="s">
        <v>113</v>
      </c>
      <c r="E17" t="s">
        <v>105</v>
      </c>
      <c r="F17">
        <f>IF(ABS(Loan_Tape_Input!X4-(Loan_Tape_Input!K4/Loan_Tape_Input!Y4*100))&lt;=Param_LTV_Tol,"PASS","FAIL")</f>
        <v>0</v>
      </c>
      <c r="G17" t="s">
        <v>114</v>
      </c>
      <c r="H17">
        <f>Loan_Tape_Input!X4</f>
        <v>0</v>
      </c>
      <c r="I17" t="s">
        <v>115</v>
      </c>
      <c r="J17">
        <f>Loan_Tape_Input!K4/Loan_Tape_Input!Y4*100</f>
        <v>0</v>
      </c>
      <c r="K17">
        <f>IF(F17="FAIL","LTV: "&amp;TEXT(H17,"0.0")&amp;"% vs "&amp;TEXT(J17,"0.0")&amp;"%","")</f>
        <v>0</v>
      </c>
    </row>
    <row r="18" spans="1:11">
      <c r="A18">
        <v>4</v>
      </c>
      <c r="B18">
        <f>Loan_Tape_Input!B4</f>
        <v>0</v>
      </c>
      <c r="C18" t="s">
        <v>116</v>
      </c>
      <c r="D18" t="s">
        <v>117</v>
      </c>
      <c r="E18" t="s">
        <v>105</v>
      </c>
      <c r="F18">
        <f>IF(ABS(Loan_Tape_Input!Z4-(Loan_Tape_Input!L4/Loan_Tape_Input!AA4*100))&lt;=Param_LTV_Tol,"PASS","FAIL")</f>
        <v>0</v>
      </c>
      <c r="G18" t="s">
        <v>118</v>
      </c>
      <c r="H18">
        <f>Loan_Tape_Input!Z4</f>
        <v>0</v>
      </c>
      <c r="I18" t="s">
        <v>115</v>
      </c>
      <c r="J18">
        <f>Loan_Tape_Input!L4/Loan_Tape_Input!AA4*100</f>
        <v>0</v>
      </c>
      <c r="K18">
        <f>IF(F18="FAIL","CLTV: "&amp;TEXT(H18,"0.0")&amp;"% vs "&amp;TEXT(J18,"0.0")&amp;"%","")</f>
        <v>0</v>
      </c>
    </row>
    <row r="19" spans="1:11">
      <c r="A19">
        <v>4</v>
      </c>
      <c r="B19">
        <f>Loan_Tape_Input!B4</f>
        <v>0</v>
      </c>
      <c r="C19" t="s">
        <v>119</v>
      </c>
      <c r="D19" t="s">
        <v>120</v>
      </c>
      <c r="E19" t="s">
        <v>105</v>
      </c>
      <c r="F19">
        <f>IF(Loan_Tape_Input!AG4=0,IF(Loan_Tape_Input!AF4=0,"PASS","FAIL"),"N/A")</f>
        <v>0</v>
      </c>
      <c r="G19" t="s">
        <v>121</v>
      </c>
      <c r="H19">
        <f>Loan_Tape_Input!AG4</f>
        <v>0</v>
      </c>
      <c r="I19" t="s">
        <v>122</v>
      </c>
      <c r="J19">
        <f>Loan_Tape_Input!AF4</f>
        <v>0</v>
      </c>
      <c r="K19">
        <f>IF(F19="FAIL","Months=0 but Bal="&amp;J19,"")</f>
        <v>0</v>
      </c>
    </row>
    <row r="20" spans="1:11">
      <c r="A20">
        <v>4</v>
      </c>
      <c r="B20">
        <f>Loan_Tape_Input!B4</f>
        <v>0</v>
      </c>
      <c r="C20" t="s">
        <v>123</v>
      </c>
      <c r="D20" t="s">
        <v>124</v>
      </c>
      <c r="E20" t="s">
        <v>105</v>
      </c>
      <c r="F20">
        <f>IF(AND(Loan_Tape_Input!H4&lt;=Loan_Tape_Input!A4,Loan_Tape_Input!A4&lt;Loan_Tape_Input!I4),"PASS","FAIL")</f>
        <v>0</v>
      </c>
      <c r="G20" t="s">
        <v>125</v>
      </c>
      <c r="H20">
        <f>Loan_Tape_Input!H4</f>
        <v>0</v>
      </c>
      <c r="I20" t="s">
        <v>126</v>
      </c>
      <c r="J20">
        <f>Loan_Tape_Input!I4</f>
        <v>0</v>
      </c>
      <c r="K20">
        <f>IF(F20="FAIL","Date sequence error","")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472C4"/>
  </sheetPr>
  <dimension ref="A1:G10"/>
  <sheetViews>
    <sheetView workbookViewId="0"/>
  </sheetViews>
  <sheetFormatPr defaultRowHeight="15"/>
  <cols>
    <col min="1" max="1" width="8.7109375" customWidth="1"/>
    <col min="2" max="2" width="35.7109375" customWidth="1"/>
    <col min="3" max="7" width="12.7109375" customWidth="1"/>
  </cols>
  <sheetData>
    <row r="1" spans="1:7">
      <c r="A1" s="1" t="s">
        <v>127</v>
      </c>
    </row>
    <row r="3" spans="1:7">
      <c r="A3" s="4" t="s">
        <v>94</v>
      </c>
      <c r="B3" s="4" t="s">
        <v>95</v>
      </c>
      <c r="C3" s="4" t="s">
        <v>96</v>
      </c>
      <c r="D3" s="4" t="s">
        <v>128</v>
      </c>
      <c r="E3" s="4" t="s">
        <v>129</v>
      </c>
      <c r="F3" s="4" t="s">
        <v>130</v>
      </c>
      <c r="G3" s="4" t="s">
        <v>131</v>
      </c>
    </row>
    <row r="4" spans="1:7">
      <c r="A4" t="s">
        <v>103</v>
      </c>
      <c r="B4" t="s">
        <v>132</v>
      </c>
      <c r="C4" t="s">
        <v>105</v>
      </c>
      <c r="D4">
        <f>COUNTIFS(Validation_Results!C:C,A4,Validation_Results!F:F,"&lt;&gt;N/A")</f>
        <v>0</v>
      </c>
      <c r="E4">
        <f>COUNTIFS(Validation_Results!C:C,A4,Validation_Results!F:F,"PASS")</f>
        <v>0</v>
      </c>
      <c r="F4">
        <f>COUNTIFS(Validation_Results!C:C,A4,Validation_Results!F:F,"FAIL")</f>
        <v>0</v>
      </c>
      <c r="G4" s="5">
        <f>IF(D4=0,0,F4/D4)</f>
        <v>0</v>
      </c>
    </row>
    <row r="5" spans="1:7">
      <c r="A5" t="s">
        <v>108</v>
      </c>
      <c r="B5" t="s">
        <v>133</v>
      </c>
      <c r="C5" t="s">
        <v>105</v>
      </c>
      <c r="D5">
        <f>COUNTIFS(Validation_Results!C:C,A5,Validation_Results!F:F,"&lt;&gt;N/A")</f>
        <v>0</v>
      </c>
      <c r="E5">
        <f>COUNTIFS(Validation_Results!C:C,A5,Validation_Results!F:F,"PASS")</f>
        <v>0</v>
      </c>
      <c r="F5">
        <f>COUNTIFS(Validation_Results!C:C,A5,Validation_Results!F:F,"FAIL")</f>
        <v>0</v>
      </c>
      <c r="G5" s="5">
        <f>IF(D5=0,0,F5/D5)</f>
        <v>0</v>
      </c>
    </row>
    <row r="6" spans="1:7">
      <c r="A6" t="s">
        <v>112</v>
      </c>
      <c r="B6" t="s">
        <v>134</v>
      </c>
      <c r="C6" t="s">
        <v>105</v>
      </c>
      <c r="D6">
        <f>COUNTIFS(Validation_Results!C:C,A6,Validation_Results!F:F,"&lt;&gt;N/A")</f>
        <v>0</v>
      </c>
      <c r="E6">
        <f>COUNTIFS(Validation_Results!C:C,A6,Validation_Results!F:F,"PASS")</f>
        <v>0</v>
      </c>
      <c r="F6">
        <f>COUNTIFS(Validation_Results!C:C,A6,Validation_Results!F:F,"FAIL")</f>
        <v>0</v>
      </c>
      <c r="G6" s="5">
        <f>IF(D6=0,0,F6/D6)</f>
        <v>0</v>
      </c>
    </row>
    <row r="7" spans="1:7">
      <c r="A7" t="s">
        <v>116</v>
      </c>
      <c r="B7" t="s">
        <v>135</v>
      </c>
      <c r="C7" t="s">
        <v>105</v>
      </c>
      <c r="D7">
        <f>COUNTIFS(Validation_Results!C:C,A7,Validation_Results!F:F,"&lt;&gt;N/A")</f>
        <v>0</v>
      </c>
      <c r="E7">
        <f>COUNTIFS(Validation_Results!C:C,A7,Validation_Results!F:F,"PASS")</f>
        <v>0</v>
      </c>
      <c r="F7">
        <f>COUNTIFS(Validation_Results!C:C,A7,Validation_Results!F:F,"FAIL")</f>
        <v>0</v>
      </c>
      <c r="G7" s="5">
        <f>IF(D7=0,0,F7/D7)</f>
        <v>0</v>
      </c>
    </row>
    <row r="8" spans="1:7">
      <c r="A8" t="s">
        <v>119</v>
      </c>
      <c r="B8" t="s">
        <v>136</v>
      </c>
      <c r="C8" t="s">
        <v>105</v>
      </c>
      <c r="D8">
        <f>COUNTIFS(Validation_Results!C:C,A8,Validation_Results!F:F,"&lt;&gt;N/A")</f>
        <v>0</v>
      </c>
      <c r="E8">
        <f>COUNTIFS(Validation_Results!C:C,A8,Validation_Results!F:F,"PASS")</f>
        <v>0</v>
      </c>
      <c r="F8">
        <f>COUNTIFS(Validation_Results!C:C,A8,Validation_Results!F:F,"FAIL")</f>
        <v>0</v>
      </c>
      <c r="G8" s="5">
        <f>IF(D8=0,0,F8/D8)</f>
        <v>0</v>
      </c>
    </row>
    <row r="9" spans="1:7">
      <c r="A9" t="s">
        <v>123</v>
      </c>
      <c r="B9" t="s">
        <v>137</v>
      </c>
      <c r="C9" t="s">
        <v>105</v>
      </c>
      <c r="D9">
        <f>COUNTIFS(Validation_Results!C:C,A9,Validation_Results!F:F,"&lt;&gt;N/A")</f>
        <v>0</v>
      </c>
      <c r="E9">
        <f>COUNTIFS(Validation_Results!C:C,A9,Validation_Results!F:F,"PASS")</f>
        <v>0</v>
      </c>
      <c r="F9">
        <f>COUNTIFS(Validation_Results!C:C,A9,Validation_Results!F:F,"FAIL")</f>
        <v>0</v>
      </c>
      <c r="G9" s="5">
        <f>IF(D9=0,0,F9/D9)</f>
        <v>0</v>
      </c>
    </row>
    <row r="10" spans="1:7">
      <c r="A10" s="6" t="s">
        <v>138</v>
      </c>
      <c r="D10">
        <f>SUM(D4:D9)</f>
        <v>0</v>
      </c>
      <c r="E10">
        <f>SUM(E4:E9)</f>
        <v>0</v>
      </c>
      <c r="F10">
        <f>SUM(F4:F9)</f>
        <v>0</v>
      </c>
      <c r="G10" s="7">
        <f>IF(D10=0,0,F10/D10)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Parameters</vt:lpstr>
      <vt:lpstr>Loan_Tape_Input</vt:lpstr>
      <vt:lpstr>Validation_Results</vt:lpstr>
      <vt:lpstr>Validation_Summary</vt:lpstr>
      <vt:lpstr>Param_LTV_Tol</vt:lpstr>
      <vt:lpstr>Param_MaxDTI</vt:lpstr>
      <vt:lpstr>Param_MaxOrigLTV</vt:lpstr>
      <vt:lpstr>Param_MinDSCR</vt:lpstr>
      <vt:lpstr>Param_Rate_Tol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2025-12-03T20:39:38Z</dcterms:created>
  <dcterms:modified xsi:type="dcterms:W3CDTF">2025-12-03T20:39:38Z</dcterms:modified>
</cp:coreProperties>
</file>