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BoE Auto-Mapper" sheetId="2" state="visible" r:id="rId2"/>
    <sheet xmlns:r="http://schemas.openxmlformats.org/officeDocument/2006/relationships" name="Loan Tape (BoE Raw)" sheetId="3" state="visible" r:id="rId3"/>
    <sheet xmlns:r="http://schemas.openxmlformats.org/officeDocument/2006/relationships" name="Jurisdiction Parameters" sheetId="4" state="visible" r:id="rId4"/>
    <sheet xmlns:r="http://schemas.openxmlformats.org/officeDocument/2006/relationships" name="Rating Parameters" sheetId="5" state="visible" r:id="rId5"/>
    <sheet xmlns:r="http://schemas.openxmlformats.org/officeDocument/2006/relationships" name="LTV Curve" sheetId="6" state="visible" r:id="rId6"/>
    <sheet xmlns:r="http://schemas.openxmlformats.org/officeDocument/2006/relationships" name="FF Adj Parameters" sheetId="7" state="visible" r:id="rId7"/>
    <sheet xmlns:r="http://schemas.openxmlformats.org/officeDocument/2006/relationships" name="LS Parameters" sheetId="8" state="visible" r:id="rId8"/>
    <sheet xmlns:r="http://schemas.openxmlformats.org/officeDocument/2006/relationships" name="BoE Mapping" sheetId="9" state="visible" r:id="rId9"/>
    <sheet xmlns:r="http://schemas.openxmlformats.org/officeDocument/2006/relationships" name="Loan Tape (BoE)" sheetId="10" state="visible" r:id="rId10"/>
    <sheet xmlns:r="http://schemas.openxmlformats.org/officeDocument/2006/relationships" name="Loan Tape (S&amp;P)" sheetId="11" state="visible" r:id="rId11"/>
    <sheet xmlns:r="http://schemas.openxmlformats.org/officeDocument/2006/relationships" name="FF Calculations" sheetId="12" state="visible" r:id="rId12"/>
    <sheet xmlns:r="http://schemas.openxmlformats.org/officeDocument/2006/relationships" name="LS Calculations" sheetId="13" state="visible" r:id="rId13"/>
    <sheet xmlns:r="http://schemas.openxmlformats.org/officeDocument/2006/relationships" name="Pool Summary" sheetId="14" state="visible" r:id="rId14"/>
    <sheet xmlns:r="http://schemas.openxmlformats.org/officeDocument/2006/relationships" name="Adjustment Overview" sheetId="15" state="visible" r:id="rId15"/>
    <sheet xmlns:r="http://schemas.openxmlformats.org/officeDocument/2006/relationships" name="Rating CE" sheetId="16" state="visible" r:id="rId16"/>
    <sheet xmlns:r="http://schemas.openxmlformats.org/officeDocument/2006/relationships" name="Documentation" sheetId="17" state="visible" r:id="rId17"/>
    <sheet xmlns:r="http://schemas.openxmlformats.org/officeDocument/2006/relationships" name="LTV Curve UK" sheetId="18" state="visible" r:id="rId18"/>
    <sheet xmlns:r="http://schemas.openxmlformats.org/officeDocument/2006/relationships" name="LTV Curve Ireland" sheetId="19" state="visible" r:id="rId19"/>
    <sheet xmlns:r="http://schemas.openxmlformats.org/officeDocument/2006/relationships" name="LTV Curve Netherland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0.0&quot;x&quot;"/>
    <numFmt numFmtId="165" formatCode="0.0000"/>
    <numFmt numFmtId="166" formatCode="£#,##0"/>
    <numFmt numFmtId="167" formatCode="DD-MMM-YYYY"/>
    <numFmt numFmtId="168" formatCode="0.000"/>
    <numFmt numFmtId="169" formatCode="0.000%"/>
    <numFmt numFmtId="170" formatCode="£#,##0,,&quot;M&quot;"/>
    <numFmt numFmtId="171" formatCode="£#,##0,000"/>
    <numFmt numFmtId="172" formatCode="0.00x"/>
    <numFmt numFmtId="173" formatCode="0.0%"/>
    <numFmt numFmtId="174" formatCode="+0.00%;-0.00%;-"/>
    <numFmt numFmtId="175" formatCode="+0.000;-0.000;-"/>
    <numFmt numFmtId="176" formatCode="+0.0%;-0.0%;-"/>
  </numFmts>
  <fonts count="1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i val="1"/>
      <sz val="9"/>
    </font>
    <font>
      <i val="1"/>
      <sz val="8"/>
    </font>
    <font>
      <i val="1"/>
      <color rgb="00FF0000"/>
      <sz val="9"/>
    </font>
    <font>
      <b val="1"/>
      <color rgb="00FFFFFF"/>
      <sz val="14"/>
    </font>
    <font>
      <b val="1"/>
      <sz val="11"/>
    </font>
    <font>
      <sz val="9"/>
    </font>
    <font>
      <b val="1"/>
    </font>
    <font>
      <b val="1"/>
      <color rgb="00FFFFFF"/>
      <sz val="11"/>
    </font>
    <font>
      <b val="1"/>
      <sz val="12"/>
    </font>
    <font>
      <i val="1"/>
      <sz val="10"/>
    </font>
    <font>
      <sz val="10"/>
    </font>
    <font>
      <b val="1"/>
      <sz val="10"/>
    </font>
    <font>
      <i val="1"/>
      <color rgb="00808080"/>
    </font>
  </fonts>
  <fills count="12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5B9BD5"/>
        <bgColor rgb="005B9BD5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1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0" borderId="0" applyAlignment="1" pivotButton="0" quotePrefix="0" xfId="0">
      <alignment horizontal="center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0" fillId="5" borderId="1" pivotButton="0" quotePrefix="0" xfId="0"/>
    <xf numFmtId="0" fontId="5" fillId="0" borderId="0" applyAlignment="1" pivotButton="0" quotePrefix="0" xfId="0">
      <alignment horizontal="center"/>
    </xf>
    <xf numFmtId="0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10" fontId="0" fillId="6" borderId="1" pivotButton="0" quotePrefix="0" xfId="0"/>
    <xf numFmtId="2" fontId="0" fillId="6" borderId="1" pivotButton="0" quotePrefix="0" xfId="0"/>
    <xf numFmtId="165" fontId="0" fillId="6" borderId="1" pivotButton="0" quotePrefix="0" xfId="0"/>
    <xf numFmtId="168" fontId="0" fillId="6" borderId="1" pivotButton="0" quotePrefix="0" xfId="0"/>
    <xf numFmtId="169" fontId="0" fillId="7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7" fillId="8" borderId="0" pivotButton="0" quotePrefix="0" xfId="0"/>
    <xf numFmtId="0" fontId="2" fillId="9" borderId="1" pivotButton="0" quotePrefix="0" xfId="0"/>
    <xf numFmtId="0" fontId="0" fillId="7" borderId="1" pivotButton="0" quotePrefix="0" xfId="0"/>
    <xf numFmtId="167" fontId="0" fillId="5" borderId="1" pivotButton="0" quotePrefix="0" xfId="0"/>
    <xf numFmtId="170" fontId="0" fillId="7" borderId="1" pivotButton="0" quotePrefix="0" xfId="0"/>
    <xf numFmtId="10" fontId="0" fillId="7" borderId="1" pivotButton="0" quotePrefix="0" xfId="0"/>
    <xf numFmtId="2" fontId="0" fillId="5" borderId="1" pivotButton="0" quotePrefix="0" xfId="0"/>
    <xf numFmtId="0" fontId="8" fillId="0" borderId="0" applyAlignment="1" pivotButton="0" quotePrefix="0" xfId="0">
      <alignment horizontal="left" vertical="center" wrapText="1"/>
    </xf>
    <xf numFmtId="164" fontId="0" fillId="7" borderId="1" pivotButton="0" quotePrefix="0" xfId="0"/>
    <xf numFmtId="170" fontId="0" fillId="7" borderId="1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9" fillId="7" borderId="1" pivotButton="0" quotePrefix="0" xfId="0"/>
    <xf numFmtId="10" fontId="9" fillId="7" borderId="1" pivotButton="0" quotePrefix="0" xfId="0"/>
    <xf numFmtId="166" fontId="0" fillId="0" borderId="1" pivotButton="0" quotePrefix="0" xfId="0"/>
    <xf numFmtId="0" fontId="10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7" fillId="7" borderId="1" pivotButton="0" quotePrefix="0" xfId="0"/>
    <xf numFmtId="171" fontId="0" fillId="7" borderId="1" pivotButton="0" quotePrefix="0" xfId="0"/>
    <xf numFmtId="0" fontId="9" fillId="0" borderId="1" pivotButton="0" quotePrefix="0" xfId="0"/>
    <xf numFmtId="0" fontId="7" fillId="2" borderId="0" pivotButton="0" quotePrefix="0" xfId="0"/>
    <xf numFmtId="0" fontId="7" fillId="9" borderId="0" applyAlignment="1" pivotButton="0" quotePrefix="0" xfId="0">
      <alignment horizontal="center"/>
    </xf>
    <xf numFmtId="2" fontId="0" fillId="0" borderId="1" pivotButton="0" quotePrefix="0" xfId="0"/>
    <xf numFmtId="1" fontId="0" fillId="0" borderId="1" pivotButton="0" quotePrefix="0" xfId="0"/>
    <xf numFmtId="168" fontId="0" fillId="0" borderId="1" pivotButton="0" quotePrefix="0" xfId="0"/>
    <xf numFmtId="0" fontId="9" fillId="0" borderId="0" pivotButton="0" quotePrefix="0" xfId="0"/>
    <xf numFmtId="0" fontId="7" fillId="5" borderId="0" pivotButton="0" quotePrefix="0" xfId="0"/>
    <xf numFmtId="0" fontId="9" fillId="3" borderId="1" pivotButton="0" quotePrefix="0" xfId="0"/>
    <xf numFmtId="10" fontId="0" fillId="5" borderId="1" pivotButton="0" quotePrefix="0" xfId="0"/>
    <xf numFmtId="0" fontId="11" fillId="2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pivotButton="0" quotePrefix="0" xfId="0"/>
    <xf numFmtId="10" fontId="0" fillId="0" borderId="0" pivotButton="0" quotePrefix="0" xfId="0"/>
    <xf numFmtId="0" fontId="6" fillId="2" borderId="0" pivotButton="0" quotePrefix="0" xfId="0"/>
    <xf numFmtId="0" fontId="12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7" fillId="0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horizontal="center" wrapText="1"/>
    </xf>
    <xf numFmtId="0" fontId="15" fillId="0" borderId="0" pivotButton="0" quotePrefix="0" xfId="0"/>
    <xf numFmtId="0" fontId="11" fillId="0" borderId="0" pivotButton="0" quotePrefix="0" xfId="0"/>
    <xf numFmtId="0" fontId="6" fillId="10" borderId="0" pivotButton="0" quotePrefix="0" xfId="0"/>
    <xf numFmtId="0" fontId="10" fillId="2" borderId="0" pivotButton="0" quotePrefix="0" xfId="0"/>
    <xf numFmtId="10" fontId="7" fillId="0" borderId="0" pivotButton="0" quotePrefix="0" xfId="0"/>
    <xf numFmtId="172" fontId="7" fillId="0" borderId="0" pivotButton="0" quotePrefix="0" xfId="0"/>
    <xf numFmtId="0" fontId="9" fillId="8" borderId="0" applyAlignment="1" pivotButton="0" quotePrefix="0" xfId="0">
      <alignment horizontal="center"/>
    </xf>
    <xf numFmtId="168" fontId="0" fillId="0" borderId="0" pivotButton="0" quotePrefix="0" xfId="0"/>
    <xf numFmtId="173" fontId="0" fillId="0" borderId="0" pivotButton="0" quotePrefix="0" xfId="0"/>
    <xf numFmtId="0" fontId="9" fillId="5" borderId="0" applyAlignment="1" pivotButton="0" quotePrefix="0" xfId="0">
      <alignment horizontal="center"/>
    </xf>
    <xf numFmtId="174" fontId="0" fillId="0" borderId="0" pivotButton="0" quotePrefix="0" xfId="0"/>
    <xf numFmtId="0" fontId="9" fillId="11" borderId="0" applyAlignment="1" pivotButton="0" quotePrefix="0" xfId="0">
      <alignment horizontal="center"/>
    </xf>
    <xf numFmtId="175" fontId="0" fillId="0" borderId="0" pivotButton="0" quotePrefix="0" xfId="0"/>
    <xf numFmtId="176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Adjustment Contributors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'Adjustment Overview'!E12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'Adjustment Overview'!$A$13:$A$22</f>
            </numRef>
          </cat>
          <val>
            <numRef>
              <f>'Adjustment Overview'!$E$13:$E$22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%</a:t>
            </a:r>
          </a:p>
        </rich>
      </tx>
    </title>
    <plotArea>
      <pieChart>
        <varyColors val="1"/>
        <ser>
          <idx val="0"/>
          <order val="0"/>
          <tx>
            <strRef>
              <f>'Adjustment Overview'!F12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'Adjustment Overview'!$A$13:$A$20</f>
            </numRef>
          </cat>
          <val>
            <numRef>
              <f>'Adjustment Overview'!$F$13:$F$20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" customWidth="1" min="4" max="4"/>
    <col width="50" customWidth="1" min="5" max="5"/>
    <col width="15" customWidth="1" min="6" max="6"/>
    <col width="20" customWidth="1" min="7" max="7"/>
    <col width="5" customWidth="1" min="8" max="8"/>
  </cols>
  <sheetData>
    <row r="1">
      <c r="A1" s="25" t="inlineStr">
        <is>
          <t>S&amp;P WAFF/WALS MODEL - CONTROL PANEL</t>
        </is>
      </c>
    </row>
    <row r="2">
      <c r="A2" s="11" t="inlineStr">
        <is>
          <t>Version 2.0 - Complete S&amp;P Exclusion Logic | Rating-Driven | BoE Field Mapping</t>
        </is>
      </c>
    </row>
    <row r="3">
      <c r="A3" s="26" t="inlineStr">
        <is>
          <t>Created: 14-Jan-2026 11:40</t>
        </is>
      </c>
    </row>
    <row r="5">
      <c r="A5" s="27" t="inlineStr">
        <is>
          <t>MODEL SETTINGS</t>
        </is>
      </c>
      <c r="E5" s="27" t="inlineStr">
        <is>
          <t>POOL STATISTICS</t>
        </is>
      </c>
    </row>
    <row r="6">
      <c r="A6" s="54" t="inlineStr">
        <is>
          <t>Jurisdiction</t>
        </is>
      </c>
      <c r="B6" s="55" t="inlineStr">
        <is>
          <t>UK</t>
        </is>
      </c>
      <c r="C6" s="2" t="inlineStr">
        <is>
          <t>Select: UK, Ireland, or Netherlands</t>
        </is>
      </c>
    </row>
    <row r="7">
      <c r="A7" s="28" t="inlineStr">
        <is>
          <t>Parameter</t>
        </is>
      </c>
      <c r="B7" s="28" t="inlineStr">
        <is>
          <t>Value</t>
        </is>
      </c>
      <c r="C7" s="28" t="inlineStr">
        <is>
          <t>Description</t>
        </is>
      </c>
      <c r="E7" s="28" t="inlineStr">
        <is>
          <t>Metric</t>
        </is>
      </c>
      <c r="F7" s="28" t="inlineStr">
        <is>
          <t>Value</t>
        </is>
      </c>
      <c r="G7" s="28" t="inlineStr">
        <is>
          <t>Note</t>
        </is>
      </c>
    </row>
    <row r="8">
      <c r="A8" t="inlineStr">
        <is>
          <t>Target Rating Level</t>
        </is>
      </c>
      <c r="B8" s="15" t="inlineStr">
        <is>
          <t>AAA</t>
        </is>
      </c>
      <c r="C8" t="inlineStr">
        <is>
          <t>Drives Base FF, MVD, FSD, Stress Multiple</t>
        </is>
      </c>
      <c r="E8" t="inlineStr">
        <is>
          <t>Loan Count</t>
        </is>
      </c>
      <c r="F8" s="29">
        <f>COUNTA('Loan Tape (S&amp;P)'!A:A)-1</f>
        <v/>
      </c>
      <c r="G8" t="inlineStr">
        <is>
          <t>After BoE conversion</t>
        </is>
      </c>
    </row>
    <row r="9">
      <c r="A9" t="inlineStr">
        <is>
          <t>Analysis Date</t>
        </is>
      </c>
      <c r="B9" s="30" t="n">
        <v>46036.48667008102</v>
      </c>
      <c r="C9" t="inlineStr">
        <is>
          <t>For seasoning and CCJ age calculations</t>
        </is>
      </c>
      <c r="E9" t="inlineStr">
        <is>
          <t>Total Balance</t>
        </is>
      </c>
      <c r="F9" s="36">
        <f>SUM('Loan Tape (S&amp;P)'!B:B)</f>
        <v/>
      </c>
      <c r="G9" t="inlineStr">
        <is>
          <t>£ millions</t>
        </is>
      </c>
    </row>
    <row r="10">
      <c r="A10" t="inlineStr">
        <is>
          <t>Portfolio Cutoff Date</t>
        </is>
      </c>
      <c r="B10" s="30" t="n">
        <v>46036.48667008102</v>
      </c>
      <c r="C10" t="inlineStr">
        <is>
          <t>Loan tape as-of date</t>
        </is>
      </c>
      <c r="E10" t="inlineStr">
        <is>
          <t>Avg S&amp;P LTV</t>
        </is>
      </c>
      <c r="F10" s="32">
        <f>AVERAGE('FF Calculations'!E:E)</f>
        <v/>
      </c>
      <c r="G10" t="inlineStr">
        <is>
          <t>Pool average</t>
        </is>
      </c>
    </row>
    <row r="11">
      <c r="A11" t="inlineStr">
        <is>
          <t>OLTV Weight</t>
        </is>
      </c>
      <c r="B11" s="33" t="n">
        <v>0.8</v>
      </c>
      <c r="C11" t="inlineStr">
        <is>
          <t>S&amp;P LTV: OLTV weight (typically 80%)</t>
        </is>
      </c>
      <c r="E11" t="inlineStr">
        <is>
          <t>Pool WAFF (%)</t>
        </is>
      </c>
      <c r="F11" s="24">
        <f>SUMPRODUCT('FF Calculations'!Z5:Z104,'FF Calculations'!B5:B104)/SUM('FF Calculations'!B5:B104)</f>
        <v/>
      </c>
      <c r="G11" t="inlineStr">
        <is>
          <t>Balance-weighted FF</t>
        </is>
      </c>
    </row>
    <row r="12">
      <c r="A12" t="inlineStr">
        <is>
          <t>CLTV Weight</t>
        </is>
      </c>
      <c r="B12" s="33">
        <f>VLOOKUP($B$6,'Jurisdiction Parameters'!$A:$B,2,FALSE)</f>
        <v/>
      </c>
      <c r="C12" t="inlineStr">
        <is>
          <t>S&amp;P LTV: CLTV weight (typically 20%)</t>
        </is>
      </c>
    </row>
    <row r="13">
      <c r="A13" t="inlineStr">
        <is>
          <t>Originator Adjustment</t>
        </is>
      </c>
      <c r="B13" s="33">
        <f>VLOOKUP($B$6,'Jurisdiction Parameters'!$A:$C,3,FALSE)</f>
        <v/>
      </c>
      <c r="C13" t="inlineStr">
        <is>
          <t>Global originator quality (0.70-1.30)</t>
        </is>
      </c>
    </row>
    <row r="15">
      <c r="A15" s="27" t="inlineStr">
        <is>
          <t>RATING-DRIVEN PARAMETERS (AUTO)</t>
        </is>
      </c>
      <c r="E15" s="27" t="inlineStr">
        <is>
          <t>QUICK START GUIDE</t>
        </is>
      </c>
    </row>
    <row r="17">
      <c r="A17" s="28" t="inlineStr">
        <is>
          <t>Parameter</t>
        </is>
      </c>
      <c r="B17" s="28" t="inlineStr">
        <is>
          <t>Value</t>
        </is>
      </c>
      <c r="C17" s="28" t="inlineStr">
        <is>
          <t>Source</t>
        </is>
      </c>
      <c r="E17" s="34" t="inlineStr">
        <is>
          <t>1. Input loan data in Loan Tape (BoE) using Bank of England codes</t>
        </is>
      </c>
    </row>
    <row r="18">
      <c r="A18" t="inlineStr">
        <is>
          <t>Base FF (%)</t>
        </is>
      </c>
      <c r="B18" s="32">
        <f>VLOOKUP($B$8,'Rating Parameters'!$A$6:$C$17,2,FALSE)</f>
        <v/>
      </c>
      <c r="C18" t="inlineStr">
        <is>
          <t>From Rating Parameters</t>
        </is>
      </c>
      <c r="E18" s="34" t="inlineStr">
        <is>
          <t>2. Data auto-converts to Loan Tape (S&amp;P) format</t>
        </is>
      </c>
    </row>
    <row r="19">
      <c r="A19" t="inlineStr">
        <is>
          <t>MVD (%)</t>
        </is>
      </c>
      <c r="B19" s="32">
        <f>VLOOKUP($B$8,'Rating Parameters'!$A$6:$C$17,3,FALSE)</f>
        <v/>
      </c>
      <c r="C19" t="inlineStr">
        <is>
          <t>Market Value Decline</t>
        </is>
      </c>
      <c r="E19" s="34" t="inlineStr">
        <is>
          <t>3. Select target rating level above (drives FF/MVD/FSD)</t>
        </is>
      </c>
    </row>
    <row r="20">
      <c r="A20" t="inlineStr">
        <is>
          <t>FSD (%)</t>
        </is>
      </c>
      <c r="B20" s="32">
        <f>VLOOKUP($B$8,'Rating Parameters'!$A$6:$D$17,4,FALSE)</f>
        <v/>
      </c>
      <c r="C20" t="inlineStr">
        <is>
          <t>Forced Sale Discount</t>
        </is>
      </c>
      <c r="E20" s="34" t="inlineStr">
        <is>
          <t>4. Set originator adjustment (0.70-1.30, default 1.00)</t>
        </is>
      </c>
    </row>
    <row r="21">
      <c r="A21" t="inlineStr">
        <is>
          <t>Stress Multiple</t>
        </is>
      </c>
      <c r="B21" s="35">
        <f>VLOOKUP($B$8,'Rating Parameters'!$F$6:$G$17,2,FALSE)</f>
        <v/>
      </c>
      <c r="C21" t="inlineStr">
        <is>
          <t>For CE calculation</t>
        </is>
      </c>
      <c r="E21" s="34" t="inlineStr">
        <is>
          <t>5. Review FF Calculations for loan-level results</t>
        </is>
      </c>
    </row>
    <row r="22">
      <c r="E22" s="34" t="inlineStr">
        <is>
          <t>6. Check Pool WAFF in statistics panel</t>
        </is>
      </c>
    </row>
    <row r="23">
      <c r="E23" s="34" t="inlineStr"/>
    </row>
    <row r="24">
      <c r="E24" s="34" t="inlineStr">
        <is>
          <t>CRITICAL NOTES:</t>
        </is>
      </c>
    </row>
    <row r="25">
      <c r="E25" s="34" t="inlineStr">
        <is>
          <t>• BTL identified from BV27 (Occupancy), not BV29 (Payment Method)</t>
        </is>
      </c>
    </row>
    <row r="26">
      <c r="E26" s="34" t="inlineStr">
        <is>
          <t>• All S&amp;P exclusion rules automatically applied</t>
        </is>
      </c>
    </row>
    <row r="27">
      <c r="E27" s="34" t="inlineStr">
        <is>
          <t>• Joint borrower logic uses minimum of joint vs individual</t>
        </is>
      </c>
    </row>
    <row r="28">
      <c r="E28" s="34" t="inlineStr">
        <is>
          <t>• Self-cert vs income: uses higher (not both)</t>
        </is>
      </c>
    </row>
  </sheetData>
  <mergeCells count="6">
    <mergeCell ref="A5:C5"/>
    <mergeCell ref="E5:G5"/>
    <mergeCell ref="A2:H2"/>
    <mergeCell ref="E15:H15"/>
    <mergeCell ref="A1:H1"/>
    <mergeCell ref="A15:C15"/>
  </mergeCells>
  <dataValidations count="2">
    <dataValidation sqref="B8" showDropDown="0" showInputMessage="0" showErrorMessage="0" allowBlank="0" type="list">
      <formula1>"AAA,AA+,AA,AA-,A+,A,A-,BBB+,BBB,BBB-,BB,B"</formula1>
    </dataValidation>
    <dataValidation sqref="B6" showDropDown="0" showInputMessage="0" showErrorMessage="0" allowBlank="0" type="list">
      <formula1>"UK,Ireland,Netherlands"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5" customWidth="1" min="4" max="4"/>
    <col width="12" customWidth="1" min="5" max="5"/>
    <col width="40" customWidth="1" min="6" max="6"/>
  </cols>
  <sheetData>
    <row r="1" ht="25" customHeight="1">
      <c r="A1" s="62" t="inlineStr">
        <is>
          <t>BOE AUTO-MAPPER CONFIGURATION</t>
        </is>
      </c>
    </row>
    <row r="2">
      <c r="A2" s="63" t="inlineStr">
        <is>
          <t>This sheet defines the mapping from Bank of England PRA110 codes to S&amp;P format fields</t>
        </is>
      </c>
    </row>
    <row r="4">
      <c r="A4" s="64" t="inlineStr">
        <is>
          <t>BoE Code</t>
        </is>
      </c>
      <c r="B4" s="64" t="inlineStr">
        <is>
          <t>BoE Description</t>
        </is>
      </c>
      <c r="C4" s="64" t="inlineStr">
        <is>
          <t>S&amp;P Column</t>
        </is>
      </c>
      <c r="D4" s="64" t="inlineStr">
        <is>
          <t>S&amp;P Field Name</t>
        </is>
      </c>
      <c r="E4" s="64" t="inlineStr">
        <is>
          <t>Data Type</t>
        </is>
      </c>
      <c r="F4" s="64" t="inlineStr">
        <is>
          <t>Conversion Rule</t>
        </is>
      </c>
    </row>
    <row r="5">
      <c r="A5" t="inlineStr">
        <is>
          <t>BV1</t>
        </is>
      </c>
      <c r="B5" t="inlineStr">
        <is>
          <t>Loan Identifier</t>
        </is>
      </c>
      <c r="C5" t="inlineStr">
        <is>
          <t>A</t>
        </is>
      </c>
      <c r="D5" t="inlineStr">
        <is>
          <t>Loan Identifier</t>
        </is>
      </c>
      <c r="E5" t="inlineStr">
        <is>
          <t>Text</t>
        </is>
      </c>
      <c r="F5" t="inlineStr">
        <is>
          <t>Direct</t>
        </is>
      </c>
    </row>
    <row r="6">
      <c r="A6" t="inlineStr">
        <is>
          <t>BV5</t>
        </is>
      </c>
      <c r="B6" t="inlineStr">
        <is>
          <t>Current Balance</t>
        </is>
      </c>
      <c r="C6" t="inlineStr">
        <is>
          <t>M</t>
        </is>
      </c>
      <c r="D6" t="inlineStr">
        <is>
          <t>Current Balance</t>
        </is>
      </c>
      <c r="E6" t="inlineStr">
        <is>
          <t>Number</t>
        </is>
      </c>
      <c r="F6" t="inlineStr">
        <is>
          <t>Direct</t>
        </is>
      </c>
    </row>
    <row r="7">
      <c r="A7" t="inlineStr">
        <is>
          <t>BV6</t>
        </is>
      </c>
      <c r="B7" t="inlineStr">
        <is>
          <t>Original Balance</t>
        </is>
      </c>
      <c r="C7" t="inlineStr">
        <is>
          <t>D</t>
        </is>
      </c>
      <c r="D7" t="inlineStr">
        <is>
          <t>Original Balance</t>
        </is>
      </c>
      <c r="E7" t="inlineStr">
        <is>
          <t>Number</t>
        </is>
      </c>
      <c r="F7" t="inlineStr">
        <is>
          <t>Direct</t>
        </is>
      </c>
    </row>
    <row r="8">
      <c r="A8" t="inlineStr">
        <is>
          <t>BV7</t>
        </is>
      </c>
      <c r="B8" t="inlineStr">
        <is>
          <t>Current Property Value</t>
        </is>
      </c>
      <c r="C8" t="inlineStr">
        <is>
          <t>F</t>
        </is>
      </c>
      <c r="D8" t="inlineStr">
        <is>
          <t>Current Property Value</t>
        </is>
      </c>
      <c r="E8" t="inlineStr">
        <is>
          <t>Number</t>
        </is>
      </c>
      <c r="F8" t="inlineStr">
        <is>
          <t>Direct</t>
        </is>
      </c>
    </row>
    <row r="9">
      <c r="A9" t="inlineStr">
        <is>
          <t>BV8</t>
        </is>
      </c>
      <c r="B9" t="inlineStr">
        <is>
          <t>Original Property Value</t>
        </is>
      </c>
      <c r="C9" t="inlineStr">
        <is>
          <t>E</t>
        </is>
      </c>
      <c r="D9" t="inlineStr">
        <is>
          <t>Original Property Value</t>
        </is>
      </c>
      <c r="E9" t="inlineStr">
        <is>
          <t>Number</t>
        </is>
      </c>
      <c r="F9" t="inlineStr">
        <is>
          <t>Direct</t>
        </is>
      </c>
    </row>
    <row r="10">
      <c r="A10" t="inlineStr">
        <is>
          <t>BV10</t>
        </is>
      </c>
      <c r="B10" t="inlineStr">
        <is>
          <t>Origination Date</t>
        </is>
      </c>
      <c r="C10" t="inlineStr">
        <is>
          <t>K</t>
        </is>
      </c>
      <c r="D10" t="inlineStr">
        <is>
          <t>Origination Date</t>
        </is>
      </c>
      <c r="E10" t="inlineStr">
        <is>
          <t>Date</t>
        </is>
      </c>
      <c r="F10" t="inlineStr">
        <is>
          <t>Direct</t>
        </is>
      </c>
    </row>
    <row r="11">
      <c r="A11" t="inlineStr">
        <is>
          <t>BV11</t>
        </is>
      </c>
      <c r="B11" t="inlineStr">
        <is>
          <t>Maturity Date</t>
        </is>
      </c>
      <c r="C11" t="inlineStr">
        <is>
          <t>L</t>
        </is>
      </c>
      <c r="D11" t="inlineStr">
        <is>
          <t>Maturity Date</t>
        </is>
      </c>
      <c r="E11" t="inlineStr">
        <is>
          <t>Date</t>
        </is>
      </c>
      <c r="F11" t="inlineStr">
        <is>
          <t>Direct</t>
        </is>
      </c>
    </row>
    <row r="12">
      <c r="A12" t="inlineStr">
        <is>
          <t>BV12</t>
        </is>
      </c>
      <c r="B12" t="inlineStr">
        <is>
          <t>Property Type</t>
        </is>
      </c>
      <c r="C12" t="inlineStr">
        <is>
          <t>B</t>
        </is>
      </c>
      <c r="D12" t="inlineStr">
        <is>
          <t>Property Type</t>
        </is>
      </c>
      <c r="E12" t="inlineStr">
        <is>
          <t>Text</t>
        </is>
      </c>
      <c r="F12" t="inlineStr">
        <is>
          <t>1=House,2=Flat,3=Bungalow,4=Maisonette</t>
        </is>
      </c>
    </row>
    <row r="13">
      <c r="A13" t="inlineStr">
        <is>
          <t>BV15</t>
        </is>
      </c>
      <c r="B13" t="inlineStr">
        <is>
          <t>Interest Rate</t>
        </is>
      </c>
      <c r="C13" t="inlineStr">
        <is>
          <t>O</t>
        </is>
      </c>
      <c r="D13" t="inlineStr">
        <is>
          <t>Interest Rate</t>
        </is>
      </c>
      <c r="E13" t="inlineStr">
        <is>
          <t>Percentage</t>
        </is>
      </c>
      <c r="F13" t="inlineStr">
        <is>
          <t>Direct</t>
        </is>
      </c>
    </row>
    <row r="14">
      <c r="A14" t="inlineStr">
        <is>
          <t>BV25</t>
        </is>
      </c>
      <c r="B14" t="inlineStr">
        <is>
          <t>Interest Rate Type</t>
        </is>
      </c>
      <c r="C14" t="inlineStr">
        <is>
          <t>AS</t>
        </is>
      </c>
      <c r="D14" t="inlineStr">
        <is>
          <t>Interest Rate Type</t>
        </is>
      </c>
      <c r="E14" t="inlineStr">
        <is>
          <t>Text</t>
        </is>
      </c>
      <c r="F14" t="inlineStr">
        <is>
          <t>1=Fixed,2=Variable,3=Tracker</t>
        </is>
      </c>
    </row>
    <row r="15">
      <c r="A15" t="inlineStr">
        <is>
          <t>BV27</t>
        </is>
      </c>
      <c r="B15" t="inlineStr">
        <is>
          <t>Occupancy Status</t>
        </is>
      </c>
      <c r="C15" t="inlineStr">
        <is>
          <t>N</t>
        </is>
      </c>
      <c r="D15" t="inlineStr">
        <is>
          <t>Occupancy Status</t>
        </is>
      </c>
      <c r="E15" t="inlineStr">
        <is>
          <t>Text</t>
        </is>
      </c>
      <c r="F15" t="inlineStr">
        <is>
          <t>1=Owner Occupied,2=Buy to Let,3=Second Home</t>
        </is>
      </c>
    </row>
    <row r="16">
      <c r="A16" t="inlineStr">
        <is>
          <t>BV29</t>
        </is>
      </c>
      <c r="B16" t="inlineStr">
        <is>
          <t>Payment Method</t>
        </is>
      </c>
      <c r="C16" t="inlineStr">
        <is>
          <t>N</t>
        </is>
      </c>
      <c r="D16" t="inlineStr">
        <is>
          <t>Payment Method</t>
        </is>
      </c>
      <c r="E16" t="inlineStr">
        <is>
          <t>Text</t>
        </is>
      </c>
      <c r="F16" t="inlineStr">
        <is>
          <t>1=Repayment,2=Interest Only,3=Part and Part</t>
        </is>
      </c>
    </row>
    <row r="17">
      <c r="A17" t="inlineStr">
        <is>
          <t>BV48</t>
        </is>
      </c>
      <c r="B17" t="inlineStr">
        <is>
          <t>Performance Arrangement</t>
        </is>
      </c>
      <c r="C17" t="inlineStr">
        <is>
          <t>AP</t>
        </is>
      </c>
      <c r="D17" t="inlineStr">
        <is>
          <t>Performance Arrangement</t>
        </is>
      </c>
      <c r="E17" t="inlineStr">
        <is>
          <t>Text</t>
        </is>
      </c>
      <c r="F17" t="inlineStr">
        <is>
          <t>1,2=Yes,else=No</t>
        </is>
      </c>
    </row>
    <row r="18">
      <c r="A18" t="inlineStr">
        <is>
          <t>BV49</t>
        </is>
      </c>
      <c r="B18" t="inlineStr">
        <is>
          <t>Performance Arrangement Date</t>
        </is>
      </c>
      <c r="C18" t="inlineStr">
        <is>
          <t>AQ</t>
        </is>
      </c>
      <c r="D18" t="inlineStr">
        <is>
          <t>Perf Arrangement Date</t>
        </is>
      </c>
      <c r="E18" t="inlineStr">
        <is>
          <t>Date</t>
        </is>
      </c>
      <c r="F18" t="inlineStr">
        <is>
          <t>Direct</t>
        </is>
      </c>
    </row>
    <row r="19">
      <c r="A19" t="inlineStr">
        <is>
          <t>BV50</t>
        </is>
      </c>
      <c r="B19" t="inlineStr">
        <is>
          <t>Last 90+ Days Date</t>
        </is>
      </c>
      <c r="C19" t="inlineStr">
        <is>
          <t>AR</t>
        </is>
      </c>
      <c r="D19" t="inlineStr">
        <is>
          <t>Last 90+ Days Date</t>
        </is>
      </c>
      <c r="E19" t="inlineStr">
        <is>
          <t>Date</t>
        </is>
      </c>
      <c r="F19" t="inlineStr">
        <is>
          <t>Direct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5" customHeight="1">
      <c r="A1" s="62" t="inlineStr">
        <is>
          <t>LOAN TAPE INPUT - BANK OF ENGLAND FORMAT (PRA110)</t>
        </is>
      </c>
    </row>
    <row r="2">
      <c r="A2" s="65" t="inlineStr">
        <is>
          <t>INSTRUCTIONS FOR USE:</t>
        </is>
      </c>
    </row>
    <row r="3">
      <c r="A3" s="66" t="inlineStr">
        <is>
          <t>1. Paste your Bank of England PRA110 loan tape below (starting at row 5)</t>
        </is>
      </c>
    </row>
    <row r="4">
      <c r="A4" s="66" t="inlineStr">
        <is>
          <t>2. Keep the BoE field codes in the header row (BV1, BV5, BV27, etc.)</t>
        </is>
      </c>
    </row>
    <row r="5">
      <c r="A5" s="66" t="inlineStr">
        <is>
          <t>3. The tape can be in ANY column order - the mapper will find the fields automatically</t>
        </is>
      </c>
    </row>
    <row r="6">
      <c r="A6" s="66" t="inlineStr">
        <is>
          <t>4. After pasting, click the "Map BoE Fields" button (if VBA macro is installed)</t>
        </is>
      </c>
    </row>
    <row r="7">
      <c r="A7" s="66" t="inlineStr">
        <is>
          <t>5. Data will automatically populate in the "Loan Tape (S&amp;P)" sheet</t>
        </is>
      </c>
    </row>
    <row r="8">
      <c r="A8" s="66" t="inlineStr"/>
    </row>
    <row r="9">
      <c r="A9" s="65" t="inlineStr">
        <is>
          <t>NOTES:</t>
        </is>
      </c>
    </row>
    <row r="10">
      <c r="A10" s="66" t="inlineStr">
        <is>
          <t>• Do NOT delete or modify the BoE field codes in your headers</t>
        </is>
      </c>
    </row>
    <row r="11">
      <c r="A11" s="66" t="inlineStr">
        <is>
          <t>• Dates should be in a recognizable format (DD/MM/YYYY or Excel date serial)</t>
        </is>
      </c>
    </row>
    <row r="12">
      <c r="A12" s="66" t="inlineStr">
        <is>
          <t>• Numeric codes will be automatically converted to text descriptions</t>
        </is>
      </c>
    </row>
    <row r="13">
      <c r="A13" s="66" t="inlineStr">
        <is>
          <t>• Empty cells are allowed for optional fields</t>
        </is>
      </c>
    </row>
    <row r="16">
      <c r="A16" s="67" t="inlineStr">
        <is>
          <t>BV1 (Loan ID)</t>
        </is>
      </c>
      <c r="B16" s="67" t="inlineStr">
        <is>
          <t>BV5 (Balance)</t>
        </is>
      </c>
      <c r="C16" s="67" t="inlineStr">
        <is>
          <t>BV12 (Property Type)</t>
        </is>
      </c>
      <c r="D16" s="67" t="inlineStr">
        <is>
          <t>BV27 (Occupancy)</t>
        </is>
      </c>
      <c r="E16" s="67" t="inlineStr">
        <is>
          <t>BV29 (Payment)</t>
        </is>
      </c>
      <c r="F16" s="67" t="inlineStr">
        <is>
          <t>BV25 (Rate Type)</t>
        </is>
      </c>
      <c r="G16" s="67" t="inlineStr">
        <is>
          <t>BV48 (Perf Arr)</t>
        </is>
      </c>
      <c r="H16" s="67" t="inlineStr">
        <is>
          <t>BV49 (Perf Date)</t>
        </is>
      </c>
      <c r="I16" s="67" t="inlineStr">
        <is>
          <t>BV50 (Last 90+ Date)</t>
        </is>
      </c>
      <c r="J16" s="67" t="inlineStr">
        <is>
          <t>...more BoE fields...</t>
        </is>
      </c>
    </row>
    <row r="17">
      <c r="A17" s="68" t="inlineStr">
        <is>
          <t>[Paste your loan tape starting here - replace this sample data]</t>
        </is>
      </c>
    </row>
  </sheetData>
  <mergeCells count="14">
    <mergeCell ref="A1:J1"/>
    <mergeCell ref="A5:J5"/>
    <mergeCell ref="A8:J8"/>
    <mergeCell ref="A6:J6"/>
    <mergeCell ref="A17:J17"/>
    <mergeCell ref="A9:J9"/>
    <mergeCell ref="A3:J3"/>
    <mergeCell ref="A12:J12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0" customWidth="1" min="15" max="15"/>
    <col width="15" customWidth="1" min="16" max="16"/>
  </cols>
  <sheetData>
    <row r="1">
      <c r="A1" s="1" t="inlineStr">
        <is>
          <t>JURISDICTION-SPECIFIC PARAMETERS</t>
        </is>
      </c>
    </row>
    <row r="2">
      <c r="A2" s="11" t="inlineStr">
        <is>
          <t>All jurisdiction-specific values - Model references this sheet dynamically</t>
        </is>
      </c>
    </row>
    <row r="4">
      <c r="A4" s="13" t="inlineStr">
        <is>
          <t>Jurisdiction</t>
        </is>
      </c>
      <c r="B4" s="13" t="inlineStr">
        <is>
          <t>OLTV Weight</t>
        </is>
      </c>
      <c r="C4" s="13" t="inlineStr">
        <is>
          <t>CLTV Weight</t>
        </is>
      </c>
      <c r="D4" s="13" t="inlineStr">
        <is>
          <t>Valuation Haircut</t>
        </is>
      </c>
      <c r="E4" s="13" t="inlineStr">
        <is>
          <t>Interest Cost (BTL)</t>
        </is>
      </c>
      <c r="F4" s="13" t="inlineStr">
        <is>
          <t>Seasoning Periods</t>
        </is>
      </c>
      <c r="G4" s="13" t="inlineStr">
        <is>
          <t>Income Mult Threshold 1</t>
        </is>
      </c>
      <c r="H4" s="13" t="inlineStr">
        <is>
          <t>Income Mult Threshold 2</t>
        </is>
      </c>
      <c r="I4" s="13" t="inlineStr">
        <is>
          <t>Income Mult Joint Threshold 1</t>
        </is>
      </c>
      <c r="J4" s="13" t="inlineStr">
        <is>
          <t>Income Mult Joint Threshold 2</t>
        </is>
      </c>
      <c r="K4" s="13" t="inlineStr">
        <is>
          <t>Arrears 1mo Mult</t>
        </is>
      </c>
      <c r="L4" s="13" t="inlineStr">
        <is>
          <t>Arrears 2mo Mult</t>
        </is>
      </c>
      <c r="M4" s="13" t="inlineStr">
        <is>
          <t>Arrears 3mo Mult</t>
        </is>
      </c>
      <c r="N4" s="13" t="inlineStr">
        <is>
          <t>Foreclosure Cost %</t>
        </is>
      </c>
      <c r="O4" s="13" t="inlineStr">
        <is>
          <t>LTV Curve Reference</t>
        </is>
      </c>
      <c r="P4" s="13" t="inlineStr">
        <is>
          <t>Regional Adj Enabled</t>
        </is>
      </c>
      <c r="Q4" t="inlineStr">
        <is>
          <t>Reperform Threshold (Years)</t>
        </is>
      </c>
    </row>
    <row r="5">
      <c r="A5" s="56" t="inlineStr">
        <is>
          <t>UK</t>
        </is>
      </c>
      <c r="B5" s="57" t="n">
        <v>0.8</v>
      </c>
      <c r="C5" s="57" t="n">
        <v>0.2</v>
      </c>
      <c r="D5" s="57" t="n">
        <v>0.05</v>
      </c>
      <c r="E5" s="57" t="n">
        <v>0.055</v>
      </c>
      <c r="F5" s="15" t="n">
        <v>18</v>
      </c>
      <c r="G5" s="33" t="n">
        <v>5</v>
      </c>
      <c r="H5" s="33" t="n">
        <v>3.5</v>
      </c>
      <c r="I5" s="33" t="n">
        <v>3.25</v>
      </c>
      <c r="J5" s="33" t="n">
        <v>2.75</v>
      </c>
      <c r="K5" s="33" t="n">
        <v>2.5</v>
      </c>
      <c r="L5" s="33" t="n">
        <v>5</v>
      </c>
      <c r="M5" s="57" t="n">
        <v>100</v>
      </c>
      <c r="N5" s="15" t="n">
        <v>0.08</v>
      </c>
      <c r="O5" s="15" t="inlineStr">
        <is>
          <t>LTV Curve UK</t>
        </is>
      </c>
      <c r="P5" s="15" t="inlineStr">
        <is>
          <t>Yes</t>
        </is>
      </c>
      <c r="Q5" t="n">
        <v>3</v>
      </c>
    </row>
    <row r="6">
      <c r="A6" s="56" t="inlineStr">
        <is>
          <t>Ireland</t>
        </is>
      </c>
      <c r="B6" s="57" t="n">
        <v>0.75</v>
      </c>
      <c r="C6" s="57" t="n">
        <v>0.25</v>
      </c>
      <c r="D6" s="57" t="n">
        <v>0.07000000000000001</v>
      </c>
      <c r="E6" s="57" t="n">
        <v>0.06</v>
      </c>
      <c r="F6" s="15" t="n">
        <v>24</v>
      </c>
      <c r="G6" s="33" t="n">
        <v>4.5</v>
      </c>
      <c r="H6" s="33" t="n">
        <v>3</v>
      </c>
      <c r="I6" s="33" t="n">
        <v>3</v>
      </c>
      <c r="J6" s="33" t="n">
        <v>2.5</v>
      </c>
      <c r="K6" s="33" t="n">
        <v>3</v>
      </c>
      <c r="L6" s="33" t="n">
        <v>6</v>
      </c>
      <c r="M6" s="57" t="n">
        <v>100</v>
      </c>
      <c r="N6" s="15" t="n">
        <v>0.1</v>
      </c>
      <c r="O6" s="15" t="inlineStr">
        <is>
          <t>LTV Curve Ireland</t>
        </is>
      </c>
      <c r="P6" s="15" t="inlineStr">
        <is>
          <t>Yes</t>
        </is>
      </c>
      <c r="Q6" t="n">
        <v>3</v>
      </c>
    </row>
    <row r="7">
      <c r="A7" s="56" t="inlineStr">
        <is>
          <t>Netherlands</t>
        </is>
      </c>
      <c r="B7" s="57" t="n">
        <v>0.8</v>
      </c>
      <c r="C7" s="57" t="n">
        <v>0.2</v>
      </c>
      <c r="D7" s="57" t="n">
        <v>0.04</v>
      </c>
      <c r="E7" s="57" t="n">
        <v>0.05</v>
      </c>
      <c r="F7" s="15" t="n">
        <v>12</v>
      </c>
      <c r="G7" s="33" t="n">
        <v>6</v>
      </c>
      <c r="H7" s="33" t="n">
        <v>4</v>
      </c>
      <c r="I7" s="33" t="n">
        <v>4</v>
      </c>
      <c r="J7" s="33" t="n">
        <v>3</v>
      </c>
      <c r="K7" s="33" t="n">
        <v>2</v>
      </c>
      <c r="L7" s="33" t="n">
        <v>4</v>
      </c>
      <c r="M7" s="57" t="n">
        <v>100</v>
      </c>
      <c r="N7" s="15" t="n">
        <v>0.07000000000000001</v>
      </c>
      <c r="O7" s="15" t="inlineStr">
        <is>
          <t>LTV Curve Netherlands</t>
        </is>
      </c>
      <c r="P7" s="15" t="inlineStr">
        <is>
          <t>No</t>
        </is>
      </c>
      <c r="Q7" t="n">
        <v>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5" customWidth="1" min="5" max="5"/>
    <col width="10" customWidth="1" min="6" max="6"/>
    <col width="15" customWidth="1" min="7" max="7"/>
  </cols>
  <sheetData>
    <row r="1">
      <c r="A1" s="1" t="inlineStr">
        <is>
          <t>RATING-DRIVEN PARAMETERS</t>
        </is>
      </c>
    </row>
    <row r="3">
      <c r="A3" s="2" t="inlineStr">
        <is>
          <t>All parameters that vary by target rating level</t>
        </is>
      </c>
    </row>
    <row r="5">
      <c r="A5" s="3" t="inlineStr">
        <is>
          <t>Rating</t>
        </is>
      </c>
      <c r="B5" s="3" t="inlineStr">
        <is>
          <t>Base FF (%)</t>
        </is>
      </c>
      <c r="C5" s="3" t="inlineStr">
        <is>
          <t>MVD (%)</t>
        </is>
      </c>
      <c r="D5" s="3" t="inlineStr">
        <is>
          <t>FSD (%)</t>
        </is>
      </c>
      <c r="E5" s="3" t="inlineStr">
        <is>
          <t>Source</t>
        </is>
      </c>
      <c r="F5" s="3" t="inlineStr">
        <is>
          <t>Rating</t>
        </is>
      </c>
      <c r="G5" s="3" t="inlineStr">
        <is>
          <t>Stress Multiple</t>
        </is>
      </c>
    </row>
    <row r="6">
      <c r="A6" s="4" t="inlineStr">
        <is>
          <t>AAA</t>
        </is>
      </c>
      <c r="B6" s="5" t="n">
        <v>0.12</v>
      </c>
      <c r="C6" s="5" t="n">
        <v>0.45</v>
      </c>
      <c r="D6" s="5" t="n">
        <v>0.15</v>
      </c>
      <c r="E6" s="4" t="inlineStr">
        <is>
          <t>Table 72 / S&amp;P MVD assumptions</t>
        </is>
      </c>
      <c r="F6" s="4" t="inlineStr">
        <is>
          <t>AAA</t>
        </is>
      </c>
      <c r="G6" s="9" t="n">
        <v>14</v>
      </c>
    </row>
    <row r="7">
      <c r="A7" s="4" t="inlineStr">
        <is>
          <t>AA+</t>
        </is>
      </c>
      <c r="B7" s="5" t="n">
        <v>0.105</v>
      </c>
      <c r="C7" s="5" t="n">
        <v>0.42</v>
      </c>
      <c r="D7" s="5" t="n">
        <v>0.14</v>
      </c>
      <c r="E7" s="4" t="inlineStr">
        <is>
          <t>Interpolated</t>
        </is>
      </c>
      <c r="F7" s="4" t="inlineStr">
        <is>
          <t>AA+</t>
        </is>
      </c>
      <c r="G7" s="9" t="n">
        <v>12</v>
      </c>
    </row>
    <row r="8">
      <c r="A8" s="4" t="inlineStr">
        <is>
          <t>AA</t>
        </is>
      </c>
      <c r="B8" s="5" t="n">
        <v>0.08</v>
      </c>
      <c r="C8" s="5" t="n">
        <v>0.4</v>
      </c>
      <c r="D8" s="5" t="n">
        <v>0.13</v>
      </c>
      <c r="E8" s="4" t="inlineStr">
        <is>
          <t>Table 72</t>
        </is>
      </c>
      <c r="F8" s="4" t="inlineStr">
        <is>
          <t>AA</t>
        </is>
      </c>
      <c r="G8" s="9" t="n">
        <v>10.5</v>
      </c>
    </row>
    <row r="9">
      <c r="A9" s="4" t="inlineStr">
        <is>
          <t>AA-</t>
        </is>
      </c>
      <c r="B9" s="5" t="n">
        <v>0.07000000000000001</v>
      </c>
      <c r="C9" s="5" t="n">
        <v>0.37</v>
      </c>
      <c r="D9" s="5" t="n">
        <v>0.12</v>
      </c>
      <c r="E9" s="4" t="inlineStr">
        <is>
          <t>Interpolated</t>
        </is>
      </c>
      <c r="F9" s="4" t="inlineStr">
        <is>
          <t>AA-</t>
        </is>
      </c>
      <c r="G9" s="9" t="n">
        <v>9</v>
      </c>
    </row>
    <row r="10">
      <c r="A10" s="4" t="inlineStr">
        <is>
          <t>A+</t>
        </is>
      </c>
      <c r="B10" s="5" t="n">
        <v>0.065</v>
      </c>
      <c r="C10" s="5" t="n">
        <v>0.34</v>
      </c>
      <c r="D10" s="5" t="n">
        <v>0.11</v>
      </c>
      <c r="E10" s="4" t="inlineStr">
        <is>
          <t>Interpolated</t>
        </is>
      </c>
      <c r="F10" s="4" t="inlineStr">
        <is>
          <t>A+</t>
        </is>
      </c>
      <c r="G10" s="9" t="n">
        <v>7.5</v>
      </c>
    </row>
    <row r="11">
      <c r="A11" s="4" t="inlineStr">
        <is>
          <t>A</t>
        </is>
      </c>
      <c r="B11" s="5" t="n">
        <v>0.06</v>
      </c>
      <c r="C11" s="5" t="n">
        <v>0.32</v>
      </c>
      <c r="D11" s="5" t="n">
        <v>0.1</v>
      </c>
      <c r="E11" s="4" t="inlineStr">
        <is>
          <t>Table 72</t>
        </is>
      </c>
      <c r="F11" s="4" t="inlineStr">
        <is>
          <t>A</t>
        </is>
      </c>
      <c r="G11" s="9" t="n">
        <v>6.5</v>
      </c>
    </row>
    <row r="12">
      <c r="A12" s="4" t="inlineStr">
        <is>
          <t>A-</t>
        </is>
      </c>
      <c r="B12" s="5" t="n">
        <v>0.055</v>
      </c>
      <c r="C12" s="5" t="n">
        <v>0.3</v>
      </c>
      <c r="D12" s="5" t="n">
        <v>0.1</v>
      </c>
      <c r="E12" s="4" t="inlineStr">
        <is>
          <t>Interpolated</t>
        </is>
      </c>
      <c r="F12" s="4" t="inlineStr">
        <is>
          <t>A-</t>
        </is>
      </c>
      <c r="G12" s="9" t="n">
        <v>5.5</v>
      </c>
    </row>
    <row r="13">
      <c r="A13" s="4" t="inlineStr">
        <is>
          <t>BBB+</t>
        </is>
      </c>
      <c r="B13" s="5" t="n">
        <v>0.05</v>
      </c>
      <c r="C13" s="5" t="n">
        <v>0.27</v>
      </c>
      <c r="D13" s="5" t="n">
        <v>0.09</v>
      </c>
      <c r="E13" s="4" t="inlineStr">
        <is>
          <t>Interpolated</t>
        </is>
      </c>
      <c r="F13" s="4" t="inlineStr">
        <is>
          <t>BBB+</t>
        </is>
      </c>
      <c r="G13" s="9" t="n">
        <v>4.5</v>
      </c>
    </row>
    <row r="14">
      <c r="A14" s="4" t="inlineStr">
        <is>
          <t>BBB</t>
        </is>
      </c>
      <c r="B14" s="5" t="n">
        <v>0.04</v>
      </c>
      <c r="C14" s="5" t="n">
        <v>0.25</v>
      </c>
      <c r="D14" s="5" t="n">
        <v>0.08</v>
      </c>
      <c r="E14" s="4" t="inlineStr">
        <is>
          <t>Table 72</t>
        </is>
      </c>
      <c r="F14" s="4" t="inlineStr">
        <is>
          <t>BBB</t>
        </is>
      </c>
      <c r="G14" s="9" t="n">
        <v>4</v>
      </c>
    </row>
    <row r="15">
      <c r="A15" s="4" t="inlineStr">
        <is>
          <t>BBB-</t>
        </is>
      </c>
      <c r="B15" s="5" t="n">
        <v>0.035</v>
      </c>
      <c r="C15" s="5" t="n">
        <v>0.22</v>
      </c>
      <c r="D15" s="5" t="n">
        <v>0.08</v>
      </c>
      <c r="E15" s="4" t="inlineStr">
        <is>
          <t>Interpolated</t>
        </is>
      </c>
      <c r="F15" s="4" t="inlineStr">
        <is>
          <t>BBB-</t>
        </is>
      </c>
      <c r="G15" s="9" t="n">
        <v>3.5</v>
      </c>
    </row>
    <row r="16">
      <c r="A16" s="4" t="inlineStr">
        <is>
          <t>BB</t>
        </is>
      </c>
      <c r="B16" s="5" t="n">
        <v>0.02</v>
      </c>
      <c r="C16" s="5" t="n">
        <v>0.2</v>
      </c>
      <c r="D16" s="5" t="n">
        <v>0.07000000000000001</v>
      </c>
      <c r="E16" s="4" t="inlineStr">
        <is>
          <t>Table 72</t>
        </is>
      </c>
      <c r="F16" s="4" t="inlineStr">
        <is>
          <t>BB</t>
        </is>
      </c>
      <c r="G16" s="9" t="n">
        <v>3</v>
      </c>
    </row>
    <row r="17">
      <c r="A17" s="4" t="inlineStr">
        <is>
          <t>B</t>
        </is>
      </c>
      <c r="B17" s="5" t="n">
        <v>0.015</v>
      </c>
      <c r="C17" s="5" t="n">
        <v>0.18</v>
      </c>
      <c r="D17" s="5" t="n">
        <v>0.07000000000000001</v>
      </c>
      <c r="E17" s="4" t="inlineStr">
        <is>
          <t>Table 72</t>
        </is>
      </c>
      <c r="F17" s="4" t="inlineStr">
        <is>
          <t>B</t>
        </is>
      </c>
      <c r="G17" s="9" t="n">
        <v>2.5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S&amp;P UK LTV CURVE - TYPE 2 FULL RECOURSE (131 Points)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20" customWidth="1" min="4" max="4"/>
  </cols>
  <sheetData>
    <row r="1">
      <c r="A1" s="62" t="inlineStr">
        <is>
          <t>FF ADJUSTMENT PARAMETERS - COMPLETE LOOKUP TABLES</t>
        </is>
      </c>
    </row>
    <row r="2"/>
    <row r="3">
      <c r="A3" s="65" t="inlineStr">
        <is>
          <t>SEASONING ADJUSTMENTS</t>
        </is>
      </c>
    </row>
    <row r="4">
      <c r="A4" s="54" t="inlineStr">
        <is>
          <t>Threshold (Years)</t>
        </is>
      </c>
    </row>
    <row r="5">
      <c r="A5" t="n">
        <v>5</v>
      </c>
      <c r="B5" t="n">
        <v>1</v>
      </c>
      <c r="C5" t="inlineStr">
        <is>
          <t>&lt;5 years - No credit</t>
        </is>
      </c>
    </row>
    <row r="6">
      <c r="A6" t="n">
        <v>6</v>
      </c>
      <c r="B6" t="n">
        <v>0.75</v>
      </c>
      <c r="C6" t="inlineStr">
        <is>
          <t>5-6 years - 25% credit</t>
        </is>
      </c>
    </row>
    <row r="7">
      <c r="A7" t="n">
        <v>7</v>
      </c>
      <c r="B7" t="n">
        <v>0.7</v>
      </c>
      <c r="C7" t="inlineStr">
        <is>
          <t>6-7 years - 30% credit</t>
        </is>
      </c>
    </row>
    <row r="8">
      <c r="A8" t="n">
        <v>8</v>
      </c>
      <c r="B8" t="n">
        <v>0.65</v>
      </c>
      <c r="C8" t="inlineStr">
        <is>
          <t>7-8 years - 35% credit</t>
        </is>
      </c>
    </row>
    <row r="9">
      <c r="A9" t="n">
        <v>9</v>
      </c>
      <c r="B9" t="n">
        <v>0.6</v>
      </c>
      <c r="C9" t="inlineStr">
        <is>
          <t>8-9 years - 40% credit</t>
        </is>
      </c>
    </row>
    <row r="10">
      <c r="A10" t="n">
        <v>10</v>
      </c>
    </row>
    <row r="11">
      <c r="A11" t="n">
        <v>999</v>
      </c>
      <c r="B11" t="n">
        <v>0.5</v>
      </c>
      <c r="C11" t="inlineStr">
        <is>
          <t>&gt;10 years - 50% credit</t>
        </is>
      </c>
    </row>
    <row r="13">
      <c r="A13" s="65" t="inlineStr">
        <is>
          <t>INCOME MULTIPLE ADJUSTMENTS</t>
        </is>
      </c>
    </row>
    <row r="14">
      <c r="A14" s="54" t="inlineStr">
        <is>
          <t>Threshold</t>
        </is>
      </c>
      <c r="B14" s="54" t="inlineStr">
        <is>
          <t>Multiplier</t>
        </is>
      </c>
      <c r="C14" s="54" t="inlineStr">
        <is>
          <t>Description</t>
        </is>
      </c>
    </row>
    <row r="15">
      <c r="A15" t="n">
        <v>3.5</v>
      </c>
      <c r="B15" t="n">
        <v>1</v>
      </c>
      <c r="C15" t="inlineStr">
        <is>
          <t>≤3.5 single or ≤2.75 joint</t>
        </is>
      </c>
    </row>
    <row r="16">
      <c r="A16" t="n">
        <v>5</v>
      </c>
      <c r="B16" t="n">
        <v>1.2</v>
      </c>
      <c r="C16" t="inlineStr">
        <is>
          <t>&gt;3.5 to 5.0 single or &gt;2.75 to 3.25 joint</t>
        </is>
      </c>
    </row>
    <row r="17">
      <c r="A17" t="n">
        <v>999</v>
      </c>
      <c r="B17" t="n">
        <v>1.5</v>
      </c>
      <c r="C17" t="inlineStr">
        <is>
          <t>&gt;5.0 single or &gt;3.25 joint</t>
        </is>
      </c>
    </row>
    <row r="18"/>
    <row r="19">
      <c r="A19" s="65" t="inlineStr">
        <is>
          <t>BTL DSCR ADJUSTMENTS</t>
        </is>
      </c>
    </row>
    <row r="20">
      <c r="A20" s="54" t="inlineStr">
        <is>
          <t>DSCR Threshold</t>
        </is>
      </c>
      <c r="B20" s="54" t="inlineStr">
        <is>
          <t>Multiplier</t>
        </is>
      </c>
      <c r="C20" s="54" t="inlineStr">
        <is>
          <t>Description</t>
        </is>
      </c>
    </row>
    <row r="21">
      <c r="A21" t="n">
        <v>0</v>
      </c>
      <c r="B21" t="n">
        <v>1.7</v>
      </c>
      <c r="C21" t="inlineStr">
        <is>
          <t>No rental income</t>
        </is>
      </c>
    </row>
    <row r="22">
      <c r="A22" t="n">
        <v>1</v>
      </c>
      <c r="B22" t="n">
        <v>1.55</v>
      </c>
      <c r="C22" t="inlineStr">
        <is>
          <t>&lt;1.00 - Inadequate</t>
        </is>
      </c>
    </row>
    <row r="23">
      <c r="A23" t="n">
        <v>1.2</v>
      </c>
      <c r="B23" t="n">
        <v>1.45</v>
      </c>
      <c r="C23" t="inlineStr">
        <is>
          <t>1.00-1.20 - Minimal</t>
        </is>
      </c>
    </row>
    <row r="24">
      <c r="A24" t="n">
        <v>1.35</v>
      </c>
    </row>
    <row r="25">
      <c r="A25" t="n">
        <v>999</v>
      </c>
      <c r="B25" t="n">
        <v>1.25</v>
      </c>
      <c r="C25" t="inlineStr">
        <is>
          <t>≥1.35 - Strong</t>
        </is>
      </c>
    </row>
    <row r="27">
      <c r="A27" s="65" t="inlineStr">
        <is>
          <t>INTEREST ONLY ADJUSTMENTS (NON-BTL)</t>
        </is>
      </c>
    </row>
    <row r="28">
      <c r="A28" s="54" t="inlineStr">
        <is>
          <t>Years to Maturity</t>
        </is>
      </c>
      <c r="B28" s="54" t="inlineStr">
        <is>
          <t>Multiplier</t>
        </is>
      </c>
      <c r="C28" s="54" t="inlineStr">
        <is>
          <t>Description</t>
        </is>
      </c>
    </row>
    <row r="29">
      <c r="A29" t="n">
        <v>5</v>
      </c>
      <c r="B29" t="n">
        <v>1.25</v>
      </c>
      <c r="C29" t="inlineStr">
        <is>
          <t>&lt;5 years</t>
        </is>
      </c>
    </row>
    <row r="30">
      <c r="A30" t="n">
        <v>15</v>
      </c>
    </row>
    <row r="31">
      <c r="A31" t="n">
        <v>25</v>
      </c>
      <c r="B31" t="n">
        <v>1.2</v>
      </c>
      <c r="C31" t="inlineStr">
        <is>
          <t>15-25 years</t>
        </is>
      </c>
    </row>
    <row r="32">
      <c r="A32" t="n">
        <v>999</v>
      </c>
      <c r="B32" t="n">
        <v>1.1</v>
      </c>
      <c r="C32" t="inlineStr">
        <is>
          <t>&gt;25 years</t>
        </is>
      </c>
    </row>
    <row r="34">
      <c r="A34" s="65" t="inlineStr">
        <is>
          <t>FIXED ADJUSTMENT MULTIPLIERS</t>
        </is>
      </c>
    </row>
    <row r="35">
      <c r="A35" s="54" t="inlineStr">
        <is>
          <t>Adjustment Type</t>
        </is>
      </c>
      <c r="B35" s="54" t="inlineStr">
        <is>
          <t>Multiplier</t>
        </is>
      </c>
      <c r="C35" s="54" t="inlineStr">
        <is>
          <t>Notes</t>
        </is>
      </c>
    </row>
    <row r="36">
      <c r="A36" t="inlineStr">
        <is>
          <t>First Time Buyer</t>
        </is>
      </c>
      <c r="B36" t="n">
        <v>1.1</v>
      </c>
      <c r="C36" t="inlineStr">
        <is>
          <t>If seasoning &lt;18 months</t>
        </is>
      </c>
    </row>
    <row r="37">
      <c r="A37" t="inlineStr">
        <is>
          <t>Help to Buy</t>
        </is>
      </c>
      <c r="B37" t="n">
        <v>1</v>
      </c>
      <c r="C37" t="inlineStr">
        <is>
          <t>No adjustment per S&amp;P</t>
        </is>
      </c>
    </row>
    <row r="38">
      <c r="A38" t="inlineStr">
        <is>
          <t>Shared Ownership</t>
        </is>
      </c>
      <c r="B38" t="n">
        <v>1.15</v>
      </c>
      <c r="C38" t="inlineStr">
        <is>
          <t>Complexity premium</t>
        </is>
      </c>
    </row>
    <row r="39">
      <c r="A39" t="inlineStr">
        <is>
          <t>Right to Buy</t>
        </is>
      </c>
      <c r="B39" t="n">
        <v>1.2</v>
      </c>
      <c r="C39" t="inlineStr">
        <is>
          <t>Discount unwind risk</t>
        </is>
      </c>
    </row>
    <row r="40">
      <c r="A40" t="inlineStr">
        <is>
          <t>Self-Certification</t>
        </is>
      </c>
    </row>
    <row r="41">
      <c r="A41" t="inlineStr">
        <is>
          <t>Payment Shock</t>
        </is>
      </c>
      <c r="B41" t="n">
        <v>1.1</v>
      </c>
      <c r="C41" t="inlineStr">
        <is>
          <t>Fixed rate &lt;60mo to maturity</t>
        </is>
      </c>
    </row>
    <row r="42">
      <c r="A42" t="inlineStr">
        <is>
          <t>Self-Employed</t>
        </is>
      </c>
      <c r="B42" t="n">
        <v>1.15</v>
      </c>
      <c r="C42" t="inlineStr">
        <is>
          <t>Income stability risk</t>
        </is>
      </c>
    </row>
    <row r="43">
      <c r="A43" t="inlineStr">
        <is>
          <t>Commercial Property</t>
        </is>
      </c>
      <c r="B43" t="n">
        <v>1.85</v>
      </c>
      <c r="C43" t="inlineStr">
        <is>
          <t>Commercial use risk</t>
        </is>
      </c>
    </row>
    <row r="44">
      <c r="A44" t="inlineStr">
        <is>
          <t>CCJ</t>
        </is>
      </c>
      <c r="B44" t="n">
        <v>1.3</v>
      </c>
      <c r="C44" t="inlineStr">
        <is>
          <t>County Court Judgment</t>
        </is>
      </c>
    </row>
    <row r="45">
      <c r="A45" t="inlineStr">
        <is>
          <t>Bankruptcy</t>
        </is>
      </c>
      <c r="B45" t="n">
        <v>4</v>
      </c>
      <c r="C45" t="inlineStr">
        <is>
          <t>Floor at 0.50</t>
        </is>
      </c>
    </row>
    <row r="46">
      <c r="A46" t="inlineStr">
        <is>
          <t>IVA</t>
        </is>
      </c>
      <c r="B46" t="n">
        <v>3.5</v>
      </c>
      <c r="C46" t="inlineStr">
        <is>
          <t>Floor at 0.50</t>
        </is>
      </c>
    </row>
    <row r="47">
      <c r="A47" t="inlineStr">
        <is>
          <t>Repossession</t>
        </is>
      </c>
      <c r="B47" t="n">
        <v>5</v>
      </c>
      <c r="C47" t="inlineStr">
        <is>
          <t>Floor at 0.50</t>
        </is>
      </c>
    </row>
    <row r="48">
      <c r="A48" t="inlineStr">
        <is>
          <t>Lien 1st</t>
        </is>
      </c>
      <c r="B48" t="n">
        <v>1</v>
      </c>
      <c r="C48" t="inlineStr">
        <is>
          <t>First lien baseline</t>
        </is>
      </c>
    </row>
    <row r="49">
      <c r="A49" t="inlineStr">
        <is>
          <t>Lien 2nd</t>
        </is>
      </c>
    </row>
    <row r="50">
      <c r="A50" t="inlineStr">
        <is>
          <t>Lien 3rd+</t>
        </is>
      </c>
      <c r="B50" t="n">
        <v>1.7</v>
      </c>
      <c r="C50" t="inlineStr">
        <is>
          <t>Third+ lien</t>
        </is>
      </c>
    </row>
    <row r="51">
      <c r="A51" t="inlineStr">
        <is>
          <t>Purpose Purchase</t>
        </is>
      </c>
      <c r="B51" t="n">
        <v>1</v>
      </c>
      <c r="C51" t="inlineStr">
        <is>
          <t>Baseline</t>
        </is>
      </c>
    </row>
    <row r="52">
      <c r="A52" t="inlineStr">
        <is>
          <t>Purpose Remortgage</t>
        </is>
      </c>
      <c r="B52" t="n">
        <v>1</v>
      </c>
      <c r="C52" t="inlineStr">
        <is>
          <t>No adjustment</t>
        </is>
      </c>
    </row>
    <row r="53">
      <c r="A53" t="inlineStr">
        <is>
          <t>Purpose Cash-out</t>
        </is>
      </c>
      <c r="B53" t="n">
        <v>1.2</v>
      </c>
      <c r="C53" t="inlineStr">
        <is>
          <t>Increased risk</t>
        </is>
      </c>
    </row>
    <row r="54">
      <c r="A54" t="inlineStr">
        <is>
          <t>Arrears Current</t>
        </is>
      </c>
      <c r="B54" t="n">
        <v>1</v>
      </c>
      <c r="C54" t="inlineStr">
        <is>
          <t>No arrears</t>
        </is>
      </c>
    </row>
    <row r="55">
      <c r="A55" t="inlineStr">
        <is>
          <t>Arrears 1-2 months</t>
        </is>
      </c>
      <c r="B55" t="n">
        <v>1.15</v>
      </c>
      <c r="C55" t="inlineStr">
        <is>
          <t>Minor arrears</t>
        </is>
      </c>
    </row>
    <row r="56">
      <c r="A56" t="inlineStr">
        <is>
          <t>Arrears 3+ months</t>
        </is>
      </c>
    </row>
    <row r="60"/>
    <row r="70"/>
    <row r="78"/>
    <row r="84"/>
    <row r="87">
      <c r="A87" s="65" t="inlineStr">
        <is>
          <t>PROPERTY TYPE CODES</t>
        </is>
      </c>
    </row>
    <row r="88">
      <c r="A88" s="54" t="inlineStr">
        <is>
          <t>Code</t>
        </is>
      </c>
      <c r="B88" s="54" t="inlineStr">
        <is>
          <t>Description</t>
        </is>
      </c>
    </row>
    <row r="89">
      <c r="A89" t="n">
        <v>1</v>
      </c>
      <c r="B89" t="inlineStr">
        <is>
          <t>House</t>
        </is>
      </c>
    </row>
    <row r="90">
      <c r="A90" t="n">
        <v>2</v>
      </c>
      <c r="B90" t="inlineStr">
        <is>
          <t>Flat</t>
        </is>
      </c>
    </row>
    <row r="91">
      <c r="A91" t="n">
        <v>3</v>
      </c>
      <c r="B91" t="inlineStr">
        <is>
          <t>Bungalow</t>
        </is>
      </c>
    </row>
    <row r="92">
      <c r="A92" t="n">
        <v>4</v>
      </c>
      <c r="B92" t="inlineStr">
        <is>
          <t>Maisonette</t>
        </is>
      </c>
    </row>
    <row r="94">
      <c r="A94" s="65" t="inlineStr">
        <is>
          <t>OCCUPANCY TYPE CODES</t>
        </is>
      </c>
    </row>
    <row r="95">
      <c r="A95" s="54" t="inlineStr">
        <is>
          <t>Code</t>
        </is>
      </c>
      <c r="B95" s="54" t="inlineStr">
        <is>
          <t>Description</t>
        </is>
      </c>
    </row>
    <row r="96">
      <c r="A96" t="n">
        <v>1</v>
      </c>
      <c r="B96" t="inlineStr">
        <is>
          <t>Owner Occupied</t>
        </is>
      </c>
    </row>
    <row r="97">
      <c r="A97" t="n">
        <v>2</v>
      </c>
      <c r="B97" t="inlineStr">
        <is>
          <t>Buy to Let</t>
        </is>
      </c>
    </row>
    <row r="98">
      <c r="A98" t="n">
        <v>3</v>
      </c>
      <c r="B98" t="inlineStr">
        <is>
          <t>Second Home</t>
        </is>
      </c>
    </row>
    <row r="99">
      <c r="A99" t="n">
        <v>4</v>
      </c>
      <c r="B99" t="inlineStr">
        <is>
          <t>Investment</t>
        </is>
      </c>
    </row>
    <row r="101">
      <c r="A101" s="65" t="inlineStr">
        <is>
          <t>INTEREST RATE TYPE CODES</t>
        </is>
      </c>
    </row>
    <row r="102">
      <c r="A102" s="54" t="inlineStr">
        <is>
          <t>Code</t>
        </is>
      </c>
      <c r="B102" s="54" t="inlineStr">
        <is>
          <t>Description</t>
        </is>
      </c>
    </row>
    <row r="103">
      <c r="A103" t="n">
        <v>1</v>
      </c>
      <c r="B103" t="inlineStr">
        <is>
          <t>Fixed</t>
        </is>
      </c>
    </row>
    <row r="104">
      <c r="A104" t="n">
        <v>2</v>
      </c>
      <c r="B104" t="inlineStr">
        <is>
          <t>Variable</t>
        </is>
      </c>
    </row>
    <row r="105">
      <c r="A105" t="n">
        <v>3</v>
      </c>
      <c r="B105" t="inlineStr">
        <is>
          <t>Tracker</t>
        </is>
      </c>
    </row>
    <row r="107">
      <c r="A107" s="65" t="inlineStr">
        <is>
          <t>PAYMENT METHOD CODES</t>
        </is>
      </c>
    </row>
    <row r="108">
      <c r="A108" s="54" t="inlineStr">
        <is>
          <t>Code</t>
        </is>
      </c>
      <c r="B108" s="54" t="inlineStr">
        <is>
          <t>Description</t>
        </is>
      </c>
    </row>
    <row r="109">
      <c r="A109" t="n">
        <v>1</v>
      </c>
      <c r="B109" t="inlineStr">
        <is>
          <t>Repayment</t>
        </is>
      </c>
    </row>
    <row r="110">
      <c r="A110" t="n">
        <v>2</v>
      </c>
      <c r="B110" t="inlineStr">
        <is>
          <t>Interest Only</t>
        </is>
      </c>
    </row>
    <row r="111">
      <c r="A111" t="n">
        <v>3</v>
      </c>
      <c r="B111" t="inlineStr">
        <is>
          <t>Part and Part</t>
        </is>
      </c>
    </row>
    <row r="113">
      <c r="A113" s="65" t="inlineStr">
        <is>
          <t>VALUATION TYPE CODES</t>
        </is>
      </c>
    </row>
    <row r="114">
      <c r="A114" s="54" t="inlineStr">
        <is>
          <t>Code</t>
        </is>
      </c>
      <c r="B114" s="54" t="inlineStr">
        <is>
          <t>Description</t>
        </is>
      </c>
    </row>
    <row r="115">
      <c r="A115" t="n">
        <v>1</v>
      </c>
      <c r="B115" t="inlineStr">
        <is>
          <t>Full</t>
        </is>
      </c>
    </row>
    <row r="116">
      <c r="A116" t="n">
        <v>2</v>
      </c>
      <c r="B116" t="inlineStr">
        <is>
          <t>Desktop</t>
        </is>
      </c>
    </row>
    <row r="117">
      <c r="A117" t="n">
        <v>3</v>
      </c>
      <c r="B117" t="inlineStr">
        <is>
          <t>Drive-by</t>
        </is>
      </c>
    </row>
    <row r="118">
      <c r="A118" t="n">
        <v>4</v>
      </c>
      <c r="B118" t="inlineStr">
        <is>
          <t>AVM</t>
        </is>
      </c>
    </row>
    <row r="124">
      <c r="A124" s="54" t="inlineStr">
        <is>
          <t>FTB Seasoning Threshold (months)</t>
        </is>
      </c>
      <c r="B124" t="n">
        <v>18</v>
      </c>
    </row>
    <row r="125">
      <c r="A125" s="54" t="inlineStr">
        <is>
          <t>Payment Shock Months Threshold</t>
        </is>
      </c>
      <c r="B125" t="n">
        <v>60</v>
      </c>
    </row>
    <row r="126">
      <c r="A126" s="54" t="inlineStr">
        <is>
          <t>Bankruptcy Floor Multiplier</t>
        </is>
      </c>
      <c r="B126" t="n">
        <v>0.5</v>
      </c>
    </row>
  </sheetData>
  <mergeCells count="24">
    <mergeCell ref="A84:C84"/>
    <mergeCell ref="A18:C18"/>
    <mergeCell ref="A56:C56"/>
    <mergeCell ref="A1:E1"/>
    <mergeCell ref="A101:C101"/>
    <mergeCell ref="A19:D19"/>
    <mergeCell ref="A113:C113"/>
    <mergeCell ref="A13:D13"/>
    <mergeCell ref="A34:D34"/>
    <mergeCell ref="A4:C4"/>
    <mergeCell ref="A10:C10"/>
    <mergeCell ref="A70:D70"/>
    <mergeCell ref="A2:E2"/>
    <mergeCell ref="A40:C40"/>
    <mergeCell ref="A30:C30"/>
    <mergeCell ref="A24:C24"/>
    <mergeCell ref="A60:C60"/>
    <mergeCell ref="A27:D27"/>
    <mergeCell ref="A49:C49"/>
    <mergeCell ref="A107:C107"/>
    <mergeCell ref="A94:C94"/>
    <mergeCell ref="A3:D3"/>
    <mergeCell ref="A78:C78"/>
    <mergeCell ref="A87:C8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</cols>
  <sheetData>
    <row r="1">
      <c r="A1" s="1" t="inlineStr">
        <is>
          <t>LOSS SEVERITY ADJUSTMENT PARAMETERS</t>
        </is>
      </c>
    </row>
    <row r="2">
      <c r="A2" s="11" t="inlineStr">
        <is>
          <t>S&amp;P Table 78 &amp; 79: Property Type and Regional Adjustments for MVD</t>
        </is>
      </c>
    </row>
    <row r="4">
      <c r="A4" s="37" t="inlineStr">
        <is>
          <t>PROPERTY TYPE MVD ADJUSTMENTS (S&amp;P Table 78)</t>
        </is>
      </c>
    </row>
    <row r="5">
      <c r="A5" s="38" t="inlineStr">
        <is>
          <t>Property Type</t>
        </is>
      </c>
      <c r="B5" s="38" t="inlineStr">
        <is>
          <t>MVD Adjustment</t>
        </is>
      </c>
      <c r="C5" s="38" t="inlineStr">
        <is>
          <t>Notes</t>
        </is>
      </c>
    </row>
    <row r="6">
      <c r="A6" s="39" t="inlineStr">
        <is>
          <t>House</t>
        </is>
      </c>
      <c r="B6" s="40" t="n">
        <v>0</v>
      </c>
      <c r="C6" s="39" t="inlineStr">
        <is>
          <t>Baseline - no adjustment</t>
        </is>
      </c>
    </row>
    <row r="7">
      <c r="A7" s="39" t="inlineStr">
        <is>
          <t>Flat</t>
        </is>
      </c>
      <c r="B7" s="40" t="n">
        <v>0.05</v>
      </c>
      <c r="C7" s="39" t="inlineStr">
        <is>
          <t>+5% MVD for flats (higher volatility)</t>
        </is>
      </c>
    </row>
    <row r="8">
      <c r="A8" s="39" t="inlineStr">
        <is>
          <t>Bungalow</t>
        </is>
      </c>
      <c r="B8" s="40" t="n">
        <v>-0.02</v>
      </c>
      <c r="C8" s="39" t="inlineStr">
        <is>
          <t>-2% MVD for bungalows (stable)</t>
        </is>
      </c>
    </row>
    <row r="9">
      <c r="A9" s="39" t="inlineStr">
        <is>
          <t>Maisonette</t>
        </is>
      </c>
      <c r="B9" s="40" t="n">
        <v>0.03</v>
      </c>
      <c r="C9" s="39" t="inlineStr">
        <is>
          <t>+3% MVD for maisonettes</t>
        </is>
      </c>
    </row>
    <row r="10">
      <c r="A10" s="39" t="inlineStr">
        <is>
          <t>Other</t>
        </is>
      </c>
      <c r="B10" s="40" t="n">
        <v>0.05</v>
      </c>
      <c r="C10" s="39" t="inlineStr">
        <is>
          <t>+5% MVD for other property types</t>
        </is>
      </c>
    </row>
    <row r="12">
      <c r="A12" s="37" t="inlineStr">
        <is>
          <t>REGIONAL MVD ADJUSTMENTS (S&amp;P Table 79 - Optional)</t>
        </is>
      </c>
    </row>
    <row r="13">
      <c r="A13" s="38" t="inlineStr">
        <is>
          <t>Region</t>
        </is>
      </c>
      <c r="B13" s="38" t="inlineStr">
        <is>
          <t>MVD Adjustment</t>
        </is>
      </c>
      <c r="C13" s="38" t="inlineStr">
        <is>
          <t>Notes</t>
        </is>
      </c>
    </row>
    <row r="14">
      <c r="A14" s="39" t="inlineStr">
        <is>
          <t>London</t>
        </is>
      </c>
      <c r="B14" s="40" t="n">
        <v>-0.03</v>
      </c>
      <c r="C14" s="39" t="inlineStr">
        <is>
          <t>-3% MVD (more liquid market)</t>
        </is>
      </c>
    </row>
    <row r="15">
      <c r="A15" s="39" t="inlineStr">
        <is>
          <t>South East</t>
        </is>
      </c>
      <c r="B15" s="40" t="n">
        <v>-0.02</v>
      </c>
      <c r="C15" s="39" t="inlineStr">
        <is>
          <t>-2% MVD</t>
        </is>
      </c>
    </row>
    <row r="16">
      <c r="A16" s="39" t="inlineStr">
        <is>
          <t>East</t>
        </is>
      </c>
      <c r="B16" s="40" t="n">
        <v>-0.01</v>
      </c>
      <c r="C16" s="39" t="inlineStr">
        <is>
          <t>-1% MVD</t>
        </is>
      </c>
    </row>
    <row r="17">
      <c r="A17" s="39" t="inlineStr">
        <is>
          <t>South West</t>
        </is>
      </c>
      <c r="B17" s="40" t="n">
        <v>0</v>
      </c>
      <c r="C17" s="39" t="inlineStr">
        <is>
          <t>Baseline</t>
        </is>
      </c>
    </row>
    <row r="18">
      <c r="A18" s="39" t="inlineStr">
        <is>
          <t>West Midlands</t>
        </is>
      </c>
      <c r="B18" s="40" t="n">
        <v>0.01</v>
      </c>
      <c r="C18" s="39" t="inlineStr">
        <is>
          <t>+1% MVD</t>
        </is>
      </c>
    </row>
    <row r="19">
      <c r="A19" s="39" t="inlineStr">
        <is>
          <t>East Midlands</t>
        </is>
      </c>
      <c r="B19" s="40" t="n">
        <v>0.01</v>
      </c>
      <c r="C19" s="39" t="inlineStr">
        <is>
          <t>+1% MVD</t>
        </is>
      </c>
    </row>
    <row r="20">
      <c r="A20" s="39" t="inlineStr">
        <is>
          <t>North West</t>
        </is>
      </c>
      <c r="B20" s="40" t="n">
        <v>0.02</v>
      </c>
      <c r="C20" s="39" t="inlineStr">
        <is>
          <t>+2% MVD</t>
        </is>
      </c>
    </row>
    <row r="21">
      <c r="A21" s="39" t="inlineStr">
        <is>
          <t>Yorkshire</t>
        </is>
      </c>
      <c r="B21" s="40" t="n">
        <v>0.02</v>
      </c>
      <c r="C21" s="39" t="inlineStr">
        <is>
          <t>+2% MVD</t>
        </is>
      </c>
    </row>
    <row r="22">
      <c r="A22" s="39" t="inlineStr">
        <is>
          <t>North East</t>
        </is>
      </c>
      <c r="B22" s="40" t="n">
        <v>0.03</v>
      </c>
      <c r="C22" s="39" t="inlineStr">
        <is>
          <t>+3% MVD (less liquid)</t>
        </is>
      </c>
    </row>
    <row r="23">
      <c r="A23" s="39" t="inlineStr">
        <is>
          <t>Wales</t>
        </is>
      </c>
      <c r="B23" s="40" t="n">
        <v>0.02</v>
      </c>
      <c r="C23" s="39" t="inlineStr">
        <is>
          <t>+2% MVD</t>
        </is>
      </c>
    </row>
    <row r="24">
      <c r="A24" s="39" t="inlineStr">
        <is>
          <t>Scotland</t>
        </is>
      </c>
      <c r="B24" s="40" t="n">
        <v>0.01</v>
      </c>
      <c r="C24" s="39" t="inlineStr">
        <is>
          <t>+1% MVD</t>
        </is>
      </c>
    </row>
    <row r="25">
      <c r="A25" s="39" t="inlineStr">
        <is>
          <t>Northern Ireland</t>
        </is>
      </c>
      <c r="B25" s="40" t="n">
        <v>0.03</v>
      </c>
      <c r="C25" s="39" t="inlineStr">
        <is>
          <t>+3% MVD</t>
        </is>
      </c>
    </row>
    <row r="28">
      <c r="A28" s="37" t="inlineStr">
        <is>
          <t>FORECLOSURE COSTS</t>
        </is>
      </c>
    </row>
    <row r="29">
      <c r="A29" s="38" t="inlineStr">
        <is>
          <t>Cost Component</t>
        </is>
      </c>
      <c r="B29" s="38" t="inlineStr">
        <is>
          <t>% of Property Value</t>
        </is>
      </c>
      <c r="C29" s="38" t="inlineStr">
        <is>
          <t>Notes</t>
        </is>
      </c>
    </row>
    <row r="30">
      <c r="A30" s="39" t="inlineStr">
        <is>
          <t>Legal &amp; Professional Fees</t>
        </is>
      </c>
      <c r="B30" s="40" t="n">
        <v>0.03</v>
      </c>
      <c r="C30" s="39" t="inlineStr">
        <is>
          <t>Solicitors, surveyors, court costs</t>
        </is>
      </c>
    </row>
    <row r="31">
      <c r="A31" s="39" t="inlineStr">
        <is>
          <t>Maintenance &amp; Repairs</t>
        </is>
      </c>
      <c r="B31" s="40" t="n">
        <v>0.02</v>
      </c>
      <c r="C31" s="39" t="inlineStr">
        <is>
          <t>Property upkeep during foreclosure</t>
        </is>
      </c>
    </row>
    <row r="32">
      <c r="A32" s="39" t="inlineStr">
        <is>
          <t>Sales Costs</t>
        </is>
      </c>
      <c r="B32" s="40" t="n">
        <v>0.02</v>
      </c>
      <c r="C32" s="39" t="inlineStr">
        <is>
          <t>Estate agent, marketing</t>
        </is>
      </c>
    </row>
    <row r="33">
      <c r="A33" s="39" t="inlineStr">
        <is>
          <t>Holding Costs</t>
        </is>
      </c>
      <c r="B33" s="40" t="n">
        <v>0.01</v>
      </c>
      <c r="C33" s="39" t="inlineStr">
        <is>
          <t>Utilities, insurance, security</t>
        </is>
      </c>
    </row>
    <row r="34">
      <c r="A34" s="41" t="inlineStr">
        <is>
          <t>TOTAL Foreclosure Costs</t>
        </is>
      </c>
      <c r="B34" s="42" t="n">
        <v>0.08</v>
      </c>
      <c r="C34" s="41" t="inlineStr">
        <is>
          <t>Sum of all components</t>
        </is>
      </c>
    </row>
  </sheetData>
  <mergeCells count="5">
    <mergeCell ref="A28:C28"/>
    <mergeCell ref="A2:F2"/>
    <mergeCell ref="A1:F1"/>
    <mergeCell ref="A12:C12"/>
    <mergeCell ref="A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25" customWidth="1" min="4" max="4"/>
    <col width="20" customWidth="1" min="5" max="5"/>
    <col width="50" customWidth="1" min="6" max="6"/>
  </cols>
  <sheetData>
    <row r="1">
      <c r="A1" s="1" t="inlineStr">
        <is>
          <t>BANK OF ENGLAND TO S&amp;P FIELD MAPPING &amp; CONVERSION</t>
        </is>
      </c>
    </row>
    <row r="2">
      <c r="A2" s="11" t="inlineStr">
        <is>
          <t>Complete PRA110 field mapping with conversion formulas</t>
        </is>
      </c>
    </row>
    <row r="4">
      <c r="A4" s="3" t="inlineStr">
        <is>
          <t>BoE Code</t>
        </is>
      </c>
      <c r="B4" s="3" t="inlineStr">
        <is>
          <t>BoE Field Name</t>
        </is>
      </c>
      <c r="C4" s="3" t="inlineStr">
        <is>
          <t>BoE Value/Code</t>
        </is>
      </c>
      <c r="D4" s="3" t="inlineStr">
        <is>
          <t>S&amp;P Field</t>
        </is>
      </c>
      <c r="E4" s="3" t="inlineStr">
        <is>
          <t>S&amp;P Value</t>
        </is>
      </c>
      <c r="F4" s="3" t="inlineStr">
        <is>
          <t>Conversion Formula</t>
        </is>
      </c>
    </row>
    <row r="5">
      <c r="A5" s="4" t="inlineStr">
        <is>
          <t>BV1</t>
        </is>
      </c>
      <c r="B5" s="4" t="inlineStr">
        <is>
          <t>Loan Identifier</t>
        </is>
      </c>
      <c r="C5" s="4" t="inlineStr">
        <is>
          <t>Direct</t>
        </is>
      </c>
      <c r="D5" s="4" t="inlineStr">
        <is>
          <t>loan_id</t>
        </is>
      </c>
      <c r="E5" s="4" t="inlineStr">
        <is>
          <t>Same</t>
        </is>
      </c>
      <c r="F5" s="4">
        <f>BoE!A[row]</f>
        <v/>
      </c>
    </row>
    <row r="6">
      <c r="A6" s="12" t="inlineStr"/>
      <c r="B6" s="12" t="inlineStr"/>
      <c r="C6" s="12" t="inlineStr"/>
      <c r="D6" s="12" t="inlineStr"/>
      <c r="E6" s="12" t="inlineStr"/>
      <c r="F6" s="12">
        <f>'Loan Tape (BoE)'!A5</f>
        <v/>
      </c>
    </row>
    <row r="7">
      <c r="A7" s="4" t="inlineStr">
        <is>
          <t>BV5</t>
        </is>
      </c>
      <c r="B7" s="4" t="inlineStr">
        <is>
          <t>Current Loan Balance</t>
        </is>
      </c>
      <c r="C7" s="4" t="inlineStr">
        <is>
          <t>Direct</t>
        </is>
      </c>
      <c r="D7" s="4" t="inlineStr">
        <is>
          <t>current_balance</t>
        </is>
      </c>
      <c r="E7" s="4" t="inlineStr">
        <is>
          <t>Same</t>
        </is>
      </c>
      <c r="F7" s="4">
        <f>BoE!B[row]</f>
        <v/>
      </c>
    </row>
    <row r="8">
      <c r="A8" s="4" t="inlineStr">
        <is>
          <t>BV6</t>
        </is>
      </c>
      <c r="B8" s="4" t="inlineStr">
        <is>
          <t>Original Balance</t>
        </is>
      </c>
      <c r="C8" s="4" t="inlineStr">
        <is>
          <t>Direct</t>
        </is>
      </c>
      <c r="D8" s="4" t="inlineStr">
        <is>
          <t>original_balance</t>
        </is>
      </c>
      <c r="E8" s="4" t="inlineStr">
        <is>
          <t>Same</t>
        </is>
      </c>
      <c r="F8" s="4">
        <f>'Loan Tape (BoE)'!B5</f>
        <v/>
      </c>
    </row>
    <row r="9">
      <c r="A9" s="4" t="inlineStr">
        <is>
          <t>BV7</t>
        </is>
      </c>
      <c r="B9" s="4" t="inlineStr">
        <is>
          <t>Current Property Value</t>
        </is>
      </c>
      <c r="C9" s="4" t="inlineStr">
        <is>
          <t>Direct</t>
        </is>
      </c>
      <c r="D9" s="4" t="inlineStr">
        <is>
          <t>property_value_current</t>
        </is>
      </c>
      <c r="E9" s="4" t="inlineStr">
        <is>
          <t>Indexed</t>
        </is>
      </c>
      <c r="F9" s="4">
        <f>'Loan Tape (BoE)'!C5</f>
        <v/>
      </c>
    </row>
    <row r="10">
      <c r="A10" s="4" t="inlineStr">
        <is>
          <t>BV8</t>
        </is>
      </c>
      <c r="B10" s="4" t="inlineStr">
        <is>
          <t>Original Property Value</t>
        </is>
      </c>
      <c r="C10" s="4" t="inlineStr">
        <is>
          <t>Direct</t>
        </is>
      </c>
      <c r="D10" s="4" t="inlineStr">
        <is>
          <t>property_value_original</t>
        </is>
      </c>
      <c r="E10" s="4" t="inlineStr">
        <is>
          <t>Same</t>
        </is>
      </c>
      <c r="F10" s="4">
        <f>'Loan Tape (BoE)'!D5*(1+regional_HPI_factor)</f>
        <v/>
      </c>
    </row>
    <row r="11">
      <c r="A11" s="12" t="inlineStr"/>
      <c r="B11" s="12" t="inlineStr"/>
      <c r="C11" s="12" t="inlineStr"/>
      <c r="D11" s="12" t="inlineStr"/>
      <c r="E11" s="12" t="inlineStr"/>
      <c r="F11" s="12">
        <f>'Loan Tape (BoE)'!E5</f>
        <v/>
      </c>
    </row>
    <row r="12">
      <c r="A12" s="4" t="inlineStr">
        <is>
          <t>BV11</t>
        </is>
      </c>
      <c r="B12" s="4" t="inlineStr">
        <is>
          <t>Origination Date</t>
        </is>
      </c>
      <c r="C12" s="4" t="inlineStr">
        <is>
          <t>Direct</t>
        </is>
      </c>
      <c r="D12" s="4" t="inlineStr">
        <is>
          <t>origination_date</t>
        </is>
      </c>
      <c r="E12" s="4" t="inlineStr">
        <is>
          <t>Same</t>
        </is>
      </c>
      <c r="F12" s="4">
        <f>BoE!F[row]</f>
        <v/>
      </c>
    </row>
    <row r="13">
      <c r="A13" s="4" t="inlineStr">
        <is>
          <t>BV12</t>
        </is>
      </c>
      <c r="B13" s="4" t="inlineStr">
        <is>
          <t>Maturity Date</t>
        </is>
      </c>
      <c r="C13" s="4" t="inlineStr">
        <is>
          <t>Direct</t>
        </is>
      </c>
      <c r="D13" s="4" t="inlineStr">
        <is>
          <t>maturity_date</t>
        </is>
      </c>
      <c r="E13" s="4" t="inlineStr">
        <is>
          <t>Same</t>
        </is>
      </c>
      <c r="F13" s="4">
        <f>BoE!G[row]</f>
        <v/>
      </c>
    </row>
    <row r="14">
      <c r="A14" s="12" t="inlineStr"/>
      <c r="B14" s="12" t="inlineStr"/>
      <c r="C14" s="12" t="inlineStr"/>
      <c r="D14" s="12" t="inlineStr"/>
      <c r="E14" s="12" t="inlineStr"/>
      <c r="F14" s="12">
        <f>'Loan Tape (BoE)'!F5</f>
        <v/>
      </c>
    </row>
    <row r="15">
      <c r="A15" s="4" t="inlineStr">
        <is>
          <t>BV13</t>
        </is>
      </c>
      <c r="B15" s="4" t="inlineStr">
        <is>
          <t>Current Interest Rate</t>
        </is>
      </c>
      <c r="C15" s="4" t="inlineStr">
        <is>
          <t>Direct</t>
        </is>
      </c>
      <c r="D15" s="4" t="inlineStr">
        <is>
          <t>interest_rate</t>
        </is>
      </c>
      <c r="E15" s="4" t="inlineStr">
        <is>
          <t>Same</t>
        </is>
      </c>
      <c r="F15" s="4">
        <f>'Loan Tape (BoE)'!G5</f>
        <v/>
      </c>
    </row>
    <row r="16">
      <c r="A16" s="12" t="inlineStr"/>
      <c r="B16" s="12" t="inlineStr"/>
      <c r="C16" s="12" t="inlineStr"/>
      <c r="D16" s="12" t="inlineStr"/>
      <c r="E16" s="12" t="inlineStr"/>
      <c r="F16" s="12" t="inlineStr"/>
    </row>
    <row r="17">
      <c r="A17" s="4" t="inlineStr">
        <is>
          <t>BV22</t>
        </is>
      </c>
      <c r="B17" s="4" t="inlineStr">
        <is>
          <t>Property Type</t>
        </is>
      </c>
      <c r="C17" s="4" t="inlineStr">
        <is>
          <t>1</t>
        </is>
      </c>
      <c r="D17" s="4" t="inlineStr">
        <is>
          <t>property_type</t>
        </is>
      </c>
      <c r="E17" s="4" t="inlineStr">
        <is>
          <t>House</t>
        </is>
      </c>
      <c r="F17" s="4">
        <f>IFS(BoE!I[row]=1,"House",BoE!I[row]=2,"Flat",BoE!I[row]=3,"Bungalow",BoE!I[row]=4,"Maisonette")</f>
        <v/>
      </c>
    </row>
    <row r="18">
      <c r="A18" s="4" t="inlineStr">
        <is>
          <t>BV22</t>
        </is>
      </c>
      <c r="B18" s="4" t="inlineStr">
        <is>
          <t>Property Type</t>
        </is>
      </c>
      <c r="C18" s="4" t="inlineStr">
        <is>
          <t>2</t>
        </is>
      </c>
      <c r="D18" s="4" t="inlineStr">
        <is>
          <t>property_type</t>
        </is>
      </c>
      <c r="E18" s="4" t="inlineStr">
        <is>
          <t>Flat</t>
        </is>
      </c>
      <c r="F18" s="4">
        <f>'Loan Tape (BoE)'!H5</f>
        <v/>
      </c>
    </row>
    <row r="19">
      <c r="A19" s="4" t="inlineStr">
        <is>
          <t>BV22</t>
        </is>
      </c>
      <c r="B19" s="4" t="inlineStr">
        <is>
          <t>Property Type</t>
        </is>
      </c>
      <c r="C19" s="4" t="inlineStr">
        <is>
          <t>3</t>
        </is>
      </c>
      <c r="D19" s="4" t="inlineStr">
        <is>
          <t>property_type</t>
        </is>
      </c>
      <c r="E19" s="4" t="inlineStr">
        <is>
          <t>Bungalow</t>
        </is>
      </c>
      <c r="F19" s="4" t="inlineStr"/>
    </row>
    <row r="20">
      <c r="A20" s="4" t="inlineStr">
        <is>
          <t>BV22</t>
        </is>
      </c>
      <c r="B20" s="4" t="inlineStr">
        <is>
          <t>Property Type</t>
        </is>
      </c>
      <c r="C20" s="4" t="inlineStr">
        <is>
          <t>4</t>
        </is>
      </c>
      <c r="D20" s="4" t="inlineStr">
        <is>
          <t>property_type</t>
        </is>
      </c>
      <c r="E20" s="4" t="inlineStr">
        <is>
          <t>Maisonette</t>
        </is>
      </c>
      <c r="F20" s="4" t="inlineStr"/>
    </row>
    <row r="21">
      <c r="A21" s="12" t="inlineStr"/>
      <c r="B21" s="12" t="inlineStr"/>
      <c r="C21" s="12" t="inlineStr"/>
      <c r="D21" s="12" t="inlineStr"/>
      <c r="E21" s="12" t="inlineStr"/>
      <c r="F21" s="12">
        <f>IFS(I5=1,"House",I5=2,"Flat",I5=3,"Bungalow",I5=4,"Maisonette")</f>
        <v/>
      </c>
    </row>
    <row r="22">
      <c r="A22" s="4" t="inlineStr">
        <is>
          <t>BV23</t>
        </is>
      </c>
      <c r="B22" s="4" t="inlineStr">
        <is>
          <t>Region</t>
        </is>
      </c>
      <c r="C22" s="4" t="inlineStr">
        <is>
          <t>Direct</t>
        </is>
      </c>
      <c r="D22" s="4" t="inlineStr">
        <is>
          <t>region</t>
        </is>
      </c>
      <c r="E22" s="4" t="inlineStr">
        <is>
          <t>Same</t>
        </is>
      </c>
      <c r="F22" s="4">
        <f>BoE!J[row]</f>
        <v/>
      </c>
    </row>
    <row r="23">
      <c r="A23" s="4" t="inlineStr">
        <is>
          <t>BV24</t>
        </is>
      </c>
      <c r="B23" s="4" t="inlineStr">
        <is>
          <t>Postcode</t>
        </is>
      </c>
      <c r="C23" s="4" t="inlineStr">
        <is>
          <t>Direct</t>
        </is>
      </c>
      <c r="D23" s="4" t="inlineStr">
        <is>
          <t>postcode</t>
        </is>
      </c>
      <c r="E23" s="4" t="inlineStr">
        <is>
          <t>Same</t>
        </is>
      </c>
      <c r="F23" s="4">
        <f>BoE!K[row]</f>
        <v/>
      </c>
    </row>
    <row r="24">
      <c r="A24" s="12" t="inlineStr"/>
      <c r="B24" s="12" t="inlineStr"/>
      <c r="C24" s="12" t="inlineStr"/>
      <c r="D24" s="12" t="inlineStr"/>
      <c r="E24" s="12" t="inlineStr"/>
      <c r="F24" s="12" t="inlineStr"/>
    </row>
    <row r="25">
      <c r="A25" s="4" t="inlineStr">
        <is>
          <t>BV27</t>
        </is>
      </c>
      <c r="B25" s="4" t="inlineStr">
        <is>
          <t>Occupancy Status</t>
        </is>
      </c>
      <c r="C25" s="4" t="inlineStr">
        <is>
          <t>1</t>
        </is>
      </c>
      <c r="D25" s="4" t="inlineStr">
        <is>
          <t>occupancy_type</t>
        </is>
      </c>
      <c r="E25" s="4" t="inlineStr">
        <is>
          <t>Owner Occupied</t>
        </is>
      </c>
      <c r="F25" s="4">
        <f>IFS(BoE!L[row]=1,"Owner Occupied",BoE!L[row]=2,"BTL",BoE!L[row]=3,"Second Home",BoE!L[row]=4,"Investment")</f>
        <v/>
      </c>
    </row>
    <row r="26">
      <c r="A26" s="4" t="inlineStr">
        <is>
          <t>BV27</t>
        </is>
      </c>
      <c r="B26" s="4" t="inlineStr">
        <is>
          <t>Occupancy Status</t>
        </is>
      </c>
      <c r="C26" s="4" t="inlineStr">
        <is>
          <t>2</t>
        </is>
      </c>
      <c r="D26" s="4" t="inlineStr">
        <is>
          <t>occupancy_type</t>
        </is>
      </c>
      <c r="E26" s="4" t="inlineStr">
        <is>
          <t>BTL</t>
        </is>
      </c>
      <c r="F26" s="4">
        <f>'Loan Tape (BoE)'!J5</f>
        <v/>
      </c>
    </row>
    <row r="27">
      <c r="A27" s="4" t="inlineStr">
        <is>
          <t>BV27</t>
        </is>
      </c>
      <c r="B27" s="4" t="inlineStr">
        <is>
          <t>Occupancy Status</t>
        </is>
      </c>
      <c r="C27" s="4" t="inlineStr">
        <is>
          <t>3</t>
        </is>
      </c>
      <c r="D27" s="4" t="inlineStr">
        <is>
          <t>occupancy_type</t>
        </is>
      </c>
      <c r="E27" s="4" t="inlineStr">
        <is>
          <t>Second Home</t>
        </is>
      </c>
      <c r="F27" s="4">
        <f>'Loan Tape (BoE)'!K5</f>
        <v/>
      </c>
    </row>
    <row r="28">
      <c r="A28" s="4" t="inlineStr">
        <is>
          <t>BV27</t>
        </is>
      </c>
      <c r="B28" s="4" t="inlineStr">
        <is>
          <t>Occupancy Status</t>
        </is>
      </c>
      <c r="C28" s="4" t="inlineStr">
        <is>
          <t>4</t>
        </is>
      </c>
      <c r="D28" s="4" t="inlineStr">
        <is>
          <t>occupancy_type</t>
        </is>
      </c>
      <c r="E28" s="4" t="inlineStr">
        <is>
          <t>Investment</t>
        </is>
      </c>
      <c r="F28" s="4" t="inlineStr"/>
    </row>
    <row r="29">
      <c r="A29" s="12" t="inlineStr"/>
      <c r="B29" s="12" t="inlineStr"/>
      <c r="C29" s="12" t="inlineStr"/>
      <c r="D29" s="12" t="inlineStr"/>
      <c r="E29" s="12" t="inlineStr"/>
      <c r="F29" s="12" t="inlineStr"/>
    </row>
    <row r="30">
      <c r="A30" s="4" t="inlineStr">
        <is>
          <t>BV28</t>
        </is>
      </c>
      <c r="B30" s="4" t="inlineStr">
        <is>
          <t>Loan Purpose</t>
        </is>
      </c>
      <c r="C30" s="4" t="inlineStr">
        <is>
          <t>1</t>
        </is>
      </c>
      <c r="D30" s="4" t="inlineStr">
        <is>
          <t>loan_purpose</t>
        </is>
      </c>
      <c r="E30" s="4" t="inlineStr">
        <is>
          <t>Purchase</t>
        </is>
      </c>
      <c r="F30" s="4">
        <f>IFS(BoE!M[row]=1,"Purchase",BoE!M[row]=2,"Remortgage",OR(BoE!M[row]=3,BoE!M[row]=4),"Cash-out")</f>
        <v/>
      </c>
    </row>
    <row r="31">
      <c r="A31" s="4" t="inlineStr">
        <is>
          <t>BV28</t>
        </is>
      </c>
      <c r="B31" s="4" t="inlineStr">
        <is>
          <t>Loan Purpose</t>
        </is>
      </c>
      <c r="C31" s="4" t="inlineStr">
        <is>
          <t>2</t>
        </is>
      </c>
      <c r="D31" s="4" t="inlineStr">
        <is>
          <t>loan_purpose</t>
        </is>
      </c>
      <c r="E31" s="4" t="inlineStr">
        <is>
          <t>Remortgage</t>
        </is>
      </c>
      <c r="F31" s="4">
        <f>IFS(L5=1,"Owner Occupied",L5=2,"BTL",L5=3,"Second Home",L5=4,"Investment")</f>
        <v/>
      </c>
    </row>
    <row r="32">
      <c r="A32" s="4" t="inlineStr">
        <is>
          <t>BV28</t>
        </is>
      </c>
      <c r="B32" s="4" t="inlineStr">
        <is>
          <t>Loan Purpose</t>
        </is>
      </c>
      <c r="C32" s="4" t="inlineStr">
        <is>
          <t>3</t>
        </is>
      </c>
      <c r="D32" s="4" t="inlineStr">
        <is>
          <t>loan_purpose</t>
        </is>
      </c>
      <c r="E32" s="4" t="inlineStr">
        <is>
          <t>Cash-out</t>
        </is>
      </c>
      <c r="F32" s="4" t="inlineStr">
        <is>
          <t>Further advance</t>
        </is>
      </c>
    </row>
    <row r="33">
      <c r="A33" s="4" t="inlineStr">
        <is>
          <t>BV28</t>
        </is>
      </c>
      <c r="B33" s="4" t="inlineStr">
        <is>
          <t>Loan Purpose</t>
        </is>
      </c>
      <c r="C33" s="4" t="inlineStr">
        <is>
          <t>4</t>
        </is>
      </c>
      <c r="D33" s="4" t="inlineStr">
        <is>
          <t>loan_purpose</t>
        </is>
      </c>
      <c r="E33" s="4" t="inlineStr">
        <is>
          <t>Cash-out</t>
        </is>
      </c>
      <c r="F33" s="4" t="inlineStr">
        <is>
          <t>Debt consolidation</t>
        </is>
      </c>
    </row>
    <row r="34">
      <c r="A34" s="12" t="inlineStr"/>
      <c r="B34" s="12" t="inlineStr"/>
      <c r="C34" s="12" t="inlineStr"/>
      <c r="D34" s="12" t="inlineStr"/>
      <c r="E34" s="12" t="inlineStr"/>
      <c r="F34" s="12" t="inlineStr"/>
    </row>
    <row r="35">
      <c r="A35" s="4" t="inlineStr">
        <is>
          <t>BV29</t>
        </is>
      </c>
      <c r="B35" s="4" t="inlineStr">
        <is>
          <t>Payment Method</t>
        </is>
      </c>
      <c r="C35" s="4" t="inlineStr">
        <is>
          <t>1</t>
        </is>
      </c>
      <c r="D35" s="4" t="inlineStr">
        <is>
          <t>product_type</t>
        </is>
      </c>
      <c r="E35" s="4" t="inlineStr">
        <is>
          <t>Repayment</t>
        </is>
      </c>
      <c r="F35" s="4">
        <f>IFS(BoE!N[row]=1,"Repayment",BoE!N[row]=2,"Interest Only",BoE!N[row]=3,"Part &amp; Part")</f>
        <v/>
      </c>
    </row>
    <row r="36">
      <c r="A36" s="4" t="inlineStr">
        <is>
          <t>BV29</t>
        </is>
      </c>
      <c r="B36" s="4" t="inlineStr">
        <is>
          <t>Payment Method</t>
        </is>
      </c>
      <c r="C36" s="4" t="inlineStr">
        <is>
          <t>2</t>
        </is>
      </c>
      <c r="D36" s="4" t="inlineStr">
        <is>
          <t>product_type</t>
        </is>
      </c>
      <c r="E36" s="4" t="inlineStr">
        <is>
          <t>Interest Only</t>
        </is>
      </c>
      <c r="F36" s="4">
        <f>IFS(M5=1,"Purchase",M5=2,"Remortgage",OR(M5=3,M5=4),"Cash-out")</f>
        <v/>
      </c>
    </row>
    <row r="37">
      <c r="A37" s="4" t="inlineStr">
        <is>
          <t>BV29</t>
        </is>
      </c>
      <c r="B37" s="4" t="inlineStr">
        <is>
          <t>Payment Method</t>
        </is>
      </c>
      <c r="C37" s="4" t="inlineStr">
        <is>
          <t>3</t>
        </is>
      </c>
      <c r="D37" s="4" t="inlineStr">
        <is>
          <t>product_type</t>
        </is>
      </c>
      <c r="E37" s="4" t="inlineStr">
        <is>
          <t>Part &amp; Part</t>
        </is>
      </c>
      <c r="F37" s="4" t="inlineStr">
        <is>
          <t>Mixed repayment/IO</t>
        </is>
      </c>
    </row>
    <row r="38">
      <c r="A38" s="12" t="inlineStr"/>
      <c r="B38" s="12" t="inlineStr"/>
      <c r="C38" s="12" t="inlineStr"/>
      <c r="D38" s="12" t="inlineStr"/>
      <c r="E38" s="12" t="inlineStr"/>
      <c r="F38" s="12" t="inlineStr"/>
    </row>
    <row r="39">
      <c r="A39" s="4" t="inlineStr">
        <is>
          <t>BV33</t>
        </is>
      </c>
      <c r="B39" s="4" t="inlineStr">
        <is>
          <t>Right to Buy</t>
        </is>
      </c>
      <c r="C39" s="4" t="inlineStr">
        <is>
          <t>1</t>
        </is>
      </c>
      <c r="D39" s="4" t="inlineStr">
        <is>
          <t>right_to_buy_flag</t>
        </is>
      </c>
      <c r="E39" s="4" t="inlineStr">
        <is>
          <t>Yes</t>
        </is>
      </c>
      <c r="F39" s="4">
        <f>IF(BoE!O[row]=1,"Yes","No")</f>
        <v/>
      </c>
    </row>
    <row r="40">
      <c r="A40" s="4" t="inlineStr">
        <is>
          <t>BV33</t>
        </is>
      </c>
      <c r="B40" s="4" t="inlineStr">
        <is>
          <t>Right to Buy</t>
        </is>
      </c>
      <c r="C40" s="4" t="inlineStr">
        <is>
          <t>2</t>
        </is>
      </c>
      <c r="D40" s="4" t="inlineStr">
        <is>
          <t>right_to_buy_flag</t>
        </is>
      </c>
      <c r="E40" s="4" t="inlineStr">
        <is>
          <t>No</t>
        </is>
      </c>
      <c r="F40" s="4" t="inlineStr"/>
    </row>
    <row r="41">
      <c r="A41" s="12" t="inlineStr"/>
      <c r="B41" s="12" t="inlineStr"/>
      <c r="C41" s="12" t="inlineStr"/>
      <c r="D41" s="12" t="inlineStr"/>
      <c r="E41" s="12" t="inlineStr"/>
      <c r="F41" s="12">
        <f>IFS(N5=1,"Repayment",N5=2,"Interest Only",N5=3,"Part &amp; Part")</f>
        <v/>
      </c>
    </row>
    <row r="42">
      <c r="A42" s="4" t="inlineStr">
        <is>
          <t>BV34</t>
        </is>
      </c>
      <c r="B42" s="4" t="inlineStr">
        <is>
          <t>Shared Ownership</t>
        </is>
      </c>
      <c r="C42" s="4" t="inlineStr">
        <is>
          <t>1</t>
        </is>
      </c>
      <c r="D42" s="4" t="inlineStr">
        <is>
          <t>shared_ownership_flag</t>
        </is>
      </c>
      <c r="E42" s="4" t="inlineStr">
        <is>
          <t>Yes</t>
        </is>
      </c>
      <c r="F42" s="4">
        <f>IF(BoE!P[row]=1,"Yes","No")</f>
        <v/>
      </c>
    </row>
    <row r="43">
      <c r="A43" s="4" t="inlineStr">
        <is>
          <t>BV34</t>
        </is>
      </c>
      <c r="B43" s="4" t="inlineStr">
        <is>
          <t>Shared Ownership</t>
        </is>
      </c>
      <c r="C43" s="4" t="inlineStr">
        <is>
          <t>2</t>
        </is>
      </c>
      <c r="D43" s="4" t="inlineStr">
        <is>
          <t>shared_ownership_flag</t>
        </is>
      </c>
      <c r="E43" s="4" t="inlineStr">
        <is>
          <t>No</t>
        </is>
      </c>
      <c r="F43" s="4" t="inlineStr">
        <is>
          <t>LTV uses mortgage portion only</t>
        </is>
      </c>
    </row>
    <row r="44">
      <c r="A44" s="12" t="inlineStr"/>
      <c r="B44" s="12" t="inlineStr"/>
      <c r="C44" s="12" t="inlineStr"/>
      <c r="D44" s="12" t="inlineStr"/>
      <c r="E44" s="12" t="inlineStr"/>
      <c r="F44" s="12" t="inlineStr"/>
    </row>
    <row r="45">
      <c r="A45" s="4" t="inlineStr">
        <is>
          <t>BV35</t>
        </is>
      </c>
      <c r="B45" s="4" t="inlineStr">
        <is>
          <t>Help to Buy</t>
        </is>
      </c>
      <c r="C45" s="4" t="inlineStr">
        <is>
          <t>1</t>
        </is>
      </c>
      <c r="D45" s="4" t="inlineStr">
        <is>
          <t>help_to_buy_flag</t>
        </is>
      </c>
      <c r="E45" s="4" t="inlineStr">
        <is>
          <t>Yes</t>
        </is>
      </c>
      <c r="F45" s="4">
        <f>IF(BoE!Q[row]=1,"Yes","No")</f>
        <v/>
      </c>
    </row>
    <row r="46">
      <c r="A46" s="4" t="inlineStr">
        <is>
          <t>BV35</t>
        </is>
      </c>
      <c r="B46" s="4" t="inlineStr">
        <is>
          <t>Help to Buy</t>
        </is>
      </c>
      <c r="C46" s="4" t="inlineStr">
        <is>
          <t>2</t>
        </is>
      </c>
      <c r="D46" s="4" t="inlineStr">
        <is>
          <t>help_to_buy_flag</t>
        </is>
      </c>
      <c r="E46" s="4" t="inlineStr">
        <is>
          <t>No</t>
        </is>
      </c>
      <c r="F46" s="4" t="inlineStr">
        <is>
          <t>Excludes FTB &amp; payment shock adj</t>
        </is>
      </c>
    </row>
    <row r="47">
      <c r="A47" s="12" t="inlineStr"/>
      <c r="B47" s="12" t="inlineStr"/>
      <c r="C47" s="12" t="inlineStr"/>
      <c r="D47" s="12" t="inlineStr"/>
      <c r="E47" s="12" t="inlineStr"/>
      <c r="F47" s="12" t="inlineStr"/>
    </row>
    <row r="48">
      <c r="A48" s="4" t="inlineStr">
        <is>
          <t>BV40</t>
        </is>
      </c>
      <c r="B48" s="4" t="inlineStr">
        <is>
          <t>Borrower 1 Income</t>
        </is>
      </c>
      <c r="C48" s="4" t="inlineStr">
        <is>
          <t>Direct</t>
        </is>
      </c>
      <c r="D48" s="4" t="inlineStr">
        <is>
          <t>borrower1_income</t>
        </is>
      </c>
      <c r="E48" s="4" t="inlineStr">
        <is>
          <t>Same</t>
        </is>
      </c>
      <c r="F48" s="4">
        <f>BoE!R[row]</f>
        <v/>
      </c>
    </row>
    <row r="49">
      <c r="A49" s="4" t="inlineStr">
        <is>
          <t>BV41</t>
        </is>
      </c>
      <c r="B49" s="4" t="inlineStr">
        <is>
          <t>Borrower 2 Income</t>
        </is>
      </c>
      <c r="C49" s="4" t="inlineStr">
        <is>
          <t>Direct</t>
        </is>
      </c>
      <c r="D49" s="4" t="inlineStr">
        <is>
          <t>borrower2_income</t>
        </is>
      </c>
      <c r="E49" s="4" t="inlineStr">
        <is>
          <t>Same</t>
        </is>
      </c>
      <c r="F49" s="4">
        <f>BoE!S[row]</f>
        <v/>
      </c>
    </row>
    <row r="50">
      <c r="A50" s="4" t="inlineStr">
        <is>
          <t>BV42</t>
        </is>
      </c>
      <c r="B50" s="4" t="inlineStr">
        <is>
          <t>Number of Borrowers</t>
        </is>
      </c>
      <c r="C50" s="4" t="inlineStr">
        <is>
          <t>1 or 2</t>
        </is>
      </c>
      <c r="D50" s="4" t="inlineStr">
        <is>
          <t>num_borrowers</t>
        </is>
      </c>
      <c r="E50" s="4" t="inlineStr">
        <is>
          <t>Same</t>
        </is>
      </c>
      <c r="F50" s="4">
        <f>BoE!T[row]</f>
        <v/>
      </c>
    </row>
    <row r="51">
      <c r="A51" s="12" t="inlineStr"/>
      <c r="B51" s="12" t="inlineStr">
        <is>
          <t>Total Income</t>
        </is>
      </c>
      <c r="C51" s="12" t="inlineStr">
        <is>
          <t>Calc</t>
        </is>
      </c>
      <c r="D51" s="12" t="inlineStr">
        <is>
          <t>total_income</t>
        </is>
      </c>
      <c r="E51" s="12" t="inlineStr">
        <is>
          <t>Sum</t>
        </is>
      </c>
      <c r="F51" s="12">
        <f>BoE!R[row]+BoE!S[row]</f>
        <v/>
      </c>
    </row>
    <row r="52">
      <c r="A52" s="12" t="inlineStr"/>
      <c r="B52" s="12" t="inlineStr"/>
      <c r="C52" s="12" t="inlineStr"/>
      <c r="D52" s="12" t="inlineStr"/>
      <c r="E52" s="12" t="inlineStr"/>
      <c r="F52" s="12" t="inlineStr"/>
    </row>
    <row r="53">
      <c r="A53" s="4" t="inlineStr">
        <is>
          <t>BV45</t>
        </is>
      </c>
      <c r="B53" s="4" t="inlineStr">
        <is>
          <t>Employment Status Borr1</t>
        </is>
      </c>
      <c r="C53" s="4" t="inlineStr">
        <is>
          <t>1</t>
        </is>
      </c>
      <c r="D53" s="4" t="inlineStr">
        <is>
          <t>employment_status_borr1</t>
        </is>
      </c>
      <c r="E53" s="4" t="inlineStr">
        <is>
          <t>Employed</t>
        </is>
      </c>
      <c r="F53" s="4">
        <f>IFS(BoE!U[row]=1,"Employed",BoE!U[row]=2,"Self-Employed",BoE!U[row]=3,"Unemployed",BoE!U[row]=4,"Retired")</f>
        <v/>
      </c>
    </row>
    <row r="54">
      <c r="A54" s="4" t="inlineStr">
        <is>
          <t>BV45</t>
        </is>
      </c>
      <c r="B54" s="4" t="inlineStr">
        <is>
          <t>Employment Status Borr1</t>
        </is>
      </c>
      <c r="C54" s="4" t="inlineStr">
        <is>
          <t>2</t>
        </is>
      </c>
      <c r="D54" s="4" t="inlineStr">
        <is>
          <t>employment_status_borr1</t>
        </is>
      </c>
      <c r="E54" s="4" t="inlineStr">
        <is>
          <t>Self-Employed</t>
        </is>
      </c>
      <c r="F54" s="4" t="inlineStr"/>
    </row>
    <row r="55">
      <c r="A55" s="4" t="inlineStr">
        <is>
          <t>BV46</t>
        </is>
      </c>
      <c r="B55" s="4" t="inlineStr">
        <is>
          <t>Employment Status Borr2</t>
        </is>
      </c>
      <c r="C55" s="4" t="inlineStr">
        <is>
          <t>1</t>
        </is>
      </c>
      <c r="D55" s="4" t="inlineStr">
        <is>
          <t>employment_status_borr2</t>
        </is>
      </c>
      <c r="E55" s="4" t="inlineStr">
        <is>
          <t>Employed</t>
        </is>
      </c>
      <c r="F55" s="4" t="inlineStr">
        <is>
          <t>Same logic as Borr1</t>
        </is>
      </c>
    </row>
    <row r="56">
      <c r="A56" s="12" t="inlineStr"/>
      <c r="B56" s="12" t="inlineStr">
        <is>
          <t>Self-Employed Flag</t>
        </is>
      </c>
      <c r="C56" s="12" t="inlineStr">
        <is>
          <t>Calc</t>
        </is>
      </c>
      <c r="D56" s="12" t="inlineStr">
        <is>
          <t>self_employed_flag</t>
        </is>
      </c>
      <c r="E56" s="12" t="inlineStr">
        <is>
          <t>Yes/No</t>
        </is>
      </c>
      <c r="F56" s="12">
        <f>IF(OR(U[row]="Self-Employed",V[row]="Self-Employed"),"Yes","No")</f>
        <v/>
      </c>
    </row>
    <row r="57">
      <c r="A57" s="12" t="inlineStr"/>
      <c r="B57" s="12" t="inlineStr"/>
      <c r="C57" s="12" t="inlineStr"/>
      <c r="D57" s="12" t="inlineStr"/>
      <c r="E57" s="12" t="inlineStr"/>
      <c r="F57" s="12" t="inlineStr"/>
    </row>
    <row r="58">
      <c r="A58" s="4" t="inlineStr">
        <is>
          <t>BV50</t>
        </is>
      </c>
      <c r="B58" s="4" t="inlineStr">
        <is>
          <t>Credit Score Borr1</t>
        </is>
      </c>
      <c r="C58" s="4" t="inlineStr">
        <is>
          <t>Direct</t>
        </is>
      </c>
      <c r="D58" s="4" t="inlineStr">
        <is>
          <t>credit_score_borr1</t>
        </is>
      </c>
      <c r="E58" s="4" t="inlineStr">
        <is>
          <t>Same</t>
        </is>
      </c>
      <c r="F58" s="4">
        <f>BoE!W[row]</f>
        <v/>
      </c>
    </row>
    <row r="59">
      <c r="A59" s="4" t="inlineStr">
        <is>
          <t>BV51</t>
        </is>
      </c>
      <c r="B59" s="4" t="inlineStr">
        <is>
          <t>Credit Score Borr2</t>
        </is>
      </c>
      <c r="C59" s="4" t="inlineStr">
        <is>
          <t>Direct</t>
        </is>
      </c>
      <c r="D59" s="4" t="inlineStr">
        <is>
          <t>credit_score_borr2</t>
        </is>
      </c>
      <c r="E59" s="4" t="inlineStr">
        <is>
          <t>Same</t>
        </is>
      </c>
      <c r="F59" s="4">
        <f>BoE!X[row]</f>
        <v/>
      </c>
    </row>
    <row r="60">
      <c r="A60" s="12" t="inlineStr"/>
      <c r="B60" s="12" t="inlineStr">
        <is>
          <t>Worst Credit Score</t>
        </is>
      </c>
      <c r="C60" s="12" t="inlineStr">
        <is>
          <t>Calc</t>
        </is>
      </c>
      <c r="D60" s="12" t="inlineStr">
        <is>
          <t>credit_score</t>
        </is>
      </c>
      <c r="E60" s="12" t="inlineStr">
        <is>
          <t>Min</t>
        </is>
      </c>
      <c r="F60" s="12">
        <f>MIN(BoE!W[row],BoE!X[row])</f>
        <v/>
      </c>
    </row>
    <row r="61">
      <c r="A61" s="12" t="inlineStr"/>
      <c r="B61" s="12" t="inlineStr"/>
      <c r="C61" s="12" t="inlineStr"/>
      <c r="D61" s="12" t="inlineStr"/>
      <c r="E61" s="12" t="inlineStr"/>
      <c r="F61" s="12" t="inlineStr"/>
    </row>
    <row r="62">
      <c r="A62" s="4" t="inlineStr">
        <is>
          <t>BV55</t>
        </is>
      </c>
      <c r="B62" s="4" t="inlineStr">
        <is>
          <t>CCJ Count Borr1</t>
        </is>
      </c>
      <c r="C62" s="4" t="inlineStr">
        <is>
          <t>Direct</t>
        </is>
      </c>
      <c r="D62" s="4" t="inlineStr">
        <is>
          <t>ccj_count_borr1</t>
        </is>
      </c>
      <c r="E62" s="4" t="inlineStr">
        <is>
          <t>Same</t>
        </is>
      </c>
      <c r="F62" s="4">
        <f>BoE!Y[row]</f>
        <v/>
      </c>
    </row>
    <row r="63">
      <c r="A63" s="4" t="inlineStr">
        <is>
          <t>BV56</t>
        </is>
      </c>
      <c r="B63" s="4" t="inlineStr">
        <is>
          <t>CCJ Count Borr2</t>
        </is>
      </c>
      <c r="C63" s="4" t="inlineStr">
        <is>
          <t>Direct</t>
        </is>
      </c>
      <c r="D63" s="4" t="inlineStr">
        <is>
          <t>ccj_count_borr2</t>
        </is>
      </c>
      <c r="E63" s="4" t="inlineStr">
        <is>
          <t>Same</t>
        </is>
      </c>
      <c r="F63" s="4">
        <f>BoE!Z[row]</f>
        <v/>
      </c>
    </row>
    <row r="64">
      <c r="A64" s="12" t="inlineStr"/>
      <c r="B64" s="12" t="inlineStr">
        <is>
          <t>Total CCJ Count</t>
        </is>
      </c>
      <c r="C64" s="12" t="inlineStr">
        <is>
          <t>Calc</t>
        </is>
      </c>
      <c r="D64" s="12" t="inlineStr">
        <is>
          <t>ccj_count</t>
        </is>
      </c>
      <c r="E64" s="12" t="inlineStr">
        <is>
          <t>Sum</t>
        </is>
      </c>
      <c r="F64" s="12">
        <f>BoE!Y[row]+BoE!Z[row]</f>
        <v/>
      </c>
    </row>
    <row r="65">
      <c r="A65" s="12" t="inlineStr"/>
      <c r="B65" s="12" t="inlineStr"/>
      <c r="C65" s="12" t="inlineStr"/>
      <c r="D65" s="12" t="inlineStr"/>
      <c r="E65" s="12" t="inlineStr"/>
      <c r="F65" s="12" t="inlineStr"/>
    </row>
    <row r="66">
      <c r="A66" s="4" t="inlineStr">
        <is>
          <t>BV57</t>
        </is>
      </c>
      <c r="B66" s="4" t="inlineStr">
        <is>
          <t>CCJ Value Borr1</t>
        </is>
      </c>
      <c r="C66" s="4" t="inlineStr">
        <is>
          <t>Direct</t>
        </is>
      </c>
      <c r="D66" s="4" t="inlineStr">
        <is>
          <t>ccj_value_borr1</t>
        </is>
      </c>
      <c r="E66" s="4" t="inlineStr">
        <is>
          <t>Same</t>
        </is>
      </c>
      <c r="F66" s="4">
        <f>BoE!AA[row]</f>
        <v/>
      </c>
    </row>
    <row r="67">
      <c r="A67" s="4" t="inlineStr">
        <is>
          <t>BV58</t>
        </is>
      </c>
      <c r="B67" s="4" t="inlineStr">
        <is>
          <t>CCJ Value Borr2</t>
        </is>
      </c>
      <c r="C67" s="4" t="inlineStr">
        <is>
          <t>Direct</t>
        </is>
      </c>
      <c r="D67" s="4" t="inlineStr">
        <is>
          <t>ccj_value_borr2</t>
        </is>
      </c>
      <c r="E67" s="4" t="inlineStr">
        <is>
          <t>Same</t>
        </is>
      </c>
      <c r="F67" s="4">
        <f>BoE!AB[row]</f>
        <v/>
      </c>
    </row>
    <row r="68">
      <c r="A68" s="12" t="inlineStr"/>
      <c r="B68" s="12" t="inlineStr">
        <is>
          <t>Total CCJ Value</t>
        </is>
      </c>
      <c r="C68" s="12" t="inlineStr">
        <is>
          <t>Calc</t>
        </is>
      </c>
      <c r="D68" s="12" t="inlineStr">
        <is>
          <t>ccj_total_value</t>
        </is>
      </c>
      <c r="E68" s="12" t="inlineStr">
        <is>
          <t>Sum</t>
        </is>
      </c>
      <c r="F68" s="12">
        <f>BoE!AA[row]+BoE!AB[row]</f>
        <v/>
      </c>
    </row>
    <row r="69">
      <c r="A69" s="12" t="inlineStr"/>
      <c r="B69" s="12" t="inlineStr"/>
      <c r="C69" s="12" t="inlineStr"/>
      <c r="D69" s="12" t="inlineStr"/>
      <c r="E69" s="12" t="inlineStr"/>
      <c r="F69" s="12" t="inlineStr"/>
    </row>
    <row r="70">
      <c r="A70" s="4" t="inlineStr">
        <is>
          <t>BV59</t>
        </is>
      </c>
      <c r="B70" s="4" t="inlineStr">
        <is>
          <t>Most Recent CCJ Date</t>
        </is>
      </c>
      <c r="C70" s="4" t="inlineStr">
        <is>
          <t>Direct</t>
        </is>
      </c>
      <c r="D70" s="4" t="inlineStr">
        <is>
          <t>ccj_date_most_recent</t>
        </is>
      </c>
      <c r="E70" s="4" t="inlineStr">
        <is>
          <t>Most Recent</t>
        </is>
      </c>
      <c r="F70" s="4">
        <f>MAX(BoE!AC[row],BoE!AD[row])</f>
        <v/>
      </c>
    </row>
    <row r="71">
      <c r="A71" s="12" t="inlineStr"/>
      <c r="B71" s="12" t="inlineStr"/>
      <c r="C71" s="12" t="inlineStr"/>
      <c r="D71" s="12" t="inlineStr"/>
      <c r="E71" s="12" t="inlineStr"/>
      <c r="F71" s="12" t="inlineStr"/>
    </row>
    <row r="72">
      <c r="A72" s="4" t="inlineStr">
        <is>
          <t>BV60</t>
        </is>
      </c>
      <c r="B72" s="4" t="inlineStr">
        <is>
          <t>Arrears Balance</t>
        </is>
      </c>
      <c r="C72" s="4" t="inlineStr">
        <is>
          <t>Direct</t>
        </is>
      </c>
      <c r="D72" s="4" t="inlineStr">
        <is>
          <t>arrears_balance</t>
        </is>
      </c>
      <c r="E72" s="4" t="inlineStr">
        <is>
          <t>Same</t>
        </is>
      </c>
      <c r="F72" s="4">
        <f>BoE!AE[row]</f>
        <v/>
      </c>
    </row>
    <row r="73">
      <c r="A73" s="12" t="inlineStr"/>
      <c r="B73" s="12" t="inlineStr">
        <is>
          <t>Monthly Payment</t>
        </is>
      </c>
      <c r="C73" s="12" t="inlineStr">
        <is>
          <t>Calc</t>
        </is>
      </c>
      <c r="D73" s="12" t="inlineStr">
        <is>
          <t>monthly_payment</t>
        </is>
      </c>
      <c r="E73" s="12" t="inlineStr">
        <is>
          <t>Formula</t>
        </is>
      </c>
      <c r="F73" s="12">
        <f>current_balance*interest_rate/12</f>
        <v/>
      </c>
    </row>
    <row r="74">
      <c r="A74" s="12" t="inlineStr"/>
      <c r="B74" s="12" t="inlineStr">
        <is>
          <t>Months in Arrears</t>
        </is>
      </c>
      <c r="C74" s="12" t="inlineStr">
        <is>
          <t>Calc</t>
        </is>
      </c>
      <c r="D74" s="12" t="inlineStr">
        <is>
          <t>arrears_months</t>
        </is>
      </c>
      <c r="E74" s="12" t="inlineStr">
        <is>
          <t>Formula</t>
        </is>
      </c>
      <c r="F74" s="12">
        <f>arrears_balance/monthly_payment</f>
        <v/>
      </c>
    </row>
    <row r="75">
      <c r="A75" s="12" t="inlineStr"/>
      <c r="B75" s="12" t="inlineStr"/>
      <c r="C75" s="12" t="inlineStr"/>
      <c r="D75" s="12" t="inlineStr"/>
      <c r="E75" s="12" t="inlineStr"/>
      <c r="F75" s="12" t="inlineStr"/>
    </row>
    <row r="76">
      <c r="A76" s="4" t="inlineStr">
        <is>
          <t>BV65</t>
        </is>
      </c>
      <c r="B76" s="4" t="inlineStr">
        <is>
          <t>Bankruptcy Flag</t>
        </is>
      </c>
      <c r="C76" s="4" t="inlineStr">
        <is>
          <t>1/2</t>
        </is>
      </c>
      <c r="D76" s="4" t="inlineStr">
        <is>
          <t>bankruptcy_flag</t>
        </is>
      </c>
      <c r="E76" s="4" t="inlineStr">
        <is>
          <t>Yes/No</t>
        </is>
      </c>
      <c r="F76" s="4">
        <f>IF(BoE!AF[row]=1,"Yes","No")</f>
        <v/>
      </c>
    </row>
    <row r="77">
      <c r="A77" s="4" t="inlineStr">
        <is>
          <t>BV66</t>
        </is>
      </c>
      <c r="B77" s="4" t="inlineStr">
        <is>
          <t>Bankruptcy Date</t>
        </is>
      </c>
      <c r="C77" s="4" t="inlineStr">
        <is>
          <t>Direct</t>
        </is>
      </c>
      <c r="D77" s="4" t="inlineStr">
        <is>
          <t>bankruptcy_date</t>
        </is>
      </c>
      <c r="E77" s="4" t="inlineStr">
        <is>
          <t>Same</t>
        </is>
      </c>
      <c r="F77" s="4">
        <f>BoE!AG[row]</f>
        <v/>
      </c>
    </row>
    <row r="78">
      <c r="A78" s="4" t="inlineStr">
        <is>
          <t>BV67</t>
        </is>
      </c>
      <c r="B78" s="4" t="inlineStr">
        <is>
          <t>IVA Flag</t>
        </is>
      </c>
      <c r="C78" s="4" t="inlineStr">
        <is>
          <t>1/2</t>
        </is>
      </c>
      <c r="D78" s="4" t="inlineStr">
        <is>
          <t>iva_flag</t>
        </is>
      </c>
      <c r="E78" s="4" t="inlineStr">
        <is>
          <t>Yes/No</t>
        </is>
      </c>
      <c r="F78" s="4">
        <f>IF(BoE!AH[row]=1,"Yes","No")</f>
        <v/>
      </c>
    </row>
    <row r="79">
      <c r="A79" s="4" t="inlineStr">
        <is>
          <t>BV68</t>
        </is>
      </c>
      <c r="B79" s="4" t="inlineStr">
        <is>
          <t>Prior Repossession Flag</t>
        </is>
      </c>
      <c r="C79" s="4" t="inlineStr">
        <is>
          <t>1/2</t>
        </is>
      </c>
      <c r="D79" s="4" t="inlineStr">
        <is>
          <t>prior_repossession_flag</t>
        </is>
      </c>
      <c r="E79" s="4" t="inlineStr">
        <is>
          <t>Yes/No</t>
        </is>
      </c>
      <c r="F79" s="4">
        <f>IF(BoE!AI[row]=1,"Yes","No")</f>
        <v/>
      </c>
    </row>
    <row r="80">
      <c r="A80" s="12" t="inlineStr"/>
      <c r="B80" s="12" t="inlineStr"/>
      <c r="C80" s="12" t="inlineStr"/>
      <c r="D80" s="12" t="inlineStr"/>
      <c r="E80" s="12" t="inlineStr"/>
      <c r="F80" s="12" t="inlineStr"/>
    </row>
    <row r="81">
      <c r="A81" s="4" t="inlineStr">
        <is>
          <t>BV70</t>
        </is>
      </c>
      <c r="B81" s="4" t="inlineStr">
        <is>
          <t>Self-Certified Flag</t>
        </is>
      </c>
      <c r="C81" s="4" t="inlineStr">
        <is>
          <t>1/2</t>
        </is>
      </c>
      <c r="D81" s="4" t="inlineStr">
        <is>
          <t>self_certified_flag</t>
        </is>
      </c>
      <c r="E81" s="4" t="inlineStr">
        <is>
          <t>Yes/No</t>
        </is>
      </c>
      <c r="F81" s="4">
        <f>IF(BoE!AJ[row]=1,"Yes","No")</f>
        <v/>
      </c>
    </row>
    <row r="82">
      <c r="A82" s="4" t="inlineStr">
        <is>
          <t>BV71</t>
        </is>
      </c>
      <c r="B82" s="4" t="inlineStr">
        <is>
          <t>First Time Buyer</t>
        </is>
      </c>
      <c r="C82" s="4" t="inlineStr">
        <is>
          <t>1/2</t>
        </is>
      </c>
      <c r="D82" s="4" t="inlineStr">
        <is>
          <t>first_time_buyer_flag</t>
        </is>
      </c>
      <c r="E82" s="4" t="inlineStr">
        <is>
          <t>Yes/No</t>
        </is>
      </c>
      <c r="F82" s="4">
        <f>IF(BoE!AK[row]=1,"Yes","No")</f>
        <v/>
      </c>
    </row>
    <row r="83">
      <c r="A83" s="4" t="inlineStr">
        <is>
          <t>BV72</t>
        </is>
      </c>
      <c r="B83" s="4" t="inlineStr">
        <is>
          <t>Payment Shock Flag</t>
        </is>
      </c>
      <c r="C83" s="4" t="inlineStr">
        <is>
          <t>1/2</t>
        </is>
      </c>
      <c r="D83" s="4" t="inlineStr">
        <is>
          <t>payment_shock_flag</t>
        </is>
      </c>
      <c r="E83" s="4" t="inlineStr">
        <is>
          <t>Yes/No</t>
        </is>
      </c>
      <c r="F83" s="4">
        <f>IF(BoE!AL[row]=1,"Yes","No")</f>
        <v/>
      </c>
    </row>
    <row r="84">
      <c r="A84" s="12" t="inlineStr"/>
      <c r="B84" s="12" t="inlineStr"/>
      <c r="C84" s="12" t="inlineStr"/>
      <c r="D84" s="12" t="inlineStr"/>
      <c r="E84" s="12" t="inlineStr"/>
      <c r="F84" s="12" t="inlineStr"/>
    </row>
    <row r="85">
      <c r="A85" s="4" t="inlineStr">
        <is>
          <t>BV75</t>
        </is>
      </c>
      <c r="B85" s="4" t="inlineStr">
        <is>
          <t>Reperforming Flag</t>
        </is>
      </c>
      <c r="C85" s="4" t="inlineStr">
        <is>
          <t>1/2</t>
        </is>
      </c>
      <c r="D85" s="4" t="inlineStr">
        <is>
          <t>reperforming_flag</t>
        </is>
      </c>
      <c r="E85" s="4" t="inlineStr">
        <is>
          <t>Yes/No</t>
        </is>
      </c>
      <c r="F85" s="4">
        <f>IF(BoE!AM[row]=1,"Yes","No")</f>
        <v/>
      </c>
    </row>
    <row r="86">
      <c r="A86" s="4" t="inlineStr">
        <is>
          <t>BV76</t>
        </is>
      </c>
      <c r="B86" s="4" t="inlineStr">
        <is>
          <t>Date Last 90+ dpd</t>
        </is>
      </c>
      <c r="C86" s="4" t="inlineStr">
        <is>
          <t>Direct</t>
        </is>
      </c>
      <c r="D86" s="4" t="inlineStr">
        <is>
          <t>date_last_90dpd</t>
        </is>
      </c>
      <c r="E86" s="4" t="inlineStr">
        <is>
          <t>Same</t>
        </is>
      </c>
      <c r="F86" s="4">
        <f>BoE!AN[row]</f>
        <v/>
      </c>
    </row>
    <row r="87">
      <c r="A87" s="12" t="inlineStr"/>
      <c r="B87" s="12" t="inlineStr"/>
      <c r="C87" s="12" t="inlineStr"/>
      <c r="D87" s="12" t="inlineStr"/>
      <c r="E87" s="12" t="inlineStr"/>
      <c r="F87" s="12" t="inlineStr"/>
    </row>
    <row r="88">
      <c r="A88" s="4" t="inlineStr">
        <is>
          <t>BV80</t>
        </is>
      </c>
      <c r="B88" s="4" t="inlineStr">
        <is>
          <t>Lien Position</t>
        </is>
      </c>
      <c r="C88" s="4" t="inlineStr">
        <is>
          <t>1</t>
        </is>
      </c>
      <c r="D88" s="4" t="inlineStr">
        <is>
          <t>lien_position</t>
        </is>
      </c>
      <c r="E88" s="4" t="inlineStr">
        <is>
          <t>First</t>
        </is>
      </c>
      <c r="F88" s="4">
        <f>IFS(BoE!AO[row]=1,"First",BoE!AO[row]=2,"Second",BoE!AO[row]&gt;=3,"Third+")</f>
        <v/>
      </c>
    </row>
    <row r="89">
      <c r="A89" s="4" t="inlineStr">
        <is>
          <t>BV80</t>
        </is>
      </c>
      <c r="B89" s="4" t="inlineStr">
        <is>
          <t>Lien Position</t>
        </is>
      </c>
      <c r="C89" s="4" t="inlineStr">
        <is>
          <t>2</t>
        </is>
      </c>
      <c r="D89" s="4" t="inlineStr">
        <is>
          <t>lien_position</t>
        </is>
      </c>
      <c r="E89" s="4" t="inlineStr">
        <is>
          <t>Second</t>
        </is>
      </c>
      <c r="F89" s="4" t="inlineStr"/>
    </row>
    <row r="90">
      <c r="A90" s="4" t="inlineStr">
        <is>
          <t>BV80</t>
        </is>
      </c>
      <c r="B90" s="4" t="inlineStr">
        <is>
          <t>Lien Position</t>
        </is>
      </c>
      <c r="C90" s="4" t="inlineStr">
        <is>
          <t>3+</t>
        </is>
      </c>
      <c r="D90" s="4" t="inlineStr">
        <is>
          <t>lien_position</t>
        </is>
      </c>
      <c r="E90" s="4" t="inlineStr">
        <is>
          <t>Third+</t>
        </is>
      </c>
      <c r="F90" s="4" t="inlineStr"/>
    </row>
    <row r="91">
      <c r="A91" s="12" t="inlineStr"/>
      <c r="B91" s="12" t="inlineStr"/>
      <c r="C91" s="12" t="inlineStr"/>
      <c r="D91" s="12" t="inlineStr"/>
      <c r="E91" s="12" t="inlineStr"/>
      <c r="F91" s="12" t="inlineStr"/>
    </row>
    <row r="92">
      <c r="A92" s="4" t="inlineStr">
        <is>
          <t>BV85</t>
        </is>
      </c>
      <c r="B92" s="4" t="inlineStr">
        <is>
          <t>Valuation Method</t>
        </is>
      </c>
      <c r="C92" s="4" t="inlineStr">
        <is>
          <t>1</t>
        </is>
      </c>
      <c r="D92" s="4" t="inlineStr">
        <is>
          <t>valuation_type</t>
        </is>
      </c>
      <c r="E92" s="4" t="inlineStr">
        <is>
          <t>Full</t>
        </is>
      </c>
      <c r="F92" s="4">
        <f>IFS(BoE!AP[row]=1,"Full",BoE!AP[row]=2,"AVM",BoE!AP[row]=3,"Drive-by")</f>
        <v/>
      </c>
    </row>
    <row r="93">
      <c r="A93" s="4" t="inlineStr">
        <is>
          <t>BV85</t>
        </is>
      </c>
      <c r="B93" s="4" t="inlineStr">
        <is>
          <t>Valuation Method</t>
        </is>
      </c>
      <c r="C93" s="4" t="inlineStr">
        <is>
          <t>2</t>
        </is>
      </c>
      <c r="D93" s="4" t="inlineStr">
        <is>
          <t>valuation_type</t>
        </is>
      </c>
      <c r="E93" s="4" t="inlineStr">
        <is>
          <t>AVM</t>
        </is>
      </c>
      <c r="F93" s="4" t="inlineStr">
        <is>
          <t>5% haircut if not Full</t>
        </is>
      </c>
    </row>
    <row r="94">
      <c r="A94" s="4" t="inlineStr">
        <is>
          <t>BV85</t>
        </is>
      </c>
      <c r="B94" s="4" t="inlineStr">
        <is>
          <t>Valuation Method</t>
        </is>
      </c>
      <c r="C94" s="4" t="inlineStr">
        <is>
          <t>3</t>
        </is>
      </c>
      <c r="D94" s="4" t="inlineStr">
        <is>
          <t>valuation_type</t>
        </is>
      </c>
      <c r="E94" s="4" t="inlineStr">
        <is>
          <t>Drive-by</t>
        </is>
      </c>
      <c r="F94" s="4" t="inlineStr">
        <is>
          <t>5% haircut if not Full</t>
        </is>
      </c>
    </row>
    <row r="95">
      <c r="A95" s="12" t="inlineStr"/>
      <c r="B95" s="12" t="inlineStr"/>
      <c r="C95" s="12" t="inlineStr"/>
      <c r="D95" s="12" t="inlineStr"/>
      <c r="E95" s="12" t="inlineStr"/>
      <c r="F95" s="12" t="inlineStr"/>
    </row>
    <row r="96">
      <c r="A96" s="4" t="inlineStr">
        <is>
          <t>BV90</t>
        </is>
      </c>
      <c r="B96" s="4" t="inlineStr">
        <is>
          <t>Commercial Property Flag</t>
        </is>
      </c>
      <c r="C96" s="4" t="inlineStr">
        <is>
          <t>1/2</t>
        </is>
      </c>
      <c r="D96" s="4" t="inlineStr">
        <is>
          <t>commercial_property_flag</t>
        </is>
      </c>
      <c r="E96" s="4" t="inlineStr">
        <is>
          <t>Yes/No</t>
        </is>
      </c>
      <c r="F96" s="4">
        <f>IF(BoE!AQ[row]=1,"Yes","No")</f>
        <v/>
      </c>
    </row>
    <row r="97">
      <c r="A97" s="4" t="inlineStr">
        <is>
          <t>BV91</t>
        </is>
      </c>
      <c r="B97" s="4" t="inlineStr">
        <is>
          <t>Rental Income (Annual)</t>
        </is>
      </c>
      <c r="C97" s="4" t="inlineStr">
        <is>
          <t>Direct</t>
        </is>
      </c>
      <c r="D97" s="4" t="inlineStr">
        <is>
          <t>rental_income_annual</t>
        </is>
      </c>
      <c r="E97" s="4" t="inlineStr">
        <is>
          <t>Same</t>
        </is>
      </c>
      <c r="F97" s="4">
        <f>BoE!AR[row]</f>
        <v/>
      </c>
    </row>
    <row r="104">
      <c r="F104">
        <f>BoE!D[row]*(1-IF(BoE!AT[row]&lt;&gt;"Full",VLOOKUP('Control Panel'!$B$6,'Jurisdiction Parameters'!$A:$D,4,FALSE),0))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LOAN TAPE - BANK OF ENGLAND PRA110 FORMAT (INPUT SHEET)</t>
        </is>
      </c>
    </row>
    <row r="2">
      <c r="A2" s="11" t="inlineStr">
        <is>
          <t>Enter loan data in yellow cells using Bank of England field codes and values</t>
        </is>
      </c>
    </row>
    <row r="4">
      <c r="A4" s="13" t="inlineStr">
        <is>
          <t>BV1</t>
        </is>
      </c>
      <c r="B4" s="13" t="inlineStr">
        <is>
          <t>BV5</t>
        </is>
      </c>
      <c r="C4" s="13" t="inlineStr">
        <is>
          <t>BV6</t>
        </is>
      </c>
      <c r="D4" s="13" t="inlineStr">
        <is>
          <t>BV7</t>
        </is>
      </c>
      <c r="E4" s="13" t="inlineStr">
        <is>
          <t>BV8</t>
        </is>
      </c>
      <c r="F4" s="13" t="inlineStr">
        <is>
          <t>BV11</t>
        </is>
      </c>
      <c r="G4" s="13" t="inlineStr">
        <is>
          <t>BV12</t>
        </is>
      </c>
      <c r="H4" s="13" t="inlineStr">
        <is>
          <t>BV13</t>
        </is>
      </c>
      <c r="I4" s="13" t="inlineStr">
        <is>
          <t>BV22</t>
        </is>
      </c>
      <c r="J4" s="13" t="inlineStr">
        <is>
          <t>BV23</t>
        </is>
      </c>
      <c r="K4" s="13" t="inlineStr">
        <is>
          <t>BV24</t>
        </is>
      </c>
      <c r="L4" s="13" t="inlineStr">
        <is>
          <t>BV27</t>
        </is>
      </c>
      <c r="M4" s="13" t="inlineStr">
        <is>
          <t>BV28</t>
        </is>
      </c>
      <c r="N4" s="13" t="inlineStr">
        <is>
          <t>BV29</t>
        </is>
      </c>
      <c r="O4" s="13" t="inlineStr">
        <is>
          <t>BV33</t>
        </is>
      </c>
      <c r="P4" s="13" t="inlineStr">
        <is>
          <t>BV34</t>
        </is>
      </c>
      <c r="Q4" s="13" t="inlineStr">
        <is>
          <t>BV35</t>
        </is>
      </c>
      <c r="R4" s="13" t="inlineStr">
        <is>
          <t>BV40</t>
        </is>
      </c>
      <c r="S4" s="13" t="inlineStr">
        <is>
          <t>BV41</t>
        </is>
      </c>
      <c r="T4" s="13" t="inlineStr">
        <is>
          <t>BV42</t>
        </is>
      </c>
      <c r="U4" s="13" t="inlineStr">
        <is>
          <t>BV45</t>
        </is>
      </c>
      <c r="V4" s="13" t="inlineStr">
        <is>
          <t>BV46</t>
        </is>
      </c>
      <c r="W4" s="13" t="inlineStr">
        <is>
          <t>BV50</t>
        </is>
      </c>
      <c r="X4" s="13" t="inlineStr">
        <is>
          <t>BV51</t>
        </is>
      </c>
      <c r="Y4" s="13" t="inlineStr">
        <is>
          <t>BV55</t>
        </is>
      </c>
      <c r="Z4" s="13" t="inlineStr">
        <is>
          <t>BV56</t>
        </is>
      </c>
      <c r="AA4" s="13" t="inlineStr">
        <is>
          <t>BV57</t>
        </is>
      </c>
      <c r="AB4" s="13" t="inlineStr">
        <is>
          <t>BV58</t>
        </is>
      </c>
      <c r="AC4" s="13" t="inlineStr">
        <is>
          <t>BV59</t>
        </is>
      </c>
      <c r="AD4" s="13" t="inlineStr">
        <is>
          <t>BV60</t>
        </is>
      </c>
      <c r="AE4" s="13" t="inlineStr">
        <is>
          <t>BV61</t>
        </is>
      </c>
      <c r="AF4" s="13" t="inlineStr">
        <is>
          <t>BV65</t>
        </is>
      </c>
      <c r="AG4" s="13" t="inlineStr">
        <is>
          <t>BV66</t>
        </is>
      </c>
      <c r="AH4" s="13" t="inlineStr">
        <is>
          <t>BV67</t>
        </is>
      </c>
      <c r="AI4" s="13" t="inlineStr">
        <is>
          <t>BV68</t>
        </is>
      </c>
      <c r="AJ4" s="13" t="inlineStr">
        <is>
          <t>BV70</t>
        </is>
      </c>
      <c r="AK4" s="13" t="inlineStr">
        <is>
          <t>BV71</t>
        </is>
      </c>
      <c r="AL4" s="13" t="inlineStr">
        <is>
          <t>BV72</t>
        </is>
      </c>
      <c r="AM4" s="13" t="inlineStr">
        <is>
          <t>BV75</t>
        </is>
      </c>
      <c r="AN4" s="13" t="inlineStr">
        <is>
          <t>BV76</t>
        </is>
      </c>
      <c r="AO4" s="13" t="inlineStr">
        <is>
          <t>BV80</t>
        </is>
      </c>
      <c r="AP4" s="13" t="inlineStr">
        <is>
          <t>BV85</t>
        </is>
      </c>
      <c r="AQ4" s="13" t="inlineStr">
        <is>
          <t>BV90</t>
        </is>
      </c>
      <c r="AR4" s="13" t="inlineStr">
        <is>
          <t>BV91</t>
        </is>
      </c>
    </row>
    <row r="5">
      <c r="A5" s="14" t="inlineStr">
        <is>
          <t>Loan ID</t>
        </is>
      </c>
      <c r="B5" s="14" t="inlineStr">
        <is>
          <t>Current Balance (£)</t>
        </is>
      </c>
      <c r="C5" s="14" t="inlineStr">
        <is>
          <t>Original Balance (£)</t>
        </is>
      </c>
      <c r="D5" s="14" t="inlineStr">
        <is>
          <t>Current Property Value (£)</t>
        </is>
      </c>
      <c r="E5" s="14" t="inlineStr">
        <is>
          <t>Original Property Value (£)</t>
        </is>
      </c>
      <c r="F5" s="14" t="inlineStr">
        <is>
          <t>Origination Date</t>
        </is>
      </c>
      <c r="G5" s="14" t="inlineStr">
        <is>
          <t>Maturity Date</t>
        </is>
      </c>
      <c r="H5" s="14" t="inlineStr">
        <is>
          <t>Current Interest Rate (%)</t>
        </is>
      </c>
      <c r="I5" s="14" t="inlineStr">
        <is>
          <t>Property Type (1-4)</t>
        </is>
      </c>
      <c r="J5" s="14" t="inlineStr">
        <is>
          <t>Region</t>
        </is>
      </c>
      <c r="K5" s="14" t="inlineStr">
        <is>
          <t>Postcode</t>
        </is>
      </c>
      <c r="L5" s="14" t="inlineStr">
        <is>
          <t>Occupancy Status (1-4)</t>
        </is>
      </c>
      <c r="M5" s="14" t="inlineStr">
        <is>
          <t>Loan Purpose (1-4)</t>
        </is>
      </c>
      <c r="N5" s="14" t="inlineStr">
        <is>
          <t>Payment Method (1-3)</t>
        </is>
      </c>
      <c r="O5" s="14" t="inlineStr">
        <is>
          <t>Right to Buy (1-2)</t>
        </is>
      </c>
      <c r="P5" s="14" t="inlineStr">
        <is>
          <t>Shared Ownership (1-2)</t>
        </is>
      </c>
      <c r="Q5" s="14" t="inlineStr">
        <is>
          <t>Help to Buy (1-2)</t>
        </is>
      </c>
      <c r="R5" s="14" t="inlineStr">
        <is>
          <t>Borrower 1 Income (£)</t>
        </is>
      </c>
      <c r="S5" s="14" t="inlineStr">
        <is>
          <t>Borrower 2 Income (£)</t>
        </is>
      </c>
      <c r="T5" s="14" t="inlineStr">
        <is>
          <t>Number of Borrowers (1-2)</t>
        </is>
      </c>
      <c r="U5" s="14" t="inlineStr">
        <is>
          <t>Employ Status Borr1 (1-4)</t>
        </is>
      </c>
      <c r="V5" s="14" t="inlineStr">
        <is>
          <t>Employ Status Borr2 (1-4)</t>
        </is>
      </c>
      <c r="W5" s="14" t="inlineStr">
        <is>
          <t>Credit Score Borr1</t>
        </is>
      </c>
      <c r="X5" s="14" t="inlineStr">
        <is>
          <t>Credit Score Borr2</t>
        </is>
      </c>
      <c r="Y5" s="14" t="inlineStr">
        <is>
          <t>CCJ Count Borr1</t>
        </is>
      </c>
      <c r="Z5" s="14" t="inlineStr">
        <is>
          <t>CCJ Count Borr2</t>
        </is>
      </c>
      <c r="AA5" s="14" t="inlineStr">
        <is>
          <t>CCJ Value Borr1 (£)</t>
        </is>
      </c>
      <c r="AB5" s="14" t="inlineStr">
        <is>
          <t>CCJ Value Borr2 (£)</t>
        </is>
      </c>
      <c r="AC5" s="14" t="inlineStr">
        <is>
          <t>CCJ Date Borr1</t>
        </is>
      </c>
      <c r="AD5" s="14" t="inlineStr">
        <is>
          <t>CCJ Date Borr2</t>
        </is>
      </c>
      <c r="AE5" s="14" t="inlineStr">
        <is>
          <t>Arrears Balance (£)</t>
        </is>
      </c>
      <c r="AF5" s="14" t="inlineStr">
        <is>
          <t>Bankruptcy Flag (1-2)</t>
        </is>
      </c>
      <c r="AG5" s="14" t="inlineStr">
        <is>
          <t>Bankruptcy Date</t>
        </is>
      </c>
      <c r="AH5" s="14" t="inlineStr">
        <is>
          <t>IVA Flag (1-2)</t>
        </is>
      </c>
      <c r="AI5" s="14" t="inlineStr">
        <is>
          <t>Prior Repossession (1-2)</t>
        </is>
      </c>
      <c r="AJ5" s="14" t="inlineStr">
        <is>
          <t>Self-Certified (1-2)</t>
        </is>
      </c>
      <c r="AK5" s="14" t="inlineStr">
        <is>
          <t>First Time Buyer (1-2)</t>
        </is>
      </c>
      <c r="AL5" s="14" t="inlineStr">
        <is>
          <t>Payment Shock (1-2)</t>
        </is>
      </c>
      <c r="AM5" s="14" t="inlineStr">
        <is>
          <t>Reperforming (1-2)</t>
        </is>
      </c>
      <c r="AN5" s="14" t="inlineStr">
        <is>
          <t>Date Last 90+ dpd</t>
        </is>
      </c>
      <c r="AO5" s="14" t="inlineStr">
        <is>
          <t>Lien Position (1/2/3+)</t>
        </is>
      </c>
      <c r="AP5" s="14" t="inlineStr">
        <is>
          <t>Valuation Method (1-3)</t>
        </is>
      </c>
      <c r="AQ5" s="14" t="inlineStr">
        <is>
          <t>Commercial Property (1-2)</t>
        </is>
      </c>
      <c r="AR5" s="14" t="inlineStr">
        <is>
          <t>Rental Income Annual (£)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</sheetData>
  <mergeCells count="2">
    <mergeCell ref="A2:AS2"/>
    <mergeCell ref="A1:A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LOAN TAPE - S&amp;P FORMAT (AUTO-CONVERTED FROM BoE)</t>
        </is>
      </c>
    </row>
    <row r="2">
      <c r="A2" s="16" t="inlineStr">
        <is>
          <t>Auto-populated from Loan Tape (BoE) using conversion formulas - DO NOT EDIT</t>
        </is>
      </c>
    </row>
    <row r="4">
      <c r="A4" s="13" t="inlineStr">
        <is>
          <t>loan_id</t>
        </is>
      </c>
      <c r="B4" s="13" t="inlineStr">
        <is>
          <t>current_balance</t>
        </is>
      </c>
      <c r="C4" s="13" t="inlineStr">
        <is>
          <t>original_balance</t>
        </is>
      </c>
      <c r="D4" s="13" t="inlineStr">
        <is>
          <t>property_value_current</t>
        </is>
      </c>
      <c r="E4" s="13" t="inlineStr">
        <is>
          <t>property_value_original</t>
        </is>
      </c>
      <c r="F4" s="13" t="inlineStr">
        <is>
          <t>origination_date</t>
        </is>
      </c>
      <c r="G4" s="13" t="inlineStr">
        <is>
          <t>maturity_date</t>
        </is>
      </c>
      <c r="H4" s="13" t="inlineStr">
        <is>
          <t>interest_rate</t>
        </is>
      </c>
      <c r="I4" s="13" t="inlineStr">
        <is>
          <t>property_type</t>
        </is>
      </c>
      <c r="J4" s="13" t="inlineStr">
        <is>
          <t>region</t>
        </is>
      </c>
      <c r="K4" s="13" t="inlineStr">
        <is>
          <t>postcode</t>
        </is>
      </c>
      <c r="L4" s="13" t="inlineStr">
        <is>
          <t>occupancy_type</t>
        </is>
      </c>
      <c r="M4" s="13" t="inlineStr">
        <is>
          <t>loan_purpose</t>
        </is>
      </c>
      <c r="N4" s="13" t="inlineStr">
        <is>
          <t>product_type</t>
        </is>
      </c>
      <c r="O4" s="13" t="inlineStr">
        <is>
          <t>right_to_buy_flag</t>
        </is>
      </c>
      <c r="P4" s="13" t="inlineStr">
        <is>
          <t>shared_ownership_flag</t>
        </is>
      </c>
      <c r="Q4" s="13" t="inlineStr">
        <is>
          <t>help_to_buy_flag</t>
        </is>
      </c>
      <c r="R4" s="13" t="inlineStr">
        <is>
          <t>borrower1_income</t>
        </is>
      </c>
      <c r="S4" s="13" t="inlineStr">
        <is>
          <t>borrower2_income</t>
        </is>
      </c>
      <c r="T4" s="13" t="inlineStr">
        <is>
          <t>num_borrowers</t>
        </is>
      </c>
      <c r="U4" s="13" t="inlineStr">
        <is>
          <t>total_income</t>
        </is>
      </c>
      <c r="V4" s="13" t="inlineStr">
        <is>
          <t>employment_status_borr1</t>
        </is>
      </c>
      <c r="W4" s="13" t="inlineStr">
        <is>
          <t>employment_status_borr2</t>
        </is>
      </c>
      <c r="X4" s="13" t="inlineStr">
        <is>
          <t>self_employed_flag</t>
        </is>
      </c>
      <c r="Y4" s="13" t="inlineStr">
        <is>
          <t>credit_score_borr1</t>
        </is>
      </c>
      <c r="Z4" s="13" t="inlineStr">
        <is>
          <t>credit_score_borr2</t>
        </is>
      </c>
      <c r="AA4" s="13" t="inlineStr">
        <is>
          <t>credit_score</t>
        </is>
      </c>
      <c r="AB4" s="13" t="inlineStr">
        <is>
          <t>ccj_count_borr1</t>
        </is>
      </c>
      <c r="AC4" s="13" t="inlineStr">
        <is>
          <t>ccj_count_borr2</t>
        </is>
      </c>
      <c r="AD4" s="13" t="inlineStr">
        <is>
          <t>ccj_count</t>
        </is>
      </c>
      <c r="AE4" s="13" t="inlineStr">
        <is>
          <t>ccj_value_borr1</t>
        </is>
      </c>
      <c r="AF4" s="13" t="inlineStr">
        <is>
          <t>ccj_value_borr2</t>
        </is>
      </c>
      <c r="AG4" s="13" t="inlineStr">
        <is>
          <t>ccj_total_value</t>
        </is>
      </c>
      <c r="AH4" s="13" t="inlineStr">
        <is>
          <t>ccj_date_most_recent</t>
        </is>
      </c>
      <c r="AI4" s="13" t="inlineStr">
        <is>
          <t>arrears_balance</t>
        </is>
      </c>
      <c r="AJ4" s="13" t="inlineStr">
        <is>
          <t>monthly_payment</t>
        </is>
      </c>
      <c r="AK4" s="13" t="inlineStr">
        <is>
          <t>arrears_months</t>
        </is>
      </c>
      <c r="AL4" s="13" t="inlineStr">
        <is>
          <t>bankruptcy_flag</t>
        </is>
      </c>
      <c r="AM4" s="13" t="inlineStr">
        <is>
          <t>iva_flag</t>
        </is>
      </c>
      <c r="AN4" s="13" t="inlineStr">
        <is>
          <t>prior_repossession_flag</t>
        </is>
      </c>
      <c r="AO4" s="13" t="inlineStr">
        <is>
          <t>self_certified_flag</t>
        </is>
      </c>
      <c r="AP4" s="13" t="inlineStr">
        <is>
          <t>Performance Arrangement</t>
        </is>
      </c>
      <c r="AQ4" s="13" t="inlineStr">
        <is>
          <t>Performance Arrangement Date</t>
        </is>
      </c>
      <c r="AR4" s="13" t="inlineStr">
        <is>
          <t>Last 90+ Days Date</t>
        </is>
      </c>
      <c r="AS4" s="13" t="inlineStr">
        <is>
          <t>Interest Rate Type</t>
        </is>
      </c>
      <c r="AT4" s="13" t="inlineStr">
        <is>
          <t>Monthly Payment (Full Amort)</t>
        </is>
      </c>
      <c r="AU4" s="13" t="inlineStr">
        <is>
          <t>Months to Maturity</t>
        </is>
      </c>
      <c r="AV4" s="13" t="inlineStr">
        <is>
          <t>Maturity Date Check</t>
        </is>
      </c>
      <c r="AW4" s="13" t="inlineStr">
        <is>
          <t>Loan Age (Months)</t>
        </is>
      </c>
    </row>
    <row r="5">
      <c r="A5" s="17">
        <f>'Loan Tape (BoE)'!A6</f>
        <v/>
      </c>
      <c r="B5" s="18">
        <f>IFERROR(INDEX('FF Adj Parameters'!$A$89:$B$92,MATCH('Loan Tape (BoE)'!C5,INDEX('FF Adj Parameters'!$A$89:$B$92,,1),0),2),"Unknown")</f>
        <v/>
      </c>
      <c r="C5" s="18">
        <f>'Loan Tape (BoE)'!C6</f>
        <v/>
      </c>
      <c r="D5" s="18">
        <f>'Loan Tape (BoE)'!D6</f>
        <v/>
      </c>
      <c r="E5" s="18">
        <f>'Loan Tape (BoE)'!E6</f>
        <v/>
      </c>
      <c r="F5" s="19">
        <f>'Loan Tape (BoE)'!F6</f>
        <v/>
      </c>
      <c r="G5" s="19">
        <f>'Loan Tape (BoE)'!G6</f>
        <v/>
      </c>
      <c r="H5" s="20">
        <f>'Loan Tape (BoE)'!H6/100</f>
        <v/>
      </c>
      <c r="I5" s="17">
        <f>IFERROR(IFS('Loan Tape (BoE)'!I6=1,"House",'Loan Tape (BoE)'!I6=2,"Flat",'Loan Tape (BoE)'!I6=3,"Bungalow",'Loan Tape (BoE)'!I6=4,"Maisonette"),"")</f>
        <v/>
      </c>
      <c r="J5" s="17">
        <f>'Loan Tape (BoE)'!J6</f>
        <v/>
      </c>
      <c r="K5" s="17">
        <f>'Loan Tape (BoE)'!K6</f>
        <v/>
      </c>
      <c r="L5" s="17">
        <f>IFERROR(IFS('Loan Tape (BoE)'!L6=1,"Owner Occupied",'Loan Tape (BoE)'!L6=2,"BTL",'Loan Tape (BoE)'!L6=3,"Second Home",'Loan Tape (BoE)'!L6=4,"Investment"),"")</f>
        <v/>
      </c>
      <c r="M5" s="17">
        <f>IFERROR(IFS('Loan Tape (BoE)'!M6=1,"Purchase",'Loan Tape (BoE)'!M6=2,"Remortgage",OR('Loan Tape (BoE)'!M6=3,'Loan Tape (BoE)'!M6=4),"Cash-out"),"")</f>
        <v/>
      </c>
      <c r="N5" s="17">
        <f>IFERROR(INDEX('FF Adj Parameters'!$A$96:$B$99,MATCH('Loan Tape (BoE)'!R5,INDEX('FF Adj Parameters'!$A$96:$B$99,,1),0),2),"Unknown")</f>
        <v/>
      </c>
      <c r="O5" s="17">
        <f>IF('Loan Tape (BoE)'!O6=1,"Yes","No")</f>
        <v/>
      </c>
      <c r="P5" s="17">
        <f>IF('Loan Tape (BoE)'!P5=1,"Yes",IF('Loan Tape (BoE)'!P5=0,"No",""))</f>
        <v/>
      </c>
      <c r="Q5" s="17">
        <f>IF('Loan Tape (BoE)'!Q5=1,"Yes",IF('Loan Tape (BoE)'!Q5=0,"No",""))</f>
        <v/>
      </c>
      <c r="R5" s="18">
        <f>IF('Loan Tape (BoE)'!R5=1,"Yes",IF('Loan Tape (BoE)'!R5=0,"No",""))</f>
        <v/>
      </c>
      <c r="S5" s="18">
        <f>IF('Loan Tape (BoE)'!S5=1,"Yes",IF('Loan Tape (BoE)'!S5=0,"No",""))</f>
        <v/>
      </c>
      <c r="T5" s="17">
        <f>IF('Loan Tape (BoE)'!T5=1,"Yes",IF('Loan Tape (BoE)'!T5=0,"No",""))</f>
        <v/>
      </c>
      <c r="U5" s="18">
        <f>R5+S5</f>
        <v/>
      </c>
      <c r="V5" s="17">
        <f>IFERROR(IFS('Loan Tape (BoE)'!U6=1,"Employed",'Loan Tape (BoE)'!U6=2,"Self-Employed",'Loan Tape (BoE)'!U6=3,"Unemployed",'Loan Tape (BoE)'!U6=4,"Retired"),"")</f>
        <v/>
      </c>
      <c r="W5" s="17">
        <f>IFERROR(IFS('Loan Tape (BoE)'!V6=1,"Employed",'Loan Tape (BoE)'!V6=2,"Self-Employed",'Loan Tape (BoE)'!V6=3,"Unemployed",'Loan Tape (BoE)'!V6=4,"Retired"),"")</f>
        <v/>
      </c>
      <c r="X5" s="17">
        <f>IF(OR(V5="Self-Employed",W5="Self-Employed"),"Yes","No")</f>
        <v/>
      </c>
      <c r="Y5" s="17">
        <f>'Loan Tape (BoE)'!W6</f>
        <v/>
      </c>
      <c r="Z5" s="17">
        <f>'Loan Tape (BoE)'!X6</f>
        <v/>
      </c>
      <c r="AA5" s="17">
        <f>IF(T5=1,Y5,MIN(Y5,Z5))</f>
        <v/>
      </c>
      <c r="AB5" s="17">
        <f>'Loan Tape (BoE)'!Y6</f>
        <v/>
      </c>
      <c r="AC5" s="17">
        <f>'Loan Tape (BoE)'!Z6</f>
        <v/>
      </c>
      <c r="AD5" s="17">
        <f>AB5+AC5</f>
        <v/>
      </c>
      <c r="AE5" s="18">
        <f>'Loan Tape (BoE)'!AA6</f>
        <v/>
      </c>
      <c r="AF5" s="18">
        <f>'Loan Tape (BoE)'!AB6</f>
        <v/>
      </c>
      <c r="AG5" s="18">
        <f>AE5+AF5</f>
        <v/>
      </c>
      <c r="AH5" s="19">
        <f>MAX('Loan Tape (BoE)'!AC6,'Loan Tape (BoE)'!AD6)</f>
        <v/>
      </c>
      <c r="AI5" s="18">
        <f>'Loan Tape (BoE)'!AE6</f>
        <v/>
      </c>
      <c r="AJ5" s="18">
        <f>B5*H5/12</f>
        <v/>
      </c>
      <c r="AK5" s="21">
        <f>IF(AJ5&gt;0,AI5/AJ5,0)</f>
        <v/>
      </c>
      <c r="AL5" s="17">
        <f>IF('Loan Tape (BoE)'!AF6=1,"Yes","No")</f>
        <v/>
      </c>
      <c r="AM5" s="17">
        <f>IF('Loan Tape (BoE)'!AH6=1,"Yes","No")</f>
        <v/>
      </c>
      <c r="AN5" s="17">
        <f>IF('Loan Tape (BoE)'!AI6=1,"Yes","No")</f>
        <v/>
      </c>
      <c r="AO5" s="17">
        <f>IF('Loan Tape (BoE)'!AJ6=1,"Yes","No")</f>
        <v/>
      </c>
      <c r="AP5" s="17">
        <f>IF(OR('Loan Tape (BoE)'!AQ5=1,'Loan Tape (BoE)'!AQ5=2),"Yes",IF('Loan Tape (BoE)'!AQ5=0,"No",""))</f>
        <v/>
      </c>
      <c r="AQ5" s="17">
        <f>IF('Loan Tape (BoE)'!BV49_5&lt;&gt;"",'Loan Tape (BoE)'!BV49_5,"")</f>
        <v/>
      </c>
      <c r="AR5" s="17">
        <f>IF('Loan Tape (BoE)'!BV50_5&lt;&gt;"",'Loan Tape (BoE)'!BV50_5,"")</f>
        <v/>
      </c>
      <c r="AS5" s="17">
        <f>IFERROR(INDEX('FF Adj Parameters'!$A$103:$B$105,MATCH('Loan Tape (BoE)'!P5,INDEX('FF Adj Parameters'!$A$103:$B$105,,1),0),2),"Unknown")</f>
        <v/>
      </c>
      <c r="AT5" s="17">
        <f>IF(N5="Interest Only",M5*O5/12,IF(AND(O5&gt;0,ISNUMBER(O5),ISNUMBER(M5)),ABS(PMT(O5/12,AU5,-M5)),0))</f>
        <v/>
      </c>
      <c r="AU5" s="17">
        <f>IF(ISNUMBER(L5),MAX(0,(L5-'Control Panel'!$B$10)*12/365.25),0)</f>
        <v/>
      </c>
      <c r="AV5" s="17">
        <f>IF(ISNUMBER(L5),IF(L5&gt;'Control Panel'!$B$10,"Valid","Past Maturity"),"No Date")</f>
        <v/>
      </c>
      <c r="AW5" s="17">
        <f>IF(ISNUMBER(K5),MAX(0,('Control Panel'!$B$10-K5)*12/365.25),0)</f>
        <v/>
      </c>
    </row>
    <row r="6">
      <c r="A6" s="17">
        <f>'Loan Tape (BoE)'!A7</f>
        <v/>
      </c>
      <c r="B6" s="18">
        <f>IFERROR(INDEX('FF Adj Parameters'!$A$89:$B$92,MATCH('Loan Tape (BoE)'!C6,INDEX('FF Adj Parameters'!$A$89:$B$92,,1),0),2),"Unknown")</f>
        <v/>
      </c>
      <c r="C6" s="18">
        <f>'Loan Tape (BoE)'!C7</f>
        <v/>
      </c>
      <c r="D6" s="18">
        <f>'Loan Tape (BoE)'!D7</f>
        <v/>
      </c>
      <c r="E6" s="18">
        <f>'Loan Tape (BoE)'!E7</f>
        <v/>
      </c>
      <c r="F6" s="19">
        <f>'Loan Tape (BoE)'!F7</f>
        <v/>
      </c>
      <c r="G6" s="19">
        <f>'Loan Tape (BoE)'!G7</f>
        <v/>
      </c>
      <c r="H6" s="20">
        <f>'Loan Tape (BoE)'!H7/100</f>
        <v/>
      </c>
      <c r="I6" s="17">
        <f>IFERROR(IFS('Loan Tape (BoE)'!I7=1,"House",'Loan Tape (BoE)'!I7=2,"Flat",'Loan Tape (BoE)'!I7=3,"Bungalow",'Loan Tape (BoE)'!I7=4,"Maisonette"),"")</f>
        <v/>
      </c>
      <c r="J6" s="17">
        <f>'Loan Tape (BoE)'!J7</f>
        <v/>
      </c>
      <c r="K6" s="17">
        <f>'Loan Tape (BoE)'!K7</f>
        <v/>
      </c>
      <c r="L6" s="17">
        <f>IFERROR(IFS('Loan Tape (BoE)'!L7=1,"Owner Occupied",'Loan Tape (BoE)'!L7=2,"BTL",'Loan Tape (BoE)'!L7=3,"Second Home",'Loan Tape (BoE)'!L7=4,"Investment"),"")</f>
        <v/>
      </c>
      <c r="M6" s="17">
        <f>IFERROR(IFS('Loan Tape (BoE)'!M7=1,"Purchase",'Loan Tape (BoE)'!M7=2,"Remortgage",OR('Loan Tape (BoE)'!M7=3,'Loan Tape (BoE)'!M7=4),"Cash-out"),"")</f>
        <v/>
      </c>
      <c r="N6" s="17">
        <f>IFERROR(INDEX('FF Adj Parameters'!$A$96:$B$99,MATCH('Loan Tape (BoE)'!R6,INDEX('FF Adj Parameters'!$A$96:$B$99,,1),0),2),"Unknown")</f>
        <v/>
      </c>
      <c r="O6" s="17">
        <f>IF('Loan Tape (BoE)'!O7=1,"Yes","No")</f>
        <v/>
      </c>
      <c r="P6" s="17">
        <f>IF('Loan Tape (BoE)'!P6=1,"Yes",IF('Loan Tape (BoE)'!P6=0,"No",""))</f>
        <v/>
      </c>
      <c r="Q6" s="17">
        <f>IF('Loan Tape (BoE)'!Q6=1,"Yes",IF('Loan Tape (BoE)'!Q6=0,"No",""))</f>
        <v/>
      </c>
      <c r="R6" s="18">
        <f>IF('Loan Tape (BoE)'!R6=1,"Yes",IF('Loan Tape (BoE)'!R6=0,"No",""))</f>
        <v/>
      </c>
      <c r="S6" s="18">
        <f>IF('Loan Tape (BoE)'!S6=1,"Yes",IF('Loan Tape (BoE)'!S6=0,"No",""))</f>
        <v/>
      </c>
      <c r="T6" s="17">
        <f>IF('Loan Tape (BoE)'!T6=1,"Yes",IF('Loan Tape (BoE)'!T6=0,"No",""))</f>
        <v/>
      </c>
      <c r="U6" s="18">
        <f>R6+S6</f>
        <v/>
      </c>
      <c r="V6" s="17">
        <f>IFERROR(IFS('Loan Tape (BoE)'!U7=1,"Employed",'Loan Tape (BoE)'!U7=2,"Self-Employed",'Loan Tape (BoE)'!U7=3,"Unemployed",'Loan Tape (BoE)'!U7=4,"Retired"),"")</f>
        <v/>
      </c>
      <c r="W6" s="17">
        <f>IFERROR(IFS('Loan Tape (BoE)'!V7=1,"Employed",'Loan Tape (BoE)'!V7=2,"Self-Employed",'Loan Tape (BoE)'!V7=3,"Unemployed",'Loan Tape (BoE)'!V7=4,"Retired"),"")</f>
        <v/>
      </c>
      <c r="X6" s="17">
        <f>IF(OR(V6="Self-Employed",W6="Self-Employed"),"Yes","No")</f>
        <v/>
      </c>
      <c r="Y6" s="17">
        <f>'Loan Tape (BoE)'!W7</f>
        <v/>
      </c>
      <c r="Z6" s="17">
        <f>'Loan Tape (BoE)'!X7</f>
        <v/>
      </c>
      <c r="AA6" s="17">
        <f>IF(T6=1,Y6,MIN(Y6,Z6))</f>
        <v/>
      </c>
      <c r="AB6" s="17">
        <f>'Loan Tape (BoE)'!Y7</f>
        <v/>
      </c>
      <c r="AC6" s="17">
        <f>'Loan Tape (BoE)'!Z7</f>
        <v/>
      </c>
      <c r="AD6" s="17">
        <f>AB6+AC6</f>
        <v/>
      </c>
      <c r="AE6" s="18">
        <f>'Loan Tape (BoE)'!AA7</f>
        <v/>
      </c>
      <c r="AF6" s="18">
        <f>'Loan Tape (BoE)'!AB7</f>
        <v/>
      </c>
      <c r="AG6" s="18">
        <f>AE6+AF6</f>
        <v/>
      </c>
      <c r="AH6" s="19">
        <f>MAX('Loan Tape (BoE)'!AC7,'Loan Tape (BoE)'!AD7)</f>
        <v/>
      </c>
      <c r="AI6" s="18">
        <f>'Loan Tape (BoE)'!AE7</f>
        <v/>
      </c>
      <c r="AJ6" s="18">
        <f>B6*H6/12</f>
        <v/>
      </c>
      <c r="AK6" s="21">
        <f>IF(AJ6&gt;0,AI6/AJ6,0)</f>
        <v/>
      </c>
      <c r="AL6" s="17">
        <f>IF('Loan Tape (BoE)'!AF7=1,"Yes","No")</f>
        <v/>
      </c>
      <c r="AM6" s="17">
        <f>IF('Loan Tape (BoE)'!AH7=1,"Yes","No")</f>
        <v/>
      </c>
      <c r="AN6" s="17">
        <f>IF('Loan Tape (BoE)'!AI7=1,"Yes","No")</f>
        <v/>
      </c>
      <c r="AO6" s="17">
        <f>IF('Loan Tape (BoE)'!AJ7=1,"Yes","No")</f>
        <v/>
      </c>
      <c r="AP6" s="17">
        <f>IF(OR('Loan Tape (BoE)'!AQ6=1,'Loan Tape (BoE)'!AQ6=2),"Yes",IF('Loan Tape (BoE)'!AQ6=0,"No",""))</f>
        <v/>
      </c>
      <c r="AQ6" s="17">
        <f>IF('Loan Tape (BoE)'!BV49_6&lt;&gt;"",'Loan Tape (BoE)'!BV49_6,"")</f>
        <v/>
      </c>
      <c r="AR6" s="17">
        <f>IF('Loan Tape (BoE)'!BV60_6&lt;&gt;"",'Loan Tape (BoE)'!BV50_6,"")</f>
        <v/>
      </c>
      <c r="AS6" s="17">
        <f>IFERROR(INDEX('FF Adj Parameters'!$A$103:$B$106,MATCH('Loan Tape (BoE)'!P6,INDEX('FF Adj Parameters'!$A$103:$B$106,,1),0),2),"Unknown")</f>
        <v/>
      </c>
      <c r="AT6" s="17">
        <f>IF(N6="Interest Only",M5*O5/12,IF(AND(O5&gt;0,ISNUMBER(O5),ISNUMBER(M5)),ABS(PMT(O5/12,AU5,-M5)),0))</f>
        <v/>
      </c>
      <c r="AU6" s="17">
        <f>IF(ISNUMBER(L6),MAX(0,(L5-'Control Panel'!$B$10)*12/365.25),0)</f>
        <v/>
      </c>
      <c r="AV6" s="17">
        <f>IF(ISNUMBER(L6),IF(L5&gt;'Control Panel'!$B$10,"Valid","Past Maturity"),"No Date")</f>
        <v/>
      </c>
      <c r="AW6" s="17">
        <f>IF(ISNUMBER(K6),MAX(0,('Control Panel'!$B$10-K5)*12/365.25),0)</f>
        <v/>
      </c>
    </row>
    <row r="7">
      <c r="A7" s="17">
        <f>'Loan Tape (BoE)'!A8</f>
        <v/>
      </c>
      <c r="B7" s="18">
        <f>IFERROR(INDEX('FF Adj Parameters'!$A$89:$B$92,MATCH('Loan Tape (BoE)'!C7,INDEX('FF Adj Parameters'!$A$89:$B$92,,1),0),2),"Unknown")</f>
        <v/>
      </c>
      <c r="C7" s="18">
        <f>'Loan Tape (BoE)'!C8</f>
        <v/>
      </c>
      <c r="D7" s="18">
        <f>'Loan Tape (BoE)'!D8</f>
        <v/>
      </c>
      <c r="E7" s="18">
        <f>'Loan Tape (BoE)'!E8</f>
        <v/>
      </c>
      <c r="F7" s="19">
        <f>'Loan Tape (BoE)'!F8</f>
        <v/>
      </c>
      <c r="G7" s="19">
        <f>'Loan Tape (BoE)'!G8</f>
        <v/>
      </c>
      <c r="H7" s="20">
        <f>'Loan Tape (BoE)'!H8/100</f>
        <v/>
      </c>
      <c r="I7" s="17">
        <f>IFERROR(IFS('Loan Tape (BoE)'!I8=1,"House",'Loan Tape (BoE)'!I8=2,"Flat",'Loan Tape (BoE)'!I8=3,"Bungalow",'Loan Tape (BoE)'!I8=4,"Maisonette"),"")</f>
        <v/>
      </c>
      <c r="J7" s="17">
        <f>'Loan Tape (BoE)'!J8</f>
        <v/>
      </c>
      <c r="K7" s="17">
        <f>'Loan Tape (BoE)'!K8</f>
        <v/>
      </c>
      <c r="L7" s="17">
        <f>IFERROR(IFS('Loan Tape (BoE)'!L8=1,"Owner Occupied",'Loan Tape (BoE)'!L8=2,"BTL",'Loan Tape (BoE)'!L8=3,"Second Home",'Loan Tape (BoE)'!L8=4,"Investment"),"")</f>
        <v/>
      </c>
      <c r="M7" s="17">
        <f>IFERROR(IFS('Loan Tape (BoE)'!M8=1,"Purchase",'Loan Tape (BoE)'!M8=2,"Remortgage",OR('Loan Tape (BoE)'!M8=3,'Loan Tape (BoE)'!M8=4),"Cash-out"),"")</f>
        <v/>
      </c>
      <c r="N7" s="17">
        <f>IFERROR(INDEX('FF Adj Parameters'!$A$96:$B$99,MATCH('Loan Tape (BoE)'!R7,INDEX('FF Adj Parameters'!$A$96:$B$99,,1),0),2),"Unknown")</f>
        <v/>
      </c>
      <c r="O7" s="17">
        <f>IF('Loan Tape (BoE)'!O8=1,"Yes","No")</f>
        <v/>
      </c>
      <c r="P7" s="17">
        <f>IF('Loan Tape (BoE)'!P7=1,"Yes",IF('Loan Tape (BoE)'!P7=0,"No",""))</f>
        <v/>
      </c>
      <c r="Q7" s="17">
        <f>IF('Loan Tape (BoE)'!Q7=1,"Yes",IF('Loan Tape (BoE)'!Q7=0,"No",""))</f>
        <v/>
      </c>
      <c r="R7" s="18">
        <f>IF('Loan Tape (BoE)'!R7=1,"Yes",IF('Loan Tape (BoE)'!R7=0,"No",""))</f>
        <v/>
      </c>
      <c r="S7" s="18">
        <f>IF('Loan Tape (BoE)'!S7=1,"Yes",IF('Loan Tape (BoE)'!S7=0,"No",""))</f>
        <v/>
      </c>
      <c r="T7" s="17">
        <f>IF('Loan Tape (BoE)'!T7=1,"Yes",IF('Loan Tape (BoE)'!T7=0,"No",""))</f>
        <v/>
      </c>
      <c r="U7" s="18">
        <f>R7+S7</f>
        <v/>
      </c>
      <c r="V7" s="17">
        <f>IFERROR(IFS('Loan Tape (BoE)'!U8=1,"Employed",'Loan Tape (BoE)'!U8=2,"Self-Employed",'Loan Tape (BoE)'!U8=3,"Unemployed",'Loan Tape (BoE)'!U8=4,"Retired"),"")</f>
        <v/>
      </c>
      <c r="W7" s="17">
        <f>IFERROR(IFS('Loan Tape (BoE)'!V8=1,"Employed",'Loan Tape (BoE)'!V8=2,"Self-Employed",'Loan Tape (BoE)'!V8=3,"Unemployed",'Loan Tape (BoE)'!V8=4,"Retired"),"")</f>
        <v/>
      </c>
      <c r="X7" s="17">
        <f>IF(OR(V7="Self-Employed",W7="Self-Employed"),"Yes","No")</f>
        <v/>
      </c>
      <c r="Y7" s="17">
        <f>'Loan Tape (BoE)'!W8</f>
        <v/>
      </c>
      <c r="Z7" s="17">
        <f>'Loan Tape (BoE)'!X8</f>
        <v/>
      </c>
      <c r="AA7" s="17">
        <f>IF(T7=1,Y7,MIN(Y7,Z7))</f>
        <v/>
      </c>
      <c r="AB7" s="17">
        <f>'Loan Tape (BoE)'!Y8</f>
        <v/>
      </c>
      <c r="AC7" s="17">
        <f>'Loan Tape (BoE)'!Z8</f>
        <v/>
      </c>
      <c r="AD7" s="17">
        <f>AB7+AC7</f>
        <v/>
      </c>
      <c r="AE7" s="18">
        <f>'Loan Tape (BoE)'!AA8</f>
        <v/>
      </c>
      <c r="AF7" s="18">
        <f>'Loan Tape (BoE)'!AB8</f>
        <v/>
      </c>
      <c r="AG7" s="18">
        <f>AE7+AF7</f>
        <v/>
      </c>
      <c r="AH7" s="19">
        <f>MAX('Loan Tape (BoE)'!AC8,'Loan Tape (BoE)'!AD8)</f>
        <v/>
      </c>
      <c r="AI7" s="18">
        <f>'Loan Tape (BoE)'!AE8</f>
        <v/>
      </c>
      <c r="AJ7" s="18">
        <f>B7*H7/12</f>
        <v/>
      </c>
      <c r="AK7" s="21">
        <f>IF(AJ7&gt;0,AI7/AJ7,0)</f>
        <v/>
      </c>
      <c r="AL7" s="17">
        <f>IF('Loan Tape (BoE)'!AF8=1,"Yes","No")</f>
        <v/>
      </c>
      <c r="AM7" s="17">
        <f>IF('Loan Tape (BoE)'!AH8=1,"Yes","No")</f>
        <v/>
      </c>
      <c r="AN7" s="17">
        <f>IF('Loan Tape (BoE)'!AI8=1,"Yes","No")</f>
        <v/>
      </c>
      <c r="AO7" s="17">
        <f>IF('Loan Tape (BoE)'!AJ8=1,"Yes","No")</f>
        <v/>
      </c>
      <c r="AP7" s="17">
        <f>IF(OR('Loan Tape (BoE)'!AQ7=1,'Loan Tape (BoE)'!AQ7=2),"Yes",IF('Loan Tape (BoE)'!AQ7=0,"No",""))</f>
        <v/>
      </c>
      <c r="AQ7" s="17">
        <f>IF('Loan Tape (BoE)'!BV49_7&lt;&gt;"",'Loan Tape (BoE)'!BV49_7,"")</f>
        <v/>
      </c>
      <c r="AR7" s="17">
        <f>IF('Loan Tape (BoE)'!BV70_7&lt;&gt;"",'Loan Tape (BoE)'!BV50_7,"")</f>
        <v/>
      </c>
      <c r="AS7" s="17">
        <f>IFERROR(INDEX('FF Adj Parameters'!$A$103:$B$107,MATCH('Loan Tape (BoE)'!P7,INDEX('FF Adj Parameters'!$A$103:$B$107,,1),0),2),"Unknown")</f>
        <v/>
      </c>
      <c r="AT7" s="17">
        <f>IF(N7="Interest Only",M5*O5/12,IF(AND(O5&gt;0,ISNUMBER(O5),ISNUMBER(M5)),ABS(PMT(O5/12,AU5,-M5)),0))</f>
        <v/>
      </c>
      <c r="AU7" s="17">
        <f>IF(ISNUMBER(L7),MAX(0,(L5-'Control Panel'!$B$10)*12/365.25),0)</f>
        <v/>
      </c>
      <c r="AV7" s="17">
        <f>IF(ISNUMBER(L7),IF(L5&gt;'Control Panel'!$B$10,"Valid","Past Maturity"),"No Date")</f>
        <v/>
      </c>
      <c r="AW7" s="17">
        <f>IF(ISNUMBER(K7),MAX(0,('Control Panel'!$B$10-K5)*12/365.25),0)</f>
        <v/>
      </c>
    </row>
    <row r="8">
      <c r="A8" s="17">
        <f>'Loan Tape (BoE)'!A9</f>
        <v/>
      </c>
      <c r="B8" s="18">
        <f>IFERROR(INDEX('FF Adj Parameters'!$A$89:$B$92,MATCH('Loan Tape (BoE)'!C8,INDEX('FF Adj Parameters'!$A$89:$B$92,,1),0),2),"Unknown")</f>
        <v/>
      </c>
      <c r="C8" s="18">
        <f>'Loan Tape (BoE)'!C9</f>
        <v/>
      </c>
      <c r="D8" s="18">
        <f>'Loan Tape (BoE)'!D9</f>
        <v/>
      </c>
      <c r="E8" s="18">
        <f>'Loan Tape (BoE)'!E9</f>
        <v/>
      </c>
      <c r="F8" s="19">
        <f>'Loan Tape (BoE)'!F9</f>
        <v/>
      </c>
      <c r="G8" s="19">
        <f>'Loan Tape (BoE)'!G9</f>
        <v/>
      </c>
      <c r="H8" s="20">
        <f>'Loan Tape (BoE)'!H9/100</f>
        <v/>
      </c>
      <c r="I8" s="17">
        <f>IFERROR(IFS('Loan Tape (BoE)'!I9=1,"House",'Loan Tape (BoE)'!I9=2,"Flat",'Loan Tape (BoE)'!I9=3,"Bungalow",'Loan Tape (BoE)'!I9=4,"Maisonette"),"")</f>
        <v/>
      </c>
      <c r="J8" s="17">
        <f>'Loan Tape (BoE)'!J9</f>
        <v/>
      </c>
      <c r="K8" s="17">
        <f>'Loan Tape (BoE)'!K9</f>
        <v/>
      </c>
      <c r="L8" s="17">
        <f>IFERROR(IFS('Loan Tape (BoE)'!L9=1,"Owner Occupied",'Loan Tape (BoE)'!L9=2,"BTL",'Loan Tape (BoE)'!L9=3,"Second Home",'Loan Tape (BoE)'!L9=4,"Investment"),"")</f>
        <v/>
      </c>
      <c r="M8" s="17">
        <f>IFERROR(IFS('Loan Tape (BoE)'!M9=1,"Purchase",'Loan Tape (BoE)'!M9=2,"Remortgage",OR('Loan Tape (BoE)'!M9=3,'Loan Tape (BoE)'!M9=4),"Cash-out"),"")</f>
        <v/>
      </c>
      <c r="N8" s="17">
        <f>IFERROR(INDEX('FF Adj Parameters'!$A$96:$B$99,MATCH('Loan Tape (BoE)'!R8,INDEX('FF Adj Parameters'!$A$96:$B$99,,1),0),2),"Unknown")</f>
        <v/>
      </c>
      <c r="O8" s="17">
        <f>IF('Loan Tape (BoE)'!O9=1,"Yes","No")</f>
        <v/>
      </c>
      <c r="P8" s="17">
        <f>IF('Loan Tape (BoE)'!P8=1,"Yes",IF('Loan Tape (BoE)'!P8=0,"No",""))</f>
        <v/>
      </c>
      <c r="Q8" s="17">
        <f>IF('Loan Tape (BoE)'!Q8=1,"Yes",IF('Loan Tape (BoE)'!Q8=0,"No",""))</f>
        <v/>
      </c>
      <c r="R8" s="18">
        <f>IF('Loan Tape (BoE)'!R8=1,"Yes",IF('Loan Tape (BoE)'!R8=0,"No",""))</f>
        <v/>
      </c>
      <c r="S8" s="18">
        <f>IF('Loan Tape (BoE)'!S8=1,"Yes",IF('Loan Tape (BoE)'!S8=0,"No",""))</f>
        <v/>
      </c>
      <c r="T8" s="17">
        <f>IF('Loan Tape (BoE)'!T8=1,"Yes",IF('Loan Tape (BoE)'!T8=0,"No",""))</f>
        <v/>
      </c>
      <c r="U8" s="18">
        <f>R8+S8</f>
        <v/>
      </c>
      <c r="V8" s="17">
        <f>IFERROR(IFS('Loan Tape (BoE)'!U9=1,"Employed",'Loan Tape (BoE)'!U9=2,"Self-Employed",'Loan Tape (BoE)'!U9=3,"Unemployed",'Loan Tape (BoE)'!U9=4,"Retired"),"")</f>
        <v/>
      </c>
      <c r="W8" s="17">
        <f>IFERROR(IFS('Loan Tape (BoE)'!V9=1,"Employed",'Loan Tape (BoE)'!V9=2,"Self-Employed",'Loan Tape (BoE)'!V9=3,"Unemployed",'Loan Tape (BoE)'!V9=4,"Retired"),"")</f>
        <v/>
      </c>
      <c r="X8" s="17">
        <f>IF(OR(V8="Self-Employed",W8="Self-Employed"),"Yes","No")</f>
        <v/>
      </c>
      <c r="Y8" s="17">
        <f>'Loan Tape (BoE)'!W9</f>
        <v/>
      </c>
      <c r="Z8" s="17">
        <f>'Loan Tape (BoE)'!X9</f>
        <v/>
      </c>
      <c r="AA8" s="17">
        <f>IF(T8=1,Y8,MIN(Y8,Z8))</f>
        <v/>
      </c>
      <c r="AB8" s="17">
        <f>'Loan Tape (BoE)'!Y9</f>
        <v/>
      </c>
      <c r="AC8" s="17">
        <f>'Loan Tape (BoE)'!Z9</f>
        <v/>
      </c>
      <c r="AD8" s="17">
        <f>AB8+AC8</f>
        <v/>
      </c>
      <c r="AE8" s="18">
        <f>'Loan Tape (BoE)'!AA9</f>
        <v/>
      </c>
      <c r="AF8" s="18">
        <f>'Loan Tape (BoE)'!AB9</f>
        <v/>
      </c>
      <c r="AG8" s="18">
        <f>AE8+AF8</f>
        <v/>
      </c>
      <c r="AH8" s="19">
        <f>MAX('Loan Tape (BoE)'!AC9,'Loan Tape (BoE)'!AD9)</f>
        <v/>
      </c>
      <c r="AI8" s="18">
        <f>'Loan Tape (BoE)'!AE9</f>
        <v/>
      </c>
      <c r="AJ8" s="18">
        <f>B8*H8/12</f>
        <v/>
      </c>
      <c r="AK8" s="21">
        <f>IF(AJ8&gt;0,AI8/AJ8,0)</f>
        <v/>
      </c>
      <c r="AL8" s="17">
        <f>IF('Loan Tape (BoE)'!AF9=1,"Yes","No")</f>
        <v/>
      </c>
      <c r="AM8" s="17">
        <f>IF('Loan Tape (BoE)'!AH9=1,"Yes","No")</f>
        <v/>
      </c>
      <c r="AN8" s="17">
        <f>IF('Loan Tape (BoE)'!AI9=1,"Yes","No")</f>
        <v/>
      </c>
      <c r="AO8" s="17">
        <f>IF('Loan Tape (BoE)'!AJ9=1,"Yes","No")</f>
        <v/>
      </c>
      <c r="AP8" s="17">
        <f>IF(OR('Loan Tape (BoE)'!AQ8=1,'Loan Tape (BoE)'!AQ8=2),"Yes",IF('Loan Tape (BoE)'!AQ8=0,"No",""))</f>
        <v/>
      </c>
      <c r="AQ8" s="17">
        <f>IF('Loan Tape (BoE)'!BV49_8&lt;&gt;"",'Loan Tape (BoE)'!BV49_8,"")</f>
        <v/>
      </c>
      <c r="AR8" s="17">
        <f>IF('Loan Tape (BoE)'!BV80_8&lt;&gt;"",'Loan Tape (BoE)'!BV50_8,"")</f>
        <v/>
      </c>
      <c r="AS8" s="17">
        <f>IFERROR(INDEX('FF Adj Parameters'!$A$103:$B$108,MATCH('Loan Tape (BoE)'!P8,INDEX('FF Adj Parameters'!$A$103:$B$108,,1),0),2),"Unknown")</f>
        <v/>
      </c>
      <c r="AT8" s="17">
        <f>IF(N8="Interest Only",M5*O5/12,IF(AND(O5&gt;0,ISNUMBER(O5),ISNUMBER(M5)),ABS(PMT(O5/12,AU5,-M5)),0))</f>
        <v/>
      </c>
      <c r="AU8" s="17">
        <f>IF(ISNUMBER(L8),MAX(0,(L5-'Control Panel'!$B$10)*12/365.25),0)</f>
        <v/>
      </c>
      <c r="AV8" s="17">
        <f>IF(ISNUMBER(L8),IF(L5&gt;'Control Panel'!$B$10,"Valid","Past Maturity"),"No Date")</f>
        <v/>
      </c>
      <c r="AW8" s="17">
        <f>IF(ISNUMBER(K8),MAX(0,('Control Panel'!$B$10-K5)*12/365.25),0)</f>
        <v/>
      </c>
    </row>
    <row r="9">
      <c r="A9" s="17">
        <f>'Loan Tape (BoE)'!A10</f>
        <v/>
      </c>
      <c r="B9" s="18">
        <f>IFERROR(INDEX('FF Adj Parameters'!$A$89:$B$92,MATCH('Loan Tape (BoE)'!C9,INDEX('FF Adj Parameters'!$A$89:$B$92,,1),0),2),"Unknown")</f>
        <v/>
      </c>
      <c r="C9" s="18">
        <f>'Loan Tape (BoE)'!C10</f>
        <v/>
      </c>
      <c r="D9" s="18">
        <f>'Loan Tape (BoE)'!D10</f>
        <v/>
      </c>
      <c r="E9" s="18">
        <f>'Loan Tape (BoE)'!E10</f>
        <v/>
      </c>
      <c r="F9" s="19">
        <f>'Loan Tape (BoE)'!F10</f>
        <v/>
      </c>
      <c r="G9" s="19">
        <f>'Loan Tape (BoE)'!G10</f>
        <v/>
      </c>
      <c r="H9" s="20">
        <f>'Loan Tape (BoE)'!H10/100</f>
        <v/>
      </c>
      <c r="I9" s="17">
        <f>IFERROR(IFS('Loan Tape (BoE)'!I10=1,"House",'Loan Tape (BoE)'!I10=2,"Flat",'Loan Tape (BoE)'!I10=3,"Bungalow",'Loan Tape (BoE)'!I10=4,"Maisonette"),"")</f>
        <v/>
      </c>
      <c r="J9" s="17">
        <f>'Loan Tape (BoE)'!J10</f>
        <v/>
      </c>
      <c r="K9" s="17">
        <f>'Loan Tape (BoE)'!K10</f>
        <v/>
      </c>
      <c r="L9" s="17">
        <f>IFERROR(IFS('Loan Tape (BoE)'!L10=1,"Owner Occupied",'Loan Tape (BoE)'!L10=2,"BTL",'Loan Tape (BoE)'!L10=3,"Second Home",'Loan Tape (BoE)'!L10=4,"Investment"),"")</f>
        <v/>
      </c>
      <c r="M9" s="17">
        <f>IFERROR(IFS('Loan Tape (BoE)'!M10=1,"Purchase",'Loan Tape (BoE)'!M10=2,"Remortgage",OR('Loan Tape (BoE)'!M10=3,'Loan Tape (BoE)'!M10=4),"Cash-out"),"")</f>
        <v/>
      </c>
      <c r="N9" s="17">
        <f>IFERROR(INDEX('FF Adj Parameters'!$A$96:$B$99,MATCH('Loan Tape (BoE)'!R9,INDEX('FF Adj Parameters'!$A$96:$B$99,,1),0),2),"Unknown")</f>
        <v/>
      </c>
      <c r="O9" s="17">
        <f>IF('Loan Tape (BoE)'!O10=1,"Yes","No")</f>
        <v/>
      </c>
      <c r="P9" s="17">
        <f>IF('Loan Tape (BoE)'!P9=1,"Yes",IF('Loan Tape (BoE)'!P9=0,"No",""))</f>
        <v/>
      </c>
      <c r="Q9" s="17">
        <f>IF('Loan Tape (BoE)'!Q9=1,"Yes",IF('Loan Tape (BoE)'!Q9=0,"No",""))</f>
        <v/>
      </c>
      <c r="R9" s="18">
        <f>IF('Loan Tape (BoE)'!R9=1,"Yes",IF('Loan Tape (BoE)'!R9=0,"No",""))</f>
        <v/>
      </c>
      <c r="S9" s="18">
        <f>IF('Loan Tape (BoE)'!S9=1,"Yes",IF('Loan Tape (BoE)'!S9=0,"No",""))</f>
        <v/>
      </c>
      <c r="T9" s="17">
        <f>IF('Loan Tape (BoE)'!T9=1,"Yes",IF('Loan Tape (BoE)'!T9=0,"No",""))</f>
        <v/>
      </c>
      <c r="U9" s="18">
        <f>R9+S9</f>
        <v/>
      </c>
      <c r="V9" s="17">
        <f>IFERROR(IFS('Loan Tape (BoE)'!U10=1,"Employed",'Loan Tape (BoE)'!U10=2,"Self-Employed",'Loan Tape (BoE)'!U10=3,"Unemployed",'Loan Tape (BoE)'!U10=4,"Retired"),"")</f>
        <v/>
      </c>
      <c r="W9" s="17">
        <f>IFERROR(IFS('Loan Tape (BoE)'!V10=1,"Employed",'Loan Tape (BoE)'!V10=2,"Self-Employed",'Loan Tape (BoE)'!V10=3,"Unemployed",'Loan Tape (BoE)'!V10=4,"Retired"),"")</f>
        <v/>
      </c>
      <c r="X9" s="17">
        <f>IF(OR(V9="Self-Employed",W9="Self-Employed"),"Yes","No")</f>
        <v/>
      </c>
      <c r="Y9" s="17">
        <f>'Loan Tape (BoE)'!W10</f>
        <v/>
      </c>
      <c r="Z9" s="17">
        <f>'Loan Tape (BoE)'!X10</f>
        <v/>
      </c>
      <c r="AA9" s="17">
        <f>IF(T9=1,Y9,MIN(Y9,Z9))</f>
        <v/>
      </c>
      <c r="AB9" s="17">
        <f>'Loan Tape (BoE)'!Y10</f>
        <v/>
      </c>
      <c r="AC9" s="17">
        <f>'Loan Tape (BoE)'!Z10</f>
        <v/>
      </c>
      <c r="AD9" s="17">
        <f>AB9+AC9</f>
        <v/>
      </c>
      <c r="AE9" s="18">
        <f>'Loan Tape (BoE)'!AA10</f>
        <v/>
      </c>
      <c r="AF9" s="18">
        <f>'Loan Tape (BoE)'!AB10</f>
        <v/>
      </c>
      <c r="AG9" s="18">
        <f>AE9+AF9</f>
        <v/>
      </c>
      <c r="AH9" s="19">
        <f>MAX('Loan Tape (BoE)'!AC10,'Loan Tape (BoE)'!AD10)</f>
        <v/>
      </c>
      <c r="AI9" s="18">
        <f>'Loan Tape (BoE)'!AE10</f>
        <v/>
      </c>
      <c r="AJ9" s="18">
        <f>B9*H9/12</f>
        <v/>
      </c>
      <c r="AK9" s="21">
        <f>IF(AJ9&gt;0,AI9/AJ9,0)</f>
        <v/>
      </c>
      <c r="AL9" s="17">
        <f>IF('Loan Tape (BoE)'!AF10=1,"Yes","No")</f>
        <v/>
      </c>
      <c r="AM9" s="17">
        <f>IF('Loan Tape (BoE)'!AH10=1,"Yes","No")</f>
        <v/>
      </c>
      <c r="AN9" s="17">
        <f>IF('Loan Tape (BoE)'!AI10=1,"Yes","No")</f>
        <v/>
      </c>
      <c r="AO9" s="17">
        <f>IF('Loan Tape (BoE)'!AJ10=1,"Yes","No")</f>
        <v/>
      </c>
      <c r="AP9" s="17">
        <f>IF(OR('Loan Tape (BoE)'!AQ9=1,'Loan Tape (BoE)'!AQ9=2),"Yes",IF('Loan Tape (BoE)'!AQ9=0,"No",""))</f>
        <v/>
      </c>
      <c r="AQ9" s="17">
        <f>IF('Loan Tape (BoE)'!BV49_9&lt;&gt;"",'Loan Tape (BoE)'!BV49_9,"")</f>
        <v/>
      </c>
      <c r="AR9" s="17">
        <f>IF('Loan Tape (BoE)'!BV90_9&lt;&gt;"",'Loan Tape (BoE)'!BV50_9,"")</f>
        <v/>
      </c>
      <c r="AS9" s="17">
        <f>IFERROR(INDEX('FF Adj Parameters'!$A$103:$B$109,MATCH('Loan Tape (BoE)'!P9,INDEX('FF Adj Parameters'!$A$103:$B$109,,1),0),2),"Unknown")</f>
        <v/>
      </c>
      <c r="AT9" s="17">
        <f>IF(N9="Interest Only",M5*O5/12,IF(AND(O5&gt;0,ISNUMBER(O5),ISNUMBER(M5)),ABS(PMT(O5/12,AU5,-M5)),0))</f>
        <v/>
      </c>
      <c r="AU9" s="17">
        <f>IF(ISNUMBER(L9),MAX(0,(L5-'Control Panel'!$B$10)*12/365.25),0)</f>
        <v/>
      </c>
      <c r="AV9" s="17">
        <f>IF(ISNUMBER(L9),IF(L5&gt;'Control Panel'!$B$10,"Valid","Past Maturity"),"No Date")</f>
        <v/>
      </c>
      <c r="AW9" s="17">
        <f>IF(ISNUMBER(K9),MAX(0,('Control Panel'!$B$10-K5)*12/365.25),0)</f>
        <v/>
      </c>
    </row>
    <row r="10">
      <c r="A10" s="17">
        <f>'Loan Tape (BoE)'!A11</f>
        <v/>
      </c>
      <c r="B10" s="18">
        <f>IFERROR(INDEX('FF Adj Parameters'!$A$89:$B$92,MATCH('Loan Tape (BoE)'!C10,INDEX('FF Adj Parameters'!$A$89:$B$92,,1),0),2),"Unknown")</f>
        <v/>
      </c>
      <c r="C10" s="18">
        <f>'Loan Tape (BoE)'!C11</f>
        <v/>
      </c>
      <c r="D10" s="18">
        <f>'Loan Tape (BoE)'!D11</f>
        <v/>
      </c>
      <c r="E10" s="18">
        <f>'Loan Tape (BoE)'!E11</f>
        <v/>
      </c>
      <c r="F10" s="19">
        <f>'Loan Tape (BoE)'!F11</f>
        <v/>
      </c>
      <c r="G10" s="19">
        <f>'Loan Tape (BoE)'!G11</f>
        <v/>
      </c>
      <c r="H10" s="20">
        <f>'Loan Tape (BoE)'!H11/100</f>
        <v/>
      </c>
      <c r="I10" s="17">
        <f>IFERROR(IFS('Loan Tape (BoE)'!I11=1,"House",'Loan Tape (BoE)'!I11=2,"Flat",'Loan Tape (BoE)'!I11=3,"Bungalow",'Loan Tape (BoE)'!I11=4,"Maisonette"),"")</f>
        <v/>
      </c>
      <c r="J10" s="17">
        <f>'Loan Tape (BoE)'!J11</f>
        <v/>
      </c>
      <c r="K10" s="17">
        <f>'Loan Tape (BoE)'!K11</f>
        <v/>
      </c>
      <c r="L10" s="17">
        <f>IFERROR(IFS('Loan Tape (BoE)'!L11=1,"Owner Occupied",'Loan Tape (BoE)'!L11=2,"BTL",'Loan Tape (BoE)'!L11=3,"Second Home",'Loan Tape (BoE)'!L11=4,"Investment"),"")</f>
        <v/>
      </c>
      <c r="M10" s="17">
        <f>IFERROR(IFS('Loan Tape (BoE)'!M11=1,"Purchase",'Loan Tape (BoE)'!M11=2,"Remortgage",OR('Loan Tape (BoE)'!M11=3,'Loan Tape (BoE)'!M11=4),"Cash-out"),"")</f>
        <v/>
      </c>
      <c r="N10" s="17">
        <f>IFERROR(INDEX('FF Adj Parameters'!$A$96:$B$99,MATCH('Loan Tape (BoE)'!R10,INDEX('FF Adj Parameters'!$A$96:$B$99,,1),0),2),"Unknown")</f>
        <v/>
      </c>
      <c r="O10" s="17">
        <f>IF('Loan Tape (BoE)'!O11=1,"Yes","No")</f>
        <v/>
      </c>
      <c r="P10" s="17">
        <f>IF('Loan Tape (BoE)'!P10=1,"Yes",IF('Loan Tape (BoE)'!P10=0,"No",""))</f>
        <v/>
      </c>
      <c r="Q10" s="17">
        <f>IF('Loan Tape (BoE)'!Q10=1,"Yes",IF('Loan Tape (BoE)'!Q10=0,"No",""))</f>
        <v/>
      </c>
      <c r="R10" s="18">
        <f>IF('Loan Tape (BoE)'!R10=1,"Yes",IF('Loan Tape (BoE)'!R10=0,"No",""))</f>
        <v/>
      </c>
      <c r="S10" s="18">
        <f>IF('Loan Tape (BoE)'!S10=1,"Yes",IF('Loan Tape (BoE)'!S10=0,"No",""))</f>
        <v/>
      </c>
      <c r="T10" s="17">
        <f>IF('Loan Tape (BoE)'!T10=1,"Yes",IF('Loan Tape (BoE)'!T10=0,"No",""))</f>
        <v/>
      </c>
      <c r="U10" s="18">
        <f>R10+S10</f>
        <v/>
      </c>
      <c r="V10" s="17">
        <f>IFERROR(IFS('Loan Tape (BoE)'!U11=1,"Employed",'Loan Tape (BoE)'!U11=2,"Self-Employed",'Loan Tape (BoE)'!U11=3,"Unemployed",'Loan Tape (BoE)'!U11=4,"Retired"),"")</f>
        <v/>
      </c>
      <c r="W10" s="17">
        <f>IFERROR(IFS('Loan Tape (BoE)'!V11=1,"Employed",'Loan Tape (BoE)'!V11=2,"Self-Employed",'Loan Tape (BoE)'!V11=3,"Unemployed",'Loan Tape (BoE)'!V11=4,"Retired"),"")</f>
        <v/>
      </c>
      <c r="X10" s="17">
        <f>IF(OR(V10="Self-Employed",W10="Self-Employed"),"Yes","No")</f>
        <v/>
      </c>
      <c r="Y10" s="17">
        <f>'Loan Tape (BoE)'!W11</f>
        <v/>
      </c>
      <c r="Z10" s="17">
        <f>'Loan Tape (BoE)'!X11</f>
        <v/>
      </c>
      <c r="AA10" s="17">
        <f>IF(T10=1,Y10,MIN(Y10,Z10))</f>
        <v/>
      </c>
      <c r="AB10" s="17">
        <f>'Loan Tape (BoE)'!Y11</f>
        <v/>
      </c>
      <c r="AC10" s="17">
        <f>'Loan Tape (BoE)'!Z11</f>
        <v/>
      </c>
      <c r="AD10" s="17">
        <f>AB10+AC10</f>
        <v/>
      </c>
      <c r="AE10" s="18">
        <f>'Loan Tape (BoE)'!AA11</f>
        <v/>
      </c>
      <c r="AF10" s="18">
        <f>'Loan Tape (BoE)'!AB11</f>
        <v/>
      </c>
      <c r="AG10" s="18">
        <f>AE10+AF10</f>
        <v/>
      </c>
      <c r="AH10" s="19">
        <f>MAX('Loan Tape (BoE)'!AC11,'Loan Tape (BoE)'!AD11)</f>
        <v/>
      </c>
      <c r="AI10" s="18">
        <f>'Loan Tape (BoE)'!AE11</f>
        <v/>
      </c>
      <c r="AJ10" s="18">
        <f>B10*H10/12</f>
        <v/>
      </c>
      <c r="AK10" s="21">
        <f>IF(AJ10&gt;0,AI10/AJ10,0)</f>
        <v/>
      </c>
      <c r="AL10" s="17">
        <f>IF('Loan Tape (BoE)'!AF11=1,"Yes","No")</f>
        <v/>
      </c>
      <c r="AM10" s="17">
        <f>IF('Loan Tape (BoE)'!AH11=1,"Yes","No")</f>
        <v/>
      </c>
      <c r="AN10" s="17">
        <f>IF('Loan Tape (BoE)'!AI11=1,"Yes","No")</f>
        <v/>
      </c>
      <c r="AO10" s="17">
        <f>IF('Loan Tape (BoE)'!AJ11=1,"Yes","No")</f>
        <v/>
      </c>
      <c r="AP10" s="17">
        <f>IF(OR('Loan Tape (BoE)'!AQ10=1,'Loan Tape (BoE)'!AQ10=2),"Yes",IF('Loan Tape (BoE)'!AQ10=0,"No",""))</f>
        <v/>
      </c>
      <c r="AQ10" s="17">
        <f>IF('Loan Tape (BoE)'!BV49_10&lt;&gt;"",'Loan Tape (BoE)'!BV49_10,"")</f>
        <v/>
      </c>
      <c r="AR10" s="17">
        <f>IF('Loan Tape (BoE)'!BV100_10&lt;&gt;"",'Loan Tape (BoE)'!BV50_10,"")</f>
        <v/>
      </c>
      <c r="AS10" s="17">
        <f>IFERROR(INDEX('FF Adj Parameters'!$A$103:$B$1010,MATCH('Loan Tape (BoE)'!P10,INDEX('FF Adj Parameters'!$A$103:$B$1010,,1),0),2),"Unknown")</f>
        <v/>
      </c>
      <c r="AT10" s="17">
        <f>IF(N10="Interest Only",M5*O5/12,IF(AND(O5&gt;0,ISNUMBER(O5),ISNUMBER(M5)),ABS(PMT(O5/12,AU5,-M5)),0))</f>
        <v/>
      </c>
      <c r="AU10" s="17">
        <f>IF(ISNUMBER(L10),MAX(0,(L5-'Control Panel'!$B$10)*12/365.25),0)</f>
        <v/>
      </c>
      <c r="AV10" s="17">
        <f>IF(ISNUMBER(L10),IF(L5&gt;'Control Panel'!$B$10,"Valid","Past Maturity"),"No Date")</f>
        <v/>
      </c>
      <c r="AW10" s="17">
        <f>IF(ISNUMBER(K10),MAX(0,('Control Panel'!$B$10-K5)*12/365.25),0)</f>
        <v/>
      </c>
    </row>
    <row r="11">
      <c r="A11" s="17">
        <f>'Loan Tape (BoE)'!A12</f>
        <v/>
      </c>
      <c r="B11" s="18">
        <f>IFERROR(INDEX('FF Adj Parameters'!$A$89:$B$92,MATCH('Loan Tape (BoE)'!C11,INDEX('FF Adj Parameters'!$A$89:$B$92,,1),0),2),"Unknown")</f>
        <v/>
      </c>
      <c r="C11" s="18">
        <f>'Loan Tape (BoE)'!C12</f>
        <v/>
      </c>
      <c r="D11" s="18">
        <f>'Loan Tape (BoE)'!D12</f>
        <v/>
      </c>
      <c r="E11" s="18">
        <f>'Loan Tape (BoE)'!E12</f>
        <v/>
      </c>
      <c r="F11" s="19">
        <f>'Loan Tape (BoE)'!F12</f>
        <v/>
      </c>
      <c r="G11" s="19">
        <f>'Loan Tape (BoE)'!G12</f>
        <v/>
      </c>
      <c r="H11" s="20">
        <f>'Loan Tape (BoE)'!H12/100</f>
        <v/>
      </c>
      <c r="I11" s="17">
        <f>IFERROR(IFS('Loan Tape (BoE)'!I12=1,"House",'Loan Tape (BoE)'!I12=2,"Flat",'Loan Tape (BoE)'!I12=3,"Bungalow",'Loan Tape (BoE)'!I12=4,"Maisonette"),"")</f>
        <v/>
      </c>
      <c r="J11" s="17">
        <f>'Loan Tape (BoE)'!J12</f>
        <v/>
      </c>
      <c r="K11" s="17">
        <f>'Loan Tape (BoE)'!K12</f>
        <v/>
      </c>
      <c r="L11" s="17">
        <f>IFERROR(IFS('Loan Tape (BoE)'!L12=1,"Owner Occupied",'Loan Tape (BoE)'!L12=2,"BTL",'Loan Tape (BoE)'!L12=3,"Second Home",'Loan Tape (BoE)'!L12=4,"Investment"),"")</f>
        <v/>
      </c>
      <c r="M11" s="17">
        <f>IFERROR(IFS('Loan Tape (BoE)'!M12=1,"Purchase",'Loan Tape (BoE)'!M12=2,"Remortgage",OR('Loan Tape (BoE)'!M12=3,'Loan Tape (BoE)'!M12=4),"Cash-out"),"")</f>
        <v/>
      </c>
      <c r="N11" s="17">
        <f>IFERROR(INDEX('FF Adj Parameters'!$A$96:$B$99,MATCH('Loan Tape (BoE)'!R11,INDEX('FF Adj Parameters'!$A$96:$B$99,,1),0),2),"Unknown")</f>
        <v/>
      </c>
      <c r="O11" s="17">
        <f>IF('Loan Tape (BoE)'!O12=1,"Yes","No")</f>
        <v/>
      </c>
      <c r="P11" s="17">
        <f>IF('Loan Tape (BoE)'!P11=1,"Yes",IF('Loan Tape (BoE)'!P11=0,"No",""))</f>
        <v/>
      </c>
      <c r="Q11" s="17">
        <f>IF('Loan Tape (BoE)'!Q11=1,"Yes",IF('Loan Tape (BoE)'!Q11=0,"No",""))</f>
        <v/>
      </c>
      <c r="R11" s="18">
        <f>IF('Loan Tape (BoE)'!R11=1,"Yes",IF('Loan Tape (BoE)'!R11=0,"No",""))</f>
        <v/>
      </c>
      <c r="S11" s="18">
        <f>IF('Loan Tape (BoE)'!S11=1,"Yes",IF('Loan Tape (BoE)'!S11=0,"No",""))</f>
        <v/>
      </c>
      <c r="T11" s="17">
        <f>IF('Loan Tape (BoE)'!T11=1,"Yes",IF('Loan Tape (BoE)'!T11=0,"No",""))</f>
        <v/>
      </c>
      <c r="U11" s="18">
        <f>R11+S11</f>
        <v/>
      </c>
      <c r="V11" s="17">
        <f>IFERROR(IFS('Loan Tape (BoE)'!U12=1,"Employed",'Loan Tape (BoE)'!U12=2,"Self-Employed",'Loan Tape (BoE)'!U12=3,"Unemployed",'Loan Tape (BoE)'!U12=4,"Retired"),"")</f>
        <v/>
      </c>
      <c r="W11" s="17">
        <f>IFERROR(IFS('Loan Tape (BoE)'!V12=1,"Employed",'Loan Tape (BoE)'!V12=2,"Self-Employed",'Loan Tape (BoE)'!V12=3,"Unemployed",'Loan Tape (BoE)'!V12=4,"Retired"),"")</f>
        <v/>
      </c>
      <c r="X11" s="17">
        <f>IF(OR(V11="Self-Employed",W11="Self-Employed"),"Yes","No")</f>
        <v/>
      </c>
      <c r="Y11" s="17">
        <f>'Loan Tape (BoE)'!W12</f>
        <v/>
      </c>
      <c r="Z11" s="17">
        <f>'Loan Tape (BoE)'!X12</f>
        <v/>
      </c>
      <c r="AA11" s="17">
        <f>IF(T11=1,Y11,MIN(Y11,Z11))</f>
        <v/>
      </c>
      <c r="AB11" s="17">
        <f>'Loan Tape (BoE)'!Y12</f>
        <v/>
      </c>
      <c r="AC11" s="17">
        <f>'Loan Tape (BoE)'!Z12</f>
        <v/>
      </c>
      <c r="AD11" s="17">
        <f>AB11+AC11</f>
        <v/>
      </c>
      <c r="AE11" s="18">
        <f>'Loan Tape (BoE)'!AA12</f>
        <v/>
      </c>
      <c r="AF11" s="18">
        <f>'Loan Tape (BoE)'!AB12</f>
        <v/>
      </c>
      <c r="AG11" s="18">
        <f>AE11+AF11</f>
        <v/>
      </c>
      <c r="AH11" s="19">
        <f>MAX('Loan Tape (BoE)'!AC12,'Loan Tape (BoE)'!AD12)</f>
        <v/>
      </c>
      <c r="AI11" s="18">
        <f>'Loan Tape (BoE)'!AE12</f>
        <v/>
      </c>
      <c r="AJ11" s="18">
        <f>B11*H11/12</f>
        <v/>
      </c>
      <c r="AK11" s="21">
        <f>IF(AJ11&gt;0,AI11/AJ11,0)</f>
        <v/>
      </c>
      <c r="AL11" s="17">
        <f>IF('Loan Tape (BoE)'!AF12=1,"Yes","No")</f>
        <v/>
      </c>
      <c r="AM11" s="17">
        <f>IF('Loan Tape (BoE)'!AH12=1,"Yes","No")</f>
        <v/>
      </c>
      <c r="AN11" s="17">
        <f>IF('Loan Tape (BoE)'!AI12=1,"Yes","No")</f>
        <v/>
      </c>
      <c r="AO11" s="17">
        <f>IF('Loan Tape (BoE)'!AJ12=1,"Yes","No")</f>
        <v/>
      </c>
      <c r="AP11" s="17">
        <f>IF(OR('Loan Tape (BoE)'!AQ11=1,'Loan Tape (BoE)'!AQ11=2),"Yes",IF('Loan Tape (BoE)'!AQ11=0,"No",""))</f>
        <v/>
      </c>
      <c r="AQ11" s="17">
        <f>IF('Loan Tape (BoE)'!BV49_11&lt;&gt;"",'Loan Tape (BoE)'!BV49_11,"")</f>
        <v/>
      </c>
      <c r="AR11" s="17">
        <f>IF('Loan Tape (BoE)'!BV110_11&lt;&gt;"",'Loan Tape (BoE)'!BV50_11,"")</f>
        <v/>
      </c>
      <c r="AS11" s="17">
        <f>IFERROR(INDEX('FF Adj Parameters'!$A$103:$B$1011,MATCH('Loan Tape (BoE)'!P11,INDEX('FF Adj Parameters'!$A$103:$B$1011,,1),0),2),"Unknown")</f>
        <v/>
      </c>
      <c r="AT11" s="17">
        <f>IF(N11="Interest Only",M5*O5/12,IF(AND(O5&gt;0,ISNUMBER(O5),ISNUMBER(M5)),ABS(PMT(O5/12,AU5,-M5)),0))</f>
        <v/>
      </c>
      <c r="AU11" s="17">
        <f>IF(ISNUMBER(L11),MAX(0,(L5-'Control Panel'!$B$10)*12/365.25),0)</f>
        <v/>
      </c>
      <c r="AV11" s="17">
        <f>IF(ISNUMBER(L11),IF(L5&gt;'Control Panel'!$B$10,"Valid","Past Maturity"),"No Date")</f>
        <v/>
      </c>
      <c r="AW11" s="17">
        <f>IF(ISNUMBER(K11),MAX(0,('Control Panel'!$B$10-K5)*12/365.25),0)</f>
        <v/>
      </c>
    </row>
    <row r="12">
      <c r="A12" s="17">
        <f>'Loan Tape (BoE)'!A13</f>
        <v/>
      </c>
      <c r="B12" s="18">
        <f>IFERROR(INDEX('FF Adj Parameters'!$A$89:$B$92,MATCH('Loan Tape (BoE)'!C12,INDEX('FF Adj Parameters'!$A$89:$B$92,,1),0),2),"Unknown")</f>
        <v/>
      </c>
      <c r="C12" s="18">
        <f>'Loan Tape (BoE)'!C13</f>
        <v/>
      </c>
      <c r="D12" s="18">
        <f>'Loan Tape (BoE)'!D13</f>
        <v/>
      </c>
      <c r="E12" s="18">
        <f>'Loan Tape (BoE)'!E13</f>
        <v/>
      </c>
      <c r="F12" s="19">
        <f>'Loan Tape (BoE)'!F13</f>
        <v/>
      </c>
      <c r="G12" s="19">
        <f>'Loan Tape (BoE)'!G13</f>
        <v/>
      </c>
      <c r="H12" s="20">
        <f>'Loan Tape (BoE)'!H13/100</f>
        <v/>
      </c>
      <c r="I12" s="17">
        <f>IFERROR(IFS('Loan Tape (BoE)'!I13=1,"House",'Loan Tape (BoE)'!I13=2,"Flat",'Loan Tape (BoE)'!I13=3,"Bungalow",'Loan Tape (BoE)'!I13=4,"Maisonette"),"")</f>
        <v/>
      </c>
      <c r="J12" s="17">
        <f>'Loan Tape (BoE)'!J13</f>
        <v/>
      </c>
      <c r="K12" s="17">
        <f>'Loan Tape (BoE)'!K13</f>
        <v/>
      </c>
      <c r="L12" s="17">
        <f>IFERROR(IFS('Loan Tape (BoE)'!L13=1,"Owner Occupied",'Loan Tape (BoE)'!L13=2,"BTL",'Loan Tape (BoE)'!L13=3,"Second Home",'Loan Tape (BoE)'!L13=4,"Investment"),"")</f>
        <v/>
      </c>
      <c r="M12" s="17">
        <f>IFERROR(IFS('Loan Tape (BoE)'!M13=1,"Purchase",'Loan Tape (BoE)'!M13=2,"Remortgage",OR('Loan Tape (BoE)'!M13=3,'Loan Tape (BoE)'!M13=4),"Cash-out"),"")</f>
        <v/>
      </c>
      <c r="N12" s="17">
        <f>IFERROR(INDEX('FF Adj Parameters'!$A$96:$B$99,MATCH('Loan Tape (BoE)'!R12,INDEX('FF Adj Parameters'!$A$96:$B$99,,1),0),2),"Unknown")</f>
        <v/>
      </c>
      <c r="O12" s="17">
        <f>IF('Loan Tape (BoE)'!O13=1,"Yes","No")</f>
        <v/>
      </c>
      <c r="P12" s="17">
        <f>IF('Loan Tape (BoE)'!P12=1,"Yes",IF('Loan Tape (BoE)'!P12=0,"No",""))</f>
        <v/>
      </c>
      <c r="Q12" s="17">
        <f>IF('Loan Tape (BoE)'!Q12=1,"Yes",IF('Loan Tape (BoE)'!Q12=0,"No",""))</f>
        <v/>
      </c>
      <c r="R12" s="18">
        <f>IF('Loan Tape (BoE)'!R12=1,"Yes",IF('Loan Tape (BoE)'!R12=0,"No",""))</f>
        <v/>
      </c>
      <c r="S12" s="18">
        <f>IF('Loan Tape (BoE)'!S12=1,"Yes",IF('Loan Tape (BoE)'!S12=0,"No",""))</f>
        <v/>
      </c>
      <c r="T12" s="17">
        <f>IF('Loan Tape (BoE)'!T12=1,"Yes",IF('Loan Tape (BoE)'!T12=0,"No",""))</f>
        <v/>
      </c>
      <c r="U12" s="18">
        <f>R12+S12</f>
        <v/>
      </c>
      <c r="V12" s="17">
        <f>IFERROR(IFS('Loan Tape (BoE)'!U13=1,"Employed",'Loan Tape (BoE)'!U13=2,"Self-Employed",'Loan Tape (BoE)'!U13=3,"Unemployed",'Loan Tape (BoE)'!U13=4,"Retired"),"")</f>
        <v/>
      </c>
      <c r="W12" s="17">
        <f>IFERROR(IFS('Loan Tape (BoE)'!V13=1,"Employed",'Loan Tape (BoE)'!V13=2,"Self-Employed",'Loan Tape (BoE)'!V13=3,"Unemployed",'Loan Tape (BoE)'!V13=4,"Retired"),"")</f>
        <v/>
      </c>
      <c r="X12" s="17">
        <f>IF(OR(V12="Self-Employed",W12="Self-Employed"),"Yes","No")</f>
        <v/>
      </c>
      <c r="Y12" s="17">
        <f>'Loan Tape (BoE)'!W13</f>
        <v/>
      </c>
      <c r="Z12" s="17">
        <f>'Loan Tape (BoE)'!X13</f>
        <v/>
      </c>
      <c r="AA12" s="17">
        <f>IF(T12=1,Y12,MIN(Y12,Z12))</f>
        <v/>
      </c>
      <c r="AB12" s="17">
        <f>'Loan Tape (BoE)'!Y13</f>
        <v/>
      </c>
      <c r="AC12" s="17">
        <f>'Loan Tape (BoE)'!Z13</f>
        <v/>
      </c>
      <c r="AD12" s="17">
        <f>AB12+AC12</f>
        <v/>
      </c>
      <c r="AE12" s="18">
        <f>'Loan Tape (BoE)'!AA13</f>
        <v/>
      </c>
      <c r="AF12" s="18">
        <f>'Loan Tape (BoE)'!AB13</f>
        <v/>
      </c>
      <c r="AG12" s="18">
        <f>AE12+AF12</f>
        <v/>
      </c>
      <c r="AH12" s="19">
        <f>MAX('Loan Tape (BoE)'!AC13,'Loan Tape (BoE)'!AD13)</f>
        <v/>
      </c>
      <c r="AI12" s="18">
        <f>'Loan Tape (BoE)'!AE13</f>
        <v/>
      </c>
      <c r="AJ12" s="18">
        <f>B12*H12/12</f>
        <v/>
      </c>
      <c r="AK12" s="21">
        <f>IF(AJ12&gt;0,AI12/AJ12,0)</f>
        <v/>
      </c>
      <c r="AL12" s="17">
        <f>IF('Loan Tape (BoE)'!AF13=1,"Yes","No")</f>
        <v/>
      </c>
      <c r="AM12" s="17">
        <f>IF('Loan Tape (BoE)'!AH13=1,"Yes","No")</f>
        <v/>
      </c>
      <c r="AN12" s="17">
        <f>IF('Loan Tape (BoE)'!AI13=1,"Yes","No")</f>
        <v/>
      </c>
      <c r="AO12" s="17">
        <f>IF('Loan Tape (BoE)'!AJ13=1,"Yes","No")</f>
        <v/>
      </c>
      <c r="AP12" s="17">
        <f>IF(OR('Loan Tape (BoE)'!AQ12=1,'Loan Tape (BoE)'!AQ12=2),"Yes",IF('Loan Tape (BoE)'!AQ12=0,"No",""))</f>
        <v/>
      </c>
      <c r="AQ12" s="17">
        <f>IF('Loan Tape (BoE)'!BV49_12&lt;&gt;"",'Loan Tape (BoE)'!BV49_12,"")</f>
        <v/>
      </c>
      <c r="AR12" s="17">
        <f>IF('Loan Tape (BoE)'!BV120_12&lt;&gt;"",'Loan Tape (BoE)'!BV50_12,"")</f>
        <v/>
      </c>
      <c r="AS12" s="17">
        <f>IFERROR(INDEX('FF Adj Parameters'!$A$103:$B$1012,MATCH('Loan Tape (BoE)'!P12,INDEX('FF Adj Parameters'!$A$103:$B$1012,,1),0),2),"Unknown")</f>
        <v/>
      </c>
      <c r="AT12" s="17">
        <f>IF(N12="Interest Only",M5*O5/12,IF(AND(O5&gt;0,ISNUMBER(O5),ISNUMBER(M5)),ABS(PMT(O5/12,AU5,-M5)),0))</f>
        <v/>
      </c>
      <c r="AU12" s="17">
        <f>IF(ISNUMBER(L12),MAX(0,(L5-'Control Panel'!$B$10)*12/365.25),0)</f>
        <v/>
      </c>
      <c r="AV12" s="17">
        <f>IF(ISNUMBER(L12),IF(L5&gt;'Control Panel'!$B$10,"Valid","Past Maturity"),"No Date")</f>
        <v/>
      </c>
      <c r="AW12" s="17">
        <f>IF(ISNUMBER(K12),MAX(0,('Control Panel'!$B$10-K5)*12/365.25),0)</f>
        <v/>
      </c>
    </row>
    <row r="13">
      <c r="A13" s="17">
        <f>'Loan Tape (BoE)'!A14</f>
        <v/>
      </c>
      <c r="B13" s="18">
        <f>IFERROR(INDEX('FF Adj Parameters'!$A$89:$B$92,MATCH('Loan Tape (BoE)'!C13,INDEX('FF Adj Parameters'!$A$89:$B$92,,1),0),2),"Unknown")</f>
        <v/>
      </c>
      <c r="C13" s="18">
        <f>'Loan Tape (BoE)'!C14</f>
        <v/>
      </c>
      <c r="D13" s="18">
        <f>'Loan Tape (BoE)'!D14</f>
        <v/>
      </c>
      <c r="E13" s="18">
        <f>'Loan Tape (BoE)'!E14</f>
        <v/>
      </c>
      <c r="F13" s="19">
        <f>'Loan Tape (BoE)'!F14</f>
        <v/>
      </c>
      <c r="G13" s="19">
        <f>'Loan Tape (BoE)'!G14</f>
        <v/>
      </c>
      <c r="H13" s="20">
        <f>'Loan Tape (BoE)'!H14/100</f>
        <v/>
      </c>
      <c r="I13" s="17">
        <f>IFERROR(IFS('Loan Tape (BoE)'!I14=1,"House",'Loan Tape (BoE)'!I14=2,"Flat",'Loan Tape (BoE)'!I14=3,"Bungalow",'Loan Tape (BoE)'!I14=4,"Maisonette"),"")</f>
        <v/>
      </c>
      <c r="J13" s="17">
        <f>'Loan Tape (BoE)'!J14</f>
        <v/>
      </c>
      <c r="K13" s="17">
        <f>'Loan Tape (BoE)'!K14</f>
        <v/>
      </c>
      <c r="L13" s="17">
        <f>IFERROR(IFS('Loan Tape (BoE)'!L14=1,"Owner Occupied",'Loan Tape (BoE)'!L14=2,"BTL",'Loan Tape (BoE)'!L14=3,"Second Home",'Loan Tape (BoE)'!L14=4,"Investment"),"")</f>
        <v/>
      </c>
      <c r="M13" s="17">
        <f>IFERROR(IFS('Loan Tape (BoE)'!M14=1,"Purchase",'Loan Tape (BoE)'!M14=2,"Remortgage",OR('Loan Tape (BoE)'!M14=3,'Loan Tape (BoE)'!M14=4),"Cash-out"),"")</f>
        <v/>
      </c>
      <c r="N13" s="17">
        <f>IFERROR(INDEX('FF Adj Parameters'!$A$96:$B$99,MATCH('Loan Tape (BoE)'!R13,INDEX('FF Adj Parameters'!$A$96:$B$99,,1),0),2),"Unknown")</f>
        <v/>
      </c>
      <c r="O13" s="17">
        <f>IF('Loan Tape (BoE)'!O14=1,"Yes","No")</f>
        <v/>
      </c>
      <c r="P13" s="17">
        <f>IF('Loan Tape (BoE)'!P13=1,"Yes",IF('Loan Tape (BoE)'!P13=0,"No",""))</f>
        <v/>
      </c>
      <c r="Q13" s="17">
        <f>IF('Loan Tape (BoE)'!Q13=1,"Yes",IF('Loan Tape (BoE)'!Q13=0,"No",""))</f>
        <v/>
      </c>
      <c r="R13" s="18">
        <f>IF('Loan Tape (BoE)'!R13=1,"Yes",IF('Loan Tape (BoE)'!R13=0,"No",""))</f>
        <v/>
      </c>
      <c r="S13" s="18">
        <f>IF('Loan Tape (BoE)'!S13=1,"Yes",IF('Loan Tape (BoE)'!S13=0,"No",""))</f>
        <v/>
      </c>
      <c r="T13" s="17">
        <f>IF('Loan Tape (BoE)'!T13=1,"Yes",IF('Loan Tape (BoE)'!T13=0,"No",""))</f>
        <v/>
      </c>
      <c r="U13" s="18">
        <f>R13+S13</f>
        <v/>
      </c>
      <c r="V13" s="17">
        <f>IFERROR(IFS('Loan Tape (BoE)'!U14=1,"Employed",'Loan Tape (BoE)'!U14=2,"Self-Employed",'Loan Tape (BoE)'!U14=3,"Unemployed",'Loan Tape (BoE)'!U14=4,"Retired"),"")</f>
        <v/>
      </c>
      <c r="W13" s="17">
        <f>IFERROR(IFS('Loan Tape (BoE)'!V14=1,"Employed",'Loan Tape (BoE)'!V14=2,"Self-Employed",'Loan Tape (BoE)'!V14=3,"Unemployed",'Loan Tape (BoE)'!V14=4,"Retired"),"")</f>
        <v/>
      </c>
      <c r="X13" s="17">
        <f>IF(OR(V13="Self-Employed",W13="Self-Employed"),"Yes","No")</f>
        <v/>
      </c>
      <c r="Y13" s="17">
        <f>'Loan Tape (BoE)'!W14</f>
        <v/>
      </c>
      <c r="Z13" s="17">
        <f>'Loan Tape (BoE)'!X14</f>
        <v/>
      </c>
      <c r="AA13" s="17">
        <f>IF(T13=1,Y13,MIN(Y13,Z13))</f>
        <v/>
      </c>
      <c r="AB13" s="17">
        <f>'Loan Tape (BoE)'!Y14</f>
        <v/>
      </c>
      <c r="AC13" s="17">
        <f>'Loan Tape (BoE)'!Z14</f>
        <v/>
      </c>
      <c r="AD13" s="17">
        <f>AB13+AC13</f>
        <v/>
      </c>
      <c r="AE13" s="18">
        <f>'Loan Tape (BoE)'!AA14</f>
        <v/>
      </c>
      <c r="AF13" s="18">
        <f>'Loan Tape (BoE)'!AB14</f>
        <v/>
      </c>
      <c r="AG13" s="18">
        <f>AE13+AF13</f>
        <v/>
      </c>
      <c r="AH13" s="19">
        <f>MAX('Loan Tape (BoE)'!AC14,'Loan Tape (BoE)'!AD14)</f>
        <v/>
      </c>
      <c r="AI13" s="18">
        <f>'Loan Tape (BoE)'!AE14</f>
        <v/>
      </c>
      <c r="AJ13" s="18">
        <f>B13*H13/12</f>
        <v/>
      </c>
      <c r="AK13" s="21">
        <f>IF(AJ13&gt;0,AI13/AJ13,0)</f>
        <v/>
      </c>
      <c r="AL13" s="17">
        <f>IF('Loan Tape (BoE)'!AF14=1,"Yes","No")</f>
        <v/>
      </c>
      <c r="AM13" s="17">
        <f>IF('Loan Tape (BoE)'!AH14=1,"Yes","No")</f>
        <v/>
      </c>
      <c r="AN13" s="17">
        <f>IF('Loan Tape (BoE)'!AI14=1,"Yes","No")</f>
        <v/>
      </c>
      <c r="AO13" s="17">
        <f>IF('Loan Tape (BoE)'!AJ14=1,"Yes","No")</f>
        <v/>
      </c>
      <c r="AP13" s="17">
        <f>IF(OR('Loan Tape (BoE)'!AQ13=1,'Loan Tape (BoE)'!AQ13=2),"Yes",IF('Loan Tape (BoE)'!AQ13=0,"No",""))</f>
        <v/>
      </c>
      <c r="AQ13" s="17">
        <f>IF('Loan Tape (BoE)'!BV49_13&lt;&gt;"",'Loan Tape (BoE)'!BV49_13,"")</f>
        <v/>
      </c>
      <c r="AR13" s="17">
        <f>IF('Loan Tape (BoE)'!BV130_13&lt;&gt;"",'Loan Tape (BoE)'!BV50_13,"")</f>
        <v/>
      </c>
      <c r="AS13" s="17">
        <f>IFERROR(INDEX('FF Adj Parameters'!$A$103:$B$1013,MATCH('Loan Tape (BoE)'!P13,INDEX('FF Adj Parameters'!$A$103:$B$1013,,1),0),2),"Unknown")</f>
        <v/>
      </c>
      <c r="AT13" s="17">
        <f>IF(N13="Interest Only",M5*O5/12,IF(AND(O5&gt;0,ISNUMBER(O5),ISNUMBER(M5)),ABS(PMT(O5/12,AU5,-M5)),0))</f>
        <v/>
      </c>
      <c r="AU13" s="17">
        <f>IF(ISNUMBER(L13),MAX(0,(L5-'Control Panel'!$B$10)*12/365.25),0)</f>
        <v/>
      </c>
      <c r="AV13" s="17">
        <f>IF(ISNUMBER(L13),IF(L5&gt;'Control Panel'!$B$10,"Valid","Past Maturity"),"No Date")</f>
        <v/>
      </c>
      <c r="AW13" s="17">
        <f>IF(ISNUMBER(K13),MAX(0,('Control Panel'!$B$10-K5)*12/365.25),0)</f>
        <v/>
      </c>
    </row>
    <row r="14">
      <c r="A14" s="17">
        <f>'Loan Tape (BoE)'!A15</f>
        <v/>
      </c>
      <c r="B14" s="18">
        <f>IFERROR(INDEX('FF Adj Parameters'!$A$89:$B$92,MATCH('Loan Tape (BoE)'!C14,INDEX('FF Adj Parameters'!$A$89:$B$92,,1),0),2),"Unknown")</f>
        <v/>
      </c>
      <c r="C14" s="18">
        <f>'Loan Tape (BoE)'!C15</f>
        <v/>
      </c>
      <c r="D14" s="18">
        <f>'Loan Tape (BoE)'!D15</f>
        <v/>
      </c>
      <c r="E14" s="18">
        <f>'Loan Tape (BoE)'!E15</f>
        <v/>
      </c>
      <c r="F14" s="19">
        <f>'Loan Tape (BoE)'!F15</f>
        <v/>
      </c>
      <c r="G14" s="19">
        <f>'Loan Tape (BoE)'!G15</f>
        <v/>
      </c>
      <c r="H14" s="20">
        <f>'Loan Tape (BoE)'!H15/100</f>
        <v/>
      </c>
      <c r="I14" s="17">
        <f>IFERROR(IFS('Loan Tape (BoE)'!I15=1,"House",'Loan Tape (BoE)'!I15=2,"Flat",'Loan Tape (BoE)'!I15=3,"Bungalow",'Loan Tape (BoE)'!I15=4,"Maisonette"),"")</f>
        <v/>
      </c>
      <c r="J14" s="17">
        <f>'Loan Tape (BoE)'!J15</f>
        <v/>
      </c>
      <c r="K14" s="17">
        <f>'Loan Tape (BoE)'!K15</f>
        <v/>
      </c>
      <c r="L14" s="17">
        <f>IFERROR(IFS('Loan Tape (BoE)'!L15=1,"Owner Occupied",'Loan Tape (BoE)'!L15=2,"BTL",'Loan Tape (BoE)'!L15=3,"Second Home",'Loan Tape (BoE)'!L15=4,"Investment"),"")</f>
        <v/>
      </c>
      <c r="M14" s="17">
        <f>IFERROR(IFS('Loan Tape (BoE)'!M15=1,"Purchase",'Loan Tape (BoE)'!M15=2,"Remortgage",OR('Loan Tape (BoE)'!M15=3,'Loan Tape (BoE)'!M15=4),"Cash-out"),"")</f>
        <v/>
      </c>
      <c r="N14" s="17">
        <f>IFERROR(INDEX('FF Adj Parameters'!$A$96:$B$99,MATCH('Loan Tape (BoE)'!R14,INDEX('FF Adj Parameters'!$A$96:$B$99,,1),0),2),"Unknown")</f>
        <v/>
      </c>
      <c r="O14" s="17">
        <f>IF('Loan Tape (BoE)'!O15=1,"Yes","No")</f>
        <v/>
      </c>
      <c r="P14" s="17">
        <f>IF('Loan Tape (BoE)'!P14=1,"Yes",IF('Loan Tape (BoE)'!P14=0,"No",""))</f>
        <v/>
      </c>
      <c r="Q14" s="17">
        <f>IF('Loan Tape (BoE)'!Q14=1,"Yes",IF('Loan Tape (BoE)'!Q14=0,"No",""))</f>
        <v/>
      </c>
      <c r="R14" s="18">
        <f>IF('Loan Tape (BoE)'!R14=1,"Yes",IF('Loan Tape (BoE)'!R14=0,"No",""))</f>
        <v/>
      </c>
      <c r="S14" s="18">
        <f>IF('Loan Tape (BoE)'!S14=1,"Yes",IF('Loan Tape (BoE)'!S14=0,"No",""))</f>
        <v/>
      </c>
      <c r="T14" s="17">
        <f>IF('Loan Tape (BoE)'!T14=1,"Yes",IF('Loan Tape (BoE)'!T14=0,"No",""))</f>
        <v/>
      </c>
      <c r="U14" s="18">
        <f>R14+S14</f>
        <v/>
      </c>
      <c r="V14" s="17">
        <f>IFERROR(IFS('Loan Tape (BoE)'!U15=1,"Employed",'Loan Tape (BoE)'!U15=2,"Self-Employed",'Loan Tape (BoE)'!U15=3,"Unemployed",'Loan Tape (BoE)'!U15=4,"Retired"),"")</f>
        <v/>
      </c>
      <c r="W14" s="17">
        <f>IFERROR(IFS('Loan Tape (BoE)'!V15=1,"Employed",'Loan Tape (BoE)'!V15=2,"Self-Employed",'Loan Tape (BoE)'!V15=3,"Unemployed",'Loan Tape (BoE)'!V15=4,"Retired"),"")</f>
        <v/>
      </c>
      <c r="X14" s="17">
        <f>IF(OR(V14="Self-Employed",W14="Self-Employed"),"Yes","No")</f>
        <v/>
      </c>
      <c r="Y14" s="17">
        <f>'Loan Tape (BoE)'!W15</f>
        <v/>
      </c>
      <c r="Z14" s="17">
        <f>'Loan Tape (BoE)'!X15</f>
        <v/>
      </c>
      <c r="AA14" s="17">
        <f>IF(T14=1,Y14,MIN(Y14,Z14))</f>
        <v/>
      </c>
      <c r="AB14" s="17">
        <f>'Loan Tape (BoE)'!Y15</f>
        <v/>
      </c>
      <c r="AC14" s="17">
        <f>'Loan Tape (BoE)'!Z15</f>
        <v/>
      </c>
      <c r="AD14" s="17">
        <f>AB14+AC14</f>
        <v/>
      </c>
      <c r="AE14" s="18">
        <f>'Loan Tape (BoE)'!AA15</f>
        <v/>
      </c>
      <c r="AF14" s="18">
        <f>'Loan Tape (BoE)'!AB15</f>
        <v/>
      </c>
      <c r="AG14" s="18">
        <f>AE14+AF14</f>
        <v/>
      </c>
      <c r="AH14" s="19">
        <f>MAX('Loan Tape (BoE)'!AC15,'Loan Tape (BoE)'!AD15)</f>
        <v/>
      </c>
      <c r="AI14" s="18">
        <f>'Loan Tape (BoE)'!AE15</f>
        <v/>
      </c>
      <c r="AJ14" s="18">
        <f>B14*H14/12</f>
        <v/>
      </c>
      <c r="AK14" s="21">
        <f>IF(AJ14&gt;0,AI14/AJ14,0)</f>
        <v/>
      </c>
      <c r="AL14" s="17">
        <f>IF('Loan Tape (BoE)'!AF15=1,"Yes","No")</f>
        <v/>
      </c>
      <c r="AM14" s="17">
        <f>IF('Loan Tape (BoE)'!AH15=1,"Yes","No")</f>
        <v/>
      </c>
      <c r="AN14" s="17">
        <f>IF('Loan Tape (BoE)'!AI15=1,"Yes","No")</f>
        <v/>
      </c>
      <c r="AO14" s="17">
        <f>IF('Loan Tape (BoE)'!AJ15=1,"Yes","No")</f>
        <v/>
      </c>
      <c r="AP14" s="17">
        <f>IF(OR('Loan Tape (BoE)'!AQ14=1,'Loan Tape (BoE)'!AQ14=2),"Yes",IF('Loan Tape (BoE)'!AQ14=0,"No",""))</f>
        <v/>
      </c>
      <c r="AQ14" s="17">
        <f>IF('Loan Tape (BoE)'!BV49_14&lt;&gt;"",'Loan Tape (BoE)'!BV49_14,"")</f>
        <v/>
      </c>
      <c r="AR14" s="17">
        <f>IF('Loan Tape (BoE)'!BV140_14&lt;&gt;"",'Loan Tape (BoE)'!BV50_14,"")</f>
        <v/>
      </c>
      <c r="AS14" s="17">
        <f>IFERROR(INDEX('FF Adj Parameters'!$A$103:$B$1014,MATCH('Loan Tape (BoE)'!P14,INDEX('FF Adj Parameters'!$A$103:$B$1014,,1),0),2),"Unknown")</f>
        <v/>
      </c>
      <c r="AT14" s="17">
        <f>IF(N14="Interest Only",M5*O5/12,IF(AND(O5&gt;0,ISNUMBER(O5),ISNUMBER(M5)),ABS(PMT(O5/12,AU5,-M5)),0))</f>
        <v/>
      </c>
      <c r="AU14" s="17">
        <f>IF(ISNUMBER(L14),MAX(0,(L5-'Control Panel'!$B$10)*12/365.25),0)</f>
        <v/>
      </c>
      <c r="AV14" s="17">
        <f>IF(ISNUMBER(L14),IF(L5&gt;'Control Panel'!$B$10,"Valid","Past Maturity"),"No Date")</f>
        <v/>
      </c>
      <c r="AW14" s="17">
        <f>IF(ISNUMBER(K14),MAX(0,('Control Panel'!$B$10-K5)*12/365.25),0)</f>
        <v/>
      </c>
    </row>
    <row r="15">
      <c r="A15" s="17">
        <f>'Loan Tape (BoE)'!A16</f>
        <v/>
      </c>
      <c r="B15" s="18">
        <f>IFERROR(INDEX('FF Adj Parameters'!$A$89:$B$92,MATCH('Loan Tape (BoE)'!C15,INDEX('FF Adj Parameters'!$A$89:$B$92,,1),0),2),"Unknown")</f>
        <v/>
      </c>
      <c r="C15" s="18">
        <f>'Loan Tape (BoE)'!C16</f>
        <v/>
      </c>
      <c r="D15" s="18">
        <f>'Loan Tape (BoE)'!D16</f>
        <v/>
      </c>
      <c r="E15" s="18">
        <f>'Loan Tape (BoE)'!E16</f>
        <v/>
      </c>
      <c r="F15" s="19">
        <f>'Loan Tape (BoE)'!F16</f>
        <v/>
      </c>
      <c r="G15" s="19">
        <f>'Loan Tape (BoE)'!G16</f>
        <v/>
      </c>
      <c r="H15" s="20">
        <f>'Loan Tape (BoE)'!H16/100</f>
        <v/>
      </c>
      <c r="I15" s="17">
        <f>IFERROR(IFS('Loan Tape (BoE)'!I16=1,"House",'Loan Tape (BoE)'!I16=2,"Flat",'Loan Tape (BoE)'!I16=3,"Bungalow",'Loan Tape (BoE)'!I16=4,"Maisonette"),"")</f>
        <v/>
      </c>
      <c r="J15" s="17">
        <f>'Loan Tape (BoE)'!J16</f>
        <v/>
      </c>
      <c r="K15" s="17">
        <f>'Loan Tape (BoE)'!K16</f>
        <v/>
      </c>
      <c r="L15" s="17">
        <f>IFERROR(IFS('Loan Tape (BoE)'!L16=1,"Owner Occupied",'Loan Tape (BoE)'!L16=2,"BTL",'Loan Tape (BoE)'!L16=3,"Second Home",'Loan Tape (BoE)'!L16=4,"Investment"),"")</f>
        <v/>
      </c>
      <c r="M15" s="17">
        <f>IFERROR(IFS('Loan Tape (BoE)'!M16=1,"Purchase",'Loan Tape (BoE)'!M16=2,"Remortgage",OR('Loan Tape (BoE)'!M16=3,'Loan Tape (BoE)'!M16=4),"Cash-out"),"")</f>
        <v/>
      </c>
      <c r="N15" s="17">
        <f>IFERROR(INDEX('FF Adj Parameters'!$A$96:$B$99,MATCH('Loan Tape (BoE)'!R15,INDEX('FF Adj Parameters'!$A$96:$B$99,,1),0),2),"Unknown")</f>
        <v/>
      </c>
      <c r="O15" s="17">
        <f>IF('Loan Tape (BoE)'!O16=1,"Yes","No")</f>
        <v/>
      </c>
      <c r="P15" s="17">
        <f>IF('Loan Tape (BoE)'!P15=1,"Yes",IF('Loan Tape (BoE)'!P15=0,"No",""))</f>
        <v/>
      </c>
      <c r="Q15" s="17">
        <f>IF('Loan Tape (BoE)'!Q15=1,"Yes",IF('Loan Tape (BoE)'!Q15=0,"No",""))</f>
        <v/>
      </c>
      <c r="R15" s="18">
        <f>IF('Loan Tape (BoE)'!R15=1,"Yes",IF('Loan Tape (BoE)'!R15=0,"No",""))</f>
        <v/>
      </c>
      <c r="S15" s="18">
        <f>IF('Loan Tape (BoE)'!S15=1,"Yes",IF('Loan Tape (BoE)'!S15=0,"No",""))</f>
        <v/>
      </c>
      <c r="T15" s="17">
        <f>IF('Loan Tape (BoE)'!T15=1,"Yes",IF('Loan Tape (BoE)'!T15=0,"No",""))</f>
        <v/>
      </c>
      <c r="U15" s="18">
        <f>R15+S15</f>
        <v/>
      </c>
      <c r="V15" s="17">
        <f>IFERROR(IFS('Loan Tape (BoE)'!U16=1,"Employed",'Loan Tape (BoE)'!U16=2,"Self-Employed",'Loan Tape (BoE)'!U16=3,"Unemployed",'Loan Tape (BoE)'!U16=4,"Retired"),"")</f>
        <v/>
      </c>
      <c r="W15" s="17">
        <f>IFERROR(IFS('Loan Tape (BoE)'!V16=1,"Employed",'Loan Tape (BoE)'!V16=2,"Self-Employed",'Loan Tape (BoE)'!V16=3,"Unemployed",'Loan Tape (BoE)'!V16=4,"Retired"),"")</f>
        <v/>
      </c>
      <c r="X15" s="17">
        <f>IF(OR(V15="Self-Employed",W15="Self-Employed"),"Yes","No")</f>
        <v/>
      </c>
      <c r="Y15" s="17">
        <f>'Loan Tape (BoE)'!W16</f>
        <v/>
      </c>
      <c r="Z15" s="17">
        <f>'Loan Tape (BoE)'!X16</f>
        <v/>
      </c>
      <c r="AA15" s="17">
        <f>IF(T15=1,Y15,MIN(Y15,Z15))</f>
        <v/>
      </c>
      <c r="AB15" s="17">
        <f>'Loan Tape (BoE)'!Y16</f>
        <v/>
      </c>
      <c r="AC15" s="17">
        <f>'Loan Tape (BoE)'!Z16</f>
        <v/>
      </c>
      <c r="AD15" s="17">
        <f>AB15+AC15</f>
        <v/>
      </c>
      <c r="AE15" s="18">
        <f>'Loan Tape (BoE)'!AA16</f>
        <v/>
      </c>
      <c r="AF15" s="18">
        <f>'Loan Tape (BoE)'!AB16</f>
        <v/>
      </c>
      <c r="AG15" s="18">
        <f>AE15+AF15</f>
        <v/>
      </c>
      <c r="AH15" s="19">
        <f>MAX('Loan Tape (BoE)'!AC16,'Loan Tape (BoE)'!AD16)</f>
        <v/>
      </c>
      <c r="AI15" s="18">
        <f>'Loan Tape (BoE)'!AE16</f>
        <v/>
      </c>
      <c r="AJ15" s="18">
        <f>B15*H15/12</f>
        <v/>
      </c>
      <c r="AK15" s="21">
        <f>IF(AJ15&gt;0,AI15/AJ15,0)</f>
        <v/>
      </c>
      <c r="AL15" s="17">
        <f>IF('Loan Tape (BoE)'!AF16=1,"Yes","No")</f>
        <v/>
      </c>
      <c r="AM15" s="17">
        <f>IF('Loan Tape (BoE)'!AH16=1,"Yes","No")</f>
        <v/>
      </c>
      <c r="AN15" s="17">
        <f>IF('Loan Tape (BoE)'!AI16=1,"Yes","No")</f>
        <v/>
      </c>
      <c r="AO15" s="17">
        <f>IF('Loan Tape (BoE)'!AJ16=1,"Yes","No")</f>
        <v/>
      </c>
      <c r="AP15" s="17">
        <f>IF(OR('Loan Tape (BoE)'!AQ15=1,'Loan Tape (BoE)'!AQ15=2),"Yes",IF('Loan Tape (BoE)'!AQ15=0,"No",""))</f>
        <v/>
      </c>
      <c r="AQ15" s="17">
        <f>IF('Loan Tape (BoE)'!BV49_115&lt;&gt;"",'Loan Tape (BoE)'!BV49_15,"")</f>
        <v/>
      </c>
      <c r="AR15" s="17">
        <f>IF('Loan Tape (BoE)'!BV150_15&lt;&gt;"",'Loan Tape (BoE)'!BV50_15,"")</f>
        <v/>
      </c>
      <c r="AS15" s="17">
        <f>IFERROR(INDEX('FF Adj Parameters'!$A$103:$B$1015,MATCH('Loan Tape (BoE)'!P15,INDEX('FF Adj Parameters'!$A$103:$B$1015,,1),0),2),"Unknown")</f>
        <v/>
      </c>
      <c r="AT15" s="17">
        <f>IF(N15="Interest Only",M5*O5/12,IF(AND(O5&gt;0,ISNUMBER(O5),ISNUMBER(M5)),ABS(PMT(O5/12,AU5,-M5)),0))</f>
        <v/>
      </c>
      <c r="AU15" s="17">
        <f>IF(ISNUMBER(L15),MAX(0,(L5-'Control Panel'!$B$10)*12/365.25),0)</f>
        <v/>
      </c>
      <c r="AV15" s="17">
        <f>IF(ISNUMBER(L15),IF(L5&gt;'Control Panel'!$B$10,"Valid","Past Maturity"),"No Date")</f>
        <v/>
      </c>
      <c r="AW15" s="17">
        <f>IF(ISNUMBER(K15),MAX(0,('Control Panel'!$B$10-K5)*12/365.25),0)</f>
        <v/>
      </c>
    </row>
    <row r="16">
      <c r="A16" s="17">
        <f>'Loan Tape (BoE)'!A17</f>
        <v/>
      </c>
      <c r="B16" s="18">
        <f>IFERROR(INDEX('FF Adj Parameters'!$A$89:$B$92,MATCH('Loan Tape (BoE)'!C16,INDEX('FF Adj Parameters'!$A$89:$B$92,,1),0),2),"Unknown")</f>
        <v/>
      </c>
      <c r="C16" s="18">
        <f>'Loan Tape (BoE)'!C17</f>
        <v/>
      </c>
      <c r="D16" s="18">
        <f>'Loan Tape (BoE)'!D17</f>
        <v/>
      </c>
      <c r="E16" s="18">
        <f>'Loan Tape (BoE)'!E17</f>
        <v/>
      </c>
      <c r="F16" s="19">
        <f>'Loan Tape (BoE)'!F17</f>
        <v/>
      </c>
      <c r="G16" s="19">
        <f>'Loan Tape (BoE)'!G17</f>
        <v/>
      </c>
      <c r="H16" s="20">
        <f>'Loan Tape (BoE)'!H17/100</f>
        <v/>
      </c>
      <c r="I16" s="17">
        <f>IFERROR(IFS('Loan Tape (BoE)'!I17=1,"House",'Loan Tape (BoE)'!I17=2,"Flat",'Loan Tape (BoE)'!I17=3,"Bungalow",'Loan Tape (BoE)'!I17=4,"Maisonette"),"")</f>
        <v/>
      </c>
      <c r="J16" s="17">
        <f>'Loan Tape (BoE)'!J17</f>
        <v/>
      </c>
      <c r="K16" s="17">
        <f>'Loan Tape (BoE)'!K17</f>
        <v/>
      </c>
      <c r="L16" s="17">
        <f>IFERROR(IFS('Loan Tape (BoE)'!L17=1,"Owner Occupied",'Loan Tape (BoE)'!L17=2,"BTL",'Loan Tape (BoE)'!L17=3,"Second Home",'Loan Tape (BoE)'!L17=4,"Investment"),"")</f>
        <v/>
      </c>
      <c r="M16" s="17">
        <f>IFERROR(IFS('Loan Tape (BoE)'!M17=1,"Purchase",'Loan Tape (BoE)'!M17=2,"Remortgage",OR('Loan Tape (BoE)'!M17=3,'Loan Tape (BoE)'!M17=4),"Cash-out"),"")</f>
        <v/>
      </c>
      <c r="N16" s="17">
        <f>IFERROR(INDEX('FF Adj Parameters'!$A$96:$B$99,MATCH('Loan Tape (BoE)'!R16,INDEX('FF Adj Parameters'!$A$96:$B$99,,1),0),2),"Unknown")</f>
        <v/>
      </c>
      <c r="O16" s="17">
        <f>IF('Loan Tape (BoE)'!O17=1,"Yes","No")</f>
        <v/>
      </c>
      <c r="P16" s="17">
        <f>IF('Loan Tape (BoE)'!P16=1,"Yes",IF('Loan Tape (BoE)'!P16=0,"No",""))</f>
        <v/>
      </c>
      <c r="Q16" s="17">
        <f>IF('Loan Tape (BoE)'!Q16=1,"Yes",IF('Loan Tape (BoE)'!Q16=0,"No",""))</f>
        <v/>
      </c>
      <c r="R16" s="18">
        <f>IF('Loan Tape (BoE)'!R16=1,"Yes",IF('Loan Tape (BoE)'!R16=0,"No",""))</f>
        <v/>
      </c>
      <c r="S16" s="18">
        <f>IF('Loan Tape (BoE)'!S16=1,"Yes",IF('Loan Tape (BoE)'!S16=0,"No",""))</f>
        <v/>
      </c>
      <c r="T16" s="17">
        <f>IF('Loan Tape (BoE)'!T16=1,"Yes",IF('Loan Tape (BoE)'!T16=0,"No",""))</f>
        <v/>
      </c>
      <c r="U16" s="18">
        <f>R16+S16</f>
        <v/>
      </c>
      <c r="V16" s="17">
        <f>IFERROR(IFS('Loan Tape (BoE)'!U17=1,"Employed",'Loan Tape (BoE)'!U17=2,"Self-Employed",'Loan Tape (BoE)'!U17=3,"Unemployed",'Loan Tape (BoE)'!U17=4,"Retired"),"")</f>
        <v/>
      </c>
      <c r="W16" s="17">
        <f>IFERROR(IFS('Loan Tape (BoE)'!V17=1,"Employed",'Loan Tape (BoE)'!V17=2,"Self-Employed",'Loan Tape (BoE)'!V17=3,"Unemployed",'Loan Tape (BoE)'!V17=4,"Retired"),"")</f>
        <v/>
      </c>
      <c r="X16" s="17">
        <f>IF(OR(V16="Self-Employed",W16="Self-Employed"),"Yes","No")</f>
        <v/>
      </c>
      <c r="Y16" s="17">
        <f>'Loan Tape (BoE)'!W17</f>
        <v/>
      </c>
      <c r="Z16" s="17">
        <f>'Loan Tape (BoE)'!X17</f>
        <v/>
      </c>
      <c r="AA16" s="17">
        <f>IF(T16=1,Y16,MIN(Y16,Z16))</f>
        <v/>
      </c>
      <c r="AB16" s="17">
        <f>'Loan Tape (BoE)'!Y17</f>
        <v/>
      </c>
      <c r="AC16" s="17">
        <f>'Loan Tape (BoE)'!Z17</f>
        <v/>
      </c>
      <c r="AD16" s="17">
        <f>AB16+AC16</f>
        <v/>
      </c>
      <c r="AE16" s="18">
        <f>'Loan Tape (BoE)'!AA17</f>
        <v/>
      </c>
      <c r="AF16" s="18">
        <f>'Loan Tape (BoE)'!AB17</f>
        <v/>
      </c>
      <c r="AG16" s="18">
        <f>AE16+AF16</f>
        <v/>
      </c>
      <c r="AH16" s="19">
        <f>MAX('Loan Tape (BoE)'!AC17,'Loan Tape (BoE)'!AD17)</f>
        <v/>
      </c>
      <c r="AI16" s="18">
        <f>'Loan Tape (BoE)'!AE17</f>
        <v/>
      </c>
      <c r="AJ16" s="18">
        <f>B16*H16/12</f>
        <v/>
      </c>
      <c r="AK16" s="21">
        <f>IF(AJ16&gt;0,AI16/AJ16,0)</f>
        <v/>
      </c>
      <c r="AL16" s="17">
        <f>IF('Loan Tape (BoE)'!AF17=1,"Yes","No")</f>
        <v/>
      </c>
      <c r="AM16" s="17">
        <f>IF('Loan Tape (BoE)'!AH17=1,"Yes","No")</f>
        <v/>
      </c>
      <c r="AN16" s="17">
        <f>IF('Loan Tape (BoE)'!AI17=1,"Yes","No")</f>
        <v/>
      </c>
      <c r="AO16" s="17">
        <f>IF('Loan Tape (BoE)'!AJ17=1,"Yes","No")</f>
        <v/>
      </c>
      <c r="AP16" s="17">
        <f>IF(OR('Loan Tape (BoE)'!AQ16=1,'Loan Tape (BoE)'!AQ16=2),"Yes",IF('Loan Tape (BoE)'!AQ16=0,"No",""))</f>
        <v/>
      </c>
      <c r="AQ16" s="17">
        <f>IF('Loan Tape (BoE)'!BV49_16&lt;&gt;"",'Loan Tape (BoE)'!BV49_16,"")</f>
        <v/>
      </c>
      <c r="AR16" s="17">
        <f>IF('Loan Tape (BoE)'!BV160_16&lt;&gt;"",'Loan Tape (BoE)'!BV50_16,"")</f>
        <v/>
      </c>
      <c r="AS16" s="17">
        <f>IFERROR(INDEX('FF Adj Parameters'!$A$103:$B$1016,MATCH('Loan Tape (BoE)'!P16,INDEX('FF Adj Parameters'!$A$103:$B$1016,,1),0),2),"Unknown")</f>
        <v/>
      </c>
      <c r="AT16" s="17">
        <f>IF(N16="Interest Only",M5*O5/12,IF(AND(O5&gt;0,ISNUMBER(O5),ISNUMBER(M5)),ABS(PMT(O5/12,AU5,-M5)),0))</f>
        <v/>
      </c>
      <c r="AU16" s="17">
        <f>IF(ISNUMBER(L16),MAX(0,(L5-'Control Panel'!$B$10)*12/365.25),0)</f>
        <v/>
      </c>
      <c r="AV16" s="17">
        <f>IF(ISNUMBER(L16),IF(L5&gt;'Control Panel'!$B$10,"Valid","Past Maturity"),"No Date")</f>
        <v/>
      </c>
      <c r="AW16" s="17">
        <f>IF(ISNUMBER(K16),MAX(0,('Control Panel'!$B$10-K5)*12/365.25),0)</f>
        <v/>
      </c>
    </row>
    <row r="17">
      <c r="A17" s="17">
        <f>'Loan Tape (BoE)'!A18</f>
        <v/>
      </c>
      <c r="B17" s="18">
        <f>IFERROR(INDEX('FF Adj Parameters'!$A$89:$B$92,MATCH('Loan Tape (BoE)'!C17,INDEX('FF Adj Parameters'!$A$89:$B$92,,1),0),2),"Unknown")</f>
        <v/>
      </c>
      <c r="C17" s="18">
        <f>'Loan Tape (BoE)'!C18</f>
        <v/>
      </c>
      <c r="D17" s="18">
        <f>'Loan Tape (BoE)'!D18</f>
        <v/>
      </c>
      <c r="E17" s="18">
        <f>'Loan Tape (BoE)'!E18</f>
        <v/>
      </c>
      <c r="F17" s="19">
        <f>'Loan Tape (BoE)'!F18</f>
        <v/>
      </c>
      <c r="G17" s="19">
        <f>'Loan Tape (BoE)'!G18</f>
        <v/>
      </c>
      <c r="H17" s="20">
        <f>'Loan Tape (BoE)'!H18/100</f>
        <v/>
      </c>
      <c r="I17" s="17">
        <f>IFERROR(IFS('Loan Tape (BoE)'!I18=1,"House",'Loan Tape (BoE)'!I18=2,"Flat",'Loan Tape (BoE)'!I18=3,"Bungalow",'Loan Tape (BoE)'!I18=4,"Maisonette"),"")</f>
        <v/>
      </c>
      <c r="J17" s="17">
        <f>'Loan Tape (BoE)'!J18</f>
        <v/>
      </c>
      <c r="K17" s="17">
        <f>'Loan Tape (BoE)'!K18</f>
        <v/>
      </c>
      <c r="L17" s="17">
        <f>IFERROR(IFS('Loan Tape (BoE)'!L18=1,"Owner Occupied",'Loan Tape (BoE)'!L18=2,"BTL",'Loan Tape (BoE)'!L18=3,"Second Home",'Loan Tape (BoE)'!L18=4,"Investment"),"")</f>
        <v/>
      </c>
      <c r="M17" s="17">
        <f>IFERROR(IFS('Loan Tape (BoE)'!M18=1,"Purchase",'Loan Tape (BoE)'!M18=2,"Remortgage",OR('Loan Tape (BoE)'!M18=3,'Loan Tape (BoE)'!M18=4),"Cash-out"),"")</f>
        <v/>
      </c>
      <c r="N17" s="17">
        <f>IFERROR(INDEX('FF Adj Parameters'!$A$96:$B$99,MATCH('Loan Tape (BoE)'!R17,INDEX('FF Adj Parameters'!$A$96:$B$99,,1),0),2),"Unknown")</f>
        <v/>
      </c>
      <c r="O17" s="17">
        <f>IF('Loan Tape (BoE)'!O18=1,"Yes","No")</f>
        <v/>
      </c>
      <c r="P17" s="17">
        <f>IF('Loan Tape (BoE)'!P17=1,"Yes",IF('Loan Tape (BoE)'!P17=0,"No",""))</f>
        <v/>
      </c>
      <c r="Q17" s="17">
        <f>IF('Loan Tape (BoE)'!Q17=1,"Yes",IF('Loan Tape (BoE)'!Q17=0,"No",""))</f>
        <v/>
      </c>
      <c r="R17" s="18">
        <f>IF('Loan Tape (BoE)'!R17=1,"Yes",IF('Loan Tape (BoE)'!R17=0,"No",""))</f>
        <v/>
      </c>
      <c r="S17" s="18">
        <f>IF('Loan Tape (BoE)'!S17=1,"Yes",IF('Loan Tape (BoE)'!S17=0,"No",""))</f>
        <v/>
      </c>
      <c r="T17" s="17">
        <f>IF('Loan Tape (BoE)'!T17=1,"Yes",IF('Loan Tape (BoE)'!T17=0,"No",""))</f>
        <v/>
      </c>
      <c r="U17" s="18">
        <f>R17+S17</f>
        <v/>
      </c>
      <c r="V17" s="17">
        <f>IFERROR(IFS('Loan Tape (BoE)'!U18=1,"Employed",'Loan Tape (BoE)'!U18=2,"Self-Employed",'Loan Tape (BoE)'!U18=3,"Unemployed",'Loan Tape (BoE)'!U18=4,"Retired"),"")</f>
        <v/>
      </c>
      <c r="W17" s="17">
        <f>IFERROR(IFS('Loan Tape (BoE)'!V18=1,"Employed",'Loan Tape (BoE)'!V18=2,"Self-Employed",'Loan Tape (BoE)'!V18=3,"Unemployed",'Loan Tape (BoE)'!V18=4,"Retired"),"")</f>
        <v/>
      </c>
      <c r="X17" s="17">
        <f>IF(OR(V17="Self-Employed",W17="Self-Employed"),"Yes","No")</f>
        <v/>
      </c>
      <c r="Y17" s="17">
        <f>'Loan Tape (BoE)'!W18</f>
        <v/>
      </c>
      <c r="Z17" s="17">
        <f>'Loan Tape (BoE)'!X18</f>
        <v/>
      </c>
      <c r="AA17" s="17">
        <f>IF(T17=1,Y17,MIN(Y17,Z17))</f>
        <v/>
      </c>
      <c r="AB17" s="17">
        <f>'Loan Tape (BoE)'!Y18</f>
        <v/>
      </c>
      <c r="AC17" s="17">
        <f>'Loan Tape (BoE)'!Z18</f>
        <v/>
      </c>
      <c r="AD17" s="17">
        <f>AB17+AC17</f>
        <v/>
      </c>
      <c r="AE17" s="18">
        <f>'Loan Tape (BoE)'!AA18</f>
        <v/>
      </c>
      <c r="AF17" s="18">
        <f>'Loan Tape (BoE)'!AB18</f>
        <v/>
      </c>
      <c r="AG17" s="18">
        <f>AE17+AF17</f>
        <v/>
      </c>
      <c r="AH17" s="19">
        <f>MAX('Loan Tape (BoE)'!AC18,'Loan Tape (BoE)'!AD18)</f>
        <v/>
      </c>
      <c r="AI17" s="18">
        <f>'Loan Tape (BoE)'!AE18</f>
        <v/>
      </c>
      <c r="AJ17" s="18">
        <f>B17*H17/12</f>
        <v/>
      </c>
      <c r="AK17" s="21">
        <f>IF(AJ17&gt;0,AI17/AJ17,0)</f>
        <v/>
      </c>
      <c r="AL17" s="17">
        <f>IF('Loan Tape (BoE)'!AF18=1,"Yes","No")</f>
        <v/>
      </c>
      <c r="AM17" s="17">
        <f>IF('Loan Tape (BoE)'!AH18=1,"Yes","No")</f>
        <v/>
      </c>
      <c r="AN17" s="17">
        <f>IF('Loan Tape (BoE)'!AI18=1,"Yes","No")</f>
        <v/>
      </c>
      <c r="AO17" s="17">
        <f>IF('Loan Tape (BoE)'!AJ18=1,"Yes","No")</f>
        <v/>
      </c>
      <c r="AP17" s="17">
        <f>IF(OR('Loan Tape (BoE)'!AQ17=1,'Loan Tape (BoE)'!AQ17=2),"Yes",IF('Loan Tape (BoE)'!AQ17=0,"No",""))</f>
        <v/>
      </c>
      <c r="AQ17" s="17">
        <f>IF('Loan Tape (BoE)'!BV49_17&lt;&gt;"",'Loan Tape (BoE)'!BV49_17,"")</f>
        <v/>
      </c>
      <c r="AR17" s="17">
        <f>IF('Loan Tape (BoE)'!BV170_17&lt;&gt;"",'Loan Tape (BoE)'!BV50_17,"")</f>
        <v/>
      </c>
      <c r="AS17" s="17">
        <f>IFERROR(INDEX('FF Adj Parameters'!$A$103:$B$1017,MATCH('Loan Tape (BoE)'!P17,INDEX('FF Adj Parameters'!$A$103:$B$1017,,1),0),2),"Unknown")</f>
        <v/>
      </c>
      <c r="AT17" s="17">
        <f>IF(N17="Interest Only",M5*O5/12,IF(AND(O5&gt;0,ISNUMBER(O5),ISNUMBER(M5)),ABS(PMT(O5/12,AU5,-M5)),0))</f>
        <v/>
      </c>
      <c r="AU17" s="17">
        <f>IF(ISNUMBER(L17),MAX(0,(L5-'Control Panel'!$B$10)*12/365.25),0)</f>
        <v/>
      </c>
      <c r="AV17" s="17">
        <f>IF(ISNUMBER(L17),IF(L5&gt;'Control Panel'!$B$10,"Valid","Past Maturity"),"No Date")</f>
        <v/>
      </c>
      <c r="AW17" s="17">
        <f>IF(ISNUMBER(K17),MAX(0,('Control Panel'!$B$10-K5)*12/365.25),0)</f>
        <v/>
      </c>
    </row>
    <row r="18">
      <c r="A18" s="17">
        <f>'Loan Tape (BoE)'!A19</f>
        <v/>
      </c>
      <c r="B18" s="18">
        <f>IFERROR(INDEX('FF Adj Parameters'!$A$89:$B$92,MATCH('Loan Tape (BoE)'!C18,INDEX('FF Adj Parameters'!$A$89:$B$92,,1),0),2),"Unknown")</f>
        <v/>
      </c>
      <c r="C18" s="18">
        <f>'Loan Tape (BoE)'!C19</f>
        <v/>
      </c>
      <c r="D18" s="18">
        <f>'Loan Tape (BoE)'!D19</f>
        <v/>
      </c>
      <c r="E18" s="18">
        <f>'Loan Tape (BoE)'!E19</f>
        <v/>
      </c>
      <c r="F18" s="19">
        <f>'Loan Tape (BoE)'!F19</f>
        <v/>
      </c>
      <c r="G18" s="19">
        <f>'Loan Tape (BoE)'!G19</f>
        <v/>
      </c>
      <c r="H18" s="20">
        <f>'Loan Tape (BoE)'!H19/100</f>
        <v/>
      </c>
      <c r="I18" s="17">
        <f>IFERROR(IFS('Loan Tape (BoE)'!I19=1,"House",'Loan Tape (BoE)'!I19=2,"Flat",'Loan Tape (BoE)'!I19=3,"Bungalow",'Loan Tape (BoE)'!I19=4,"Maisonette"),"")</f>
        <v/>
      </c>
      <c r="J18" s="17">
        <f>'Loan Tape (BoE)'!J19</f>
        <v/>
      </c>
      <c r="K18" s="17">
        <f>'Loan Tape (BoE)'!K19</f>
        <v/>
      </c>
      <c r="L18" s="17">
        <f>IFERROR(IFS('Loan Tape (BoE)'!L19=1,"Owner Occupied",'Loan Tape (BoE)'!L19=2,"BTL",'Loan Tape (BoE)'!L19=3,"Second Home",'Loan Tape (BoE)'!L19=4,"Investment"),"")</f>
        <v/>
      </c>
      <c r="M18" s="17">
        <f>IFERROR(IFS('Loan Tape (BoE)'!M19=1,"Purchase",'Loan Tape (BoE)'!M19=2,"Remortgage",OR('Loan Tape (BoE)'!M19=3,'Loan Tape (BoE)'!M19=4),"Cash-out"),"")</f>
        <v/>
      </c>
      <c r="N18" s="17">
        <f>IFERROR(INDEX('FF Adj Parameters'!$A$96:$B$99,MATCH('Loan Tape (BoE)'!R18,INDEX('FF Adj Parameters'!$A$96:$B$99,,1),0),2),"Unknown")</f>
        <v/>
      </c>
      <c r="O18" s="17">
        <f>IF('Loan Tape (BoE)'!O19=1,"Yes","No")</f>
        <v/>
      </c>
      <c r="P18" s="17">
        <f>IF('Loan Tape (BoE)'!P18=1,"Yes",IF('Loan Tape (BoE)'!P18=0,"No",""))</f>
        <v/>
      </c>
      <c r="Q18" s="17">
        <f>IF('Loan Tape (BoE)'!Q18=1,"Yes",IF('Loan Tape (BoE)'!Q18=0,"No",""))</f>
        <v/>
      </c>
      <c r="R18" s="18">
        <f>IF('Loan Tape (BoE)'!R18=1,"Yes",IF('Loan Tape (BoE)'!R18=0,"No",""))</f>
        <v/>
      </c>
      <c r="S18" s="18">
        <f>IF('Loan Tape (BoE)'!S18=1,"Yes",IF('Loan Tape (BoE)'!S18=0,"No",""))</f>
        <v/>
      </c>
      <c r="T18" s="17">
        <f>IF('Loan Tape (BoE)'!T18=1,"Yes",IF('Loan Tape (BoE)'!T18=0,"No",""))</f>
        <v/>
      </c>
      <c r="U18" s="18">
        <f>R18+S18</f>
        <v/>
      </c>
      <c r="V18" s="17">
        <f>IFERROR(IFS('Loan Tape (BoE)'!U19=1,"Employed",'Loan Tape (BoE)'!U19=2,"Self-Employed",'Loan Tape (BoE)'!U19=3,"Unemployed",'Loan Tape (BoE)'!U19=4,"Retired"),"")</f>
        <v/>
      </c>
      <c r="W18" s="17">
        <f>IFERROR(IFS('Loan Tape (BoE)'!V19=1,"Employed",'Loan Tape (BoE)'!V19=2,"Self-Employed",'Loan Tape (BoE)'!V19=3,"Unemployed",'Loan Tape (BoE)'!V19=4,"Retired"),"")</f>
        <v/>
      </c>
      <c r="X18" s="17">
        <f>IF(OR(V18="Self-Employed",W18="Self-Employed"),"Yes","No")</f>
        <v/>
      </c>
      <c r="Y18" s="17">
        <f>'Loan Tape (BoE)'!W19</f>
        <v/>
      </c>
      <c r="Z18" s="17">
        <f>'Loan Tape (BoE)'!X19</f>
        <v/>
      </c>
      <c r="AA18" s="17">
        <f>IF(T18=1,Y18,MIN(Y18,Z18))</f>
        <v/>
      </c>
      <c r="AB18" s="17">
        <f>'Loan Tape (BoE)'!Y19</f>
        <v/>
      </c>
      <c r="AC18" s="17">
        <f>'Loan Tape (BoE)'!Z19</f>
        <v/>
      </c>
      <c r="AD18" s="17">
        <f>AB18+AC18</f>
        <v/>
      </c>
      <c r="AE18" s="18">
        <f>'Loan Tape (BoE)'!AA19</f>
        <v/>
      </c>
      <c r="AF18" s="18">
        <f>'Loan Tape (BoE)'!AB19</f>
        <v/>
      </c>
      <c r="AG18" s="18">
        <f>AE18+AF18</f>
        <v/>
      </c>
      <c r="AH18" s="19">
        <f>MAX('Loan Tape (BoE)'!AC19,'Loan Tape (BoE)'!AD19)</f>
        <v/>
      </c>
      <c r="AI18" s="18">
        <f>'Loan Tape (BoE)'!AE19</f>
        <v/>
      </c>
      <c r="AJ18" s="18">
        <f>B18*H18/12</f>
        <v/>
      </c>
      <c r="AK18" s="21">
        <f>IF(AJ18&gt;0,AI18/AJ18,0)</f>
        <v/>
      </c>
      <c r="AL18" s="17">
        <f>IF('Loan Tape (BoE)'!AF19=1,"Yes","No")</f>
        <v/>
      </c>
      <c r="AM18" s="17">
        <f>IF('Loan Tape (BoE)'!AH19=1,"Yes","No")</f>
        <v/>
      </c>
      <c r="AN18" s="17">
        <f>IF('Loan Tape (BoE)'!AI19=1,"Yes","No")</f>
        <v/>
      </c>
      <c r="AO18" s="17">
        <f>IF('Loan Tape (BoE)'!AJ19=1,"Yes","No")</f>
        <v/>
      </c>
      <c r="AP18" s="17">
        <f>IF(OR('Loan Tape (BoE)'!AQ18=1,'Loan Tape (BoE)'!AQ18=2),"Yes",IF('Loan Tape (BoE)'!AQ18=0,"No",""))</f>
        <v/>
      </c>
      <c r="AQ18" s="17">
        <f>IF('Loan Tape (BoE)'!BV49_18&lt;&gt;"",'Loan Tape (BoE)'!BV49_18,"")</f>
        <v/>
      </c>
      <c r="AR18" s="17">
        <f>IF('Loan Tape (BoE)'!BV180_18&lt;&gt;"",'Loan Tape (BoE)'!BV50_18,"")</f>
        <v/>
      </c>
      <c r="AS18" s="17">
        <f>IFERROR(INDEX('FF Adj Parameters'!$A$103:$B$1018,MATCH('Loan Tape (BoE)'!P18,INDEX('FF Adj Parameters'!$A$103:$B$1018,,1),0),2),"Unknown")</f>
        <v/>
      </c>
      <c r="AT18" s="17">
        <f>IF(N18="Interest Only",M5*O5/12,IF(AND(O5&gt;0,ISNUMBER(O5),ISNUMBER(M5)),ABS(PMT(O5/12,AU5,-M5)),0))</f>
        <v/>
      </c>
      <c r="AU18" s="17">
        <f>IF(ISNUMBER(L18),MAX(0,(L5-'Control Panel'!$B$10)*12/365.25),0)</f>
        <v/>
      </c>
      <c r="AV18" s="17">
        <f>IF(ISNUMBER(L18),IF(L5&gt;'Control Panel'!$B$10,"Valid","Past Maturity"),"No Date")</f>
        <v/>
      </c>
      <c r="AW18" s="17">
        <f>IF(ISNUMBER(K18),MAX(0,('Control Panel'!$B$10-K5)*12/365.25),0)</f>
        <v/>
      </c>
    </row>
    <row r="19">
      <c r="A19" s="17">
        <f>'Loan Tape (BoE)'!A20</f>
        <v/>
      </c>
      <c r="B19" s="18">
        <f>IFERROR(INDEX('FF Adj Parameters'!$A$89:$B$92,MATCH('Loan Tape (BoE)'!C19,INDEX('FF Adj Parameters'!$A$89:$B$92,,1),0),2),"Unknown")</f>
        <v/>
      </c>
      <c r="C19" s="18">
        <f>'Loan Tape (BoE)'!C20</f>
        <v/>
      </c>
      <c r="D19" s="18">
        <f>'Loan Tape (BoE)'!D20</f>
        <v/>
      </c>
      <c r="E19" s="18">
        <f>'Loan Tape (BoE)'!E20</f>
        <v/>
      </c>
      <c r="F19" s="19">
        <f>'Loan Tape (BoE)'!F20</f>
        <v/>
      </c>
      <c r="G19" s="19">
        <f>'Loan Tape (BoE)'!G20</f>
        <v/>
      </c>
      <c r="H19" s="20">
        <f>'Loan Tape (BoE)'!H20/100</f>
        <v/>
      </c>
      <c r="I19" s="17">
        <f>IFERROR(IFS('Loan Tape (BoE)'!I20=1,"House",'Loan Tape (BoE)'!I20=2,"Flat",'Loan Tape (BoE)'!I20=3,"Bungalow",'Loan Tape (BoE)'!I20=4,"Maisonette"),"")</f>
        <v/>
      </c>
      <c r="J19" s="17">
        <f>'Loan Tape (BoE)'!J20</f>
        <v/>
      </c>
      <c r="K19" s="17">
        <f>'Loan Tape (BoE)'!K20</f>
        <v/>
      </c>
      <c r="L19" s="17">
        <f>IFERROR(IFS('Loan Tape (BoE)'!L20=1,"Owner Occupied",'Loan Tape (BoE)'!L20=2,"BTL",'Loan Tape (BoE)'!L20=3,"Second Home",'Loan Tape (BoE)'!L20=4,"Investment"),"")</f>
        <v/>
      </c>
      <c r="M19" s="17">
        <f>IFERROR(IFS('Loan Tape (BoE)'!M20=1,"Purchase",'Loan Tape (BoE)'!M20=2,"Remortgage",OR('Loan Tape (BoE)'!M20=3,'Loan Tape (BoE)'!M20=4),"Cash-out"),"")</f>
        <v/>
      </c>
      <c r="N19" s="17">
        <f>IFERROR(INDEX('FF Adj Parameters'!$A$96:$B$99,MATCH('Loan Tape (BoE)'!R19,INDEX('FF Adj Parameters'!$A$96:$B$99,,1),0),2),"Unknown")</f>
        <v/>
      </c>
      <c r="O19" s="17">
        <f>IF('Loan Tape (BoE)'!O20=1,"Yes","No")</f>
        <v/>
      </c>
      <c r="P19" s="17">
        <f>IF('Loan Tape (BoE)'!P19=1,"Yes",IF('Loan Tape (BoE)'!P19=0,"No",""))</f>
        <v/>
      </c>
      <c r="Q19" s="17">
        <f>IF('Loan Tape (BoE)'!Q19=1,"Yes",IF('Loan Tape (BoE)'!Q19=0,"No",""))</f>
        <v/>
      </c>
      <c r="R19" s="18">
        <f>IF('Loan Tape (BoE)'!R19=1,"Yes",IF('Loan Tape (BoE)'!R19=0,"No",""))</f>
        <v/>
      </c>
      <c r="S19" s="18">
        <f>IF('Loan Tape (BoE)'!S19=1,"Yes",IF('Loan Tape (BoE)'!S19=0,"No",""))</f>
        <v/>
      </c>
      <c r="T19" s="17">
        <f>IF('Loan Tape (BoE)'!T19=1,"Yes",IF('Loan Tape (BoE)'!T19=0,"No",""))</f>
        <v/>
      </c>
      <c r="U19" s="18">
        <f>R19+S19</f>
        <v/>
      </c>
      <c r="V19" s="17">
        <f>IFERROR(IFS('Loan Tape (BoE)'!U20=1,"Employed",'Loan Tape (BoE)'!U20=2,"Self-Employed",'Loan Tape (BoE)'!U20=3,"Unemployed",'Loan Tape (BoE)'!U20=4,"Retired"),"")</f>
        <v/>
      </c>
      <c r="W19" s="17">
        <f>IFERROR(IFS('Loan Tape (BoE)'!V20=1,"Employed",'Loan Tape (BoE)'!V20=2,"Self-Employed",'Loan Tape (BoE)'!V20=3,"Unemployed",'Loan Tape (BoE)'!V20=4,"Retired"),"")</f>
        <v/>
      </c>
      <c r="X19" s="17">
        <f>IF(OR(V19="Self-Employed",W19="Self-Employed"),"Yes","No")</f>
        <v/>
      </c>
      <c r="Y19" s="17">
        <f>'Loan Tape (BoE)'!W20</f>
        <v/>
      </c>
      <c r="Z19" s="17">
        <f>'Loan Tape (BoE)'!X20</f>
        <v/>
      </c>
      <c r="AA19" s="17">
        <f>IF(T19=1,Y19,MIN(Y19,Z19))</f>
        <v/>
      </c>
      <c r="AB19" s="17">
        <f>'Loan Tape (BoE)'!Y20</f>
        <v/>
      </c>
      <c r="AC19" s="17">
        <f>'Loan Tape (BoE)'!Z20</f>
        <v/>
      </c>
      <c r="AD19" s="17">
        <f>AB19+AC19</f>
        <v/>
      </c>
      <c r="AE19" s="18">
        <f>'Loan Tape (BoE)'!AA20</f>
        <v/>
      </c>
      <c r="AF19" s="18">
        <f>'Loan Tape (BoE)'!AB20</f>
        <v/>
      </c>
      <c r="AG19" s="18">
        <f>AE19+AF19</f>
        <v/>
      </c>
      <c r="AH19" s="19">
        <f>MAX('Loan Tape (BoE)'!AC20,'Loan Tape (BoE)'!AD20)</f>
        <v/>
      </c>
      <c r="AI19" s="18">
        <f>'Loan Tape (BoE)'!AE20</f>
        <v/>
      </c>
      <c r="AJ19" s="18">
        <f>B19*H19/12</f>
        <v/>
      </c>
      <c r="AK19" s="21">
        <f>IF(AJ19&gt;0,AI19/AJ19,0)</f>
        <v/>
      </c>
      <c r="AL19" s="17">
        <f>IF('Loan Tape (BoE)'!AF20=1,"Yes","No")</f>
        <v/>
      </c>
      <c r="AM19" s="17">
        <f>IF('Loan Tape (BoE)'!AH20=1,"Yes","No")</f>
        <v/>
      </c>
      <c r="AN19" s="17">
        <f>IF('Loan Tape (BoE)'!AI20=1,"Yes","No")</f>
        <v/>
      </c>
      <c r="AO19" s="17">
        <f>IF('Loan Tape (BoE)'!AJ20=1,"Yes","No")</f>
        <v/>
      </c>
      <c r="AP19" s="17">
        <f>IF(OR('Loan Tape (BoE)'!AQ19=1,'Loan Tape (BoE)'!AQ19=2),"Yes",IF('Loan Tape (BoE)'!AQ19=0,"No",""))</f>
        <v/>
      </c>
      <c r="AQ19" s="17">
        <f>IF('Loan Tape (BoE)'!BV49_19&lt;&gt;"",'Loan Tape (BoE)'!BV49_19,"")</f>
        <v/>
      </c>
      <c r="AR19" s="17">
        <f>IF('Loan Tape (BoE)'!BV190_19&lt;&gt;"",'Loan Tape (BoE)'!BV50_19,"")</f>
        <v/>
      </c>
      <c r="AS19" s="17">
        <f>IFERROR(INDEX('FF Adj Parameters'!$A$103:$B$1019,MATCH('Loan Tape (BoE)'!P19,INDEX('FF Adj Parameters'!$A$103:$B$1019,,1),0),2),"Unknown")</f>
        <v/>
      </c>
      <c r="AT19" s="17">
        <f>IF(N19="Interest Only",M5*O5/12,IF(AND(O5&gt;0,ISNUMBER(O5),ISNUMBER(M5)),ABS(PMT(O5/12,AU5,-M5)),0))</f>
        <v/>
      </c>
      <c r="AU19" s="17">
        <f>IF(ISNUMBER(L19),MAX(0,(L5-'Control Panel'!$B$10)*12/365.25),0)</f>
        <v/>
      </c>
      <c r="AV19" s="17">
        <f>IF(ISNUMBER(L19),IF(L5&gt;'Control Panel'!$B$10,"Valid","Past Maturity"),"No Date")</f>
        <v/>
      </c>
      <c r="AW19" s="17">
        <f>IF(ISNUMBER(K19),MAX(0,('Control Panel'!$B$10-K5)*12/365.25),0)</f>
        <v/>
      </c>
    </row>
    <row r="20">
      <c r="A20" s="17">
        <f>'Loan Tape (BoE)'!A21</f>
        <v/>
      </c>
      <c r="B20" s="18">
        <f>IFERROR(INDEX('FF Adj Parameters'!$A$89:$B$92,MATCH('Loan Tape (BoE)'!C20,INDEX('FF Adj Parameters'!$A$89:$B$92,,1),0),2),"Unknown")</f>
        <v/>
      </c>
      <c r="C20" s="18">
        <f>'Loan Tape (BoE)'!C21</f>
        <v/>
      </c>
      <c r="D20" s="18">
        <f>'Loan Tape (BoE)'!D21</f>
        <v/>
      </c>
      <c r="E20" s="18">
        <f>'Loan Tape (BoE)'!E21</f>
        <v/>
      </c>
      <c r="F20" s="19">
        <f>'Loan Tape (BoE)'!F21</f>
        <v/>
      </c>
      <c r="G20" s="19">
        <f>'Loan Tape (BoE)'!G21</f>
        <v/>
      </c>
      <c r="H20" s="20">
        <f>'Loan Tape (BoE)'!H21/100</f>
        <v/>
      </c>
      <c r="I20" s="17">
        <f>IFERROR(IFS('Loan Tape (BoE)'!I21=1,"House",'Loan Tape (BoE)'!I21=2,"Flat",'Loan Tape (BoE)'!I21=3,"Bungalow",'Loan Tape (BoE)'!I21=4,"Maisonette"),"")</f>
        <v/>
      </c>
      <c r="J20" s="17">
        <f>'Loan Tape (BoE)'!J21</f>
        <v/>
      </c>
      <c r="K20" s="17">
        <f>'Loan Tape (BoE)'!K21</f>
        <v/>
      </c>
      <c r="L20" s="17">
        <f>IFERROR(IFS('Loan Tape (BoE)'!L21=1,"Owner Occupied",'Loan Tape (BoE)'!L21=2,"BTL",'Loan Tape (BoE)'!L21=3,"Second Home",'Loan Tape (BoE)'!L21=4,"Investment"),"")</f>
        <v/>
      </c>
      <c r="M20" s="17">
        <f>IFERROR(IFS('Loan Tape (BoE)'!M21=1,"Purchase",'Loan Tape (BoE)'!M21=2,"Remortgage",OR('Loan Tape (BoE)'!M21=3,'Loan Tape (BoE)'!M21=4),"Cash-out"),"")</f>
        <v/>
      </c>
      <c r="N20" s="17">
        <f>IFERROR(INDEX('FF Adj Parameters'!$A$96:$B$99,MATCH('Loan Tape (BoE)'!R20,INDEX('FF Adj Parameters'!$A$96:$B$99,,1),0),2),"Unknown")</f>
        <v/>
      </c>
      <c r="O20" s="17">
        <f>IF('Loan Tape (BoE)'!O21=1,"Yes","No")</f>
        <v/>
      </c>
      <c r="P20" s="17">
        <f>IF('Loan Tape (BoE)'!P20=1,"Yes",IF('Loan Tape (BoE)'!P20=0,"No",""))</f>
        <v/>
      </c>
      <c r="Q20" s="17">
        <f>IF('Loan Tape (BoE)'!Q20=1,"Yes",IF('Loan Tape (BoE)'!Q20=0,"No",""))</f>
        <v/>
      </c>
      <c r="R20" s="18">
        <f>IF('Loan Tape (BoE)'!R20=1,"Yes",IF('Loan Tape (BoE)'!R20=0,"No",""))</f>
        <v/>
      </c>
      <c r="S20" s="18">
        <f>IF('Loan Tape (BoE)'!S20=1,"Yes",IF('Loan Tape (BoE)'!S20=0,"No",""))</f>
        <v/>
      </c>
      <c r="T20" s="17">
        <f>IF('Loan Tape (BoE)'!T20=1,"Yes",IF('Loan Tape (BoE)'!T20=0,"No",""))</f>
        <v/>
      </c>
      <c r="U20" s="18">
        <f>R20+S20</f>
        <v/>
      </c>
      <c r="V20" s="17">
        <f>IFERROR(IFS('Loan Tape (BoE)'!U21=1,"Employed",'Loan Tape (BoE)'!U21=2,"Self-Employed",'Loan Tape (BoE)'!U21=3,"Unemployed",'Loan Tape (BoE)'!U21=4,"Retired"),"")</f>
        <v/>
      </c>
      <c r="W20" s="17">
        <f>IFERROR(IFS('Loan Tape (BoE)'!V21=1,"Employed",'Loan Tape (BoE)'!V21=2,"Self-Employed",'Loan Tape (BoE)'!V21=3,"Unemployed",'Loan Tape (BoE)'!V21=4,"Retired"),"")</f>
        <v/>
      </c>
      <c r="X20" s="17">
        <f>IF(OR(V20="Self-Employed",W20="Self-Employed"),"Yes","No")</f>
        <v/>
      </c>
      <c r="Y20" s="17">
        <f>'Loan Tape (BoE)'!W21</f>
        <v/>
      </c>
      <c r="Z20" s="17">
        <f>'Loan Tape (BoE)'!X21</f>
        <v/>
      </c>
      <c r="AA20" s="17">
        <f>IF(T20=1,Y20,MIN(Y20,Z20))</f>
        <v/>
      </c>
      <c r="AB20" s="17">
        <f>'Loan Tape (BoE)'!Y21</f>
        <v/>
      </c>
      <c r="AC20" s="17">
        <f>'Loan Tape (BoE)'!Z21</f>
        <v/>
      </c>
      <c r="AD20" s="17">
        <f>AB20+AC20</f>
        <v/>
      </c>
      <c r="AE20" s="18">
        <f>'Loan Tape (BoE)'!AA21</f>
        <v/>
      </c>
      <c r="AF20" s="18">
        <f>'Loan Tape (BoE)'!AB21</f>
        <v/>
      </c>
      <c r="AG20" s="18">
        <f>AE20+AF20</f>
        <v/>
      </c>
      <c r="AH20" s="19">
        <f>MAX('Loan Tape (BoE)'!AC21,'Loan Tape (BoE)'!AD21)</f>
        <v/>
      </c>
      <c r="AI20" s="18">
        <f>'Loan Tape (BoE)'!AE21</f>
        <v/>
      </c>
      <c r="AJ20" s="18">
        <f>B20*H20/12</f>
        <v/>
      </c>
      <c r="AK20" s="21">
        <f>IF(AJ20&gt;0,AI20/AJ20,0)</f>
        <v/>
      </c>
      <c r="AL20" s="17">
        <f>IF('Loan Tape (BoE)'!AF21=1,"Yes","No")</f>
        <v/>
      </c>
      <c r="AM20" s="17">
        <f>IF('Loan Tape (BoE)'!AH21=1,"Yes","No")</f>
        <v/>
      </c>
      <c r="AN20" s="17">
        <f>IF('Loan Tape (BoE)'!AI21=1,"Yes","No")</f>
        <v/>
      </c>
      <c r="AO20" s="17">
        <f>IF('Loan Tape (BoE)'!AJ21=1,"Yes","No")</f>
        <v/>
      </c>
      <c r="AP20" s="17">
        <f>IF(OR('Loan Tape (BoE)'!AQ20=1,'Loan Tape (BoE)'!AQ20=2),"Yes",IF('Loan Tape (BoE)'!AQ20=0,"No",""))</f>
        <v/>
      </c>
      <c r="AQ20" s="17">
        <f>IF('Loan Tape (BoE)'!BV49_20&lt;&gt;"",'Loan Tape (BoE)'!BV49_20,"")</f>
        <v/>
      </c>
      <c r="AR20" s="17">
        <f>IF('Loan Tape (BoE)'!BV200_20&lt;&gt;"",'Loan Tape (BoE)'!BV50_20,"")</f>
        <v/>
      </c>
      <c r="AS20" s="17">
        <f>IFERROR(INDEX('FF Adj Parameters'!$A$103:$B$1020,MATCH('Loan Tape (BoE)'!P20,INDEX('FF Adj Parameters'!$A$103:$B$1020,,1),0),2),"Unknown")</f>
        <v/>
      </c>
      <c r="AT20" s="17">
        <f>IF(N20="Interest Only",M5*O5/12,IF(AND(O5&gt;0,ISNUMBER(O5),ISNUMBER(M5)),ABS(PMT(O5/12,AU5,-M5)),0))</f>
        <v/>
      </c>
      <c r="AU20" s="17">
        <f>IF(ISNUMBER(L20),MAX(0,(L5-'Control Panel'!$B$10)*12/365.25),0)</f>
        <v/>
      </c>
      <c r="AV20" s="17">
        <f>IF(ISNUMBER(L20),IF(L5&gt;'Control Panel'!$B$10,"Valid","Past Maturity"),"No Date")</f>
        <v/>
      </c>
      <c r="AW20" s="17">
        <f>IF(ISNUMBER(K20),MAX(0,('Control Panel'!$B$10-K5)*12/365.25),0)</f>
        <v/>
      </c>
    </row>
    <row r="21">
      <c r="A21" s="17">
        <f>'Loan Tape (BoE)'!A22</f>
        <v/>
      </c>
      <c r="B21" s="18">
        <f>IFERROR(INDEX('FF Adj Parameters'!$A$89:$B$92,MATCH('Loan Tape (BoE)'!C21,INDEX('FF Adj Parameters'!$A$89:$B$92,,1),0),2),"Unknown")</f>
        <v/>
      </c>
      <c r="C21" s="18">
        <f>'Loan Tape (BoE)'!C22</f>
        <v/>
      </c>
      <c r="D21" s="18">
        <f>'Loan Tape (BoE)'!D22</f>
        <v/>
      </c>
      <c r="E21" s="18">
        <f>'Loan Tape (BoE)'!E22</f>
        <v/>
      </c>
      <c r="F21" s="19">
        <f>'Loan Tape (BoE)'!F22</f>
        <v/>
      </c>
      <c r="G21" s="19">
        <f>'Loan Tape (BoE)'!G22</f>
        <v/>
      </c>
      <c r="H21" s="20">
        <f>'Loan Tape (BoE)'!H22/100</f>
        <v/>
      </c>
      <c r="I21" s="17">
        <f>IFERROR(IFS('Loan Tape (BoE)'!I22=1,"House",'Loan Tape (BoE)'!I22=2,"Flat",'Loan Tape (BoE)'!I22=3,"Bungalow",'Loan Tape (BoE)'!I22=4,"Maisonette"),"")</f>
        <v/>
      </c>
      <c r="J21" s="17">
        <f>'Loan Tape (BoE)'!J22</f>
        <v/>
      </c>
      <c r="K21" s="17">
        <f>'Loan Tape (BoE)'!K22</f>
        <v/>
      </c>
      <c r="L21" s="17">
        <f>IFERROR(IFS('Loan Tape (BoE)'!L22=1,"Owner Occupied",'Loan Tape (BoE)'!L22=2,"BTL",'Loan Tape (BoE)'!L22=3,"Second Home",'Loan Tape (BoE)'!L22=4,"Investment"),"")</f>
        <v/>
      </c>
      <c r="M21" s="17">
        <f>IFERROR(IFS('Loan Tape (BoE)'!M22=1,"Purchase",'Loan Tape (BoE)'!M22=2,"Remortgage",OR('Loan Tape (BoE)'!M22=3,'Loan Tape (BoE)'!M22=4),"Cash-out"),"")</f>
        <v/>
      </c>
      <c r="N21" s="17">
        <f>IFERROR(INDEX('FF Adj Parameters'!$A$96:$B$99,MATCH('Loan Tape (BoE)'!R21,INDEX('FF Adj Parameters'!$A$96:$B$99,,1),0),2),"Unknown")</f>
        <v/>
      </c>
      <c r="O21" s="17">
        <f>IF('Loan Tape (BoE)'!O22=1,"Yes","No")</f>
        <v/>
      </c>
      <c r="P21" s="17">
        <f>IF('Loan Tape (BoE)'!P21=1,"Yes",IF('Loan Tape (BoE)'!P21=0,"No",""))</f>
        <v/>
      </c>
      <c r="Q21" s="17">
        <f>IF('Loan Tape (BoE)'!Q21=1,"Yes",IF('Loan Tape (BoE)'!Q21=0,"No",""))</f>
        <v/>
      </c>
      <c r="R21" s="18">
        <f>IF('Loan Tape (BoE)'!R21=1,"Yes",IF('Loan Tape (BoE)'!R21=0,"No",""))</f>
        <v/>
      </c>
      <c r="S21" s="18">
        <f>IF('Loan Tape (BoE)'!S21=1,"Yes",IF('Loan Tape (BoE)'!S21=0,"No",""))</f>
        <v/>
      </c>
      <c r="T21" s="17">
        <f>IF('Loan Tape (BoE)'!T21=1,"Yes",IF('Loan Tape (BoE)'!T21=0,"No",""))</f>
        <v/>
      </c>
      <c r="U21" s="18">
        <f>R21+S21</f>
        <v/>
      </c>
      <c r="V21" s="17">
        <f>IFERROR(IFS('Loan Tape (BoE)'!U22=1,"Employed",'Loan Tape (BoE)'!U22=2,"Self-Employed",'Loan Tape (BoE)'!U22=3,"Unemployed",'Loan Tape (BoE)'!U22=4,"Retired"),"")</f>
        <v/>
      </c>
      <c r="W21" s="17">
        <f>IFERROR(IFS('Loan Tape (BoE)'!V22=1,"Employed",'Loan Tape (BoE)'!V22=2,"Self-Employed",'Loan Tape (BoE)'!V22=3,"Unemployed",'Loan Tape (BoE)'!V22=4,"Retired"),"")</f>
        <v/>
      </c>
      <c r="X21" s="17">
        <f>IF(OR(V21="Self-Employed",W21="Self-Employed"),"Yes","No")</f>
        <v/>
      </c>
      <c r="Y21" s="17">
        <f>'Loan Tape (BoE)'!W22</f>
        <v/>
      </c>
      <c r="Z21" s="17">
        <f>'Loan Tape (BoE)'!X22</f>
        <v/>
      </c>
      <c r="AA21" s="17">
        <f>IF(T21=1,Y21,MIN(Y21,Z21))</f>
        <v/>
      </c>
      <c r="AB21" s="17">
        <f>'Loan Tape (BoE)'!Y22</f>
        <v/>
      </c>
      <c r="AC21" s="17">
        <f>'Loan Tape (BoE)'!Z22</f>
        <v/>
      </c>
      <c r="AD21" s="17">
        <f>AB21+AC21</f>
        <v/>
      </c>
      <c r="AE21" s="18">
        <f>'Loan Tape (BoE)'!AA22</f>
        <v/>
      </c>
      <c r="AF21" s="18">
        <f>'Loan Tape (BoE)'!AB22</f>
        <v/>
      </c>
      <c r="AG21" s="18">
        <f>AE21+AF21</f>
        <v/>
      </c>
      <c r="AH21" s="19">
        <f>MAX('Loan Tape (BoE)'!AC22,'Loan Tape (BoE)'!AD22)</f>
        <v/>
      </c>
      <c r="AI21" s="18">
        <f>'Loan Tape (BoE)'!AE22</f>
        <v/>
      </c>
      <c r="AJ21" s="18">
        <f>B21*H21/12</f>
        <v/>
      </c>
      <c r="AK21" s="21">
        <f>IF(AJ21&gt;0,AI21/AJ21,0)</f>
        <v/>
      </c>
      <c r="AL21" s="17">
        <f>IF('Loan Tape (BoE)'!AF22=1,"Yes","No")</f>
        <v/>
      </c>
      <c r="AM21" s="17">
        <f>IF('Loan Tape (BoE)'!AH22=1,"Yes","No")</f>
        <v/>
      </c>
      <c r="AN21" s="17">
        <f>IF('Loan Tape (BoE)'!AI22=1,"Yes","No")</f>
        <v/>
      </c>
      <c r="AO21" s="17">
        <f>IF('Loan Tape (BoE)'!AJ22=1,"Yes","No")</f>
        <v/>
      </c>
      <c r="AP21" s="17">
        <f>IF(OR('Loan Tape (BoE)'!AQ21=1,'Loan Tape (BoE)'!AQ21=2),"Yes",IF('Loan Tape (BoE)'!AQ21=0,"No",""))</f>
        <v/>
      </c>
      <c r="AQ21" s="17">
        <f>IF('Loan Tape (BoE)'!BV49_21&lt;&gt;"",'Loan Tape (BoE)'!BV49_21,"")</f>
        <v/>
      </c>
      <c r="AR21" s="17">
        <f>IF('Loan Tape (BoE)'!BV210_21&lt;&gt;"",'Loan Tape (BoE)'!BV50_21,"")</f>
        <v/>
      </c>
      <c r="AS21" s="17">
        <f>IFERROR(INDEX('FF Adj Parameters'!$A$103:$B$1021,MATCH('Loan Tape (BoE)'!P21,INDEX('FF Adj Parameters'!$A$103:$B$1021,,1),0),2),"Unknown")</f>
        <v/>
      </c>
      <c r="AT21" s="17">
        <f>IF(N21="Interest Only",M5*O5/12,IF(AND(O5&gt;0,ISNUMBER(O5),ISNUMBER(M5)),ABS(PMT(O5/12,AU5,-M5)),0))</f>
        <v/>
      </c>
      <c r="AU21" s="17">
        <f>IF(ISNUMBER(L21),MAX(0,(L5-'Control Panel'!$B$10)*12/365.25),0)</f>
        <v/>
      </c>
      <c r="AV21" s="17">
        <f>IF(ISNUMBER(L21),IF(L5&gt;'Control Panel'!$B$10,"Valid","Past Maturity"),"No Date")</f>
        <v/>
      </c>
      <c r="AW21" s="17">
        <f>IF(ISNUMBER(K21),MAX(0,('Control Panel'!$B$10-K5)*12/365.25),0)</f>
        <v/>
      </c>
    </row>
    <row r="22">
      <c r="A22" s="17">
        <f>'Loan Tape (BoE)'!A23</f>
        <v/>
      </c>
      <c r="B22" s="18">
        <f>IFERROR(INDEX('FF Adj Parameters'!$A$89:$B$92,MATCH('Loan Tape (BoE)'!C22,INDEX('FF Adj Parameters'!$A$89:$B$92,,1),0),2),"Unknown")</f>
        <v/>
      </c>
      <c r="C22" s="18">
        <f>'Loan Tape (BoE)'!C23</f>
        <v/>
      </c>
      <c r="D22" s="18">
        <f>'Loan Tape (BoE)'!D23</f>
        <v/>
      </c>
      <c r="E22" s="18">
        <f>'Loan Tape (BoE)'!E23</f>
        <v/>
      </c>
      <c r="F22" s="19">
        <f>'Loan Tape (BoE)'!F23</f>
        <v/>
      </c>
      <c r="G22" s="19">
        <f>'Loan Tape (BoE)'!G23</f>
        <v/>
      </c>
      <c r="H22" s="20">
        <f>'Loan Tape (BoE)'!H23/100</f>
        <v/>
      </c>
      <c r="I22" s="17">
        <f>IFERROR(IFS('Loan Tape (BoE)'!I23=1,"House",'Loan Tape (BoE)'!I23=2,"Flat",'Loan Tape (BoE)'!I23=3,"Bungalow",'Loan Tape (BoE)'!I23=4,"Maisonette"),"")</f>
        <v/>
      </c>
      <c r="J22" s="17">
        <f>'Loan Tape (BoE)'!J23</f>
        <v/>
      </c>
      <c r="K22" s="17">
        <f>'Loan Tape (BoE)'!K23</f>
        <v/>
      </c>
      <c r="L22" s="17">
        <f>IFERROR(IFS('Loan Tape (BoE)'!L23=1,"Owner Occupied",'Loan Tape (BoE)'!L23=2,"BTL",'Loan Tape (BoE)'!L23=3,"Second Home",'Loan Tape (BoE)'!L23=4,"Investment"),"")</f>
        <v/>
      </c>
      <c r="M22" s="17">
        <f>IFERROR(IFS('Loan Tape (BoE)'!M23=1,"Purchase",'Loan Tape (BoE)'!M23=2,"Remortgage",OR('Loan Tape (BoE)'!M23=3,'Loan Tape (BoE)'!M23=4),"Cash-out"),"")</f>
        <v/>
      </c>
      <c r="N22" s="17">
        <f>IFERROR(INDEX('FF Adj Parameters'!$A$96:$B$99,MATCH('Loan Tape (BoE)'!R22,INDEX('FF Adj Parameters'!$A$96:$B$99,,1),0),2),"Unknown")</f>
        <v/>
      </c>
      <c r="O22" s="17">
        <f>IF('Loan Tape (BoE)'!O23=1,"Yes","No")</f>
        <v/>
      </c>
      <c r="P22" s="17">
        <f>IF('Loan Tape (BoE)'!P22=1,"Yes",IF('Loan Tape (BoE)'!P22=0,"No",""))</f>
        <v/>
      </c>
      <c r="Q22" s="17">
        <f>IF('Loan Tape (BoE)'!Q22=1,"Yes",IF('Loan Tape (BoE)'!Q22=0,"No",""))</f>
        <v/>
      </c>
      <c r="R22" s="18">
        <f>IF('Loan Tape (BoE)'!R22=1,"Yes",IF('Loan Tape (BoE)'!R22=0,"No",""))</f>
        <v/>
      </c>
      <c r="S22" s="18">
        <f>IF('Loan Tape (BoE)'!S22=1,"Yes",IF('Loan Tape (BoE)'!S22=0,"No",""))</f>
        <v/>
      </c>
      <c r="T22" s="17">
        <f>IF('Loan Tape (BoE)'!T22=1,"Yes",IF('Loan Tape (BoE)'!T22=0,"No",""))</f>
        <v/>
      </c>
      <c r="U22" s="18">
        <f>R22+S22</f>
        <v/>
      </c>
      <c r="V22" s="17">
        <f>IFERROR(IFS('Loan Tape (BoE)'!U23=1,"Employed",'Loan Tape (BoE)'!U23=2,"Self-Employed",'Loan Tape (BoE)'!U23=3,"Unemployed",'Loan Tape (BoE)'!U23=4,"Retired"),"")</f>
        <v/>
      </c>
      <c r="W22" s="17">
        <f>IFERROR(IFS('Loan Tape (BoE)'!V23=1,"Employed",'Loan Tape (BoE)'!V23=2,"Self-Employed",'Loan Tape (BoE)'!V23=3,"Unemployed",'Loan Tape (BoE)'!V23=4,"Retired"),"")</f>
        <v/>
      </c>
      <c r="X22" s="17">
        <f>IF(OR(V22="Self-Employed",W22="Self-Employed"),"Yes","No")</f>
        <v/>
      </c>
      <c r="Y22" s="17">
        <f>'Loan Tape (BoE)'!W23</f>
        <v/>
      </c>
      <c r="Z22" s="17">
        <f>'Loan Tape (BoE)'!X23</f>
        <v/>
      </c>
      <c r="AA22" s="17">
        <f>IF(T22=1,Y22,MIN(Y22,Z22))</f>
        <v/>
      </c>
      <c r="AB22" s="17">
        <f>'Loan Tape (BoE)'!Y23</f>
        <v/>
      </c>
      <c r="AC22" s="17">
        <f>'Loan Tape (BoE)'!Z23</f>
        <v/>
      </c>
      <c r="AD22" s="17">
        <f>AB22+AC22</f>
        <v/>
      </c>
      <c r="AE22" s="18">
        <f>'Loan Tape (BoE)'!AA23</f>
        <v/>
      </c>
      <c r="AF22" s="18">
        <f>'Loan Tape (BoE)'!AB23</f>
        <v/>
      </c>
      <c r="AG22" s="18">
        <f>AE22+AF22</f>
        <v/>
      </c>
      <c r="AH22" s="19">
        <f>MAX('Loan Tape (BoE)'!AC23,'Loan Tape (BoE)'!AD23)</f>
        <v/>
      </c>
      <c r="AI22" s="18">
        <f>'Loan Tape (BoE)'!AE23</f>
        <v/>
      </c>
      <c r="AJ22" s="18">
        <f>B22*H22/12</f>
        <v/>
      </c>
      <c r="AK22" s="21">
        <f>IF(AJ22&gt;0,AI22/AJ22,0)</f>
        <v/>
      </c>
      <c r="AL22" s="17">
        <f>IF('Loan Tape (BoE)'!AF23=1,"Yes","No")</f>
        <v/>
      </c>
      <c r="AM22" s="17">
        <f>IF('Loan Tape (BoE)'!AH23=1,"Yes","No")</f>
        <v/>
      </c>
      <c r="AN22" s="17">
        <f>IF('Loan Tape (BoE)'!AI23=1,"Yes","No")</f>
        <v/>
      </c>
      <c r="AO22" s="17">
        <f>IF('Loan Tape (BoE)'!AJ23=1,"Yes","No")</f>
        <v/>
      </c>
      <c r="AP22" s="17">
        <f>IF(OR('Loan Tape (BoE)'!AQ22=1,'Loan Tape (BoE)'!AQ22=2),"Yes",IF('Loan Tape (BoE)'!AQ22=0,"No",""))</f>
        <v/>
      </c>
      <c r="AQ22" s="17">
        <f>IF('Loan Tape (BoE)'!BV49_22&lt;&gt;"",'Loan Tape (BoE)'!BV49_22,"")</f>
        <v/>
      </c>
      <c r="AR22" s="17">
        <f>IF('Loan Tape (BoE)'!BV220_22&lt;&gt;"",'Loan Tape (BoE)'!BV50_22,"")</f>
        <v/>
      </c>
      <c r="AS22" s="17">
        <f>IFERROR(INDEX('FF Adj Parameters'!$A$103:$B$1022,MATCH('Loan Tape (BoE)'!P22,INDEX('FF Adj Parameters'!$A$103:$B$1022,,1),0),2),"Unknown")</f>
        <v/>
      </c>
      <c r="AT22" s="17">
        <f>IF(N22="Interest Only",M5*O5/12,IF(AND(O5&gt;0,ISNUMBER(O5),ISNUMBER(M5)),ABS(PMT(O5/12,AU5,-M5)),0))</f>
        <v/>
      </c>
      <c r="AU22" s="17">
        <f>IF(ISNUMBER(L22),MAX(0,(L5-'Control Panel'!$B$10)*12/365.25),0)</f>
        <v/>
      </c>
      <c r="AV22" s="17">
        <f>IF(ISNUMBER(L22),IF(L5&gt;'Control Panel'!$B$10,"Valid","Past Maturity"),"No Date")</f>
        <v/>
      </c>
      <c r="AW22" s="17">
        <f>IF(ISNUMBER(K22),MAX(0,('Control Panel'!$B$10-K5)*12/365.25),0)</f>
        <v/>
      </c>
    </row>
    <row r="23">
      <c r="A23" s="17">
        <f>'Loan Tape (BoE)'!A24</f>
        <v/>
      </c>
      <c r="B23" s="18">
        <f>IFERROR(INDEX('FF Adj Parameters'!$A$89:$B$92,MATCH('Loan Tape (BoE)'!C23,INDEX('FF Adj Parameters'!$A$89:$B$92,,1),0),2),"Unknown")</f>
        <v/>
      </c>
      <c r="C23" s="18">
        <f>'Loan Tape (BoE)'!C24</f>
        <v/>
      </c>
      <c r="D23" s="18">
        <f>'Loan Tape (BoE)'!D24</f>
        <v/>
      </c>
      <c r="E23" s="18">
        <f>'Loan Tape (BoE)'!E24</f>
        <v/>
      </c>
      <c r="F23" s="19">
        <f>'Loan Tape (BoE)'!F24</f>
        <v/>
      </c>
      <c r="G23" s="19">
        <f>'Loan Tape (BoE)'!G24</f>
        <v/>
      </c>
      <c r="H23" s="20">
        <f>'Loan Tape (BoE)'!H24/100</f>
        <v/>
      </c>
      <c r="I23" s="17">
        <f>IFERROR(IFS('Loan Tape (BoE)'!I24=1,"House",'Loan Tape (BoE)'!I24=2,"Flat",'Loan Tape (BoE)'!I24=3,"Bungalow",'Loan Tape (BoE)'!I24=4,"Maisonette"),"")</f>
        <v/>
      </c>
      <c r="J23" s="17">
        <f>'Loan Tape (BoE)'!J24</f>
        <v/>
      </c>
      <c r="K23" s="17">
        <f>'Loan Tape (BoE)'!K24</f>
        <v/>
      </c>
      <c r="L23" s="17">
        <f>IFERROR(IFS('Loan Tape (BoE)'!L24=1,"Owner Occupied",'Loan Tape (BoE)'!L24=2,"BTL",'Loan Tape (BoE)'!L24=3,"Second Home",'Loan Tape (BoE)'!L24=4,"Investment"),"")</f>
        <v/>
      </c>
      <c r="M23" s="17">
        <f>IFERROR(IFS('Loan Tape (BoE)'!M24=1,"Purchase",'Loan Tape (BoE)'!M24=2,"Remortgage",OR('Loan Tape (BoE)'!M24=3,'Loan Tape (BoE)'!M24=4),"Cash-out"),"")</f>
        <v/>
      </c>
      <c r="N23" s="17">
        <f>IFERROR(INDEX('FF Adj Parameters'!$A$96:$B$99,MATCH('Loan Tape (BoE)'!R23,INDEX('FF Adj Parameters'!$A$96:$B$99,,1),0),2),"Unknown")</f>
        <v/>
      </c>
      <c r="O23" s="17">
        <f>IF('Loan Tape (BoE)'!O24=1,"Yes","No")</f>
        <v/>
      </c>
      <c r="P23" s="17">
        <f>IF('Loan Tape (BoE)'!P23=1,"Yes",IF('Loan Tape (BoE)'!P23=0,"No",""))</f>
        <v/>
      </c>
      <c r="Q23" s="17">
        <f>IF('Loan Tape (BoE)'!Q23=1,"Yes",IF('Loan Tape (BoE)'!Q23=0,"No",""))</f>
        <v/>
      </c>
      <c r="R23" s="18">
        <f>IF('Loan Tape (BoE)'!R23=1,"Yes",IF('Loan Tape (BoE)'!R23=0,"No",""))</f>
        <v/>
      </c>
      <c r="S23" s="18">
        <f>IF('Loan Tape (BoE)'!S23=1,"Yes",IF('Loan Tape (BoE)'!S23=0,"No",""))</f>
        <v/>
      </c>
      <c r="T23" s="17">
        <f>IF('Loan Tape (BoE)'!T23=1,"Yes",IF('Loan Tape (BoE)'!T23=0,"No",""))</f>
        <v/>
      </c>
      <c r="U23" s="18">
        <f>R23+S23</f>
        <v/>
      </c>
      <c r="V23" s="17">
        <f>IFERROR(IFS('Loan Tape (BoE)'!U24=1,"Employed",'Loan Tape (BoE)'!U24=2,"Self-Employed",'Loan Tape (BoE)'!U24=3,"Unemployed",'Loan Tape (BoE)'!U24=4,"Retired"),"")</f>
        <v/>
      </c>
      <c r="W23" s="17">
        <f>IFERROR(IFS('Loan Tape (BoE)'!V24=1,"Employed",'Loan Tape (BoE)'!V24=2,"Self-Employed",'Loan Tape (BoE)'!V24=3,"Unemployed",'Loan Tape (BoE)'!V24=4,"Retired"),"")</f>
        <v/>
      </c>
      <c r="X23" s="17">
        <f>IF(OR(V23="Self-Employed",W23="Self-Employed"),"Yes","No")</f>
        <v/>
      </c>
      <c r="Y23" s="17">
        <f>'Loan Tape (BoE)'!W24</f>
        <v/>
      </c>
      <c r="Z23" s="17">
        <f>'Loan Tape (BoE)'!X24</f>
        <v/>
      </c>
      <c r="AA23" s="17">
        <f>IF(T23=1,Y23,MIN(Y23,Z23))</f>
        <v/>
      </c>
      <c r="AB23" s="17">
        <f>'Loan Tape (BoE)'!Y24</f>
        <v/>
      </c>
      <c r="AC23" s="17">
        <f>'Loan Tape (BoE)'!Z24</f>
        <v/>
      </c>
      <c r="AD23" s="17">
        <f>AB23+AC23</f>
        <v/>
      </c>
      <c r="AE23" s="18">
        <f>'Loan Tape (BoE)'!AA24</f>
        <v/>
      </c>
      <c r="AF23" s="18">
        <f>'Loan Tape (BoE)'!AB24</f>
        <v/>
      </c>
      <c r="AG23" s="18">
        <f>AE23+AF23</f>
        <v/>
      </c>
      <c r="AH23" s="19">
        <f>MAX('Loan Tape (BoE)'!AC24,'Loan Tape (BoE)'!AD24)</f>
        <v/>
      </c>
      <c r="AI23" s="18">
        <f>'Loan Tape (BoE)'!AE24</f>
        <v/>
      </c>
      <c r="AJ23" s="18">
        <f>B23*H23/12</f>
        <v/>
      </c>
      <c r="AK23" s="21">
        <f>IF(AJ23&gt;0,AI23/AJ23,0)</f>
        <v/>
      </c>
      <c r="AL23" s="17">
        <f>IF('Loan Tape (BoE)'!AF24=1,"Yes","No")</f>
        <v/>
      </c>
      <c r="AM23" s="17">
        <f>IF('Loan Tape (BoE)'!AH24=1,"Yes","No")</f>
        <v/>
      </c>
      <c r="AN23" s="17">
        <f>IF('Loan Tape (BoE)'!AI24=1,"Yes","No")</f>
        <v/>
      </c>
      <c r="AO23" s="17">
        <f>IF('Loan Tape (BoE)'!AJ24=1,"Yes","No")</f>
        <v/>
      </c>
      <c r="AP23" s="17">
        <f>IF(OR('Loan Tape (BoE)'!AQ23=1,'Loan Tape (BoE)'!AQ23=2),"Yes",IF('Loan Tape (BoE)'!AQ23=0,"No",""))</f>
        <v/>
      </c>
      <c r="AQ23" s="17">
        <f>IF('Loan Tape (BoE)'!BV49_23&lt;&gt;"",'Loan Tape (BoE)'!BV49_23,"")</f>
        <v/>
      </c>
      <c r="AR23" s="17">
        <f>IF('Loan Tape (BoE)'!BV230_23&lt;&gt;"",'Loan Tape (BoE)'!BV50_23,"")</f>
        <v/>
      </c>
      <c r="AS23" s="17">
        <f>IFERROR(INDEX('FF Adj Parameters'!$A$103:$B$1023,MATCH('Loan Tape (BoE)'!P23,INDEX('FF Adj Parameters'!$A$103:$B$1023,,1),0),2),"Unknown")</f>
        <v/>
      </c>
      <c r="AT23" s="17">
        <f>IF(N23="Interest Only",M5*O5/12,IF(AND(O5&gt;0,ISNUMBER(O5),ISNUMBER(M5)),ABS(PMT(O5/12,AU5,-M5)),0))</f>
        <v/>
      </c>
      <c r="AU23" s="17">
        <f>IF(ISNUMBER(L23),MAX(0,(L5-'Control Panel'!$B$10)*12/365.25),0)</f>
        <v/>
      </c>
      <c r="AV23" s="17">
        <f>IF(ISNUMBER(L23),IF(L5&gt;'Control Panel'!$B$10,"Valid","Past Maturity"),"No Date")</f>
        <v/>
      </c>
      <c r="AW23" s="17">
        <f>IF(ISNUMBER(K23),MAX(0,('Control Panel'!$B$10-K5)*12/365.25),0)</f>
        <v/>
      </c>
    </row>
    <row r="24">
      <c r="A24" s="17">
        <f>'Loan Tape (BoE)'!A25</f>
        <v/>
      </c>
      <c r="B24" s="18">
        <f>IFERROR(INDEX('FF Adj Parameters'!$A$89:$B$92,MATCH('Loan Tape (BoE)'!C24,INDEX('FF Adj Parameters'!$A$89:$B$92,,1),0),2),"Unknown")</f>
        <v/>
      </c>
      <c r="C24" s="18">
        <f>'Loan Tape (BoE)'!C25</f>
        <v/>
      </c>
      <c r="D24" s="18">
        <f>'Loan Tape (BoE)'!D25</f>
        <v/>
      </c>
      <c r="E24" s="18">
        <f>'Loan Tape (BoE)'!E25</f>
        <v/>
      </c>
      <c r="F24" s="19">
        <f>'Loan Tape (BoE)'!F25</f>
        <v/>
      </c>
      <c r="G24" s="19">
        <f>'Loan Tape (BoE)'!G25</f>
        <v/>
      </c>
      <c r="H24" s="20">
        <f>'Loan Tape (BoE)'!H25/100</f>
        <v/>
      </c>
      <c r="I24" s="17">
        <f>IFERROR(IFS('Loan Tape (BoE)'!I25=1,"House",'Loan Tape (BoE)'!I25=2,"Flat",'Loan Tape (BoE)'!I25=3,"Bungalow",'Loan Tape (BoE)'!I25=4,"Maisonette"),"")</f>
        <v/>
      </c>
      <c r="J24" s="17">
        <f>'Loan Tape (BoE)'!J25</f>
        <v/>
      </c>
      <c r="K24" s="17">
        <f>'Loan Tape (BoE)'!K25</f>
        <v/>
      </c>
      <c r="L24" s="17">
        <f>IFERROR(IFS('Loan Tape (BoE)'!L25=1,"Owner Occupied",'Loan Tape (BoE)'!L25=2,"BTL",'Loan Tape (BoE)'!L25=3,"Second Home",'Loan Tape (BoE)'!L25=4,"Investment"),"")</f>
        <v/>
      </c>
      <c r="M24" s="17">
        <f>IFERROR(IFS('Loan Tape (BoE)'!M25=1,"Purchase",'Loan Tape (BoE)'!M25=2,"Remortgage",OR('Loan Tape (BoE)'!M25=3,'Loan Tape (BoE)'!M25=4),"Cash-out"),"")</f>
        <v/>
      </c>
      <c r="N24" s="17">
        <f>IFERROR(INDEX('FF Adj Parameters'!$A$96:$B$99,MATCH('Loan Tape (BoE)'!R24,INDEX('FF Adj Parameters'!$A$96:$B$99,,1),0),2),"Unknown")</f>
        <v/>
      </c>
      <c r="O24" s="17">
        <f>IF('Loan Tape (BoE)'!O25=1,"Yes","No")</f>
        <v/>
      </c>
      <c r="P24" s="17">
        <f>IF('Loan Tape (BoE)'!P24=1,"Yes",IF('Loan Tape (BoE)'!P24=0,"No",""))</f>
        <v/>
      </c>
      <c r="Q24" s="17">
        <f>IF('Loan Tape (BoE)'!Q24=1,"Yes",IF('Loan Tape (BoE)'!Q24=0,"No",""))</f>
        <v/>
      </c>
      <c r="R24" s="18">
        <f>IF('Loan Tape (BoE)'!R24=1,"Yes",IF('Loan Tape (BoE)'!R24=0,"No",""))</f>
        <v/>
      </c>
      <c r="S24" s="18">
        <f>IF('Loan Tape (BoE)'!S24=1,"Yes",IF('Loan Tape (BoE)'!S24=0,"No",""))</f>
        <v/>
      </c>
      <c r="T24" s="17">
        <f>IF('Loan Tape (BoE)'!T24=1,"Yes",IF('Loan Tape (BoE)'!T24=0,"No",""))</f>
        <v/>
      </c>
      <c r="U24" s="18">
        <f>R24+S24</f>
        <v/>
      </c>
      <c r="V24" s="17">
        <f>IFERROR(IFS('Loan Tape (BoE)'!U25=1,"Employed",'Loan Tape (BoE)'!U25=2,"Self-Employed",'Loan Tape (BoE)'!U25=3,"Unemployed",'Loan Tape (BoE)'!U25=4,"Retired"),"")</f>
        <v/>
      </c>
      <c r="W24" s="17">
        <f>IFERROR(IFS('Loan Tape (BoE)'!V25=1,"Employed",'Loan Tape (BoE)'!V25=2,"Self-Employed",'Loan Tape (BoE)'!V25=3,"Unemployed",'Loan Tape (BoE)'!V25=4,"Retired"),"")</f>
        <v/>
      </c>
      <c r="X24" s="17">
        <f>IF(OR(V24="Self-Employed",W24="Self-Employed"),"Yes","No")</f>
        <v/>
      </c>
      <c r="Y24" s="17">
        <f>'Loan Tape (BoE)'!W25</f>
        <v/>
      </c>
      <c r="Z24" s="17">
        <f>'Loan Tape (BoE)'!X25</f>
        <v/>
      </c>
      <c r="AA24" s="17">
        <f>IF(T24=1,Y24,MIN(Y24,Z24))</f>
        <v/>
      </c>
      <c r="AB24" s="17">
        <f>'Loan Tape (BoE)'!Y25</f>
        <v/>
      </c>
      <c r="AC24" s="17">
        <f>'Loan Tape (BoE)'!Z25</f>
        <v/>
      </c>
      <c r="AD24" s="17">
        <f>AB24+AC24</f>
        <v/>
      </c>
      <c r="AE24" s="18">
        <f>'Loan Tape (BoE)'!AA25</f>
        <v/>
      </c>
      <c r="AF24" s="18">
        <f>'Loan Tape (BoE)'!AB25</f>
        <v/>
      </c>
      <c r="AG24" s="18">
        <f>AE24+AF24</f>
        <v/>
      </c>
      <c r="AH24" s="19">
        <f>MAX('Loan Tape (BoE)'!AC25,'Loan Tape (BoE)'!AD25)</f>
        <v/>
      </c>
      <c r="AI24" s="18">
        <f>'Loan Tape (BoE)'!AE25</f>
        <v/>
      </c>
      <c r="AJ24" s="18">
        <f>B24*H24/12</f>
        <v/>
      </c>
      <c r="AK24" s="21">
        <f>IF(AJ24&gt;0,AI24/AJ24,0)</f>
        <v/>
      </c>
      <c r="AL24" s="17">
        <f>IF('Loan Tape (BoE)'!AF25=1,"Yes","No")</f>
        <v/>
      </c>
      <c r="AM24" s="17">
        <f>IF('Loan Tape (BoE)'!AH25=1,"Yes","No")</f>
        <v/>
      </c>
      <c r="AN24" s="17">
        <f>IF('Loan Tape (BoE)'!AI25=1,"Yes","No")</f>
        <v/>
      </c>
      <c r="AO24" s="17">
        <f>IF('Loan Tape (BoE)'!AJ25=1,"Yes","No")</f>
        <v/>
      </c>
      <c r="AP24" s="17">
        <f>IF(OR('Loan Tape (BoE)'!AQ24=1,'Loan Tape (BoE)'!AQ24=2),"Yes",IF('Loan Tape (BoE)'!AQ24=0,"No",""))</f>
        <v/>
      </c>
      <c r="AQ24" s="17">
        <f>IF('Loan Tape (BoE)'!BV49_24&lt;&gt;"",'Loan Tape (BoE)'!BV49_24,"")</f>
        <v/>
      </c>
      <c r="AR24" s="17">
        <f>IF('Loan Tape (BoE)'!BV240_24&lt;&gt;"",'Loan Tape (BoE)'!BV50_24,"")</f>
        <v/>
      </c>
      <c r="AS24" s="17">
        <f>IFERROR(INDEX('FF Adj Parameters'!$A$103:$B$1024,MATCH('Loan Tape (BoE)'!P24,INDEX('FF Adj Parameters'!$A$103:$B$1024,,1),0),2),"Unknown")</f>
        <v/>
      </c>
      <c r="AT24" s="17">
        <f>IF(N24="Interest Only",M5*O5/12,IF(AND(O5&gt;0,ISNUMBER(O5),ISNUMBER(M5)),ABS(PMT(O5/12,AU5,-M5)),0))</f>
        <v/>
      </c>
      <c r="AU24" s="17">
        <f>IF(ISNUMBER(L24),MAX(0,(L5-'Control Panel'!$B$10)*12/365.25),0)</f>
        <v/>
      </c>
      <c r="AV24" s="17">
        <f>IF(ISNUMBER(L24),IF(L5&gt;'Control Panel'!$B$10,"Valid","Past Maturity"),"No Date")</f>
        <v/>
      </c>
      <c r="AW24" s="17">
        <f>IF(ISNUMBER(K24),MAX(0,('Control Panel'!$B$10-K5)*12/365.25),0)</f>
        <v/>
      </c>
    </row>
    <row r="25">
      <c r="A25" s="17">
        <f>'Loan Tape (BoE)'!A26</f>
        <v/>
      </c>
      <c r="B25" s="18">
        <f>IFERROR(INDEX('FF Adj Parameters'!$A$89:$B$92,MATCH('Loan Tape (BoE)'!C25,INDEX('FF Adj Parameters'!$A$89:$B$92,,1),0),2),"Unknown")</f>
        <v/>
      </c>
      <c r="C25" s="18">
        <f>'Loan Tape (BoE)'!C26</f>
        <v/>
      </c>
      <c r="D25" s="18">
        <f>'Loan Tape (BoE)'!D26</f>
        <v/>
      </c>
      <c r="E25" s="18">
        <f>'Loan Tape (BoE)'!E26</f>
        <v/>
      </c>
      <c r="F25" s="19">
        <f>'Loan Tape (BoE)'!F26</f>
        <v/>
      </c>
      <c r="G25" s="19">
        <f>'Loan Tape (BoE)'!G26</f>
        <v/>
      </c>
      <c r="H25" s="20">
        <f>'Loan Tape (BoE)'!H26/100</f>
        <v/>
      </c>
      <c r="I25" s="17">
        <f>IFERROR(IFS('Loan Tape (BoE)'!I26=1,"House",'Loan Tape (BoE)'!I26=2,"Flat",'Loan Tape (BoE)'!I26=3,"Bungalow",'Loan Tape (BoE)'!I26=4,"Maisonette"),"")</f>
        <v/>
      </c>
      <c r="J25" s="17">
        <f>'Loan Tape (BoE)'!J26</f>
        <v/>
      </c>
      <c r="K25" s="17">
        <f>'Loan Tape (BoE)'!K26</f>
        <v/>
      </c>
      <c r="L25" s="17">
        <f>IFERROR(IFS('Loan Tape (BoE)'!L26=1,"Owner Occupied",'Loan Tape (BoE)'!L26=2,"BTL",'Loan Tape (BoE)'!L26=3,"Second Home",'Loan Tape (BoE)'!L26=4,"Investment"),"")</f>
        <v/>
      </c>
      <c r="M25" s="17">
        <f>IFERROR(IFS('Loan Tape (BoE)'!M26=1,"Purchase",'Loan Tape (BoE)'!M26=2,"Remortgage",OR('Loan Tape (BoE)'!M26=3,'Loan Tape (BoE)'!M26=4),"Cash-out"),"")</f>
        <v/>
      </c>
      <c r="N25" s="17">
        <f>IFERROR(INDEX('FF Adj Parameters'!$A$96:$B$99,MATCH('Loan Tape (BoE)'!R25,INDEX('FF Adj Parameters'!$A$96:$B$99,,1),0),2),"Unknown")</f>
        <v/>
      </c>
      <c r="O25" s="17">
        <f>IF('Loan Tape (BoE)'!O26=1,"Yes","No")</f>
        <v/>
      </c>
      <c r="P25" s="17">
        <f>IF('Loan Tape (BoE)'!P25=1,"Yes",IF('Loan Tape (BoE)'!P25=0,"No",""))</f>
        <v/>
      </c>
      <c r="Q25" s="17">
        <f>IF('Loan Tape (BoE)'!Q25=1,"Yes",IF('Loan Tape (BoE)'!Q25=0,"No",""))</f>
        <v/>
      </c>
      <c r="R25" s="18">
        <f>IF('Loan Tape (BoE)'!R25=1,"Yes",IF('Loan Tape (BoE)'!R25=0,"No",""))</f>
        <v/>
      </c>
      <c r="S25" s="18">
        <f>IF('Loan Tape (BoE)'!S25=1,"Yes",IF('Loan Tape (BoE)'!S25=0,"No",""))</f>
        <v/>
      </c>
      <c r="T25" s="17">
        <f>IF('Loan Tape (BoE)'!T25=1,"Yes",IF('Loan Tape (BoE)'!T25=0,"No",""))</f>
        <v/>
      </c>
      <c r="U25" s="18">
        <f>R25+S25</f>
        <v/>
      </c>
      <c r="V25" s="17">
        <f>IFERROR(IFS('Loan Tape (BoE)'!U26=1,"Employed",'Loan Tape (BoE)'!U26=2,"Self-Employed",'Loan Tape (BoE)'!U26=3,"Unemployed",'Loan Tape (BoE)'!U26=4,"Retired"),"")</f>
        <v/>
      </c>
      <c r="W25" s="17">
        <f>IFERROR(IFS('Loan Tape (BoE)'!V26=1,"Employed",'Loan Tape (BoE)'!V26=2,"Self-Employed",'Loan Tape (BoE)'!V26=3,"Unemployed",'Loan Tape (BoE)'!V26=4,"Retired"),"")</f>
        <v/>
      </c>
      <c r="X25" s="17">
        <f>IF(OR(V25="Self-Employed",W25="Self-Employed"),"Yes","No")</f>
        <v/>
      </c>
      <c r="Y25" s="17">
        <f>'Loan Tape (BoE)'!W26</f>
        <v/>
      </c>
      <c r="Z25" s="17">
        <f>'Loan Tape (BoE)'!X26</f>
        <v/>
      </c>
      <c r="AA25" s="17">
        <f>IF(T25=1,Y25,MIN(Y25,Z25))</f>
        <v/>
      </c>
      <c r="AB25" s="17">
        <f>'Loan Tape (BoE)'!Y26</f>
        <v/>
      </c>
      <c r="AC25" s="17">
        <f>'Loan Tape (BoE)'!Z26</f>
        <v/>
      </c>
      <c r="AD25" s="17">
        <f>AB25+AC25</f>
        <v/>
      </c>
      <c r="AE25" s="18">
        <f>'Loan Tape (BoE)'!AA26</f>
        <v/>
      </c>
      <c r="AF25" s="18">
        <f>'Loan Tape (BoE)'!AB26</f>
        <v/>
      </c>
      <c r="AG25" s="18">
        <f>AE25+AF25</f>
        <v/>
      </c>
      <c r="AH25" s="19">
        <f>MAX('Loan Tape (BoE)'!AC26,'Loan Tape (BoE)'!AD26)</f>
        <v/>
      </c>
      <c r="AI25" s="18">
        <f>'Loan Tape (BoE)'!AE26</f>
        <v/>
      </c>
      <c r="AJ25" s="18">
        <f>B25*H25/12</f>
        <v/>
      </c>
      <c r="AK25" s="21">
        <f>IF(AJ25&gt;0,AI25/AJ25,0)</f>
        <v/>
      </c>
      <c r="AL25" s="17">
        <f>IF('Loan Tape (BoE)'!AF26=1,"Yes","No")</f>
        <v/>
      </c>
      <c r="AM25" s="17">
        <f>IF('Loan Tape (BoE)'!AH26=1,"Yes","No")</f>
        <v/>
      </c>
      <c r="AN25" s="17">
        <f>IF('Loan Tape (BoE)'!AI26=1,"Yes","No")</f>
        <v/>
      </c>
      <c r="AO25" s="17">
        <f>IF('Loan Tape (BoE)'!AJ26=1,"Yes","No")</f>
        <v/>
      </c>
      <c r="AP25" s="17">
        <f>IF(OR('Loan Tape (BoE)'!AQ25=1,'Loan Tape (BoE)'!AQ25=2),"Yes",IF('Loan Tape (BoE)'!AQ25=0,"No",""))</f>
        <v/>
      </c>
      <c r="AQ25" s="17">
        <f>IF('Loan Tape (BoE)'!BV49_225&lt;&gt;"",'Loan Tape (BoE)'!BV49_25,"")</f>
        <v/>
      </c>
      <c r="AR25" s="17">
        <f>IF('Loan Tape (BoE)'!BV250_25&lt;&gt;"",'Loan Tape (BoE)'!BV50_25,"")</f>
        <v/>
      </c>
      <c r="AS25" s="17">
        <f>IFERROR(INDEX('FF Adj Parameters'!$A$103:$B$1025,MATCH('Loan Tape (BoE)'!P25,INDEX('FF Adj Parameters'!$A$103:$B$1025,,1),0),2),"Unknown")</f>
        <v/>
      </c>
      <c r="AT25" s="17">
        <f>IF(N25="Interest Only",M5*O5/12,IF(AND(O5&gt;0,ISNUMBER(O5),ISNUMBER(M5)),ABS(PMT(O5/12,AU5,-M5)),0))</f>
        <v/>
      </c>
      <c r="AU25" s="17">
        <f>IF(ISNUMBER(L25),MAX(0,(L5-'Control Panel'!$B$10)*12/365.25),0)</f>
        <v/>
      </c>
      <c r="AV25" s="17">
        <f>IF(ISNUMBER(L25),IF(L5&gt;'Control Panel'!$B$10,"Valid","Past Maturity"),"No Date")</f>
        <v/>
      </c>
      <c r="AW25" s="17">
        <f>IF(ISNUMBER(K25),MAX(0,('Control Panel'!$B$10-K5)*12/365.25),0)</f>
        <v/>
      </c>
    </row>
    <row r="26">
      <c r="A26" s="17">
        <f>'Loan Tape (BoE)'!A27</f>
        <v/>
      </c>
      <c r="B26" s="18">
        <f>IFERROR(INDEX('FF Adj Parameters'!$A$89:$B$92,MATCH('Loan Tape (BoE)'!C26,INDEX('FF Adj Parameters'!$A$89:$B$92,,1),0),2),"Unknown")</f>
        <v/>
      </c>
      <c r="C26" s="18">
        <f>'Loan Tape (BoE)'!C27</f>
        <v/>
      </c>
      <c r="D26" s="18">
        <f>'Loan Tape (BoE)'!D27</f>
        <v/>
      </c>
      <c r="E26" s="18">
        <f>'Loan Tape (BoE)'!E27</f>
        <v/>
      </c>
      <c r="F26" s="19">
        <f>'Loan Tape (BoE)'!F27</f>
        <v/>
      </c>
      <c r="G26" s="19">
        <f>'Loan Tape (BoE)'!G27</f>
        <v/>
      </c>
      <c r="H26" s="20">
        <f>'Loan Tape (BoE)'!H27/100</f>
        <v/>
      </c>
      <c r="I26" s="17">
        <f>IFERROR(IFS('Loan Tape (BoE)'!I27=1,"House",'Loan Tape (BoE)'!I27=2,"Flat",'Loan Tape (BoE)'!I27=3,"Bungalow",'Loan Tape (BoE)'!I27=4,"Maisonette"),"")</f>
        <v/>
      </c>
      <c r="J26" s="17">
        <f>'Loan Tape (BoE)'!J27</f>
        <v/>
      </c>
      <c r="K26" s="17">
        <f>'Loan Tape (BoE)'!K27</f>
        <v/>
      </c>
      <c r="L26" s="17">
        <f>IFERROR(IFS('Loan Tape (BoE)'!L27=1,"Owner Occupied",'Loan Tape (BoE)'!L27=2,"BTL",'Loan Tape (BoE)'!L27=3,"Second Home",'Loan Tape (BoE)'!L27=4,"Investment"),"")</f>
        <v/>
      </c>
      <c r="M26" s="17">
        <f>IFERROR(IFS('Loan Tape (BoE)'!M27=1,"Purchase",'Loan Tape (BoE)'!M27=2,"Remortgage",OR('Loan Tape (BoE)'!M27=3,'Loan Tape (BoE)'!M27=4),"Cash-out"),"")</f>
        <v/>
      </c>
      <c r="N26" s="17">
        <f>IFERROR(INDEX('FF Adj Parameters'!$A$96:$B$99,MATCH('Loan Tape (BoE)'!R26,INDEX('FF Adj Parameters'!$A$96:$B$99,,1),0),2),"Unknown")</f>
        <v/>
      </c>
      <c r="O26" s="17">
        <f>IF('Loan Tape (BoE)'!O27=1,"Yes","No")</f>
        <v/>
      </c>
      <c r="P26" s="17">
        <f>IF('Loan Tape (BoE)'!P26=1,"Yes",IF('Loan Tape (BoE)'!P26=0,"No",""))</f>
        <v/>
      </c>
      <c r="Q26" s="17">
        <f>IF('Loan Tape (BoE)'!Q26=1,"Yes",IF('Loan Tape (BoE)'!Q26=0,"No",""))</f>
        <v/>
      </c>
      <c r="R26" s="18">
        <f>IF('Loan Tape (BoE)'!R26=1,"Yes",IF('Loan Tape (BoE)'!R26=0,"No",""))</f>
        <v/>
      </c>
      <c r="S26" s="18">
        <f>IF('Loan Tape (BoE)'!S26=1,"Yes",IF('Loan Tape (BoE)'!S26=0,"No",""))</f>
        <v/>
      </c>
      <c r="T26" s="17">
        <f>IF('Loan Tape (BoE)'!T26=1,"Yes",IF('Loan Tape (BoE)'!T26=0,"No",""))</f>
        <v/>
      </c>
      <c r="U26" s="18">
        <f>R26+S26</f>
        <v/>
      </c>
      <c r="V26" s="17">
        <f>IFERROR(IFS('Loan Tape (BoE)'!U27=1,"Employed",'Loan Tape (BoE)'!U27=2,"Self-Employed",'Loan Tape (BoE)'!U27=3,"Unemployed",'Loan Tape (BoE)'!U27=4,"Retired"),"")</f>
        <v/>
      </c>
      <c r="W26" s="17">
        <f>IFERROR(IFS('Loan Tape (BoE)'!V27=1,"Employed",'Loan Tape (BoE)'!V27=2,"Self-Employed",'Loan Tape (BoE)'!V27=3,"Unemployed",'Loan Tape (BoE)'!V27=4,"Retired"),"")</f>
        <v/>
      </c>
      <c r="X26" s="17">
        <f>IF(OR(V26="Self-Employed",W26="Self-Employed"),"Yes","No")</f>
        <v/>
      </c>
      <c r="Y26" s="17">
        <f>'Loan Tape (BoE)'!W27</f>
        <v/>
      </c>
      <c r="Z26" s="17">
        <f>'Loan Tape (BoE)'!X27</f>
        <v/>
      </c>
      <c r="AA26" s="17">
        <f>IF(T26=1,Y26,MIN(Y26,Z26))</f>
        <v/>
      </c>
      <c r="AB26" s="17">
        <f>'Loan Tape (BoE)'!Y27</f>
        <v/>
      </c>
      <c r="AC26" s="17">
        <f>'Loan Tape (BoE)'!Z27</f>
        <v/>
      </c>
      <c r="AD26" s="17">
        <f>AB26+AC26</f>
        <v/>
      </c>
      <c r="AE26" s="18">
        <f>'Loan Tape (BoE)'!AA27</f>
        <v/>
      </c>
      <c r="AF26" s="18">
        <f>'Loan Tape (BoE)'!AB27</f>
        <v/>
      </c>
      <c r="AG26" s="18">
        <f>AE26+AF26</f>
        <v/>
      </c>
      <c r="AH26" s="19">
        <f>MAX('Loan Tape (BoE)'!AC27,'Loan Tape (BoE)'!AD27)</f>
        <v/>
      </c>
      <c r="AI26" s="18">
        <f>'Loan Tape (BoE)'!AE27</f>
        <v/>
      </c>
      <c r="AJ26" s="18">
        <f>B26*H26/12</f>
        <v/>
      </c>
      <c r="AK26" s="21">
        <f>IF(AJ26&gt;0,AI26/AJ26,0)</f>
        <v/>
      </c>
      <c r="AL26" s="17">
        <f>IF('Loan Tape (BoE)'!AF27=1,"Yes","No")</f>
        <v/>
      </c>
      <c r="AM26" s="17">
        <f>IF('Loan Tape (BoE)'!AH27=1,"Yes","No")</f>
        <v/>
      </c>
      <c r="AN26" s="17">
        <f>IF('Loan Tape (BoE)'!AI27=1,"Yes","No")</f>
        <v/>
      </c>
      <c r="AO26" s="17">
        <f>IF('Loan Tape (BoE)'!AJ27=1,"Yes","No")</f>
        <v/>
      </c>
      <c r="AP26" s="17">
        <f>IF(OR('Loan Tape (BoE)'!AQ26=1,'Loan Tape (BoE)'!AQ26=2),"Yes",IF('Loan Tape (BoE)'!AQ26=0,"No",""))</f>
        <v/>
      </c>
      <c r="AQ26" s="17">
        <f>IF('Loan Tape (BoE)'!BV49_26&lt;&gt;"",'Loan Tape (BoE)'!BV49_26,"")</f>
        <v/>
      </c>
      <c r="AR26" s="17">
        <f>IF('Loan Tape (BoE)'!BV260_26&lt;&gt;"",'Loan Tape (BoE)'!BV50_26,"")</f>
        <v/>
      </c>
      <c r="AS26" s="17">
        <f>IFERROR(INDEX('FF Adj Parameters'!$A$103:$B$1026,MATCH('Loan Tape (BoE)'!P26,INDEX('FF Adj Parameters'!$A$103:$B$1026,,1),0),2),"Unknown")</f>
        <v/>
      </c>
      <c r="AT26" s="17">
        <f>IF(N26="Interest Only",M5*O5/12,IF(AND(O5&gt;0,ISNUMBER(O5),ISNUMBER(M5)),ABS(PMT(O5/12,AU5,-M5)),0))</f>
        <v/>
      </c>
      <c r="AU26" s="17">
        <f>IF(ISNUMBER(L26),MAX(0,(L5-'Control Panel'!$B$10)*12/365.25),0)</f>
        <v/>
      </c>
      <c r="AV26" s="17">
        <f>IF(ISNUMBER(L26),IF(L5&gt;'Control Panel'!$B$10,"Valid","Past Maturity"),"No Date")</f>
        <v/>
      </c>
      <c r="AW26" s="17">
        <f>IF(ISNUMBER(K26),MAX(0,('Control Panel'!$B$10-K5)*12/365.25),0)</f>
        <v/>
      </c>
    </row>
    <row r="27">
      <c r="A27" s="17">
        <f>'Loan Tape (BoE)'!A28</f>
        <v/>
      </c>
      <c r="B27" s="18">
        <f>IFERROR(INDEX('FF Adj Parameters'!$A$89:$B$92,MATCH('Loan Tape (BoE)'!C27,INDEX('FF Adj Parameters'!$A$89:$B$92,,1),0),2),"Unknown")</f>
        <v/>
      </c>
      <c r="C27" s="18">
        <f>'Loan Tape (BoE)'!C28</f>
        <v/>
      </c>
      <c r="D27" s="18">
        <f>'Loan Tape (BoE)'!D28</f>
        <v/>
      </c>
      <c r="E27" s="18">
        <f>'Loan Tape (BoE)'!E28</f>
        <v/>
      </c>
      <c r="F27" s="19">
        <f>'Loan Tape (BoE)'!F28</f>
        <v/>
      </c>
      <c r="G27" s="19">
        <f>'Loan Tape (BoE)'!G28</f>
        <v/>
      </c>
      <c r="H27" s="20">
        <f>'Loan Tape (BoE)'!H28/100</f>
        <v/>
      </c>
      <c r="I27" s="17">
        <f>IFERROR(IFS('Loan Tape (BoE)'!I28=1,"House",'Loan Tape (BoE)'!I28=2,"Flat",'Loan Tape (BoE)'!I28=3,"Bungalow",'Loan Tape (BoE)'!I28=4,"Maisonette"),"")</f>
        <v/>
      </c>
      <c r="J27" s="17">
        <f>'Loan Tape (BoE)'!J28</f>
        <v/>
      </c>
      <c r="K27" s="17">
        <f>'Loan Tape (BoE)'!K28</f>
        <v/>
      </c>
      <c r="L27" s="17">
        <f>IFERROR(IFS('Loan Tape (BoE)'!L28=1,"Owner Occupied",'Loan Tape (BoE)'!L28=2,"BTL",'Loan Tape (BoE)'!L28=3,"Second Home",'Loan Tape (BoE)'!L28=4,"Investment"),"")</f>
        <v/>
      </c>
      <c r="M27" s="17">
        <f>IFERROR(IFS('Loan Tape (BoE)'!M28=1,"Purchase",'Loan Tape (BoE)'!M28=2,"Remortgage",OR('Loan Tape (BoE)'!M28=3,'Loan Tape (BoE)'!M28=4),"Cash-out"),"")</f>
        <v/>
      </c>
      <c r="N27" s="17">
        <f>IFERROR(INDEX('FF Adj Parameters'!$A$96:$B$99,MATCH('Loan Tape (BoE)'!R27,INDEX('FF Adj Parameters'!$A$96:$B$99,,1),0),2),"Unknown")</f>
        <v/>
      </c>
      <c r="O27" s="17">
        <f>IF('Loan Tape (BoE)'!O28=1,"Yes","No")</f>
        <v/>
      </c>
      <c r="P27" s="17">
        <f>IF('Loan Tape (BoE)'!P27=1,"Yes",IF('Loan Tape (BoE)'!P27=0,"No",""))</f>
        <v/>
      </c>
      <c r="Q27" s="17">
        <f>IF('Loan Tape (BoE)'!Q27=1,"Yes",IF('Loan Tape (BoE)'!Q27=0,"No",""))</f>
        <v/>
      </c>
      <c r="R27" s="18">
        <f>IF('Loan Tape (BoE)'!R27=1,"Yes",IF('Loan Tape (BoE)'!R27=0,"No",""))</f>
        <v/>
      </c>
      <c r="S27" s="18">
        <f>IF('Loan Tape (BoE)'!S27=1,"Yes",IF('Loan Tape (BoE)'!S27=0,"No",""))</f>
        <v/>
      </c>
      <c r="T27" s="17">
        <f>IF('Loan Tape (BoE)'!T27=1,"Yes",IF('Loan Tape (BoE)'!T27=0,"No",""))</f>
        <v/>
      </c>
      <c r="U27" s="18">
        <f>R27+S27</f>
        <v/>
      </c>
      <c r="V27" s="17">
        <f>IFERROR(IFS('Loan Tape (BoE)'!U28=1,"Employed",'Loan Tape (BoE)'!U28=2,"Self-Employed",'Loan Tape (BoE)'!U28=3,"Unemployed",'Loan Tape (BoE)'!U28=4,"Retired"),"")</f>
        <v/>
      </c>
      <c r="W27" s="17">
        <f>IFERROR(IFS('Loan Tape (BoE)'!V28=1,"Employed",'Loan Tape (BoE)'!V28=2,"Self-Employed",'Loan Tape (BoE)'!V28=3,"Unemployed",'Loan Tape (BoE)'!V28=4,"Retired"),"")</f>
        <v/>
      </c>
      <c r="X27" s="17">
        <f>IF(OR(V27="Self-Employed",W27="Self-Employed"),"Yes","No")</f>
        <v/>
      </c>
      <c r="Y27" s="17">
        <f>'Loan Tape (BoE)'!W28</f>
        <v/>
      </c>
      <c r="Z27" s="17">
        <f>'Loan Tape (BoE)'!X28</f>
        <v/>
      </c>
      <c r="AA27" s="17">
        <f>IF(T27=1,Y27,MIN(Y27,Z27))</f>
        <v/>
      </c>
      <c r="AB27" s="17">
        <f>'Loan Tape (BoE)'!Y28</f>
        <v/>
      </c>
      <c r="AC27" s="17">
        <f>'Loan Tape (BoE)'!Z28</f>
        <v/>
      </c>
      <c r="AD27" s="17">
        <f>AB27+AC27</f>
        <v/>
      </c>
      <c r="AE27" s="18">
        <f>'Loan Tape (BoE)'!AA28</f>
        <v/>
      </c>
      <c r="AF27" s="18">
        <f>'Loan Tape (BoE)'!AB28</f>
        <v/>
      </c>
      <c r="AG27" s="18">
        <f>AE27+AF27</f>
        <v/>
      </c>
      <c r="AH27" s="19">
        <f>MAX('Loan Tape (BoE)'!AC28,'Loan Tape (BoE)'!AD28)</f>
        <v/>
      </c>
      <c r="AI27" s="18">
        <f>'Loan Tape (BoE)'!AE28</f>
        <v/>
      </c>
      <c r="AJ27" s="18">
        <f>B27*H27/12</f>
        <v/>
      </c>
      <c r="AK27" s="21">
        <f>IF(AJ27&gt;0,AI27/AJ27,0)</f>
        <v/>
      </c>
      <c r="AL27" s="17">
        <f>IF('Loan Tape (BoE)'!AF28=1,"Yes","No")</f>
        <v/>
      </c>
      <c r="AM27" s="17">
        <f>IF('Loan Tape (BoE)'!AH28=1,"Yes","No")</f>
        <v/>
      </c>
      <c r="AN27" s="17">
        <f>IF('Loan Tape (BoE)'!AI28=1,"Yes","No")</f>
        <v/>
      </c>
      <c r="AO27" s="17">
        <f>IF('Loan Tape (BoE)'!AJ28=1,"Yes","No")</f>
        <v/>
      </c>
      <c r="AP27" s="17">
        <f>IF(OR('Loan Tape (BoE)'!AQ27=1,'Loan Tape (BoE)'!AQ27=2),"Yes",IF('Loan Tape (BoE)'!AQ27=0,"No",""))</f>
        <v/>
      </c>
      <c r="AQ27" s="17">
        <f>IF('Loan Tape (BoE)'!BV49_27&lt;&gt;"",'Loan Tape (BoE)'!BV49_27,"")</f>
        <v/>
      </c>
      <c r="AR27" s="17">
        <f>IF('Loan Tape (BoE)'!BV270_27&lt;&gt;"",'Loan Tape (BoE)'!BV50_27,"")</f>
        <v/>
      </c>
      <c r="AS27" s="17">
        <f>IFERROR(INDEX('FF Adj Parameters'!$A$103:$B$1027,MATCH('Loan Tape (BoE)'!P27,INDEX('FF Adj Parameters'!$A$103:$B$1027,,1),0),2),"Unknown")</f>
        <v/>
      </c>
      <c r="AT27" s="17">
        <f>IF(N27="Interest Only",M5*O5/12,IF(AND(O5&gt;0,ISNUMBER(O5),ISNUMBER(M5)),ABS(PMT(O5/12,AU5,-M5)),0))</f>
        <v/>
      </c>
      <c r="AU27" s="17">
        <f>IF(ISNUMBER(L27),MAX(0,(L5-'Control Panel'!$B$10)*12/365.25),0)</f>
        <v/>
      </c>
      <c r="AV27" s="17">
        <f>IF(ISNUMBER(L27),IF(L5&gt;'Control Panel'!$B$10,"Valid","Past Maturity"),"No Date")</f>
        <v/>
      </c>
      <c r="AW27" s="17">
        <f>IF(ISNUMBER(K27),MAX(0,('Control Panel'!$B$10-K5)*12/365.25),0)</f>
        <v/>
      </c>
    </row>
    <row r="28">
      <c r="A28" s="17">
        <f>'Loan Tape (BoE)'!A29</f>
        <v/>
      </c>
      <c r="B28" s="18">
        <f>IFERROR(INDEX('FF Adj Parameters'!$A$89:$B$92,MATCH('Loan Tape (BoE)'!C28,INDEX('FF Adj Parameters'!$A$89:$B$92,,1),0),2),"Unknown")</f>
        <v/>
      </c>
      <c r="C28" s="18">
        <f>'Loan Tape (BoE)'!C29</f>
        <v/>
      </c>
      <c r="D28" s="18">
        <f>'Loan Tape (BoE)'!D29</f>
        <v/>
      </c>
      <c r="E28" s="18">
        <f>'Loan Tape (BoE)'!E29</f>
        <v/>
      </c>
      <c r="F28" s="19">
        <f>'Loan Tape (BoE)'!F29</f>
        <v/>
      </c>
      <c r="G28" s="19">
        <f>'Loan Tape (BoE)'!G29</f>
        <v/>
      </c>
      <c r="H28" s="20">
        <f>'Loan Tape (BoE)'!H29/100</f>
        <v/>
      </c>
      <c r="I28" s="17">
        <f>IFERROR(IFS('Loan Tape (BoE)'!I29=1,"House",'Loan Tape (BoE)'!I29=2,"Flat",'Loan Tape (BoE)'!I29=3,"Bungalow",'Loan Tape (BoE)'!I29=4,"Maisonette"),"")</f>
        <v/>
      </c>
      <c r="J28" s="17">
        <f>'Loan Tape (BoE)'!J29</f>
        <v/>
      </c>
      <c r="K28" s="17">
        <f>'Loan Tape (BoE)'!K29</f>
        <v/>
      </c>
      <c r="L28" s="17">
        <f>IFERROR(IFS('Loan Tape (BoE)'!L29=1,"Owner Occupied",'Loan Tape (BoE)'!L29=2,"BTL",'Loan Tape (BoE)'!L29=3,"Second Home",'Loan Tape (BoE)'!L29=4,"Investment"),"")</f>
        <v/>
      </c>
      <c r="M28" s="17">
        <f>IFERROR(IFS('Loan Tape (BoE)'!M29=1,"Purchase",'Loan Tape (BoE)'!M29=2,"Remortgage",OR('Loan Tape (BoE)'!M29=3,'Loan Tape (BoE)'!M29=4),"Cash-out"),"")</f>
        <v/>
      </c>
      <c r="N28" s="17">
        <f>IFERROR(INDEX('FF Adj Parameters'!$A$96:$B$99,MATCH('Loan Tape (BoE)'!R28,INDEX('FF Adj Parameters'!$A$96:$B$99,,1),0),2),"Unknown")</f>
        <v/>
      </c>
      <c r="O28" s="17">
        <f>IF('Loan Tape (BoE)'!O29=1,"Yes","No")</f>
        <v/>
      </c>
      <c r="P28" s="17">
        <f>IF('Loan Tape (BoE)'!P28=1,"Yes",IF('Loan Tape (BoE)'!P28=0,"No",""))</f>
        <v/>
      </c>
      <c r="Q28" s="17">
        <f>IF('Loan Tape (BoE)'!Q28=1,"Yes",IF('Loan Tape (BoE)'!Q28=0,"No",""))</f>
        <v/>
      </c>
      <c r="R28" s="18">
        <f>IF('Loan Tape (BoE)'!R28=1,"Yes",IF('Loan Tape (BoE)'!R28=0,"No",""))</f>
        <v/>
      </c>
      <c r="S28" s="18">
        <f>IF('Loan Tape (BoE)'!S28=1,"Yes",IF('Loan Tape (BoE)'!S28=0,"No",""))</f>
        <v/>
      </c>
      <c r="T28" s="17">
        <f>IF('Loan Tape (BoE)'!T28=1,"Yes",IF('Loan Tape (BoE)'!T28=0,"No",""))</f>
        <v/>
      </c>
      <c r="U28" s="18">
        <f>R28+S28</f>
        <v/>
      </c>
      <c r="V28" s="17">
        <f>IFERROR(IFS('Loan Tape (BoE)'!U29=1,"Employed",'Loan Tape (BoE)'!U29=2,"Self-Employed",'Loan Tape (BoE)'!U29=3,"Unemployed",'Loan Tape (BoE)'!U29=4,"Retired"),"")</f>
        <v/>
      </c>
      <c r="W28" s="17">
        <f>IFERROR(IFS('Loan Tape (BoE)'!V29=1,"Employed",'Loan Tape (BoE)'!V29=2,"Self-Employed",'Loan Tape (BoE)'!V29=3,"Unemployed",'Loan Tape (BoE)'!V29=4,"Retired"),"")</f>
        <v/>
      </c>
      <c r="X28" s="17">
        <f>IF(OR(V28="Self-Employed",W28="Self-Employed"),"Yes","No")</f>
        <v/>
      </c>
      <c r="Y28" s="17">
        <f>'Loan Tape (BoE)'!W29</f>
        <v/>
      </c>
      <c r="Z28" s="17">
        <f>'Loan Tape (BoE)'!X29</f>
        <v/>
      </c>
      <c r="AA28" s="17">
        <f>IF(T28=1,Y28,MIN(Y28,Z28))</f>
        <v/>
      </c>
      <c r="AB28" s="17">
        <f>'Loan Tape (BoE)'!Y29</f>
        <v/>
      </c>
      <c r="AC28" s="17">
        <f>'Loan Tape (BoE)'!Z29</f>
        <v/>
      </c>
      <c r="AD28" s="17">
        <f>AB28+AC28</f>
        <v/>
      </c>
      <c r="AE28" s="18">
        <f>'Loan Tape (BoE)'!AA29</f>
        <v/>
      </c>
      <c r="AF28" s="18">
        <f>'Loan Tape (BoE)'!AB29</f>
        <v/>
      </c>
      <c r="AG28" s="18">
        <f>AE28+AF28</f>
        <v/>
      </c>
      <c r="AH28" s="19">
        <f>MAX('Loan Tape (BoE)'!AC29,'Loan Tape (BoE)'!AD29)</f>
        <v/>
      </c>
      <c r="AI28" s="18">
        <f>'Loan Tape (BoE)'!AE29</f>
        <v/>
      </c>
      <c r="AJ28" s="18">
        <f>B28*H28/12</f>
        <v/>
      </c>
      <c r="AK28" s="21">
        <f>IF(AJ28&gt;0,AI28/AJ28,0)</f>
        <v/>
      </c>
      <c r="AL28" s="17">
        <f>IF('Loan Tape (BoE)'!AF29=1,"Yes","No")</f>
        <v/>
      </c>
      <c r="AM28" s="17">
        <f>IF('Loan Tape (BoE)'!AH29=1,"Yes","No")</f>
        <v/>
      </c>
      <c r="AN28" s="17">
        <f>IF('Loan Tape (BoE)'!AI29=1,"Yes","No")</f>
        <v/>
      </c>
      <c r="AO28" s="17">
        <f>IF('Loan Tape (BoE)'!AJ29=1,"Yes","No")</f>
        <v/>
      </c>
      <c r="AP28" s="17">
        <f>IF(OR('Loan Tape (BoE)'!AQ28=1,'Loan Tape (BoE)'!AQ28=2),"Yes",IF('Loan Tape (BoE)'!AQ28=0,"No",""))</f>
        <v/>
      </c>
      <c r="AQ28" s="17">
        <f>IF('Loan Tape (BoE)'!BV49_28&lt;&gt;"",'Loan Tape (BoE)'!BV49_28,"")</f>
        <v/>
      </c>
      <c r="AR28" s="17">
        <f>IF('Loan Tape (BoE)'!BV280_28&lt;&gt;"",'Loan Tape (BoE)'!BV50_28,"")</f>
        <v/>
      </c>
      <c r="AS28" s="17">
        <f>IFERROR(INDEX('FF Adj Parameters'!$A$103:$B$1028,MATCH('Loan Tape (BoE)'!P28,INDEX('FF Adj Parameters'!$A$103:$B$1028,,1),0),2),"Unknown")</f>
        <v/>
      </c>
      <c r="AT28" s="17">
        <f>IF(N28="Interest Only",M5*O5/12,IF(AND(O5&gt;0,ISNUMBER(O5),ISNUMBER(M5)),ABS(PMT(O5/12,AU5,-M5)),0))</f>
        <v/>
      </c>
      <c r="AU28" s="17">
        <f>IF(ISNUMBER(L28),MAX(0,(L5-'Control Panel'!$B$10)*12/365.25),0)</f>
        <v/>
      </c>
      <c r="AV28" s="17">
        <f>IF(ISNUMBER(L28),IF(L5&gt;'Control Panel'!$B$10,"Valid","Past Maturity"),"No Date")</f>
        <v/>
      </c>
      <c r="AW28" s="17">
        <f>IF(ISNUMBER(K28),MAX(0,('Control Panel'!$B$10-K5)*12/365.25),0)</f>
        <v/>
      </c>
    </row>
    <row r="29">
      <c r="A29" s="17">
        <f>'Loan Tape (BoE)'!A30</f>
        <v/>
      </c>
      <c r="B29" s="18">
        <f>IFERROR(INDEX('FF Adj Parameters'!$A$89:$B$92,MATCH('Loan Tape (BoE)'!C29,INDEX('FF Adj Parameters'!$A$89:$B$92,,1),0),2),"Unknown")</f>
        <v/>
      </c>
      <c r="C29" s="18">
        <f>'Loan Tape (BoE)'!C30</f>
        <v/>
      </c>
      <c r="D29" s="18">
        <f>'Loan Tape (BoE)'!D30</f>
        <v/>
      </c>
      <c r="E29" s="18">
        <f>'Loan Tape (BoE)'!E30</f>
        <v/>
      </c>
      <c r="F29" s="19">
        <f>'Loan Tape (BoE)'!F30</f>
        <v/>
      </c>
      <c r="G29" s="19">
        <f>'Loan Tape (BoE)'!G30</f>
        <v/>
      </c>
      <c r="H29" s="20">
        <f>'Loan Tape (BoE)'!H30/100</f>
        <v/>
      </c>
      <c r="I29" s="17">
        <f>IFERROR(IFS('Loan Tape (BoE)'!I30=1,"House",'Loan Tape (BoE)'!I30=2,"Flat",'Loan Tape (BoE)'!I30=3,"Bungalow",'Loan Tape (BoE)'!I30=4,"Maisonette"),"")</f>
        <v/>
      </c>
      <c r="J29" s="17">
        <f>'Loan Tape (BoE)'!J30</f>
        <v/>
      </c>
      <c r="K29" s="17">
        <f>'Loan Tape (BoE)'!K30</f>
        <v/>
      </c>
      <c r="L29" s="17">
        <f>IFERROR(IFS('Loan Tape (BoE)'!L30=1,"Owner Occupied",'Loan Tape (BoE)'!L30=2,"BTL",'Loan Tape (BoE)'!L30=3,"Second Home",'Loan Tape (BoE)'!L30=4,"Investment"),"")</f>
        <v/>
      </c>
      <c r="M29" s="17">
        <f>IFERROR(IFS('Loan Tape (BoE)'!M30=1,"Purchase",'Loan Tape (BoE)'!M30=2,"Remortgage",OR('Loan Tape (BoE)'!M30=3,'Loan Tape (BoE)'!M30=4),"Cash-out"),"")</f>
        <v/>
      </c>
      <c r="N29" s="17">
        <f>IFERROR(INDEX('FF Adj Parameters'!$A$96:$B$99,MATCH('Loan Tape (BoE)'!R29,INDEX('FF Adj Parameters'!$A$96:$B$99,,1),0),2),"Unknown")</f>
        <v/>
      </c>
      <c r="O29" s="17">
        <f>IF('Loan Tape (BoE)'!O30=1,"Yes","No")</f>
        <v/>
      </c>
      <c r="P29" s="17">
        <f>IF('Loan Tape (BoE)'!P29=1,"Yes",IF('Loan Tape (BoE)'!P29=0,"No",""))</f>
        <v/>
      </c>
      <c r="Q29" s="17">
        <f>IF('Loan Tape (BoE)'!Q29=1,"Yes",IF('Loan Tape (BoE)'!Q29=0,"No",""))</f>
        <v/>
      </c>
      <c r="R29" s="18">
        <f>IF('Loan Tape (BoE)'!R29=1,"Yes",IF('Loan Tape (BoE)'!R29=0,"No",""))</f>
        <v/>
      </c>
      <c r="S29" s="18">
        <f>IF('Loan Tape (BoE)'!S29=1,"Yes",IF('Loan Tape (BoE)'!S29=0,"No",""))</f>
        <v/>
      </c>
      <c r="T29" s="17">
        <f>IF('Loan Tape (BoE)'!T29=1,"Yes",IF('Loan Tape (BoE)'!T29=0,"No",""))</f>
        <v/>
      </c>
      <c r="U29" s="18">
        <f>R29+S29</f>
        <v/>
      </c>
      <c r="V29" s="17">
        <f>IFERROR(IFS('Loan Tape (BoE)'!U30=1,"Employed",'Loan Tape (BoE)'!U30=2,"Self-Employed",'Loan Tape (BoE)'!U30=3,"Unemployed",'Loan Tape (BoE)'!U30=4,"Retired"),"")</f>
        <v/>
      </c>
      <c r="W29" s="17">
        <f>IFERROR(IFS('Loan Tape (BoE)'!V30=1,"Employed",'Loan Tape (BoE)'!V30=2,"Self-Employed",'Loan Tape (BoE)'!V30=3,"Unemployed",'Loan Tape (BoE)'!V30=4,"Retired"),"")</f>
        <v/>
      </c>
      <c r="X29" s="17">
        <f>IF(OR(V29="Self-Employed",W29="Self-Employed"),"Yes","No")</f>
        <v/>
      </c>
      <c r="Y29" s="17">
        <f>'Loan Tape (BoE)'!W30</f>
        <v/>
      </c>
      <c r="Z29" s="17">
        <f>'Loan Tape (BoE)'!X30</f>
        <v/>
      </c>
      <c r="AA29" s="17">
        <f>IF(T29=1,Y29,MIN(Y29,Z29))</f>
        <v/>
      </c>
      <c r="AB29" s="17">
        <f>'Loan Tape (BoE)'!Y30</f>
        <v/>
      </c>
      <c r="AC29" s="17">
        <f>'Loan Tape (BoE)'!Z30</f>
        <v/>
      </c>
      <c r="AD29" s="17">
        <f>AB29+AC29</f>
        <v/>
      </c>
      <c r="AE29" s="18">
        <f>'Loan Tape (BoE)'!AA30</f>
        <v/>
      </c>
      <c r="AF29" s="18">
        <f>'Loan Tape (BoE)'!AB30</f>
        <v/>
      </c>
      <c r="AG29" s="18">
        <f>AE29+AF29</f>
        <v/>
      </c>
      <c r="AH29" s="19">
        <f>MAX('Loan Tape (BoE)'!AC30,'Loan Tape (BoE)'!AD30)</f>
        <v/>
      </c>
      <c r="AI29" s="18">
        <f>'Loan Tape (BoE)'!AE30</f>
        <v/>
      </c>
      <c r="AJ29" s="18">
        <f>B29*H29/12</f>
        <v/>
      </c>
      <c r="AK29" s="21">
        <f>IF(AJ29&gt;0,AI29/AJ29,0)</f>
        <v/>
      </c>
      <c r="AL29" s="17">
        <f>IF('Loan Tape (BoE)'!AF30=1,"Yes","No")</f>
        <v/>
      </c>
      <c r="AM29" s="17">
        <f>IF('Loan Tape (BoE)'!AH30=1,"Yes","No")</f>
        <v/>
      </c>
      <c r="AN29" s="17">
        <f>IF('Loan Tape (BoE)'!AI30=1,"Yes","No")</f>
        <v/>
      </c>
      <c r="AO29" s="17">
        <f>IF('Loan Tape (BoE)'!AJ30=1,"Yes","No")</f>
        <v/>
      </c>
      <c r="AP29" s="17">
        <f>IF(OR('Loan Tape (BoE)'!AQ29=1,'Loan Tape (BoE)'!AQ29=2),"Yes",IF('Loan Tape (BoE)'!AQ29=0,"No",""))</f>
        <v/>
      </c>
      <c r="AQ29" s="17">
        <f>IF('Loan Tape (BoE)'!BV49_29&lt;&gt;"",'Loan Tape (BoE)'!BV49_29,"")</f>
        <v/>
      </c>
      <c r="AR29" s="17">
        <f>IF('Loan Tape (BoE)'!BV290_29&lt;&gt;"",'Loan Tape (BoE)'!BV50_29,"")</f>
        <v/>
      </c>
      <c r="AS29" s="17">
        <f>IFERROR(INDEX('FF Adj Parameters'!$A$103:$B$1029,MATCH('Loan Tape (BoE)'!P29,INDEX('FF Adj Parameters'!$A$103:$B$1029,,1),0),2),"Unknown")</f>
        <v/>
      </c>
      <c r="AT29" s="17">
        <f>IF(N29="Interest Only",M5*O5/12,IF(AND(O5&gt;0,ISNUMBER(O5),ISNUMBER(M5)),ABS(PMT(O5/12,AU5,-M5)),0))</f>
        <v/>
      </c>
      <c r="AU29" s="17">
        <f>IF(ISNUMBER(L29),MAX(0,(L5-'Control Panel'!$B$10)*12/365.25),0)</f>
        <v/>
      </c>
      <c r="AV29" s="17">
        <f>IF(ISNUMBER(L29),IF(L5&gt;'Control Panel'!$B$10,"Valid","Past Maturity"),"No Date")</f>
        <v/>
      </c>
      <c r="AW29" s="17">
        <f>IF(ISNUMBER(K29),MAX(0,('Control Panel'!$B$10-K5)*12/365.25),0)</f>
        <v/>
      </c>
    </row>
    <row r="30">
      <c r="A30" s="17">
        <f>'Loan Tape (BoE)'!A31</f>
        <v/>
      </c>
      <c r="B30" s="18">
        <f>IFERROR(INDEX('FF Adj Parameters'!$A$89:$B$92,MATCH('Loan Tape (BoE)'!C30,INDEX('FF Adj Parameters'!$A$89:$B$92,,1),0),2),"Unknown")</f>
        <v/>
      </c>
      <c r="C30" s="18">
        <f>'Loan Tape (BoE)'!C31</f>
        <v/>
      </c>
      <c r="D30" s="18">
        <f>'Loan Tape (BoE)'!D31</f>
        <v/>
      </c>
      <c r="E30" s="18">
        <f>'Loan Tape (BoE)'!E31</f>
        <v/>
      </c>
      <c r="F30" s="19">
        <f>'Loan Tape (BoE)'!F31</f>
        <v/>
      </c>
      <c r="G30" s="19">
        <f>'Loan Tape (BoE)'!G31</f>
        <v/>
      </c>
      <c r="H30" s="20">
        <f>'Loan Tape (BoE)'!H31/100</f>
        <v/>
      </c>
      <c r="I30" s="17">
        <f>IFERROR(IFS('Loan Tape (BoE)'!I31=1,"House",'Loan Tape (BoE)'!I31=2,"Flat",'Loan Tape (BoE)'!I31=3,"Bungalow",'Loan Tape (BoE)'!I31=4,"Maisonette"),"")</f>
        <v/>
      </c>
      <c r="J30" s="17">
        <f>'Loan Tape (BoE)'!J31</f>
        <v/>
      </c>
      <c r="K30" s="17">
        <f>'Loan Tape (BoE)'!K31</f>
        <v/>
      </c>
      <c r="L30" s="17">
        <f>IFERROR(IFS('Loan Tape (BoE)'!L31=1,"Owner Occupied",'Loan Tape (BoE)'!L31=2,"BTL",'Loan Tape (BoE)'!L31=3,"Second Home",'Loan Tape (BoE)'!L31=4,"Investment"),"")</f>
        <v/>
      </c>
      <c r="M30" s="17">
        <f>IFERROR(IFS('Loan Tape (BoE)'!M31=1,"Purchase",'Loan Tape (BoE)'!M31=2,"Remortgage",OR('Loan Tape (BoE)'!M31=3,'Loan Tape (BoE)'!M31=4),"Cash-out"),"")</f>
        <v/>
      </c>
      <c r="N30" s="17">
        <f>IFERROR(INDEX('FF Adj Parameters'!$A$96:$B$99,MATCH('Loan Tape (BoE)'!R30,INDEX('FF Adj Parameters'!$A$96:$B$99,,1),0),2),"Unknown")</f>
        <v/>
      </c>
      <c r="O30" s="17">
        <f>IF('Loan Tape (BoE)'!O31=1,"Yes","No")</f>
        <v/>
      </c>
      <c r="P30" s="17">
        <f>IF('Loan Tape (BoE)'!P30=1,"Yes",IF('Loan Tape (BoE)'!P30=0,"No",""))</f>
        <v/>
      </c>
      <c r="Q30" s="17">
        <f>IF('Loan Tape (BoE)'!Q30=1,"Yes",IF('Loan Tape (BoE)'!Q30=0,"No",""))</f>
        <v/>
      </c>
      <c r="R30" s="18">
        <f>IF('Loan Tape (BoE)'!R30=1,"Yes",IF('Loan Tape (BoE)'!R30=0,"No",""))</f>
        <v/>
      </c>
      <c r="S30" s="18">
        <f>IF('Loan Tape (BoE)'!S30=1,"Yes",IF('Loan Tape (BoE)'!S30=0,"No",""))</f>
        <v/>
      </c>
      <c r="T30" s="17">
        <f>IF('Loan Tape (BoE)'!T30=1,"Yes",IF('Loan Tape (BoE)'!T30=0,"No",""))</f>
        <v/>
      </c>
      <c r="U30" s="18">
        <f>R30+S30</f>
        <v/>
      </c>
      <c r="V30" s="17">
        <f>IFERROR(IFS('Loan Tape (BoE)'!U31=1,"Employed",'Loan Tape (BoE)'!U31=2,"Self-Employed",'Loan Tape (BoE)'!U31=3,"Unemployed",'Loan Tape (BoE)'!U31=4,"Retired"),"")</f>
        <v/>
      </c>
      <c r="W30" s="17">
        <f>IFERROR(IFS('Loan Tape (BoE)'!V31=1,"Employed",'Loan Tape (BoE)'!V31=2,"Self-Employed",'Loan Tape (BoE)'!V31=3,"Unemployed",'Loan Tape (BoE)'!V31=4,"Retired"),"")</f>
        <v/>
      </c>
      <c r="X30" s="17">
        <f>IF(OR(V30="Self-Employed",W30="Self-Employed"),"Yes","No")</f>
        <v/>
      </c>
      <c r="Y30" s="17">
        <f>'Loan Tape (BoE)'!W31</f>
        <v/>
      </c>
      <c r="Z30" s="17">
        <f>'Loan Tape (BoE)'!X31</f>
        <v/>
      </c>
      <c r="AA30" s="17">
        <f>IF(T30=1,Y30,MIN(Y30,Z30))</f>
        <v/>
      </c>
      <c r="AB30" s="17">
        <f>'Loan Tape (BoE)'!Y31</f>
        <v/>
      </c>
      <c r="AC30" s="17">
        <f>'Loan Tape (BoE)'!Z31</f>
        <v/>
      </c>
      <c r="AD30" s="17">
        <f>AB30+AC30</f>
        <v/>
      </c>
      <c r="AE30" s="18">
        <f>'Loan Tape (BoE)'!AA31</f>
        <v/>
      </c>
      <c r="AF30" s="18">
        <f>'Loan Tape (BoE)'!AB31</f>
        <v/>
      </c>
      <c r="AG30" s="18">
        <f>AE30+AF30</f>
        <v/>
      </c>
      <c r="AH30" s="19">
        <f>MAX('Loan Tape (BoE)'!AC31,'Loan Tape (BoE)'!AD31)</f>
        <v/>
      </c>
      <c r="AI30" s="18">
        <f>'Loan Tape (BoE)'!AE31</f>
        <v/>
      </c>
      <c r="AJ30" s="18">
        <f>B30*H30/12</f>
        <v/>
      </c>
      <c r="AK30" s="21">
        <f>IF(AJ30&gt;0,AI30/AJ30,0)</f>
        <v/>
      </c>
      <c r="AL30" s="17">
        <f>IF('Loan Tape (BoE)'!AF31=1,"Yes","No")</f>
        <v/>
      </c>
      <c r="AM30" s="17">
        <f>IF('Loan Tape (BoE)'!AH31=1,"Yes","No")</f>
        <v/>
      </c>
      <c r="AN30" s="17">
        <f>IF('Loan Tape (BoE)'!AI31=1,"Yes","No")</f>
        <v/>
      </c>
      <c r="AO30" s="17">
        <f>IF('Loan Tape (BoE)'!AJ31=1,"Yes","No")</f>
        <v/>
      </c>
      <c r="AP30" s="17">
        <f>IF(OR('Loan Tape (BoE)'!AQ30=1,'Loan Tape (BoE)'!AQ30=2),"Yes",IF('Loan Tape (BoE)'!AQ30=0,"No",""))</f>
        <v/>
      </c>
      <c r="AQ30" s="17">
        <f>IF('Loan Tape (BoE)'!BV49_30&lt;&gt;"",'Loan Tape (BoE)'!BV49_30,"")</f>
        <v/>
      </c>
      <c r="AR30" s="17">
        <f>IF('Loan Tape (BoE)'!BV300_30&lt;&gt;"",'Loan Tape (BoE)'!BV50_30,"")</f>
        <v/>
      </c>
      <c r="AS30" s="17">
        <f>IFERROR(INDEX('FF Adj Parameters'!$A$103:$B$1030,MATCH('Loan Tape (BoE)'!P30,INDEX('FF Adj Parameters'!$A$103:$B$1030,,1),0),2),"Unknown")</f>
        <v/>
      </c>
      <c r="AT30" s="17">
        <f>IF(N30="Interest Only",M5*O5/12,IF(AND(O5&gt;0,ISNUMBER(O5),ISNUMBER(M5)),ABS(PMT(O5/12,AU5,-M5)),0))</f>
        <v/>
      </c>
      <c r="AU30" s="17">
        <f>IF(ISNUMBER(L30),MAX(0,(L5-'Control Panel'!$B$10)*12/365.25),0)</f>
        <v/>
      </c>
      <c r="AV30" s="17">
        <f>IF(ISNUMBER(L30),IF(L5&gt;'Control Panel'!$B$10,"Valid","Past Maturity"),"No Date")</f>
        <v/>
      </c>
      <c r="AW30" s="17">
        <f>IF(ISNUMBER(K30),MAX(0,('Control Panel'!$B$10-K5)*12/365.25),0)</f>
        <v/>
      </c>
    </row>
    <row r="31">
      <c r="A31" s="17">
        <f>'Loan Tape (BoE)'!A32</f>
        <v/>
      </c>
      <c r="B31" s="18">
        <f>IFERROR(INDEX('FF Adj Parameters'!$A$89:$B$92,MATCH('Loan Tape (BoE)'!C31,INDEX('FF Adj Parameters'!$A$89:$B$92,,1),0),2),"Unknown")</f>
        <v/>
      </c>
      <c r="C31" s="18">
        <f>'Loan Tape (BoE)'!C32</f>
        <v/>
      </c>
      <c r="D31" s="18">
        <f>'Loan Tape (BoE)'!D32</f>
        <v/>
      </c>
      <c r="E31" s="18">
        <f>'Loan Tape (BoE)'!E32</f>
        <v/>
      </c>
      <c r="F31" s="19">
        <f>'Loan Tape (BoE)'!F32</f>
        <v/>
      </c>
      <c r="G31" s="19">
        <f>'Loan Tape (BoE)'!G32</f>
        <v/>
      </c>
      <c r="H31" s="20">
        <f>'Loan Tape (BoE)'!H32/100</f>
        <v/>
      </c>
      <c r="I31" s="17">
        <f>IFERROR(IFS('Loan Tape (BoE)'!I32=1,"House",'Loan Tape (BoE)'!I32=2,"Flat",'Loan Tape (BoE)'!I32=3,"Bungalow",'Loan Tape (BoE)'!I32=4,"Maisonette"),"")</f>
        <v/>
      </c>
      <c r="J31" s="17">
        <f>'Loan Tape (BoE)'!J32</f>
        <v/>
      </c>
      <c r="K31" s="17">
        <f>'Loan Tape (BoE)'!K32</f>
        <v/>
      </c>
      <c r="L31" s="17">
        <f>IFERROR(IFS('Loan Tape (BoE)'!L32=1,"Owner Occupied",'Loan Tape (BoE)'!L32=2,"BTL",'Loan Tape (BoE)'!L32=3,"Second Home",'Loan Tape (BoE)'!L32=4,"Investment"),"")</f>
        <v/>
      </c>
      <c r="M31" s="17">
        <f>IFERROR(IFS('Loan Tape (BoE)'!M32=1,"Purchase",'Loan Tape (BoE)'!M32=2,"Remortgage",OR('Loan Tape (BoE)'!M32=3,'Loan Tape (BoE)'!M32=4),"Cash-out"),"")</f>
        <v/>
      </c>
      <c r="N31" s="17">
        <f>IFERROR(INDEX('FF Adj Parameters'!$A$96:$B$99,MATCH('Loan Tape (BoE)'!R31,INDEX('FF Adj Parameters'!$A$96:$B$99,,1),0),2),"Unknown")</f>
        <v/>
      </c>
      <c r="O31" s="17">
        <f>IF('Loan Tape (BoE)'!O32=1,"Yes","No")</f>
        <v/>
      </c>
      <c r="P31" s="17">
        <f>IF('Loan Tape (BoE)'!P31=1,"Yes",IF('Loan Tape (BoE)'!P31=0,"No",""))</f>
        <v/>
      </c>
      <c r="Q31" s="17">
        <f>IF('Loan Tape (BoE)'!Q31=1,"Yes",IF('Loan Tape (BoE)'!Q31=0,"No",""))</f>
        <v/>
      </c>
      <c r="R31" s="18">
        <f>IF('Loan Tape (BoE)'!R31=1,"Yes",IF('Loan Tape (BoE)'!R31=0,"No",""))</f>
        <v/>
      </c>
      <c r="S31" s="18">
        <f>IF('Loan Tape (BoE)'!S31=1,"Yes",IF('Loan Tape (BoE)'!S31=0,"No",""))</f>
        <v/>
      </c>
      <c r="T31" s="17">
        <f>IF('Loan Tape (BoE)'!T31=1,"Yes",IF('Loan Tape (BoE)'!T31=0,"No",""))</f>
        <v/>
      </c>
      <c r="U31" s="18">
        <f>R31+S31</f>
        <v/>
      </c>
      <c r="V31" s="17">
        <f>IFERROR(IFS('Loan Tape (BoE)'!U32=1,"Employed",'Loan Tape (BoE)'!U32=2,"Self-Employed",'Loan Tape (BoE)'!U32=3,"Unemployed",'Loan Tape (BoE)'!U32=4,"Retired"),"")</f>
        <v/>
      </c>
      <c r="W31" s="17">
        <f>IFERROR(IFS('Loan Tape (BoE)'!V32=1,"Employed",'Loan Tape (BoE)'!V32=2,"Self-Employed",'Loan Tape (BoE)'!V32=3,"Unemployed",'Loan Tape (BoE)'!V32=4,"Retired"),"")</f>
        <v/>
      </c>
      <c r="X31" s="17">
        <f>IF(OR(V31="Self-Employed",W31="Self-Employed"),"Yes","No")</f>
        <v/>
      </c>
      <c r="Y31" s="17">
        <f>'Loan Tape (BoE)'!W32</f>
        <v/>
      </c>
      <c r="Z31" s="17">
        <f>'Loan Tape (BoE)'!X32</f>
        <v/>
      </c>
      <c r="AA31" s="17">
        <f>IF(T31=1,Y31,MIN(Y31,Z31))</f>
        <v/>
      </c>
      <c r="AB31" s="17">
        <f>'Loan Tape (BoE)'!Y32</f>
        <v/>
      </c>
      <c r="AC31" s="17">
        <f>'Loan Tape (BoE)'!Z32</f>
        <v/>
      </c>
      <c r="AD31" s="17">
        <f>AB31+AC31</f>
        <v/>
      </c>
      <c r="AE31" s="18">
        <f>'Loan Tape (BoE)'!AA32</f>
        <v/>
      </c>
      <c r="AF31" s="18">
        <f>'Loan Tape (BoE)'!AB32</f>
        <v/>
      </c>
      <c r="AG31" s="18">
        <f>AE31+AF31</f>
        <v/>
      </c>
      <c r="AH31" s="19">
        <f>MAX('Loan Tape (BoE)'!AC32,'Loan Tape (BoE)'!AD32)</f>
        <v/>
      </c>
      <c r="AI31" s="18">
        <f>'Loan Tape (BoE)'!AE32</f>
        <v/>
      </c>
      <c r="AJ31" s="18">
        <f>B31*H31/12</f>
        <v/>
      </c>
      <c r="AK31" s="21">
        <f>IF(AJ31&gt;0,AI31/AJ31,0)</f>
        <v/>
      </c>
      <c r="AL31" s="17">
        <f>IF('Loan Tape (BoE)'!AF32=1,"Yes","No")</f>
        <v/>
      </c>
      <c r="AM31" s="17">
        <f>IF('Loan Tape (BoE)'!AH32=1,"Yes","No")</f>
        <v/>
      </c>
      <c r="AN31" s="17">
        <f>IF('Loan Tape (BoE)'!AI32=1,"Yes","No")</f>
        <v/>
      </c>
      <c r="AO31" s="17">
        <f>IF('Loan Tape (BoE)'!AJ32=1,"Yes","No")</f>
        <v/>
      </c>
      <c r="AP31" s="17">
        <f>IF(OR('Loan Tape (BoE)'!AQ31=1,'Loan Tape (BoE)'!AQ31=2),"Yes",IF('Loan Tape (BoE)'!AQ31=0,"No",""))</f>
        <v/>
      </c>
      <c r="AQ31" s="17">
        <f>IF('Loan Tape (BoE)'!BV49_31&lt;&gt;"",'Loan Tape (BoE)'!BV49_31,"")</f>
        <v/>
      </c>
      <c r="AR31" s="17">
        <f>IF('Loan Tape (BoE)'!BV310_31&lt;&gt;"",'Loan Tape (BoE)'!BV50_31,"")</f>
        <v/>
      </c>
      <c r="AS31" s="17">
        <f>IFERROR(INDEX('FF Adj Parameters'!$A$103:$B$1031,MATCH('Loan Tape (BoE)'!P31,INDEX('FF Adj Parameters'!$A$103:$B$1031,,1),0),2),"Unknown")</f>
        <v/>
      </c>
      <c r="AT31" s="17">
        <f>IF(N31="Interest Only",M5*O5/12,IF(AND(O5&gt;0,ISNUMBER(O5),ISNUMBER(M5)),ABS(PMT(O5/12,AU5,-M5)),0))</f>
        <v/>
      </c>
      <c r="AU31" s="17">
        <f>IF(ISNUMBER(L31),MAX(0,(L5-'Control Panel'!$B$10)*12/365.25),0)</f>
        <v/>
      </c>
      <c r="AV31" s="17">
        <f>IF(ISNUMBER(L31),IF(L5&gt;'Control Panel'!$B$10,"Valid","Past Maturity"),"No Date")</f>
        <v/>
      </c>
      <c r="AW31" s="17">
        <f>IF(ISNUMBER(K31),MAX(0,('Control Panel'!$B$10-K5)*12/365.25),0)</f>
        <v/>
      </c>
    </row>
    <row r="32">
      <c r="A32" s="17">
        <f>'Loan Tape (BoE)'!A33</f>
        <v/>
      </c>
      <c r="B32" s="18">
        <f>IFERROR(INDEX('FF Adj Parameters'!$A$89:$B$92,MATCH('Loan Tape (BoE)'!C32,INDEX('FF Adj Parameters'!$A$89:$B$92,,1),0),2),"Unknown")</f>
        <v/>
      </c>
      <c r="C32" s="18">
        <f>'Loan Tape (BoE)'!C33</f>
        <v/>
      </c>
      <c r="D32" s="18">
        <f>'Loan Tape (BoE)'!D33</f>
        <v/>
      </c>
      <c r="E32" s="18">
        <f>'Loan Tape (BoE)'!E33</f>
        <v/>
      </c>
      <c r="F32" s="19">
        <f>'Loan Tape (BoE)'!F33</f>
        <v/>
      </c>
      <c r="G32" s="19">
        <f>'Loan Tape (BoE)'!G33</f>
        <v/>
      </c>
      <c r="H32" s="20">
        <f>'Loan Tape (BoE)'!H33/100</f>
        <v/>
      </c>
      <c r="I32" s="17">
        <f>IFERROR(IFS('Loan Tape (BoE)'!I33=1,"House",'Loan Tape (BoE)'!I33=2,"Flat",'Loan Tape (BoE)'!I33=3,"Bungalow",'Loan Tape (BoE)'!I33=4,"Maisonette"),"")</f>
        <v/>
      </c>
      <c r="J32" s="17">
        <f>'Loan Tape (BoE)'!J33</f>
        <v/>
      </c>
      <c r="K32" s="17">
        <f>'Loan Tape (BoE)'!K33</f>
        <v/>
      </c>
      <c r="L32" s="17">
        <f>IFERROR(IFS('Loan Tape (BoE)'!L33=1,"Owner Occupied",'Loan Tape (BoE)'!L33=2,"BTL",'Loan Tape (BoE)'!L33=3,"Second Home",'Loan Tape (BoE)'!L33=4,"Investment"),"")</f>
        <v/>
      </c>
      <c r="M32" s="17">
        <f>IFERROR(IFS('Loan Tape (BoE)'!M33=1,"Purchase",'Loan Tape (BoE)'!M33=2,"Remortgage",OR('Loan Tape (BoE)'!M33=3,'Loan Tape (BoE)'!M33=4),"Cash-out"),"")</f>
        <v/>
      </c>
      <c r="N32" s="17">
        <f>IFERROR(INDEX('FF Adj Parameters'!$A$96:$B$99,MATCH('Loan Tape (BoE)'!R32,INDEX('FF Adj Parameters'!$A$96:$B$99,,1),0),2),"Unknown")</f>
        <v/>
      </c>
      <c r="O32" s="17">
        <f>IF('Loan Tape (BoE)'!O33=1,"Yes","No")</f>
        <v/>
      </c>
      <c r="P32" s="17">
        <f>IF('Loan Tape (BoE)'!P32=1,"Yes",IF('Loan Tape (BoE)'!P32=0,"No",""))</f>
        <v/>
      </c>
      <c r="Q32" s="17">
        <f>IF('Loan Tape (BoE)'!Q32=1,"Yes",IF('Loan Tape (BoE)'!Q32=0,"No",""))</f>
        <v/>
      </c>
      <c r="R32" s="18">
        <f>IF('Loan Tape (BoE)'!R32=1,"Yes",IF('Loan Tape (BoE)'!R32=0,"No",""))</f>
        <v/>
      </c>
      <c r="S32" s="18">
        <f>IF('Loan Tape (BoE)'!S32=1,"Yes",IF('Loan Tape (BoE)'!S32=0,"No",""))</f>
        <v/>
      </c>
      <c r="T32" s="17">
        <f>IF('Loan Tape (BoE)'!T32=1,"Yes",IF('Loan Tape (BoE)'!T32=0,"No",""))</f>
        <v/>
      </c>
      <c r="U32" s="18">
        <f>R32+S32</f>
        <v/>
      </c>
      <c r="V32" s="17">
        <f>IFERROR(IFS('Loan Tape (BoE)'!U33=1,"Employed",'Loan Tape (BoE)'!U33=2,"Self-Employed",'Loan Tape (BoE)'!U33=3,"Unemployed",'Loan Tape (BoE)'!U33=4,"Retired"),"")</f>
        <v/>
      </c>
      <c r="W32" s="17">
        <f>IFERROR(IFS('Loan Tape (BoE)'!V33=1,"Employed",'Loan Tape (BoE)'!V33=2,"Self-Employed",'Loan Tape (BoE)'!V33=3,"Unemployed",'Loan Tape (BoE)'!V33=4,"Retired"),"")</f>
        <v/>
      </c>
      <c r="X32" s="17">
        <f>IF(OR(V32="Self-Employed",W32="Self-Employed"),"Yes","No")</f>
        <v/>
      </c>
      <c r="Y32" s="17">
        <f>'Loan Tape (BoE)'!W33</f>
        <v/>
      </c>
      <c r="Z32" s="17">
        <f>'Loan Tape (BoE)'!X33</f>
        <v/>
      </c>
      <c r="AA32" s="17">
        <f>IF(T32=1,Y32,MIN(Y32,Z32))</f>
        <v/>
      </c>
      <c r="AB32" s="17">
        <f>'Loan Tape (BoE)'!Y33</f>
        <v/>
      </c>
      <c r="AC32" s="17">
        <f>'Loan Tape (BoE)'!Z33</f>
        <v/>
      </c>
      <c r="AD32" s="17">
        <f>AB32+AC32</f>
        <v/>
      </c>
      <c r="AE32" s="18">
        <f>'Loan Tape (BoE)'!AA33</f>
        <v/>
      </c>
      <c r="AF32" s="18">
        <f>'Loan Tape (BoE)'!AB33</f>
        <v/>
      </c>
      <c r="AG32" s="18">
        <f>AE32+AF32</f>
        <v/>
      </c>
      <c r="AH32" s="19">
        <f>MAX('Loan Tape (BoE)'!AC33,'Loan Tape (BoE)'!AD33)</f>
        <v/>
      </c>
      <c r="AI32" s="18">
        <f>'Loan Tape (BoE)'!AE33</f>
        <v/>
      </c>
      <c r="AJ32" s="18">
        <f>B32*H32/12</f>
        <v/>
      </c>
      <c r="AK32" s="21">
        <f>IF(AJ32&gt;0,AI32/AJ32,0)</f>
        <v/>
      </c>
      <c r="AL32" s="17">
        <f>IF('Loan Tape (BoE)'!AF33=1,"Yes","No")</f>
        <v/>
      </c>
      <c r="AM32" s="17">
        <f>IF('Loan Tape (BoE)'!AH33=1,"Yes","No")</f>
        <v/>
      </c>
      <c r="AN32" s="17">
        <f>IF('Loan Tape (BoE)'!AI33=1,"Yes","No")</f>
        <v/>
      </c>
      <c r="AO32" s="17">
        <f>IF('Loan Tape (BoE)'!AJ33=1,"Yes","No")</f>
        <v/>
      </c>
      <c r="AP32" s="17">
        <f>IF(OR('Loan Tape (BoE)'!AQ32=1,'Loan Tape (BoE)'!AQ32=2),"Yes",IF('Loan Tape (BoE)'!AQ32=0,"No",""))</f>
        <v/>
      </c>
      <c r="AQ32" s="17">
        <f>IF('Loan Tape (BoE)'!BV49_32&lt;&gt;"",'Loan Tape (BoE)'!BV49_32,"")</f>
        <v/>
      </c>
      <c r="AR32" s="17">
        <f>IF('Loan Tape (BoE)'!BV320_32&lt;&gt;"",'Loan Tape (BoE)'!BV50_32,"")</f>
        <v/>
      </c>
      <c r="AS32" s="17">
        <f>IFERROR(INDEX('FF Adj Parameters'!$A$103:$B$1032,MATCH('Loan Tape (BoE)'!P32,INDEX('FF Adj Parameters'!$A$103:$B$1032,,1),0),2),"Unknown")</f>
        <v/>
      </c>
      <c r="AT32" s="17">
        <f>IF(N32="Interest Only",M5*O5/12,IF(AND(O5&gt;0,ISNUMBER(O5),ISNUMBER(M5)),ABS(PMT(O5/12,AU5,-M5)),0))</f>
        <v/>
      </c>
      <c r="AU32" s="17">
        <f>IF(ISNUMBER(L32),MAX(0,(L5-'Control Panel'!$B$10)*12/365.25),0)</f>
        <v/>
      </c>
      <c r="AV32" s="17">
        <f>IF(ISNUMBER(L32),IF(L5&gt;'Control Panel'!$B$10,"Valid","Past Maturity"),"No Date")</f>
        <v/>
      </c>
      <c r="AW32" s="17">
        <f>IF(ISNUMBER(K32),MAX(0,('Control Panel'!$B$10-K5)*12/365.25),0)</f>
        <v/>
      </c>
    </row>
    <row r="33">
      <c r="A33" s="17">
        <f>'Loan Tape (BoE)'!A34</f>
        <v/>
      </c>
      <c r="B33" s="18">
        <f>IFERROR(INDEX('FF Adj Parameters'!$A$89:$B$92,MATCH('Loan Tape (BoE)'!C33,INDEX('FF Adj Parameters'!$A$89:$B$92,,1),0),2),"Unknown")</f>
        <v/>
      </c>
      <c r="C33" s="18">
        <f>'Loan Tape (BoE)'!C34</f>
        <v/>
      </c>
      <c r="D33" s="18">
        <f>'Loan Tape (BoE)'!D34</f>
        <v/>
      </c>
      <c r="E33" s="18">
        <f>'Loan Tape (BoE)'!E34</f>
        <v/>
      </c>
      <c r="F33" s="19">
        <f>'Loan Tape (BoE)'!F34</f>
        <v/>
      </c>
      <c r="G33" s="19">
        <f>'Loan Tape (BoE)'!G34</f>
        <v/>
      </c>
      <c r="H33" s="20">
        <f>'Loan Tape (BoE)'!H34/100</f>
        <v/>
      </c>
      <c r="I33" s="17">
        <f>IFERROR(IFS('Loan Tape (BoE)'!I34=1,"House",'Loan Tape (BoE)'!I34=2,"Flat",'Loan Tape (BoE)'!I34=3,"Bungalow",'Loan Tape (BoE)'!I34=4,"Maisonette"),"")</f>
        <v/>
      </c>
      <c r="J33" s="17">
        <f>'Loan Tape (BoE)'!J34</f>
        <v/>
      </c>
      <c r="K33" s="17">
        <f>'Loan Tape (BoE)'!K34</f>
        <v/>
      </c>
      <c r="L33" s="17">
        <f>IFERROR(IFS('Loan Tape (BoE)'!L34=1,"Owner Occupied",'Loan Tape (BoE)'!L34=2,"BTL",'Loan Tape (BoE)'!L34=3,"Second Home",'Loan Tape (BoE)'!L34=4,"Investment"),"")</f>
        <v/>
      </c>
      <c r="M33" s="17">
        <f>IFERROR(IFS('Loan Tape (BoE)'!M34=1,"Purchase",'Loan Tape (BoE)'!M34=2,"Remortgage",OR('Loan Tape (BoE)'!M34=3,'Loan Tape (BoE)'!M34=4),"Cash-out"),"")</f>
        <v/>
      </c>
      <c r="N33" s="17">
        <f>IFERROR(INDEX('FF Adj Parameters'!$A$96:$B$99,MATCH('Loan Tape (BoE)'!R33,INDEX('FF Adj Parameters'!$A$96:$B$99,,1),0),2),"Unknown")</f>
        <v/>
      </c>
      <c r="O33" s="17">
        <f>IF('Loan Tape (BoE)'!O34=1,"Yes","No")</f>
        <v/>
      </c>
      <c r="P33" s="17">
        <f>IF('Loan Tape (BoE)'!P33=1,"Yes",IF('Loan Tape (BoE)'!P33=0,"No",""))</f>
        <v/>
      </c>
      <c r="Q33" s="17">
        <f>IF('Loan Tape (BoE)'!Q33=1,"Yes",IF('Loan Tape (BoE)'!Q33=0,"No",""))</f>
        <v/>
      </c>
      <c r="R33" s="18">
        <f>IF('Loan Tape (BoE)'!R33=1,"Yes",IF('Loan Tape (BoE)'!R33=0,"No",""))</f>
        <v/>
      </c>
      <c r="S33" s="18">
        <f>IF('Loan Tape (BoE)'!S33=1,"Yes",IF('Loan Tape (BoE)'!S33=0,"No",""))</f>
        <v/>
      </c>
      <c r="T33" s="17">
        <f>IF('Loan Tape (BoE)'!T33=1,"Yes",IF('Loan Tape (BoE)'!T33=0,"No",""))</f>
        <v/>
      </c>
      <c r="U33" s="18">
        <f>R33+S33</f>
        <v/>
      </c>
      <c r="V33" s="17">
        <f>IFERROR(IFS('Loan Tape (BoE)'!U34=1,"Employed",'Loan Tape (BoE)'!U34=2,"Self-Employed",'Loan Tape (BoE)'!U34=3,"Unemployed",'Loan Tape (BoE)'!U34=4,"Retired"),"")</f>
        <v/>
      </c>
      <c r="W33" s="17">
        <f>IFERROR(IFS('Loan Tape (BoE)'!V34=1,"Employed",'Loan Tape (BoE)'!V34=2,"Self-Employed",'Loan Tape (BoE)'!V34=3,"Unemployed",'Loan Tape (BoE)'!V34=4,"Retired"),"")</f>
        <v/>
      </c>
      <c r="X33" s="17">
        <f>IF(OR(V33="Self-Employed",W33="Self-Employed"),"Yes","No")</f>
        <v/>
      </c>
      <c r="Y33" s="17">
        <f>'Loan Tape (BoE)'!W34</f>
        <v/>
      </c>
      <c r="Z33" s="17">
        <f>'Loan Tape (BoE)'!X34</f>
        <v/>
      </c>
      <c r="AA33" s="17">
        <f>IF(T33=1,Y33,MIN(Y33,Z33))</f>
        <v/>
      </c>
      <c r="AB33" s="17">
        <f>'Loan Tape (BoE)'!Y34</f>
        <v/>
      </c>
      <c r="AC33" s="17">
        <f>'Loan Tape (BoE)'!Z34</f>
        <v/>
      </c>
      <c r="AD33" s="17">
        <f>AB33+AC33</f>
        <v/>
      </c>
      <c r="AE33" s="18">
        <f>'Loan Tape (BoE)'!AA34</f>
        <v/>
      </c>
      <c r="AF33" s="18">
        <f>'Loan Tape (BoE)'!AB34</f>
        <v/>
      </c>
      <c r="AG33" s="18">
        <f>AE33+AF33</f>
        <v/>
      </c>
      <c r="AH33" s="19">
        <f>MAX('Loan Tape (BoE)'!AC34,'Loan Tape (BoE)'!AD34)</f>
        <v/>
      </c>
      <c r="AI33" s="18">
        <f>'Loan Tape (BoE)'!AE34</f>
        <v/>
      </c>
      <c r="AJ33" s="18">
        <f>B33*H33/12</f>
        <v/>
      </c>
      <c r="AK33" s="21">
        <f>IF(AJ33&gt;0,AI33/AJ33,0)</f>
        <v/>
      </c>
      <c r="AL33" s="17">
        <f>IF('Loan Tape (BoE)'!AF34=1,"Yes","No")</f>
        <v/>
      </c>
      <c r="AM33" s="17">
        <f>IF('Loan Tape (BoE)'!AH34=1,"Yes","No")</f>
        <v/>
      </c>
      <c r="AN33" s="17">
        <f>IF('Loan Tape (BoE)'!AI34=1,"Yes","No")</f>
        <v/>
      </c>
      <c r="AO33" s="17">
        <f>IF('Loan Tape (BoE)'!AJ34=1,"Yes","No")</f>
        <v/>
      </c>
      <c r="AP33" s="17">
        <f>IF(OR('Loan Tape (BoE)'!AQ33=1,'Loan Tape (BoE)'!AQ33=2),"Yes",IF('Loan Tape (BoE)'!AQ33=0,"No",""))</f>
        <v/>
      </c>
      <c r="AQ33" s="17">
        <f>IF('Loan Tape (BoE)'!BV49_33&lt;&gt;"",'Loan Tape (BoE)'!BV49_33,"")</f>
        <v/>
      </c>
      <c r="AR33" s="17">
        <f>IF('Loan Tape (BoE)'!BV330_33&lt;&gt;"",'Loan Tape (BoE)'!BV50_33,"")</f>
        <v/>
      </c>
      <c r="AS33" s="17">
        <f>IFERROR(INDEX('FF Adj Parameters'!$A$103:$B$1033,MATCH('Loan Tape (BoE)'!P33,INDEX('FF Adj Parameters'!$A$103:$B$1033,,1),0),2),"Unknown")</f>
        <v/>
      </c>
      <c r="AT33" s="17">
        <f>IF(N33="Interest Only",M5*O5/12,IF(AND(O5&gt;0,ISNUMBER(O5),ISNUMBER(M5)),ABS(PMT(O5/12,AU5,-M5)),0))</f>
        <v/>
      </c>
      <c r="AU33" s="17">
        <f>IF(ISNUMBER(L33),MAX(0,(L5-'Control Panel'!$B$10)*12/365.25),0)</f>
        <v/>
      </c>
      <c r="AV33" s="17">
        <f>IF(ISNUMBER(L33),IF(L5&gt;'Control Panel'!$B$10,"Valid","Past Maturity"),"No Date")</f>
        <v/>
      </c>
      <c r="AW33" s="17">
        <f>IF(ISNUMBER(K33),MAX(0,('Control Panel'!$B$10-K5)*12/365.25),0)</f>
        <v/>
      </c>
    </row>
    <row r="34">
      <c r="A34" s="17">
        <f>'Loan Tape (BoE)'!A35</f>
        <v/>
      </c>
      <c r="B34" s="18">
        <f>IFERROR(INDEX('FF Adj Parameters'!$A$89:$B$92,MATCH('Loan Tape (BoE)'!C34,INDEX('FF Adj Parameters'!$A$89:$B$92,,1),0),2),"Unknown")</f>
        <v/>
      </c>
      <c r="C34" s="18">
        <f>'Loan Tape (BoE)'!C35</f>
        <v/>
      </c>
      <c r="D34" s="18">
        <f>'Loan Tape (BoE)'!D35</f>
        <v/>
      </c>
      <c r="E34" s="18">
        <f>'Loan Tape (BoE)'!E35</f>
        <v/>
      </c>
      <c r="F34" s="19">
        <f>'Loan Tape (BoE)'!F35</f>
        <v/>
      </c>
      <c r="G34" s="19">
        <f>'Loan Tape (BoE)'!G35</f>
        <v/>
      </c>
      <c r="H34" s="20">
        <f>'Loan Tape (BoE)'!H35/100</f>
        <v/>
      </c>
      <c r="I34" s="17">
        <f>IFERROR(IFS('Loan Tape (BoE)'!I35=1,"House",'Loan Tape (BoE)'!I35=2,"Flat",'Loan Tape (BoE)'!I35=3,"Bungalow",'Loan Tape (BoE)'!I35=4,"Maisonette"),"")</f>
        <v/>
      </c>
      <c r="J34" s="17">
        <f>'Loan Tape (BoE)'!J35</f>
        <v/>
      </c>
      <c r="K34" s="17">
        <f>'Loan Tape (BoE)'!K35</f>
        <v/>
      </c>
      <c r="L34" s="17">
        <f>IFERROR(IFS('Loan Tape (BoE)'!L35=1,"Owner Occupied",'Loan Tape (BoE)'!L35=2,"BTL",'Loan Tape (BoE)'!L35=3,"Second Home",'Loan Tape (BoE)'!L35=4,"Investment"),"")</f>
        <v/>
      </c>
      <c r="M34" s="17">
        <f>IFERROR(IFS('Loan Tape (BoE)'!M35=1,"Purchase",'Loan Tape (BoE)'!M35=2,"Remortgage",OR('Loan Tape (BoE)'!M35=3,'Loan Tape (BoE)'!M35=4),"Cash-out"),"")</f>
        <v/>
      </c>
      <c r="N34" s="17">
        <f>IFERROR(INDEX('FF Adj Parameters'!$A$96:$B$99,MATCH('Loan Tape (BoE)'!R34,INDEX('FF Adj Parameters'!$A$96:$B$99,,1),0),2),"Unknown")</f>
        <v/>
      </c>
      <c r="O34" s="17">
        <f>IF('Loan Tape (BoE)'!O35=1,"Yes","No")</f>
        <v/>
      </c>
      <c r="P34" s="17">
        <f>IF('Loan Tape (BoE)'!P34=1,"Yes",IF('Loan Tape (BoE)'!P34=0,"No",""))</f>
        <v/>
      </c>
      <c r="Q34" s="17">
        <f>IF('Loan Tape (BoE)'!Q34=1,"Yes",IF('Loan Tape (BoE)'!Q34=0,"No",""))</f>
        <v/>
      </c>
      <c r="R34" s="18">
        <f>IF('Loan Tape (BoE)'!R34=1,"Yes",IF('Loan Tape (BoE)'!R34=0,"No",""))</f>
        <v/>
      </c>
      <c r="S34" s="18">
        <f>IF('Loan Tape (BoE)'!S34=1,"Yes",IF('Loan Tape (BoE)'!S34=0,"No",""))</f>
        <v/>
      </c>
      <c r="T34" s="17">
        <f>IF('Loan Tape (BoE)'!T34=1,"Yes",IF('Loan Tape (BoE)'!T34=0,"No",""))</f>
        <v/>
      </c>
      <c r="U34" s="18">
        <f>R34+S34</f>
        <v/>
      </c>
      <c r="V34" s="17">
        <f>IFERROR(IFS('Loan Tape (BoE)'!U35=1,"Employed",'Loan Tape (BoE)'!U35=2,"Self-Employed",'Loan Tape (BoE)'!U35=3,"Unemployed",'Loan Tape (BoE)'!U35=4,"Retired"),"")</f>
        <v/>
      </c>
      <c r="W34" s="17">
        <f>IFERROR(IFS('Loan Tape (BoE)'!V35=1,"Employed",'Loan Tape (BoE)'!V35=2,"Self-Employed",'Loan Tape (BoE)'!V35=3,"Unemployed",'Loan Tape (BoE)'!V35=4,"Retired"),"")</f>
        <v/>
      </c>
      <c r="X34" s="17">
        <f>IF(OR(V34="Self-Employed",W34="Self-Employed"),"Yes","No")</f>
        <v/>
      </c>
      <c r="Y34" s="17">
        <f>'Loan Tape (BoE)'!W35</f>
        <v/>
      </c>
      <c r="Z34" s="17">
        <f>'Loan Tape (BoE)'!X35</f>
        <v/>
      </c>
      <c r="AA34" s="17">
        <f>IF(T34=1,Y34,MIN(Y34,Z34))</f>
        <v/>
      </c>
      <c r="AB34" s="17">
        <f>'Loan Tape (BoE)'!Y35</f>
        <v/>
      </c>
      <c r="AC34" s="17">
        <f>'Loan Tape (BoE)'!Z35</f>
        <v/>
      </c>
      <c r="AD34" s="17">
        <f>AB34+AC34</f>
        <v/>
      </c>
      <c r="AE34" s="18">
        <f>'Loan Tape (BoE)'!AA35</f>
        <v/>
      </c>
      <c r="AF34" s="18">
        <f>'Loan Tape (BoE)'!AB35</f>
        <v/>
      </c>
      <c r="AG34" s="18">
        <f>AE34+AF34</f>
        <v/>
      </c>
      <c r="AH34" s="19">
        <f>MAX('Loan Tape (BoE)'!AC35,'Loan Tape (BoE)'!AD35)</f>
        <v/>
      </c>
      <c r="AI34" s="18">
        <f>'Loan Tape (BoE)'!AE35</f>
        <v/>
      </c>
      <c r="AJ34" s="18">
        <f>B34*H34/12</f>
        <v/>
      </c>
      <c r="AK34" s="21">
        <f>IF(AJ34&gt;0,AI34/AJ34,0)</f>
        <v/>
      </c>
      <c r="AL34" s="17">
        <f>IF('Loan Tape (BoE)'!AF35=1,"Yes","No")</f>
        <v/>
      </c>
      <c r="AM34" s="17">
        <f>IF('Loan Tape (BoE)'!AH35=1,"Yes","No")</f>
        <v/>
      </c>
      <c r="AN34" s="17">
        <f>IF('Loan Tape (BoE)'!AI35=1,"Yes","No")</f>
        <v/>
      </c>
      <c r="AO34" s="17">
        <f>IF('Loan Tape (BoE)'!AJ35=1,"Yes","No")</f>
        <v/>
      </c>
      <c r="AP34" s="17">
        <f>IF(OR('Loan Tape (BoE)'!AQ34=1,'Loan Tape (BoE)'!AQ34=2),"Yes",IF('Loan Tape (BoE)'!AQ34=0,"No",""))</f>
        <v/>
      </c>
      <c r="AQ34" s="17">
        <f>IF('Loan Tape (BoE)'!BV49_34&lt;&gt;"",'Loan Tape (BoE)'!BV49_34,"")</f>
        <v/>
      </c>
      <c r="AR34" s="17">
        <f>IF('Loan Tape (BoE)'!BV340_34&lt;&gt;"",'Loan Tape (BoE)'!BV50_34,"")</f>
        <v/>
      </c>
      <c r="AS34" s="17">
        <f>IFERROR(INDEX('FF Adj Parameters'!$A$103:$B$1034,MATCH('Loan Tape (BoE)'!P34,INDEX('FF Adj Parameters'!$A$103:$B$1034,,1),0),2),"Unknown")</f>
        <v/>
      </c>
      <c r="AT34" s="17">
        <f>IF(N34="Interest Only",M5*O5/12,IF(AND(O5&gt;0,ISNUMBER(O5),ISNUMBER(M5)),ABS(PMT(O5/12,AU5,-M5)),0))</f>
        <v/>
      </c>
      <c r="AU34" s="17">
        <f>IF(ISNUMBER(L34),MAX(0,(L5-'Control Panel'!$B$10)*12/365.25),0)</f>
        <v/>
      </c>
      <c r="AV34" s="17">
        <f>IF(ISNUMBER(L34),IF(L5&gt;'Control Panel'!$B$10,"Valid","Past Maturity"),"No Date")</f>
        <v/>
      </c>
      <c r="AW34" s="17">
        <f>IF(ISNUMBER(K34),MAX(0,('Control Panel'!$B$10-K5)*12/365.25),0)</f>
        <v/>
      </c>
    </row>
    <row r="35">
      <c r="A35" s="17">
        <f>'Loan Tape (BoE)'!A36</f>
        <v/>
      </c>
      <c r="B35" s="18">
        <f>IFERROR(INDEX('FF Adj Parameters'!$A$89:$B$92,MATCH('Loan Tape (BoE)'!C35,INDEX('FF Adj Parameters'!$A$89:$B$92,,1),0),2),"Unknown")</f>
        <v/>
      </c>
      <c r="C35" s="18">
        <f>'Loan Tape (BoE)'!C36</f>
        <v/>
      </c>
      <c r="D35" s="18">
        <f>'Loan Tape (BoE)'!D36</f>
        <v/>
      </c>
      <c r="E35" s="18">
        <f>'Loan Tape (BoE)'!E36</f>
        <v/>
      </c>
      <c r="F35" s="19">
        <f>'Loan Tape (BoE)'!F36</f>
        <v/>
      </c>
      <c r="G35" s="19">
        <f>'Loan Tape (BoE)'!G36</f>
        <v/>
      </c>
      <c r="H35" s="20">
        <f>'Loan Tape (BoE)'!H36/100</f>
        <v/>
      </c>
      <c r="I35" s="17">
        <f>IFERROR(IFS('Loan Tape (BoE)'!I36=1,"House",'Loan Tape (BoE)'!I36=2,"Flat",'Loan Tape (BoE)'!I36=3,"Bungalow",'Loan Tape (BoE)'!I36=4,"Maisonette"),"")</f>
        <v/>
      </c>
      <c r="J35" s="17">
        <f>'Loan Tape (BoE)'!J36</f>
        <v/>
      </c>
      <c r="K35" s="17">
        <f>'Loan Tape (BoE)'!K36</f>
        <v/>
      </c>
      <c r="L35" s="17">
        <f>IFERROR(IFS('Loan Tape (BoE)'!L36=1,"Owner Occupied",'Loan Tape (BoE)'!L36=2,"BTL",'Loan Tape (BoE)'!L36=3,"Second Home",'Loan Tape (BoE)'!L36=4,"Investment"),"")</f>
        <v/>
      </c>
      <c r="M35" s="17">
        <f>IFERROR(IFS('Loan Tape (BoE)'!M36=1,"Purchase",'Loan Tape (BoE)'!M36=2,"Remortgage",OR('Loan Tape (BoE)'!M36=3,'Loan Tape (BoE)'!M36=4),"Cash-out"),"")</f>
        <v/>
      </c>
      <c r="N35" s="17">
        <f>IFERROR(INDEX('FF Adj Parameters'!$A$96:$B$99,MATCH('Loan Tape (BoE)'!R35,INDEX('FF Adj Parameters'!$A$96:$B$99,,1),0),2),"Unknown")</f>
        <v/>
      </c>
      <c r="O35" s="17">
        <f>IF('Loan Tape (BoE)'!O36=1,"Yes","No")</f>
        <v/>
      </c>
      <c r="P35" s="17">
        <f>IF('Loan Tape (BoE)'!P35=1,"Yes",IF('Loan Tape (BoE)'!P35=0,"No",""))</f>
        <v/>
      </c>
      <c r="Q35" s="17">
        <f>IF('Loan Tape (BoE)'!Q35=1,"Yes",IF('Loan Tape (BoE)'!Q35=0,"No",""))</f>
        <v/>
      </c>
      <c r="R35" s="18">
        <f>IF('Loan Tape (BoE)'!R35=1,"Yes",IF('Loan Tape (BoE)'!R35=0,"No",""))</f>
        <v/>
      </c>
      <c r="S35" s="18">
        <f>IF('Loan Tape (BoE)'!S35=1,"Yes",IF('Loan Tape (BoE)'!S35=0,"No",""))</f>
        <v/>
      </c>
      <c r="T35" s="17">
        <f>IF('Loan Tape (BoE)'!T35=1,"Yes",IF('Loan Tape (BoE)'!T35=0,"No",""))</f>
        <v/>
      </c>
      <c r="U35" s="18">
        <f>R35+S35</f>
        <v/>
      </c>
      <c r="V35" s="17">
        <f>IFERROR(IFS('Loan Tape (BoE)'!U36=1,"Employed",'Loan Tape (BoE)'!U36=2,"Self-Employed",'Loan Tape (BoE)'!U36=3,"Unemployed",'Loan Tape (BoE)'!U36=4,"Retired"),"")</f>
        <v/>
      </c>
      <c r="W35" s="17">
        <f>IFERROR(IFS('Loan Tape (BoE)'!V36=1,"Employed",'Loan Tape (BoE)'!V36=2,"Self-Employed",'Loan Tape (BoE)'!V36=3,"Unemployed",'Loan Tape (BoE)'!V36=4,"Retired"),"")</f>
        <v/>
      </c>
      <c r="X35" s="17">
        <f>IF(OR(V35="Self-Employed",W35="Self-Employed"),"Yes","No")</f>
        <v/>
      </c>
      <c r="Y35" s="17">
        <f>'Loan Tape (BoE)'!W36</f>
        <v/>
      </c>
      <c r="Z35" s="17">
        <f>'Loan Tape (BoE)'!X36</f>
        <v/>
      </c>
      <c r="AA35" s="17">
        <f>IF(T35=1,Y35,MIN(Y35,Z35))</f>
        <v/>
      </c>
      <c r="AB35" s="17">
        <f>'Loan Tape (BoE)'!Y36</f>
        <v/>
      </c>
      <c r="AC35" s="17">
        <f>'Loan Tape (BoE)'!Z36</f>
        <v/>
      </c>
      <c r="AD35" s="17">
        <f>AB35+AC35</f>
        <v/>
      </c>
      <c r="AE35" s="18">
        <f>'Loan Tape (BoE)'!AA36</f>
        <v/>
      </c>
      <c r="AF35" s="18">
        <f>'Loan Tape (BoE)'!AB36</f>
        <v/>
      </c>
      <c r="AG35" s="18">
        <f>AE35+AF35</f>
        <v/>
      </c>
      <c r="AH35" s="19">
        <f>MAX('Loan Tape (BoE)'!AC36,'Loan Tape (BoE)'!AD36)</f>
        <v/>
      </c>
      <c r="AI35" s="18">
        <f>'Loan Tape (BoE)'!AE36</f>
        <v/>
      </c>
      <c r="AJ35" s="18">
        <f>B35*H35/12</f>
        <v/>
      </c>
      <c r="AK35" s="21">
        <f>IF(AJ35&gt;0,AI35/AJ35,0)</f>
        <v/>
      </c>
      <c r="AL35" s="17">
        <f>IF('Loan Tape (BoE)'!AF36=1,"Yes","No")</f>
        <v/>
      </c>
      <c r="AM35" s="17">
        <f>IF('Loan Tape (BoE)'!AH36=1,"Yes","No")</f>
        <v/>
      </c>
      <c r="AN35" s="17">
        <f>IF('Loan Tape (BoE)'!AI36=1,"Yes","No")</f>
        <v/>
      </c>
      <c r="AO35" s="17">
        <f>IF('Loan Tape (BoE)'!AJ36=1,"Yes","No")</f>
        <v/>
      </c>
      <c r="AP35" s="17">
        <f>IF(OR('Loan Tape (BoE)'!AQ35=1,'Loan Tape (BoE)'!AQ35=2),"Yes",IF('Loan Tape (BoE)'!AQ35=0,"No",""))</f>
        <v/>
      </c>
      <c r="AQ35" s="17">
        <f>IF('Loan Tape (BoE)'!BV49_335&lt;&gt;"",'Loan Tape (BoE)'!BV49_35,"")</f>
        <v/>
      </c>
      <c r="AR35" s="17">
        <f>IF('Loan Tape (BoE)'!BV350_35&lt;&gt;"",'Loan Tape (BoE)'!BV50_35,"")</f>
        <v/>
      </c>
      <c r="AS35" s="17">
        <f>IFERROR(INDEX('FF Adj Parameters'!$A$103:$B$1035,MATCH('Loan Tape (BoE)'!P35,INDEX('FF Adj Parameters'!$A$103:$B$1035,,1),0),2),"Unknown")</f>
        <v/>
      </c>
      <c r="AT35" s="17">
        <f>IF(N35="Interest Only",M5*O5/12,IF(AND(O5&gt;0,ISNUMBER(O5),ISNUMBER(M5)),ABS(PMT(O5/12,AU5,-M5)),0))</f>
        <v/>
      </c>
      <c r="AU35" s="17">
        <f>IF(ISNUMBER(L35),MAX(0,(L5-'Control Panel'!$B$10)*12/365.25),0)</f>
        <v/>
      </c>
      <c r="AV35" s="17">
        <f>IF(ISNUMBER(L35),IF(L5&gt;'Control Panel'!$B$10,"Valid","Past Maturity"),"No Date")</f>
        <v/>
      </c>
      <c r="AW35" s="17">
        <f>IF(ISNUMBER(K35),MAX(0,('Control Panel'!$B$10-K5)*12/365.25),0)</f>
        <v/>
      </c>
    </row>
    <row r="36">
      <c r="A36" s="17">
        <f>'Loan Tape (BoE)'!A37</f>
        <v/>
      </c>
      <c r="B36" s="18">
        <f>IFERROR(INDEX('FF Adj Parameters'!$A$89:$B$92,MATCH('Loan Tape (BoE)'!C36,INDEX('FF Adj Parameters'!$A$89:$B$92,,1),0),2),"Unknown")</f>
        <v/>
      </c>
      <c r="C36" s="18">
        <f>'Loan Tape (BoE)'!C37</f>
        <v/>
      </c>
      <c r="D36" s="18">
        <f>'Loan Tape (BoE)'!D37</f>
        <v/>
      </c>
      <c r="E36" s="18">
        <f>'Loan Tape (BoE)'!E37</f>
        <v/>
      </c>
      <c r="F36" s="19">
        <f>'Loan Tape (BoE)'!F37</f>
        <v/>
      </c>
      <c r="G36" s="19">
        <f>'Loan Tape (BoE)'!G37</f>
        <v/>
      </c>
      <c r="H36" s="20">
        <f>'Loan Tape (BoE)'!H37/100</f>
        <v/>
      </c>
      <c r="I36" s="17">
        <f>IFERROR(IFS('Loan Tape (BoE)'!I37=1,"House",'Loan Tape (BoE)'!I37=2,"Flat",'Loan Tape (BoE)'!I37=3,"Bungalow",'Loan Tape (BoE)'!I37=4,"Maisonette"),"")</f>
        <v/>
      </c>
      <c r="J36" s="17">
        <f>'Loan Tape (BoE)'!J37</f>
        <v/>
      </c>
      <c r="K36" s="17">
        <f>'Loan Tape (BoE)'!K37</f>
        <v/>
      </c>
      <c r="L36" s="17">
        <f>IFERROR(IFS('Loan Tape (BoE)'!L37=1,"Owner Occupied",'Loan Tape (BoE)'!L37=2,"BTL",'Loan Tape (BoE)'!L37=3,"Second Home",'Loan Tape (BoE)'!L37=4,"Investment"),"")</f>
        <v/>
      </c>
      <c r="M36" s="17">
        <f>IFERROR(IFS('Loan Tape (BoE)'!M37=1,"Purchase",'Loan Tape (BoE)'!M37=2,"Remortgage",OR('Loan Tape (BoE)'!M37=3,'Loan Tape (BoE)'!M37=4),"Cash-out"),"")</f>
        <v/>
      </c>
      <c r="N36" s="17">
        <f>IFERROR(INDEX('FF Adj Parameters'!$A$96:$B$99,MATCH('Loan Tape (BoE)'!R36,INDEX('FF Adj Parameters'!$A$96:$B$99,,1),0),2),"Unknown")</f>
        <v/>
      </c>
      <c r="O36" s="17">
        <f>IF('Loan Tape (BoE)'!O37=1,"Yes","No")</f>
        <v/>
      </c>
      <c r="P36" s="17">
        <f>IF('Loan Tape (BoE)'!P36=1,"Yes",IF('Loan Tape (BoE)'!P36=0,"No",""))</f>
        <v/>
      </c>
      <c r="Q36" s="17">
        <f>IF('Loan Tape (BoE)'!Q36=1,"Yes",IF('Loan Tape (BoE)'!Q36=0,"No",""))</f>
        <v/>
      </c>
      <c r="R36" s="18">
        <f>IF('Loan Tape (BoE)'!R36=1,"Yes",IF('Loan Tape (BoE)'!R36=0,"No",""))</f>
        <v/>
      </c>
      <c r="S36" s="18">
        <f>IF('Loan Tape (BoE)'!S36=1,"Yes",IF('Loan Tape (BoE)'!S36=0,"No",""))</f>
        <v/>
      </c>
      <c r="T36" s="17">
        <f>IF('Loan Tape (BoE)'!T36=1,"Yes",IF('Loan Tape (BoE)'!T36=0,"No",""))</f>
        <v/>
      </c>
      <c r="U36" s="18">
        <f>R36+S36</f>
        <v/>
      </c>
      <c r="V36" s="17">
        <f>IFERROR(IFS('Loan Tape (BoE)'!U37=1,"Employed",'Loan Tape (BoE)'!U37=2,"Self-Employed",'Loan Tape (BoE)'!U37=3,"Unemployed",'Loan Tape (BoE)'!U37=4,"Retired"),"")</f>
        <v/>
      </c>
      <c r="W36" s="17">
        <f>IFERROR(IFS('Loan Tape (BoE)'!V37=1,"Employed",'Loan Tape (BoE)'!V37=2,"Self-Employed",'Loan Tape (BoE)'!V37=3,"Unemployed",'Loan Tape (BoE)'!V37=4,"Retired"),"")</f>
        <v/>
      </c>
      <c r="X36" s="17">
        <f>IF(OR(V36="Self-Employed",W36="Self-Employed"),"Yes","No")</f>
        <v/>
      </c>
      <c r="Y36" s="17">
        <f>'Loan Tape (BoE)'!W37</f>
        <v/>
      </c>
      <c r="Z36" s="17">
        <f>'Loan Tape (BoE)'!X37</f>
        <v/>
      </c>
      <c r="AA36" s="17">
        <f>IF(T36=1,Y36,MIN(Y36,Z36))</f>
        <v/>
      </c>
      <c r="AB36" s="17">
        <f>'Loan Tape (BoE)'!Y37</f>
        <v/>
      </c>
      <c r="AC36" s="17">
        <f>'Loan Tape (BoE)'!Z37</f>
        <v/>
      </c>
      <c r="AD36" s="17">
        <f>AB36+AC36</f>
        <v/>
      </c>
      <c r="AE36" s="18">
        <f>'Loan Tape (BoE)'!AA37</f>
        <v/>
      </c>
      <c r="AF36" s="18">
        <f>'Loan Tape (BoE)'!AB37</f>
        <v/>
      </c>
      <c r="AG36" s="18">
        <f>AE36+AF36</f>
        <v/>
      </c>
      <c r="AH36" s="19">
        <f>MAX('Loan Tape (BoE)'!AC37,'Loan Tape (BoE)'!AD37)</f>
        <v/>
      </c>
      <c r="AI36" s="18">
        <f>'Loan Tape (BoE)'!AE37</f>
        <v/>
      </c>
      <c r="AJ36" s="18">
        <f>B36*H36/12</f>
        <v/>
      </c>
      <c r="AK36" s="21">
        <f>IF(AJ36&gt;0,AI36/AJ36,0)</f>
        <v/>
      </c>
      <c r="AL36" s="17">
        <f>IF('Loan Tape (BoE)'!AF37=1,"Yes","No")</f>
        <v/>
      </c>
      <c r="AM36" s="17">
        <f>IF('Loan Tape (BoE)'!AH37=1,"Yes","No")</f>
        <v/>
      </c>
      <c r="AN36" s="17">
        <f>IF('Loan Tape (BoE)'!AI37=1,"Yes","No")</f>
        <v/>
      </c>
      <c r="AO36" s="17">
        <f>IF('Loan Tape (BoE)'!AJ37=1,"Yes","No")</f>
        <v/>
      </c>
      <c r="AP36" s="17">
        <f>IF(OR('Loan Tape (BoE)'!AQ36=1,'Loan Tape (BoE)'!AQ36=2),"Yes",IF('Loan Tape (BoE)'!AQ36=0,"No",""))</f>
        <v/>
      </c>
      <c r="AQ36" s="17">
        <f>IF('Loan Tape (BoE)'!BV49_36&lt;&gt;"",'Loan Tape (BoE)'!BV49_36,"")</f>
        <v/>
      </c>
      <c r="AR36" s="17">
        <f>IF('Loan Tape (BoE)'!BV360_36&lt;&gt;"",'Loan Tape (BoE)'!BV50_36,"")</f>
        <v/>
      </c>
      <c r="AS36" s="17">
        <f>IFERROR(INDEX('FF Adj Parameters'!$A$103:$B$1036,MATCH('Loan Tape (BoE)'!P36,INDEX('FF Adj Parameters'!$A$103:$B$1036,,1),0),2),"Unknown")</f>
        <v/>
      </c>
      <c r="AT36" s="17">
        <f>IF(N36="Interest Only",M5*O5/12,IF(AND(O5&gt;0,ISNUMBER(O5),ISNUMBER(M5)),ABS(PMT(O5/12,AU5,-M5)),0))</f>
        <v/>
      </c>
      <c r="AU36" s="17">
        <f>IF(ISNUMBER(L36),MAX(0,(L5-'Control Panel'!$B$10)*12/365.25),0)</f>
        <v/>
      </c>
      <c r="AV36" s="17">
        <f>IF(ISNUMBER(L36),IF(L5&gt;'Control Panel'!$B$10,"Valid","Past Maturity"),"No Date")</f>
        <v/>
      </c>
      <c r="AW36" s="17">
        <f>IF(ISNUMBER(K36),MAX(0,('Control Panel'!$B$10-K5)*12/365.25),0)</f>
        <v/>
      </c>
    </row>
    <row r="37">
      <c r="A37" s="17">
        <f>'Loan Tape (BoE)'!A38</f>
        <v/>
      </c>
      <c r="B37" s="18">
        <f>IFERROR(INDEX('FF Adj Parameters'!$A$89:$B$92,MATCH('Loan Tape (BoE)'!C37,INDEX('FF Adj Parameters'!$A$89:$B$92,,1),0),2),"Unknown")</f>
        <v/>
      </c>
      <c r="C37" s="18">
        <f>'Loan Tape (BoE)'!C38</f>
        <v/>
      </c>
      <c r="D37" s="18">
        <f>'Loan Tape (BoE)'!D38</f>
        <v/>
      </c>
      <c r="E37" s="18">
        <f>'Loan Tape (BoE)'!E38</f>
        <v/>
      </c>
      <c r="F37" s="19">
        <f>'Loan Tape (BoE)'!F38</f>
        <v/>
      </c>
      <c r="G37" s="19">
        <f>'Loan Tape (BoE)'!G38</f>
        <v/>
      </c>
      <c r="H37" s="20">
        <f>'Loan Tape (BoE)'!H38/100</f>
        <v/>
      </c>
      <c r="I37" s="17">
        <f>IFERROR(IFS('Loan Tape (BoE)'!I38=1,"House",'Loan Tape (BoE)'!I38=2,"Flat",'Loan Tape (BoE)'!I38=3,"Bungalow",'Loan Tape (BoE)'!I38=4,"Maisonette"),"")</f>
        <v/>
      </c>
      <c r="J37" s="17">
        <f>'Loan Tape (BoE)'!J38</f>
        <v/>
      </c>
      <c r="K37" s="17">
        <f>'Loan Tape (BoE)'!K38</f>
        <v/>
      </c>
      <c r="L37" s="17">
        <f>IFERROR(IFS('Loan Tape (BoE)'!L38=1,"Owner Occupied",'Loan Tape (BoE)'!L38=2,"BTL",'Loan Tape (BoE)'!L38=3,"Second Home",'Loan Tape (BoE)'!L38=4,"Investment"),"")</f>
        <v/>
      </c>
      <c r="M37" s="17">
        <f>IFERROR(IFS('Loan Tape (BoE)'!M38=1,"Purchase",'Loan Tape (BoE)'!M38=2,"Remortgage",OR('Loan Tape (BoE)'!M38=3,'Loan Tape (BoE)'!M38=4),"Cash-out"),"")</f>
        <v/>
      </c>
      <c r="N37" s="17">
        <f>IFERROR(INDEX('FF Adj Parameters'!$A$96:$B$99,MATCH('Loan Tape (BoE)'!R37,INDEX('FF Adj Parameters'!$A$96:$B$99,,1),0),2),"Unknown")</f>
        <v/>
      </c>
      <c r="O37" s="17">
        <f>IF('Loan Tape (BoE)'!O38=1,"Yes","No")</f>
        <v/>
      </c>
      <c r="P37" s="17">
        <f>IF('Loan Tape (BoE)'!P37=1,"Yes",IF('Loan Tape (BoE)'!P37=0,"No",""))</f>
        <v/>
      </c>
      <c r="Q37" s="17">
        <f>IF('Loan Tape (BoE)'!Q37=1,"Yes",IF('Loan Tape (BoE)'!Q37=0,"No",""))</f>
        <v/>
      </c>
      <c r="R37" s="18">
        <f>IF('Loan Tape (BoE)'!R37=1,"Yes",IF('Loan Tape (BoE)'!R37=0,"No",""))</f>
        <v/>
      </c>
      <c r="S37" s="18">
        <f>IF('Loan Tape (BoE)'!S37=1,"Yes",IF('Loan Tape (BoE)'!S37=0,"No",""))</f>
        <v/>
      </c>
      <c r="T37" s="17">
        <f>IF('Loan Tape (BoE)'!T37=1,"Yes",IF('Loan Tape (BoE)'!T37=0,"No",""))</f>
        <v/>
      </c>
      <c r="U37" s="18">
        <f>R37+S37</f>
        <v/>
      </c>
      <c r="V37" s="17">
        <f>IFERROR(IFS('Loan Tape (BoE)'!U38=1,"Employed",'Loan Tape (BoE)'!U38=2,"Self-Employed",'Loan Tape (BoE)'!U38=3,"Unemployed",'Loan Tape (BoE)'!U38=4,"Retired"),"")</f>
        <v/>
      </c>
      <c r="W37" s="17">
        <f>IFERROR(IFS('Loan Tape (BoE)'!V38=1,"Employed",'Loan Tape (BoE)'!V38=2,"Self-Employed",'Loan Tape (BoE)'!V38=3,"Unemployed",'Loan Tape (BoE)'!V38=4,"Retired"),"")</f>
        <v/>
      </c>
      <c r="X37" s="17">
        <f>IF(OR(V37="Self-Employed",W37="Self-Employed"),"Yes","No")</f>
        <v/>
      </c>
      <c r="Y37" s="17">
        <f>'Loan Tape (BoE)'!W38</f>
        <v/>
      </c>
      <c r="Z37" s="17">
        <f>'Loan Tape (BoE)'!X38</f>
        <v/>
      </c>
      <c r="AA37" s="17">
        <f>IF(T37=1,Y37,MIN(Y37,Z37))</f>
        <v/>
      </c>
      <c r="AB37" s="17">
        <f>'Loan Tape (BoE)'!Y38</f>
        <v/>
      </c>
      <c r="AC37" s="17">
        <f>'Loan Tape (BoE)'!Z38</f>
        <v/>
      </c>
      <c r="AD37" s="17">
        <f>AB37+AC37</f>
        <v/>
      </c>
      <c r="AE37" s="18">
        <f>'Loan Tape (BoE)'!AA38</f>
        <v/>
      </c>
      <c r="AF37" s="18">
        <f>'Loan Tape (BoE)'!AB38</f>
        <v/>
      </c>
      <c r="AG37" s="18">
        <f>AE37+AF37</f>
        <v/>
      </c>
      <c r="AH37" s="19">
        <f>MAX('Loan Tape (BoE)'!AC38,'Loan Tape (BoE)'!AD38)</f>
        <v/>
      </c>
      <c r="AI37" s="18">
        <f>'Loan Tape (BoE)'!AE38</f>
        <v/>
      </c>
      <c r="AJ37" s="18">
        <f>B37*H37/12</f>
        <v/>
      </c>
      <c r="AK37" s="21">
        <f>IF(AJ37&gt;0,AI37/AJ37,0)</f>
        <v/>
      </c>
      <c r="AL37" s="17">
        <f>IF('Loan Tape (BoE)'!AF38=1,"Yes","No")</f>
        <v/>
      </c>
      <c r="AM37" s="17">
        <f>IF('Loan Tape (BoE)'!AH38=1,"Yes","No")</f>
        <v/>
      </c>
      <c r="AN37" s="17">
        <f>IF('Loan Tape (BoE)'!AI38=1,"Yes","No")</f>
        <v/>
      </c>
      <c r="AO37" s="17">
        <f>IF('Loan Tape (BoE)'!AJ38=1,"Yes","No")</f>
        <v/>
      </c>
      <c r="AP37" s="17">
        <f>IF(OR('Loan Tape (BoE)'!AQ37=1,'Loan Tape (BoE)'!AQ37=2),"Yes",IF('Loan Tape (BoE)'!AQ37=0,"No",""))</f>
        <v/>
      </c>
      <c r="AQ37" s="17">
        <f>IF('Loan Tape (BoE)'!BV49_37&lt;&gt;"",'Loan Tape (BoE)'!BV49_37,"")</f>
        <v/>
      </c>
      <c r="AR37" s="17">
        <f>IF('Loan Tape (BoE)'!BV370_37&lt;&gt;"",'Loan Tape (BoE)'!BV50_37,"")</f>
        <v/>
      </c>
      <c r="AS37" s="17">
        <f>IFERROR(INDEX('FF Adj Parameters'!$A$103:$B$1037,MATCH('Loan Tape (BoE)'!P37,INDEX('FF Adj Parameters'!$A$103:$B$1037,,1),0),2),"Unknown")</f>
        <v/>
      </c>
      <c r="AT37" s="17">
        <f>IF(N37="Interest Only",M5*O5/12,IF(AND(O5&gt;0,ISNUMBER(O5),ISNUMBER(M5)),ABS(PMT(O5/12,AU5,-M5)),0))</f>
        <v/>
      </c>
      <c r="AU37" s="17">
        <f>IF(ISNUMBER(L37),MAX(0,(L5-'Control Panel'!$B$10)*12/365.25),0)</f>
        <v/>
      </c>
      <c r="AV37" s="17">
        <f>IF(ISNUMBER(L37),IF(L5&gt;'Control Panel'!$B$10,"Valid","Past Maturity"),"No Date")</f>
        <v/>
      </c>
      <c r="AW37" s="17">
        <f>IF(ISNUMBER(K37),MAX(0,('Control Panel'!$B$10-K5)*12/365.25),0)</f>
        <v/>
      </c>
    </row>
    <row r="38">
      <c r="A38" s="17">
        <f>'Loan Tape (BoE)'!A39</f>
        <v/>
      </c>
      <c r="B38" s="18">
        <f>IFERROR(INDEX('FF Adj Parameters'!$A$89:$B$92,MATCH('Loan Tape (BoE)'!C38,INDEX('FF Adj Parameters'!$A$89:$B$92,,1),0),2),"Unknown")</f>
        <v/>
      </c>
      <c r="C38" s="18">
        <f>'Loan Tape (BoE)'!C39</f>
        <v/>
      </c>
      <c r="D38" s="18">
        <f>'Loan Tape (BoE)'!D39</f>
        <v/>
      </c>
      <c r="E38" s="18">
        <f>'Loan Tape (BoE)'!E39</f>
        <v/>
      </c>
      <c r="F38" s="19">
        <f>'Loan Tape (BoE)'!F39</f>
        <v/>
      </c>
      <c r="G38" s="19">
        <f>'Loan Tape (BoE)'!G39</f>
        <v/>
      </c>
      <c r="H38" s="20">
        <f>'Loan Tape (BoE)'!H39/100</f>
        <v/>
      </c>
      <c r="I38" s="17">
        <f>IFERROR(IFS('Loan Tape (BoE)'!I39=1,"House",'Loan Tape (BoE)'!I39=2,"Flat",'Loan Tape (BoE)'!I39=3,"Bungalow",'Loan Tape (BoE)'!I39=4,"Maisonette"),"")</f>
        <v/>
      </c>
      <c r="J38" s="17">
        <f>'Loan Tape (BoE)'!J39</f>
        <v/>
      </c>
      <c r="K38" s="17">
        <f>'Loan Tape (BoE)'!K39</f>
        <v/>
      </c>
      <c r="L38" s="17">
        <f>IFERROR(IFS('Loan Tape (BoE)'!L39=1,"Owner Occupied",'Loan Tape (BoE)'!L39=2,"BTL",'Loan Tape (BoE)'!L39=3,"Second Home",'Loan Tape (BoE)'!L39=4,"Investment"),"")</f>
        <v/>
      </c>
      <c r="M38" s="17">
        <f>IFERROR(IFS('Loan Tape (BoE)'!M39=1,"Purchase",'Loan Tape (BoE)'!M39=2,"Remortgage",OR('Loan Tape (BoE)'!M39=3,'Loan Tape (BoE)'!M39=4),"Cash-out"),"")</f>
        <v/>
      </c>
      <c r="N38" s="17">
        <f>IFERROR(INDEX('FF Adj Parameters'!$A$96:$B$99,MATCH('Loan Tape (BoE)'!R38,INDEX('FF Adj Parameters'!$A$96:$B$99,,1),0),2),"Unknown")</f>
        <v/>
      </c>
      <c r="O38" s="17">
        <f>IF('Loan Tape (BoE)'!O39=1,"Yes","No")</f>
        <v/>
      </c>
      <c r="P38" s="17">
        <f>IF('Loan Tape (BoE)'!P38=1,"Yes",IF('Loan Tape (BoE)'!P38=0,"No",""))</f>
        <v/>
      </c>
      <c r="Q38" s="17">
        <f>IF('Loan Tape (BoE)'!Q38=1,"Yes",IF('Loan Tape (BoE)'!Q38=0,"No",""))</f>
        <v/>
      </c>
      <c r="R38" s="18">
        <f>IF('Loan Tape (BoE)'!R38=1,"Yes",IF('Loan Tape (BoE)'!R38=0,"No",""))</f>
        <v/>
      </c>
      <c r="S38" s="18">
        <f>IF('Loan Tape (BoE)'!S38=1,"Yes",IF('Loan Tape (BoE)'!S38=0,"No",""))</f>
        <v/>
      </c>
      <c r="T38" s="17">
        <f>IF('Loan Tape (BoE)'!T38=1,"Yes",IF('Loan Tape (BoE)'!T38=0,"No",""))</f>
        <v/>
      </c>
      <c r="U38" s="18">
        <f>R38+S38</f>
        <v/>
      </c>
      <c r="V38" s="17">
        <f>IFERROR(IFS('Loan Tape (BoE)'!U39=1,"Employed",'Loan Tape (BoE)'!U39=2,"Self-Employed",'Loan Tape (BoE)'!U39=3,"Unemployed",'Loan Tape (BoE)'!U39=4,"Retired"),"")</f>
        <v/>
      </c>
      <c r="W38" s="17">
        <f>IFERROR(IFS('Loan Tape (BoE)'!V39=1,"Employed",'Loan Tape (BoE)'!V39=2,"Self-Employed",'Loan Tape (BoE)'!V39=3,"Unemployed",'Loan Tape (BoE)'!V39=4,"Retired"),"")</f>
        <v/>
      </c>
      <c r="X38" s="17">
        <f>IF(OR(V38="Self-Employed",W38="Self-Employed"),"Yes","No")</f>
        <v/>
      </c>
      <c r="Y38" s="17">
        <f>'Loan Tape (BoE)'!W39</f>
        <v/>
      </c>
      <c r="Z38" s="17">
        <f>'Loan Tape (BoE)'!X39</f>
        <v/>
      </c>
      <c r="AA38" s="17">
        <f>IF(T38=1,Y38,MIN(Y38,Z38))</f>
        <v/>
      </c>
      <c r="AB38" s="17">
        <f>'Loan Tape (BoE)'!Y39</f>
        <v/>
      </c>
      <c r="AC38" s="17">
        <f>'Loan Tape (BoE)'!Z39</f>
        <v/>
      </c>
      <c r="AD38" s="17">
        <f>AB38+AC38</f>
        <v/>
      </c>
      <c r="AE38" s="18">
        <f>'Loan Tape (BoE)'!AA39</f>
        <v/>
      </c>
      <c r="AF38" s="18">
        <f>'Loan Tape (BoE)'!AB39</f>
        <v/>
      </c>
      <c r="AG38" s="18">
        <f>AE38+AF38</f>
        <v/>
      </c>
      <c r="AH38" s="19">
        <f>MAX('Loan Tape (BoE)'!AC39,'Loan Tape (BoE)'!AD39)</f>
        <v/>
      </c>
      <c r="AI38" s="18">
        <f>'Loan Tape (BoE)'!AE39</f>
        <v/>
      </c>
      <c r="AJ38" s="18">
        <f>B38*H38/12</f>
        <v/>
      </c>
      <c r="AK38" s="21">
        <f>IF(AJ38&gt;0,AI38/AJ38,0)</f>
        <v/>
      </c>
      <c r="AL38" s="17">
        <f>IF('Loan Tape (BoE)'!AF39=1,"Yes","No")</f>
        <v/>
      </c>
      <c r="AM38" s="17">
        <f>IF('Loan Tape (BoE)'!AH39=1,"Yes","No")</f>
        <v/>
      </c>
      <c r="AN38" s="17">
        <f>IF('Loan Tape (BoE)'!AI39=1,"Yes","No")</f>
        <v/>
      </c>
      <c r="AO38" s="17">
        <f>IF('Loan Tape (BoE)'!AJ39=1,"Yes","No")</f>
        <v/>
      </c>
      <c r="AP38" s="17">
        <f>IF(OR('Loan Tape (BoE)'!AQ38=1,'Loan Tape (BoE)'!AQ38=2),"Yes",IF('Loan Tape (BoE)'!AQ38=0,"No",""))</f>
        <v/>
      </c>
      <c r="AQ38" s="17">
        <f>IF('Loan Tape (BoE)'!BV49_38&lt;&gt;"",'Loan Tape (BoE)'!BV49_38,"")</f>
        <v/>
      </c>
      <c r="AR38" s="17">
        <f>IF('Loan Tape (BoE)'!BV380_38&lt;&gt;"",'Loan Tape (BoE)'!BV50_38,"")</f>
        <v/>
      </c>
      <c r="AS38" s="17">
        <f>IFERROR(INDEX('FF Adj Parameters'!$A$103:$B$1038,MATCH('Loan Tape (BoE)'!P38,INDEX('FF Adj Parameters'!$A$103:$B$1038,,1),0),2),"Unknown")</f>
        <v/>
      </c>
      <c r="AT38" s="17">
        <f>IF(N38="Interest Only",M5*O5/12,IF(AND(O5&gt;0,ISNUMBER(O5),ISNUMBER(M5)),ABS(PMT(O5/12,AU5,-M5)),0))</f>
        <v/>
      </c>
      <c r="AU38" s="17">
        <f>IF(ISNUMBER(L38),MAX(0,(L5-'Control Panel'!$B$10)*12/365.25),0)</f>
        <v/>
      </c>
      <c r="AV38" s="17">
        <f>IF(ISNUMBER(L38),IF(L5&gt;'Control Panel'!$B$10,"Valid","Past Maturity"),"No Date")</f>
        <v/>
      </c>
      <c r="AW38" s="17">
        <f>IF(ISNUMBER(K38),MAX(0,('Control Panel'!$B$10-K5)*12/365.25),0)</f>
        <v/>
      </c>
    </row>
    <row r="39">
      <c r="A39" s="17">
        <f>'Loan Tape (BoE)'!A40</f>
        <v/>
      </c>
      <c r="B39" s="18">
        <f>IFERROR(INDEX('FF Adj Parameters'!$A$89:$B$92,MATCH('Loan Tape (BoE)'!C39,INDEX('FF Adj Parameters'!$A$89:$B$92,,1),0),2),"Unknown")</f>
        <v/>
      </c>
      <c r="C39" s="18">
        <f>'Loan Tape (BoE)'!C40</f>
        <v/>
      </c>
      <c r="D39" s="18">
        <f>'Loan Tape (BoE)'!D40</f>
        <v/>
      </c>
      <c r="E39" s="18">
        <f>'Loan Tape (BoE)'!E40</f>
        <v/>
      </c>
      <c r="F39" s="19">
        <f>'Loan Tape (BoE)'!F40</f>
        <v/>
      </c>
      <c r="G39" s="19">
        <f>'Loan Tape (BoE)'!G40</f>
        <v/>
      </c>
      <c r="H39" s="20">
        <f>'Loan Tape (BoE)'!H40/100</f>
        <v/>
      </c>
      <c r="I39" s="17">
        <f>IFERROR(IFS('Loan Tape (BoE)'!I40=1,"House",'Loan Tape (BoE)'!I40=2,"Flat",'Loan Tape (BoE)'!I40=3,"Bungalow",'Loan Tape (BoE)'!I40=4,"Maisonette"),"")</f>
        <v/>
      </c>
      <c r="J39" s="17">
        <f>'Loan Tape (BoE)'!J40</f>
        <v/>
      </c>
      <c r="K39" s="17">
        <f>'Loan Tape (BoE)'!K40</f>
        <v/>
      </c>
      <c r="L39" s="17">
        <f>IFERROR(IFS('Loan Tape (BoE)'!L40=1,"Owner Occupied",'Loan Tape (BoE)'!L40=2,"BTL",'Loan Tape (BoE)'!L40=3,"Second Home",'Loan Tape (BoE)'!L40=4,"Investment"),"")</f>
        <v/>
      </c>
      <c r="M39" s="17">
        <f>IFERROR(IFS('Loan Tape (BoE)'!M40=1,"Purchase",'Loan Tape (BoE)'!M40=2,"Remortgage",OR('Loan Tape (BoE)'!M40=3,'Loan Tape (BoE)'!M40=4),"Cash-out"),"")</f>
        <v/>
      </c>
      <c r="N39" s="17">
        <f>IFERROR(INDEX('FF Adj Parameters'!$A$96:$B$99,MATCH('Loan Tape (BoE)'!R39,INDEX('FF Adj Parameters'!$A$96:$B$99,,1),0),2),"Unknown")</f>
        <v/>
      </c>
      <c r="O39" s="17">
        <f>IF('Loan Tape (BoE)'!O40=1,"Yes","No")</f>
        <v/>
      </c>
      <c r="P39" s="17">
        <f>IF('Loan Tape (BoE)'!P39=1,"Yes",IF('Loan Tape (BoE)'!P39=0,"No",""))</f>
        <v/>
      </c>
      <c r="Q39" s="17">
        <f>IF('Loan Tape (BoE)'!Q39=1,"Yes",IF('Loan Tape (BoE)'!Q39=0,"No",""))</f>
        <v/>
      </c>
      <c r="R39" s="18">
        <f>IF('Loan Tape (BoE)'!R39=1,"Yes",IF('Loan Tape (BoE)'!R39=0,"No",""))</f>
        <v/>
      </c>
      <c r="S39" s="18">
        <f>IF('Loan Tape (BoE)'!S39=1,"Yes",IF('Loan Tape (BoE)'!S39=0,"No",""))</f>
        <v/>
      </c>
      <c r="T39" s="17">
        <f>IF('Loan Tape (BoE)'!T39=1,"Yes",IF('Loan Tape (BoE)'!T39=0,"No",""))</f>
        <v/>
      </c>
      <c r="U39" s="18">
        <f>R39+S39</f>
        <v/>
      </c>
      <c r="V39" s="17">
        <f>IFERROR(IFS('Loan Tape (BoE)'!U40=1,"Employed",'Loan Tape (BoE)'!U40=2,"Self-Employed",'Loan Tape (BoE)'!U40=3,"Unemployed",'Loan Tape (BoE)'!U40=4,"Retired"),"")</f>
        <v/>
      </c>
      <c r="W39" s="17">
        <f>IFERROR(IFS('Loan Tape (BoE)'!V40=1,"Employed",'Loan Tape (BoE)'!V40=2,"Self-Employed",'Loan Tape (BoE)'!V40=3,"Unemployed",'Loan Tape (BoE)'!V40=4,"Retired"),"")</f>
        <v/>
      </c>
      <c r="X39" s="17">
        <f>IF(OR(V39="Self-Employed",W39="Self-Employed"),"Yes","No")</f>
        <v/>
      </c>
      <c r="Y39" s="17">
        <f>'Loan Tape (BoE)'!W40</f>
        <v/>
      </c>
      <c r="Z39" s="17">
        <f>'Loan Tape (BoE)'!X40</f>
        <v/>
      </c>
      <c r="AA39" s="17">
        <f>IF(T39=1,Y39,MIN(Y39,Z39))</f>
        <v/>
      </c>
      <c r="AB39" s="17">
        <f>'Loan Tape (BoE)'!Y40</f>
        <v/>
      </c>
      <c r="AC39" s="17">
        <f>'Loan Tape (BoE)'!Z40</f>
        <v/>
      </c>
      <c r="AD39" s="17">
        <f>AB39+AC39</f>
        <v/>
      </c>
      <c r="AE39" s="18">
        <f>'Loan Tape (BoE)'!AA40</f>
        <v/>
      </c>
      <c r="AF39" s="18">
        <f>'Loan Tape (BoE)'!AB40</f>
        <v/>
      </c>
      <c r="AG39" s="18">
        <f>AE39+AF39</f>
        <v/>
      </c>
      <c r="AH39" s="19">
        <f>MAX('Loan Tape (BoE)'!AC40,'Loan Tape (BoE)'!AD40)</f>
        <v/>
      </c>
      <c r="AI39" s="18">
        <f>'Loan Tape (BoE)'!AE40</f>
        <v/>
      </c>
      <c r="AJ39" s="18">
        <f>B39*H39/12</f>
        <v/>
      </c>
      <c r="AK39" s="21">
        <f>IF(AJ39&gt;0,AI39/AJ39,0)</f>
        <v/>
      </c>
      <c r="AL39" s="17">
        <f>IF('Loan Tape (BoE)'!AF40=1,"Yes","No")</f>
        <v/>
      </c>
      <c r="AM39" s="17">
        <f>IF('Loan Tape (BoE)'!AH40=1,"Yes","No")</f>
        <v/>
      </c>
      <c r="AN39" s="17">
        <f>IF('Loan Tape (BoE)'!AI40=1,"Yes","No")</f>
        <v/>
      </c>
      <c r="AO39" s="17">
        <f>IF('Loan Tape (BoE)'!AJ40=1,"Yes","No")</f>
        <v/>
      </c>
      <c r="AP39" s="17">
        <f>IF(OR('Loan Tape (BoE)'!AQ39=1,'Loan Tape (BoE)'!AQ39=2),"Yes",IF('Loan Tape (BoE)'!AQ39=0,"No",""))</f>
        <v/>
      </c>
      <c r="AQ39" s="17">
        <f>IF('Loan Tape (BoE)'!BV49_39&lt;&gt;"",'Loan Tape (BoE)'!BV49_39,"")</f>
        <v/>
      </c>
      <c r="AR39" s="17">
        <f>IF('Loan Tape (BoE)'!BV390_39&lt;&gt;"",'Loan Tape (BoE)'!BV50_39,"")</f>
        <v/>
      </c>
      <c r="AS39" s="17">
        <f>IFERROR(INDEX('FF Adj Parameters'!$A$103:$B$1039,MATCH('Loan Tape (BoE)'!P39,INDEX('FF Adj Parameters'!$A$103:$B$1039,,1),0),2),"Unknown")</f>
        <v/>
      </c>
      <c r="AT39" s="17">
        <f>IF(N39="Interest Only",M5*O5/12,IF(AND(O5&gt;0,ISNUMBER(O5),ISNUMBER(M5)),ABS(PMT(O5/12,AU5,-M5)),0))</f>
        <v/>
      </c>
      <c r="AU39" s="17">
        <f>IF(ISNUMBER(L39),MAX(0,(L5-'Control Panel'!$B$10)*12/365.25),0)</f>
        <v/>
      </c>
      <c r="AV39" s="17">
        <f>IF(ISNUMBER(L39),IF(L5&gt;'Control Panel'!$B$10,"Valid","Past Maturity"),"No Date")</f>
        <v/>
      </c>
      <c r="AW39" s="17">
        <f>IF(ISNUMBER(K39),MAX(0,('Control Panel'!$B$10-K5)*12/365.25),0)</f>
        <v/>
      </c>
    </row>
    <row r="40">
      <c r="A40" s="17">
        <f>'Loan Tape (BoE)'!A41</f>
        <v/>
      </c>
      <c r="B40" s="18">
        <f>IFERROR(INDEX('FF Adj Parameters'!$A$89:$B$92,MATCH('Loan Tape (BoE)'!C40,INDEX('FF Adj Parameters'!$A$89:$B$92,,1),0),2),"Unknown")</f>
        <v/>
      </c>
      <c r="C40" s="18">
        <f>'Loan Tape (BoE)'!C41</f>
        <v/>
      </c>
      <c r="D40" s="18">
        <f>'Loan Tape (BoE)'!D41</f>
        <v/>
      </c>
      <c r="E40" s="18">
        <f>'Loan Tape (BoE)'!E41</f>
        <v/>
      </c>
      <c r="F40" s="19">
        <f>'Loan Tape (BoE)'!F41</f>
        <v/>
      </c>
      <c r="G40" s="19">
        <f>'Loan Tape (BoE)'!G41</f>
        <v/>
      </c>
      <c r="H40" s="20">
        <f>'Loan Tape (BoE)'!H41/100</f>
        <v/>
      </c>
      <c r="I40" s="17">
        <f>IFERROR(IFS('Loan Tape (BoE)'!I41=1,"House",'Loan Tape (BoE)'!I41=2,"Flat",'Loan Tape (BoE)'!I41=3,"Bungalow",'Loan Tape (BoE)'!I41=4,"Maisonette"),"")</f>
        <v/>
      </c>
      <c r="J40" s="17">
        <f>'Loan Tape (BoE)'!J41</f>
        <v/>
      </c>
      <c r="K40" s="17">
        <f>'Loan Tape (BoE)'!K41</f>
        <v/>
      </c>
      <c r="L40" s="17">
        <f>IFERROR(IFS('Loan Tape (BoE)'!L41=1,"Owner Occupied",'Loan Tape (BoE)'!L41=2,"BTL",'Loan Tape (BoE)'!L41=3,"Second Home",'Loan Tape (BoE)'!L41=4,"Investment"),"")</f>
        <v/>
      </c>
      <c r="M40" s="17">
        <f>IFERROR(IFS('Loan Tape (BoE)'!M41=1,"Purchase",'Loan Tape (BoE)'!M41=2,"Remortgage",OR('Loan Tape (BoE)'!M41=3,'Loan Tape (BoE)'!M41=4),"Cash-out"),"")</f>
        <v/>
      </c>
      <c r="N40" s="17">
        <f>IFERROR(INDEX('FF Adj Parameters'!$A$96:$B$99,MATCH('Loan Tape (BoE)'!R40,INDEX('FF Adj Parameters'!$A$96:$B$99,,1),0),2),"Unknown")</f>
        <v/>
      </c>
      <c r="O40" s="17">
        <f>IF('Loan Tape (BoE)'!O41=1,"Yes","No")</f>
        <v/>
      </c>
      <c r="P40" s="17">
        <f>IF('Loan Tape (BoE)'!P40=1,"Yes",IF('Loan Tape (BoE)'!P40=0,"No",""))</f>
        <v/>
      </c>
      <c r="Q40" s="17">
        <f>IF('Loan Tape (BoE)'!Q40=1,"Yes",IF('Loan Tape (BoE)'!Q40=0,"No",""))</f>
        <v/>
      </c>
      <c r="R40" s="18">
        <f>IF('Loan Tape (BoE)'!R40=1,"Yes",IF('Loan Tape (BoE)'!R40=0,"No",""))</f>
        <v/>
      </c>
      <c r="S40" s="18">
        <f>IF('Loan Tape (BoE)'!S40=1,"Yes",IF('Loan Tape (BoE)'!S40=0,"No",""))</f>
        <v/>
      </c>
      <c r="T40" s="17">
        <f>IF('Loan Tape (BoE)'!T40=1,"Yes",IF('Loan Tape (BoE)'!T40=0,"No",""))</f>
        <v/>
      </c>
      <c r="U40" s="18">
        <f>R40+S40</f>
        <v/>
      </c>
      <c r="V40" s="17">
        <f>IFERROR(IFS('Loan Tape (BoE)'!U41=1,"Employed",'Loan Tape (BoE)'!U41=2,"Self-Employed",'Loan Tape (BoE)'!U41=3,"Unemployed",'Loan Tape (BoE)'!U41=4,"Retired"),"")</f>
        <v/>
      </c>
      <c r="W40" s="17">
        <f>IFERROR(IFS('Loan Tape (BoE)'!V41=1,"Employed",'Loan Tape (BoE)'!V41=2,"Self-Employed",'Loan Tape (BoE)'!V41=3,"Unemployed",'Loan Tape (BoE)'!V41=4,"Retired"),"")</f>
        <v/>
      </c>
      <c r="X40" s="17">
        <f>IF(OR(V40="Self-Employed",W40="Self-Employed"),"Yes","No")</f>
        <v/>
      </c>
      <c r="Y40" s="17">
        <f>'Loan Tape (BoE)'!W41</f>
        <v/>
      </c>
      <c r="Z40" s="17">
        <f>'Loan Tape (BoE)'!X41</f>
        <v/>
      </c>
      <c r="AA40" s="17">
        <f>IF(T40=1,Y40,MIN(Y40,Z40))</f>
        <v/>
      </c>
      <c r="AB40" s="17">
        <f>'Loan Tape (BoE)'!Y41</f>
        <v/>
      </c>
      <c r="AC40" s="17">
        <f>'Loan Tape (BoE)'!Z41</f>
        <v/>
      </c>
      <c r="AD40" s="17">
        <f>AB40+AC40</f>
        <v/>
      </c>
      <c r="AE40" s="18">
        <f>'Loan Tape (BoE)'!AA41</f>
        <v/>
      </c>
      <c r="AF40" s="18">
        <f>'Loan Tape (BoE)'!AB41</f>
        <v/>
      </c>
      <c r="AG40" s="18">
        <f>AE40+AF40</f>
        <v/>
      </c>
      <c r="AH40" s="19">
        <f>MAX('Loan Tape (BoE)'!AC41,'Loan Tape (BoE)'!AD41)</f>
        <v/>
      </c>
      <c r="AI40" s="18">
        <f>'Loan Tape (BoE)'!AE41</f>
        <v/>
      </c>
      <c r="AJ40" s="18">
        <f>B40*H40/12</f>
        <v/>
      </c>
      <c r="AK40" s="21">
        <f>IF(AJ40&gt;0,AI40/AJ40,0)</f>
        <v/>
      </c>
      <c r="AL40" s="17">
        <f>IF('Loan Tape (BoE)'!AF41=1,"Yes","No")</f>
        <v/>
      </c>
      <c r="AM40" s="17">
        <f>IF('Loan Tape (BoE)'!AH41=1,"Yes","No")</f>
        <v/>
      </c>
      <c r="AN40" s="17">
        <f>IF('Loan Tape (BoE)'!AI41=1,"Yes","No")</f>
        <v/>
      </c>
      <c r="AO40" s="17">
        <f>IF('Loan Tape (BoE)'!AJ41=1,"Yes","No")</f>
        <v/>
      </c>
      <c r="AP40" s="17">
        <f>IF(OR('Loan Tape (BoE)'!AQ40=1,'Loan Tape (BoE)'!AQ40=2),"Yes",IF('Loan Tape (BoE)'!AQ40=0,"No",""))</f>
        <v/>
      </c>
      <c r="AQ40" s="17">
        <f>IF('Loan Tape (BoE)'!BV49_40&lt;&gt;"",'Loan Tape (BoE)'!BV49_40,"")</f>
        <v/>
      </c>
      <c r="AR40" s="17">
        <f>IF('Loan Tape (BoE)'!BV400_40&lt;&gt;"",'Loan Tape (BoE)'!BV50_40,"")</f>
        <v/>
      </c>
      <c r="AS40" s="17">
        <f>IFERROR(INDEX('FF Adj Parameters'!$A$103:$B$1040,MATCH('Loan Tape (BoE)'!P40,INDEX('FF Adj Parameters'!$A$103:$B$1040,,1),0),2),"Unknown")</f>
        <v/>
      </c>
      <c r="AT40" s="17">
        <f>IF(N40="Interest Only",M5*O5/12,IF(AND(O5&gt;0,ISNUMBER(O5),ISNUMBER(M5)),ABS(PMT(O5/12,AU5,-M5)),0))</f>
        <v/>
      </c>
      <c r="AU40" s="17">
        <f>IF(ISNUMBER(L40),MAX(0,(L5-'Control Panel'!$B$10)*12/365.25),0)</f>
        <v/>
      </c>
      <c r="AV40" s="17">
        <f>IF(ISNUMBER(L40),IF(L5&gt;'Control Panel'!$B$10,"Valid","Past Maturity"),"No Date")</f>
        <v/>
      </c>
      <c r="AW40" s="17">
        <f>IF(ISNUMBER(K40),MAX(0,('Control Panel'!$B$10-K5)*12/365.25),0)</f>
        <v/>
      </c>
    </row>
    <row r="41">
      <c r="A41" s="17">
        <f>'Loan Tape (BoE)'!A42</f>
        <v/>
      </c>
      <c r="B41" s="18">
        <f>IFERROR(INDEX('FF Adj Parameters'!$A$89:$B$92,MATCH('Loan Tape (BoE)'!C41,INDEX('FF Adj Parameters'!$A$89:$B$92,,1),0),2),"Unknown")</f>
        <v/>
      </c>
      <c r="C41" s="18">
        <f>'Loan Tape (BoE)'!C42</f>
        <v/>
      </c>
      <c r="D41" s="18">
        <f>'Loan Tape (BoE)'!D42</f>
        <v/>
      </c>
      <c r="E41" s="18">
        <f>'Loan Tape (BoE)'!E42</f>
        <v/>
      </c>
      <c r="F41" s="19">
        <f>'Loan Tape (BoE)'!F42</f>
        <v/>
      </c>
      <c r="G41" s="19">
        <f>'Loan Tape (BoE)'!G42</f>
        <v/>
      </c>
      <c r="H41" s="20">
        <f>'Loan Tape (BoE)'!H42/100</f>
        <v/>
      </c>
      <c r="I41" s="17">
        <f>IFERROR(IFS('Loan Tape (BoE)'!I42=1,"House",'Loan Tape (BoE)'!I42=2,"Flat",'Loan Tape (BoE)'!I42=3,"Bungalow",'Loan Tape (BoE)'!I42=4,"Maisonette"),"")</f>
        <v/>
      </c>
      <c r="J41" s="17">
        <f>'Loan Tape (BoE)'!J42</f>
        <v/>
      </c>
      <c r="K41" s="17">
        <f>'Loan Tape (BoE)'!K42</f>
        <v/>
      </c>
      <c r="L41" s="17">
        <f>IFERROR(IFS('Loan Tape (BoE)'!L42=1,"Owner Occupied",'Loan Tape (BoE)'!L42=2,"BTL",'Loan Tape (BoE)'!L42=3,"Second Home",'Loan Tape (BoE)'!L42=4,"Investment"),"")</f>
        <v/>
      </c>
      <c r="M41" s="17">
        <f>IFERROR(IFS('Loan Tape (BoE)'!M42=1,"Purchase",'Loan Tape (BoE)'!M42=2,"Remortgage",OR('Loan Tape (BoE)'!M42=3,'Loan Tape (BoE)'!M42=4),"Cash-out"),"")</f>
        <v/>
      </c>
      <c r="N41" s="17">
        <f>IFERROR(INDEX('FF Adj Parameters'!$A$96:$B$99,MATCH('Loan Tape (BoE)'!R41,INDEX('FF Adj Parameters'!$A$96:$B$99,,1),0),2),"Unknown")</f>
        <v/>
      </c>
      <c r="O41" s="17">
        <f>IF('Loan Tape (BoE)'!O42=1,"Yes","No")</f>
        <v/>
      </c>
      <c r="P41" s="17">
        <f>IF('Loan Tape (BoE)'!P41=1,"Yes",IF('Loan Tape (BoE)'!P41=0,"No",""))</f>
        <v/>
      </c>
      <c r="Q41" s="17">
        <f>IF('Loan Tape (BoE)'!Q41=1,"Yes",IF('Loan Tape (BoE)'!Q41=0,"No",""))</f>
        <v/>
      </c>
      <c r="R41" s="18">
        <f>IF('Loan Tape (BoE)'!R41=1,"Yes",IF('Loan Tape (BoE)'!R41=0,"No",""))</f>
        <v/>
      </c>
      <c r="S41" s="18">
        <f>IF('Loan Tape (BoE)'!S41=1,"Yes",IF('Loan Tape (BoE)'!S41=0,"No",""))</f>
        <v/>
      </c>
      <c r="T41" s="17">
        <f>IF('Loan Tape (BoE)'!T41=1,"Yes",IF('Loan Tape (BoE)'!T41=0,"No",""))</f>
        <v/>
      </c>
      <c r="U41" s="18">
        <f>R41+S41</f>
        <v/>
      </c>
      <c r="V41" s="17">
        <f>IFERROR(IFS('Loan Tape (BoE)'!U42=1,"Employed",'Loan Tape (BoE)'!U42=2,"Self-Employed",'Loan Tape (BoE)'!U42=3,"Unemployed",'Loan Tape (BoE)'!U42=4,"Retired"),"")</f>
        <v/>
      </c>
      <c r="W41" s="17">
        <f>IFERROR(IFS('Loan Tape (BoE)'!V42=1,"Employed",'Loan Tape (BoE)'!V42=2,"Self-Employed",'Loan Tape (BoE)'!V42=3,"Unemployed",'Loan Tape (BoE)'!V42=4,"Retired"),"")</f>
        <v/>
      </c>
      <c r="X41" s="17">
        <f>IF(OR(V41="Self-Employed",W41="Self-Employed"),"Yes","No")</f>
        <v/>
      </c>
      <c r="Y41" s="17">
        <f>'Loan Tape (BoE)'!W42</f>
        <v/>
      </c>
      <c r="Z41" s="17">
        <f>'Loan Tape (BoE)'!X42</f>
        <v/>
      </c>
      <c r="AA41" s="17">
        <f>IF(T41=1,Y41,MIN(Y41,Z41))</f>
        <v/>
      </c>
      <c r="AB41" s="17">
        <f>'Loan Tape (BoE)'!Y42</f>
        <v/>
      </c>
      <c r="AC41" s="17">
        <f>'Loan Tape (BoE)'!Z42</f>
        <v/>
      </c>
      <c r="AD41" s="17">
        <f>AB41+AC41</f>
        <v/>
      </c>
      <c r="AE41" s="18">
        <f>'Loan Tape (BoE)'!AA42</f>
        <v/>
      </c>
      <c r="AF41" s="18">
        <f>'Loan Tape (BoE)'!AB42</f>
        <v/>
      </c>
      <c r="AG41" s="18">
        <f>AE41+AF41</f>
        <v/>
      </c>
      <c r="AH41" s="19">
        <f>MAX('Loan Tape (BoE)'!AC42,'Loan Tape (BoE)'!AD42)</f>
        <v/>
      </c>
      <c r="AI41" s="18">
        <f>'Loan Tape (BoE)'!AE42</f>
        <v/>
      </c>
      <c r="AJ41" s="18">
        <f>B41*H41/12</f>
        <v/>
      </c>
      <c r="AK41" s="21">
        <f>IF(AJ41&gt;0,AI41/AJ41,0)</f>
        <v/>
      </c>
      <c r="AL41" s="17">
        <f>IF('Loan Tape (BoE)'!AF42=1,"Yes","No")</f>
        <v/>
      </c>
      <c r="AM41" s="17">
        <f>IF('Loan Tape (BoE)'!AH42=1,"Yes","No")</f>
        <v/>
      </c>
      <c r="AN41" s="17">
        <f>IF('Loan Tape (BoE)'!AI42=1,"Yes","No")</f>
        <v/>
      </c>
      <c r="AO41" s="17">
        <f>IF('Loan Tape (BoE)'!AJ42=1,"Yes","No")</f>
        <v/>
      </c>
      <c r="AP41" s="17">
        <f>IF(OR('Loan Tape (BoE)'!AQ41=1,'Loan Tape (BoE)'!AQ41=2),"Yes",IF('Loan Tape (BoE)'!AQ41=0,"No",""))</f>
        <v/>
      </c>
      <c r="AQ41" s="17">
        <f>IF('Loan Tape (BoE)'!BV49_41&lt;&gt;"",'Loan Tape (BoE)'!BV49_41,"")</f>
        <v/>
      </c>
      <c r="AR41" s="17">
        <f>IF('Loan Tape (BoE)'!BV410_41&lt;&gt;"",'Loan Tape (BoE)'!BV50_41,"")</f>
        <v/>
      </c>
      <c r="AS41" s="17">
        <f>IFERROR(INDEX('FF Adj Parameters'!$A$103:$B$1041,MATCH('Loan Tape (BoE)'!P41,INDEX('FF Adj Parameters'!$A$103:$B$1041,,1),0),2),"Unknown")</f>
        <v/>
      </c>
      <c r="AT41" s="17">
        <f>IF(N41="Interest Only",M5*O5/12,IF(AND(O5&gt;0,ISNUMBER(O5),ISNUMBER(M5)),ABS(PMT(O5/12,AU5,-M5)),0))</f>
        <v/>
      </c>
      <c r="AU41" s="17">
        <f>IF(ISNUMBER(L41),MAX(0,(L5-'Control Panel'!$B$10)*12/365.25),0)</f>
        <v/>
      </c>
      <c r="AV41" s="17">
        <f>IF(ISNUMBER(L41),IF(L5&gt;'Control Panel'!$B$10,"Valid","Past Maturity"),"No Date")</f>
        <v/>
      </c>
      <c r="AW41" s="17">
        <f>IF(ISNUMBER(K41),MAX(0,('Control Panel'!$B$10-K5)*12/365.25),0)</f>
        <v/>
      </c>
    </row>
    <row r="42">
      <c r="A42" s="17">
        <f>'Loan Tape (BoE)'!A43</f>
        <v/>
      </c>
      <c r="B42" s="18">
        <f>IFERROR(INDEX('FF Adj Parameters'!$A$89:$B$92,MATCH('Loan Tape (BoE)'!C42,INDEX('FF Adj Parameters'!$A$89:$B$92,,1),0),2),"Unknown")</f>
        <v/>
      </c>
      <c r="C42" s="18">
        <f>'Loan Tape (BoE)'!C43</f>
        <v/>
      </c>
      <c r="D42" s="18">
        <f>'Loan Tape (BoE)'!D43</f>
        <v/>
      </c>
      <c r="E42" s="18">
        <f>'Loan Tape (BoE)'!E43</f>
        <v/>
      </c>
      <c r="F42" s="19">
        <f>'Loan Tape (BoE)'!F43</f>
        <v/>
      </c>
      <c r="G42" s="19">
        <f>'Loan Tape (BoE)'!G43</f>
        <v/>
      </c>
      <c r="H42" s="20">
        <f>'Loan Tape (BoE)'!H43/100</f>
        <v/>
      </c>
      <c r="I42" s="17">
        <f>IFERROR(IFS('Loan Tape (BoE)'!I43=1,"House",'Loan Tape (BoE)'!I43=2,"Flat",'Loan Tape (BoE)'!I43=3,"Bungalow",'Loan Tape (BoE)'!I43=4,"Maisonette"),"")</f>
        <v/>
      </c>
      <c r="J42" s="17">
        <f>'Loan Tape (BoE)'!J43</f>
        <v/>
      </c>
      <c r="K42" s="17">
        <f>'Loan Tape (BoE)'!K43</f>
        <v/>
      </c>
      <c r="L42" s="17">
        <f>IFERROR(IFS('Loan Tape (BoE)'!L43=1,"Owner Occupied",'Loan Tape (BoE)'!L43=2,"BTL",'Loan Tape (BoE)'!L43=3,"Second Home",'Loan Tape (BoE)'!L43=4,"Investment"),"")</f>
        <v/>
      </c>
      <c r="M42" s="17">
        <f>IFERROR(IFS('Loan Tape (BoE)'!M43=1,"Purchase",'Loan Tape (BoE)'!M43=2,"Remortgage",OR('Loan Tape (BoE)'!M43=3,'Loan Tape (BoE)'!M43=4),"Cash-out"),"")</f>
        <v/>
      </c>
      <c r="N42" s="17">
        <f>IFERROR(INDEX('FF Adj Parameters'!$A$96:$B$99,MATCH('Loan Tape (BoE)'!R42,INDEX('FF Adj Parameters'!$A$96:$B$99,,1),0),2),"Unknown")</f>
        <v/>
      </c>
      <c r="O42" s="17">
        <f>IF('Loan Tape (BoE)'!O43=1,"Yes","No")</f>
        <v/>
      </c>
      <c r="P42" s="17">
        <f>IF('Loan Tape (BoE)'!P42=1,"Yes",IF('Loan Tape (BoE)'!P42=0,"No",""))</f>
        <v/>
      </c>
      <c r="Q42" s="17">
        <f>IF('Loan Tape (BoE)'!Q42=1,"Yes",IF('Loan Tape (BoE)'!Q42=0,"No",""))</f>
        <v/>
      </c>
      <c r="R42" s="18">
        <f>IF('Loan Tape (BoE)'!R42=1,"Yes",IF('Loan Tape (BoE)'!R42=0,"No",""))</f>
        <v/>
      </c>
      <c r="S42" s="18">
        <f>IF('Loan Tape (BoE)'!S42=1,"Yes",IF('Loan Tape (BoE)'!S42=0,"No",""))</f>
        <v/>
      </c>
      <c r="T42" s="17">
        <f>IF('Loan Tape (BoE)'!T42=1,"Yes",IF('Loan Tape (BoE)'!T42=0,"No",""))</f>
        <v/>
      </c>
      <c r="U42" s="18">
        <f>R42+S42</f>
        <v/>
      </c>
      <c r="V42" s="17">
        <f>IFERROR(IFS('Loan Tape (BoE)'!U43=1,"Employed",'Loan Tape (BoE)'!U43=2,"Self-Employed",'Loan Tape (BoE)'!U43=3,"Unemployed",'Loan Tape (BoE)'!U43=4,"Retired"),"")</f>
        <v/>
      </c>
      <c r="W42" s="17">
        <f>IFERROR(IFS('Loan Tape (BoE)'!V43=1,"Employed",'Loan Tape (BoE)'!V43=2,"Self-Employed",'Loan Tape (BoE)'!V43=3,"Unemployed",'Loan Tape (BoE)'!V43=4,"Retired"),"")</f>
        <v/>
      </c>
      <c r="X42" s="17">
        <f>IF(OR(V42="Self-Employed",W42="Self-Employed"),"Yes","No")</f>
        <v/>
      </c>
      <c r="Y42" s="17">
        <f>'Loan Tape (BoE)'!W43</f>
        <v/>
      </c>
      <c r="Z42" s="17">
        <f>'Loan Tape (BoE)'!X43</f>
        <v/>
      </c>
      <c r="AA42" s="17">
        <f>IF(T42=1,Y42,MIN(Y42,Z42))</f>
        <v/>
      </c>
      <c r="AB42" s="17">
        <f>'Loan Tape (BoE)'!Y43</f>
        <v/>
      </c>
      <c r="AC42" s="17">
        <f>'Loan Tape (BoE)'!Z43</f>
        <v/>
      </c>
      <c r="AD42" s="17">
        <f>AB42+AC42</f>
        <v/>
      </c>
      <c r="AE42" s="18">
        <f>'Loan Tape (BoE)'!AA43</f>
        <v/>
      </c>
      <c r="AF42" s="18">
        <f>'Loan Tape (BoE)'!AB43</f>
        <v/>
      </c>
      <c r="AG42" s="18">
        <f>AE42+AF42</f>
        <v/>
      </c>
      <c r="AH42" s="19">
        <f>MAX('Loan Tape (BoE)'!AC43,'Loan Tape (BoE)'!AD43)</f>
        <v/>
      </c>
      <c r="AI42" s="18">
        <f>'Loan Tape (BoE)'!AE43</f>
        <v/>
      </c>
      <c r="AJ42" s="18">
        <f>B42*H42/12</f>
        <v/>
      </c>
      <c r="AK42" s="21">
        <f>IF(AJ42&gt;0,AI42/AJ42,0)</f>
        <v/>
      </c>
      <c r="AL42" s="17">
        <f>IF('Loan Tape (BoE)'!AF43=1,"Yes","No")</f>
        <v/>
      </c>
      <c r="AM42" s="17">
        <f>IF('Loan Tape (BoE)'!AH43=1,"Yes","No")</f>
        <v/>
      </c>
      <c r="AN42" s="17">
        <f>IF('Loan Tape (BoE)'!AI43=1,"Yes","No")</f>
        <v/>
      </c>
      <c r="AO42" s="17">
        <f>IF('Loan Tape (BoE)'!AJ43=1,"Yes","No")</f>
        <v/>
      </c>
      <c r="AP42" s="17">
        <f>IF(OR('Loan Tape (BoE)'!AQ42=1,'Loan Tape (BoE)'!AQ42=2),"Yes",IF('Loan Tape (BoE)'!AQ42=0,"No",""))</f>
        <v/>
      </c>
      <c r="AQ42" s="17">
        <f>IF('Loan Tape (BoE)'!BV49_42&lt;&gt;"",'Loan Tape (BoE)'!BV49_42,"")</f>
        <v/>
      </c>
      <c r="AR42" s="17">
        <f>IF('Loan Tape (BoE)'!BV420_42&lt;&gt;"",'Loan Tape (BoE)'!BV50_42,"")</f>
        <v/>
      </c>
      <c r="AS42" s="17">
        <f>IFERROR(INDEX('FF Adj Parameters'!$A$103:$B$1042,MATCH('Loan Tape (BoE)'!P42,INDEX('FF Adj Parameters'!$A$103:$B$1042,,1),0),2),"Unknown")</f>
        <v/>
      </c>
      <c r="AT42" s="17">
        <f>IF(N42="Interest Only",M5*O5/12,IF(AND(O5&gt;0,ISNUMBER(O5),ISNUMBER(M5)),ABS(PMT(O5/12,AU5,-M5)),0))</f>
        <v/>
      </c>
      <c r="AU42" s="17">
        <f>IF(ISNUMBER(L42),MAX(0,(L5-'Control Panel'!$B$10)*12/365.25),0)</f>
        <v/>
      </c>
      <c r="AV42" s="17">
        <f>IF(ISNUMBER(L42),IF(L5&gt;'Control Panel'!$B$10,"Valid","Past Maturity"),"No Date")</f>
        <v/>
      </c>
      <c r="AW42" s="17">
        <f>IF(ISNUMBER(K42),MAX(0,('Control Panel'!$B$10-K5)*12/365.25),0)</f>
        <v/>
      </c>
    </row>
    <row r="43">
      <c r="A43" s="17">
        <f>'Loan Tape (BoE)'!A44</f>
        <v/>
      </c>
      <c r="B43" s="18">
        <f>IFERROR(INDEX('FF Adj Parameters'!$A$89:$B$92,MATCH('Loan Tape (BoE)'!C43,INDEX('FF Adj Parameters'!$A$89:$B$92,,1),0),2),"Unknown")</f>
        <v/>
      </c>
      <c r="C43" s="18">
        <f>'Loan Tape (BoE)'!C44</f>
        <v/>
      </c>
      <c r="D43" s="18">
        <f>'Loan Tape (BoE)'!D44</f>
        <v/>
      </c>
      <c r="E43" s="18">
        <f>'Loan Tape (BoE)'!E44</f>
        <v/>
      </c>
      <c r="F43" s="19">
        <f>'Loan Tape (BoE)'!F44</f>
        <v/>
      </c>
      <c r="G43" s="19">
        <f>'Loan Tape (BoE)'!G44</f>
        <v/>
      </c>
      <c r="H43" s="20">
        <f>'Loan Tape (BoE)'!H44/100</f>
        <v/>
      </c>
      <c r="I43" s="17">
        <f>IFERROR(IFS('Loan Tape (BoE)'!I44=1,"House",'Loan Tape (BoE)'!I44=2,"Flat",'Loan Tape (BoE)'!I44=3,"Bungalow",'Loan Tape (BoE)'!I44=4,"Maisonette"),"")</f>
        <v/>
      </c>
      <c r="J43" s="17">
        <f>'Loan Tape (BoE)'!J44</f>
        <v/>
      </c>
      <c r="K43" s="17">
        <f>'Loan Tape (BoE)'!K44</f>
        <v/>
      </c>
      <c r="L43" s="17">
        <f>IFERROR(IFS('Loan Tape (BoE)'!L44=1,"Owner Occupied",'Loan Tape (BoE)'!L44=2,"BTL",'Loan Tape (BoE)'!L44=3,"Second Home",'Loan Tape (BoE)'!L44=4,"Investment"),"")</f>
        <v/>
      </c>
      <c r="M43" s="17">
        <f>IFERROR(IFS('Loan Tape (BoE)'!M44=1,"Purchase",'Loan Tape (BoE)'!M44=2,"Remortgage",OR('Loan Tape (BoE)'!M44=3,'Loan Tape (BoE)'!M44=4),"Cash-out"),"")</f>
        <v/>
      </c>
      <c r="N43" s="17">
        <f>IFERROR(INDEX('FF Adj Parameters'!$A$96:$B$99,MATCH('Loan Tape (BoE)'!R43,INDEX('FF Adj Parameters'!$A$96:$B$99,,1),0),2),"Unknown")</f>
        <v/>
      </c>
      <c r="O43" s="17">
        <f>IF('Loan Tape (BoE)'!O44=1,"Yes","No")</f>
        <v/>
      </c>
      <c r="P43" s="17">
        <f>IF('Loan Tape (BoE)'!P43=1,"Yes",IF('Loan Tape (BoE)'!P43=0,"No",""))</f>
        <v/>
      </c>
      <c r="Q43" s="17">
        <f>IF('Loan Tape (BoE)'!Q43=1,"Yes",IF('Loan Tape (BoE)'!Q43=0,"No",""))</f>
        <v/>
      </c>
      <c r="R43" s="18">
        <f>IF('Loan Tape (BoE)'!R43=1,"Yes",IF('Loan Tape (BoE)'!R43=0,"No",""))</f>
        <v/>
      </c>
      <c r="S43" s="18">
        <f>IF('Loan Tape (BoE)'!S43=1,"Yes",IF('Loan Tape (BoE)'!S43=0,"No",""))</f>
        <v/>
      </c>
      <c r="T43" s="17">
        <f>IF('Loan Tape (BoE)'!T43=1,"Yes",IF('Loan Tape (BoE)'!T43=0,"No",""))</f>
        <v/>
      </c>
      <c r="U43" s="18">
        <f>R43+S43</f>
        <v/>
      </c>
      <c r="V43" s="17">
        <f>IFERROR(IFS('Loan Tape (BoE)'!U44=1,"Employed",'Loan Tape (BoE)'!U44=2,"Self-Employed",'Loan Tape (BoE)'!U44=3,"Unemployed",'Loan Tape (BoE)'!U44=4,"Retired"),"")</f>
        <v/>
      </c>
      <c r="W43" s="17">
        <f>IFERROR(IFS('Loan Tape (BoE)'!V44=1,"Employed",'Loan Tape (BoE)'!V44=2,"Self-Employed",'Loan Tape (BoE)'!V44=3,"Unemployed",'Loan Tape (BoE)'!V44=4,"Retired"),"")</f>
        <v/>
      </c>
      <c r="X43" s="17">
        <f>IF(OR(V43="Self-Employed",W43="Self-Employed"),"Yes","No")</f>
        <v/>
      </c>
      <c r="Y43" s="17">
        <f>'Loan Tape (BoE)'!W44</f>
        <v/>
      </c>
      <c r="Z43" s="17">
        <f>'Loan Tape (BoE)'!X44</f>
        <v/>
      </c>
      <c r="AA43" s="17">
        <f>IF(T43=1,Y43,MIN(Y43,Z43))</f>
        <v/>
      </c>
      <c r="AB43" s="17">
        <f>'Loan Tape (BoE)'!Y44</f>
        <v/>
      </c>
      <c r="AC43" s="17">
        <f>'Loan Tape (BoE)'!Z44</f>
        <v/>
      </c>
      <c r="AD43" s="17">
        <f>AB43+AC43</f>
        <v/>
      </c>
      <c r="AE43" s="18">
        <f>'Loan Tape (BoE)'!AA44</f>
        <v/>
      </c>
      <c r="AF43" s="18">
        <f>'Loan Tape (BoE)'!AB44</f>
        <v/>
      </c>
      <c r="AG43" s="18">
        <f>AE43+AF43</f>
        <v/>
      </c>
      <c r="AH43" s="19">
        <f>MAX('Loan Tape (BoE)'!AC44,'Loan Tape (BoE)'!AD44)</f>
        <v/>
      </c>
      <c r="AI43" s="18">
        <f>'Loan Tape (BoE)'!AE44</f>
        <v/>
      </c>
      <c r="AJ43" s="18">
        <f>B43*H43/12</f>
        <v/>
      </c>
      <c r="AK43" s="21">
        <f>IF(AJ43&gt;0,AI43/AJ43,0)</f>
        <v/>
      </c>
      <c r="AL43" s="17">
        <f>IF('Loan Tape (BoE)'!AF44=1,"Yes","No")</f>
        <v/>
      </c>
      <c r="AM43" s="17">
        <f>IF('Loan Tape (BoE)'!AH44=1,"Yes","No")</f>
        <v/>
      </c>
      <c r="AN43" s="17">
        <f>IF('Loan Tape (BoE)'!AI44=1,"Yes","No")</f>
        <v/>
      </c>
      <c r="AO43" s="17">
        <f>IF('Loan Tape (BoE)'!AJ44=1,"Yes","No")</f>
        <v/>
      </c>
      <c r="AP43" s="17">
        <f>IF(OR('Loan Tape (BoE)'!AQ43=1,'Loan Tape (BoE)'!AQ43=2),"Yes",IF('Loan Tape (BoE)'!AQ43=0,"No",""))</f>
        <v/>
      </c>
      <c r="AQ43" s="17">
        <f>IF('Loan Tape (BoE)'!BV49_43&lt;&gt;"",'Loan Tape (BoE)'!BV49_43,"")</f>
        <v/>
      </c>
      <c r="AR43" s="17">
        <f>IF('Loan Tape (BoE)'!BV430_43&lt;&gt;"",'Loan Tape (BoE)'!BV50_43,"")</f>
        <v/>
      </c>
      <c r="AS43" s="17">
        <f>IFERROR(INDEX('FF Adj Parameters'!$A$103:$B$1043,MATCH('Loan Tape (BoE)'!P43,INDEX('FF Adj Parameters'!$A$103:$B$1043,,1),0),2),"Unknown")</f>
        <v/>
      </c>
      <c r="AT43" s="17">
        <f>IF(N43="Interest Only",M5*O5/12,IF(AND(O5&gt;0,ISNUMBER(O5),ISNUMBER(M5)),ABS(PMT(O5/12,AU5,-M5)),0))</f>
        <v/>
      </c>
      <c r="AU43" s="17">
        <f>IF(ISNUMBER(L43),MAX(0,(L5-'Control Panel'!$B$10)*12/365.25),0)</f>
        <v/>
      </c>
      <c r="AV43" s="17">
        <f>IF(ISNUMBER(L43),IF(L5&gt;'Control Panel'!$B$10,"Valid","Past Maturity"),"No Date")</f>
        <v/>
      </c>
      <c r="AW43" s="17">
        <f>IF(ISNUMBER(K43),MAX(0,('Control Panel'!$B$10-K5)*12/365.25),0)</f>
        <v/>
      </c>
    </row>
    <row r="44">
      <c r="A44" s="17">
        <f>'Loan Tape (BoE)'!A45</f>
        <v/>
      </c>
      <c r="B44" s="18">
        <f>IFERROR(INDEX('FF Adj Parameters'!$A$89:$B$92,MATCH('Loan Tape (BoE)'!C44,INDEX('FF Adj Parameters'!$A$89:$B$92,,1),0),2),"Unknown")</f>
        <v/>
      </c>
      <c r="C44" s="18">
        <f>'Loan Tape (BoE)'!C45</f>
        <v/>
      </c>
      <c r="D44" s="18">
        <f>'Loan Tape (BoE)'!D45</f>
        <v/>
      </c>
      <c r="E44" s="18">
        <f>'Loan Tape (BoE)'!E45</f>
        <v/>
      </c>
      <c r="F44" s="19">
        <f>'Loan Tape (BoE)'!F45</f>
        <v/>
      </c>
      <c r="G44" s="19">
        <f>'Loan Tape (BoE)'!G45</f>
        <v/>
      </c>
      <c r="H44" s="20">
        <f>'Loan Tape (BoE)'!H45/100</f>
        <v/>
      </c>
      <c r="I44" s="17">
        <f>IFERROR(IFS('Loan Tape (BoE)'!I45=1,"House",'Loan Tape (BoE)'!I45=2,"Flat",'Loan Tape (BoE)'!I45=3,"Bungalow",'Loan Tape (BoE)'!I45=4,"Maisonette"),"")</f>
        <v/>
      </c>
      <c r="J44" s="17">
        <f>'Loan Tape (BoE)'!J45</f>
        <v/>
      </c>
      <c r="K44" s="17">
        <f>'Loan Tape (BoE)'!K45</f>
        <v/>
      </c>
      <c r="L44" s="17">
        <f>IFERROR(IFS('Loan Tape (BoE)'!L45=1,"Owner Occupied",'Loan Tape (BoE)'!L45=2,"BTL",'Loan Tape (BoE)'!L45=3,"Second Home",'Loan Tape (BoE)'!L45=4,"Investment"),"")</f>
        <v/>
      </c>
      <c r="M44" s="17">
        <f>IFERROR(IFS('Loan Tape (BoE)'!M45=1,"Purchase",'Loan Tape (BoE)'!M45=2,"Remortgage",OR('Loan Tape (BoE)'!M45=3,'Loan Tape (BoE)'!M45=4),"Cash-out"),"")</f>
        <v/>
      </c>
      <c r="N44" s="17">
        <f>IFERROR(INDEX('FF Adj Parameters'!$A$96:$B$99,MATCH('Loan Tape (BoE)'!R44,INDEX('FF Adj Parameters'!$A$96:$B$99,,1),0),2),"Unknown")</f>
        <v/>
      </c>
      <c r="O44" s="17">
        <f>IF('Loan Tape (BoE)'!O45=1,"Yes","No")</f>
        <v/>
      </c>
      <c r="P44" s="17">
        <f>IF('Loan Tape (BoE)'!P44=1,"Yes",IF('Loan Tape (BoE)'!P44=0,"No",""))</f>
        <v/>
      </c>
      <c r="Q44" s="17">
        <f>IF('Loan Tape (BoE)'!Q44=1,"Yes",IF('Loan Tape (BoE)'!Q44=0,"No",""))</f>
        <v/>
      </c>
      <c r="R44" s="18">
        <f>IF('Loan Tape (BoE)'!R44=1,"Yes",IF('Loan Tape (BoE)'!R44=0,"No",""))</f>
        <v/>
      </c>
      <c r="S44" s="18">
        <f>IF('Loan Tape (BoE)'!S44=1,"Yes",IF('Loan Tape (BoE)'!S44=0,"No",""))</f>
        <v/>
      </c>
      <c r="T44" s="17">
        <f>IF('Loan Tape (BoE)'!T44=1,"Yes",IF('Loan Tape (BoE)'!T44=0,"No",""))</f>
        <v/>
      </c>
      <c r="U44" s="18">
        <f>R44+S44</f>
        <v/>
      </c>
      <c r="V44" s="17">
        <f>IFERROR(IFS('Loan Tape (BoE)'!U45=1,"Employed",'Loan Tape (BoE)'!U45=2,"Self-Employed",'Loan Tape (BoE)'!U45=3,"Unemployed",'Loan Tape (BoE)'!U45=4,"Retired"),"")</f>
        <v/>
      </c>
      <c r="W44" s="17">
        <f>IFERROR(IFS('Loan Tape (BoE)'!V45=1,"Employed",'Loan Tape (BoE)'!V45=2,"Self-Employed",'Loan Tape (BoE)'!V45=3,"Unemployed",'Loan Tape (BoE)'!V45=4,"Retired"),"")</f>
        <v/>
      </c>
      <c r="X44" s="17">
        <f>IF(OR(V44="Self-Employed",W44="Self-Employed"),"Yes","No")</f>
        <v/>
      </c>
      <c r="Y44" s="17">
        <f>'Loan Tape (BoE)'!W45</f>
        <v/>
      </c>
      <c r="Z44" s="17">
        <f>'Loan Tape (BoE)'!X45</f>
        <v/>
      </c>
      <c r="AA44" s="17">
        <f>IF(T44=1,Y44,MIN(Y44,Z44))</f>
        <v/>
      </c>
      <c r="AB44" s="17">
        <f>'Loan Tape (BoE)'!Y45</f>
        <v/>
      </c>
      <c r="AC44" s="17">
        <f>'Loan Tape (BoE)'!Z45</f>
        <v/>
      </c>
      <c r="AD44" s="17">
        <f>AB44+AC44</f>
        <v/>
      </c>
      <c r="AE44" s="18">
        <f>'Loan Tape (BoE)'!AA45</f>
        <v/>
      </c>
      <c r="AF44" s="18">
        <f>'Loan Tape (BoE)'!AB45</f>
        <v/>
      </c>
      <c r="AG44" s="18">
        <f>AE44+AF44</f>
        <v/>
      </c>
      <c r="AH44" s="19">
        <f>MAX('Loan Tape (BoE)'!AC45,'Loan Tape (BoE)'!AD45)</f>
        <v/>
      </c>
      <c r="AI44" s="18">
        <f>'Loan Tape (BoE)'!AE45</f>
        <v/>
      </c>
      <c r="AJ44" s="18">
        <f>B44*H44/12</f>
        <v/>
      </c>
      <c r="AK44" s="21">
        <f>IF(AJ44&gt;0,AI44/AJ44,0)</f>
        <v/>
      </c>
      <c r="AL44" s="17">
        <f>IF('Loan Tape (BoE)'!AF45=1,"Yes","No")</f>
        <v/>
      </c>
      <c r="AM44" s="17">
        <f>IF('Loan Tape (BoE)'!AH45=1,"Yes","No")</f>
        <v/>
      </c>
      <c r="AN44" s="17">
        <f>IF('Loan Tape (BoE)'!AI45=1,"Yes","No")</f>
        <v/>
      </c>
      <c r="AO44" s="17">
        <f>IF('Loan Tape (BoE)'!AJ45=1,"Yes","No")</f>
        <v/>
      </c>
      <c r="AP44" s="17">
        <f>IF(OR('Loan Tape (BoE)'!AQ44=1,'Loan Tape (BoE)'!AQ44=2),"Yes",IF('Loan Tape (BoE)'!AQ44=0,"No",""))</f>
        <v/>
      </c>
      <c r="AQ44" s="17">
        <f>IF('Loan Tape (BoE)'!BV49_44&lt;&gt;"",'Loan Tape (BoE)'!BV49_44,"")</f>
        <v/>
      </c>
      <c r="AR44" s="17">
        <f>IF('Loan Tape (BoE)'!BV440_44&lt;&gt;"",'Loan Tape (BoE)'!BV50_44,"")</f>
        <v/>
      </c>
      <c r="AS44" s="17">
        <f>IFERROR(INDEX('FF Adj Parameters'!$A$103:$B$1044,MATCH('Loan Tape (BoE)'!P44,INDEX('FF Adj Parameters'!$A$103:$B$1044,,1),0),2),"Unknown")</f>
        <v/>
      </c>
      <c r="AT44" s="17">
        <f>IF(N44="Interest Only",M5*O5/12,IF(AND(O5&gt;0,ISNUMBER(O5),ISNUMBER(M5)),ABS(PMT(O5/12,AU5,-M5)),0))</f>
        <v/>
      </c>
      <c r="AU44" s="17">
        <f>IF(ISNUMBER(L44),MAX(0,(L5-'Control Panel'!$B$10)*12/365.25),0)</f>
        <v/>
      </c>
      <c r="AV44" s="17">
        <f>IF(ISNUMBER(L44),IF(L5&gt;'Control Panel'!$B$10,"Valid","Past Maturity"),"No Date")</f>
        <v/>
      </c>
      <c r="AW44" s="17">
        <f>IF(ISNUMBER(K44),MAX(0,('Control Panel'!$B$10-K5)*12/365.25),0)</f>
        <v/>
      </c>
    </row>
    <row r="45">
      <c r="A45" s="17">
        <f>'Loan Tape (BoE)'!A46</f>
        <v/>
      </c>
      <c r="B45" s="18">
        <f>IFERROR(INDEX('FF Adj Parameters'!$A$89:$B$92,MATCH('Loan Tape (BoE)'!C45,INDEX('FF Adj Parameters'!$A$89:$B$92,,1),0),2),"Unknown")</f>
        <v/>
      </c>
      <c r="C45" s="18">
        <f>'Loan Tape (BoE)'!C46</f>
        <v/>
      </c>
      <c r="D45" s="18">
        <f>'Loan Tape (BoE)'!D46</f>
        <v/>
      </c>
      <c r="E45" s="18">
        <f>'Loan Tape (BoE)'!E46</f>
        <v/>
      </c>
      <c r="F45" s="19">
        <f>'Loan Tape (BoE)'!F46</f>
        <v/>
      </c>
      <c r="G45" s="19">
        <f>'Loan Tape (BoE)'!G46</f>
        <v/>
      </c>
      <c r="H45" s="20">
        <f>'Loan Tape (BoE)'!H46/100</f>
        <v/>
      </c>
      <c r="I45" s="17">
        <f>IFERROR(IFS('Loan Tape (BoE)'!I46=1,"House",'Loan Tape (BoE)'!I46=2,"Flat",'Loan Tape (BoE)'!I46=3,"Bungalow",'Loan Tape (BoE)'!I46=4,"Maisonette"),"")</f>
        <v/>
      </c>
      <c r="J45" s="17">
        <f>'Loan Tape (BoE)'!J46</f>
        <v/>
      </c>
      <c r="K45" s="17">
        <f>'Loan Tape (BoE)'!K46</f>
        <v/>
      </c>
      <c r="L45" s="17">
        <f>IFERROR(IFS('Loan Tape (BoE)'!L46=1,"Owner Occupied",'Loan Tape (BoE)'!L46=2,"BTL",'Loan Tape (BoE)'!L46=3,"Second Home",'Loan Tape (BoE)'!L46=4,"Investment"),"")</f>
        <v/>
      </c>
      <c r="M45" s="17">
        <f>IFERROR(IFS('Loan Tape (BoE)'!M46=1,"Purchase",'Loan Tape (BoE)'!M46=2,"Remortgage",OR('Loan Tape (BoE)'!M46=3,'Loan Tape (BoE)'!M46=4),"Cash-out"),"")</f>
        <v/>
      </c>
      <c r="N45" s="17">
        <f>IFERROR(INDEX('FF Adj Parameters'!$A$96:$B$99,MATCH('Loan Tape (BoE)'!R45,INDEX('FF Adj Parameters'!$A$96:$B$99,,1),0),2),"Unknown")</f>
        <v/>
      </c>
      <c r="O45" s="17">
        <f>IF('Loan Tape (BoE)'!O46=1,"Yes","No")</f>
        <v/>
      </c>
      <c r="P45" s="17">
        <f>IF('Loan Tape (BoE)'!P45=1,"Yes",IF('Loan Tape (BoE)'!P45=0,"No",""))</f>
        <v/>
      </c>
      <c r="Q45" s="17">
        <f>IF('Loan Tape (BoE)'!Q45=1,"Yes",IF('Loan Tape (BoE)'!Q45=0,"No",""))</f>
        <v/>
      </c>
      <c r="R45" s="18">
        <f>IF('Loan Tape (BoE)'!R45=1,"Yes",IF('Loan Tape (BoE)'!R45=0,"No",""))</f>
        <v/>
      </c>
      <c r="S45" s="18">
        <f>IF('Loan Tape (BoE)'!S45=1,"Yes",IF('Loan Tape (BoE)'!S45=0,"No",""))</f>
        <v/>
      </c>
      <c r="T45" s="17">
        <f>IF('Loan Tape (BoE)'!T45=1,"Yes",IF('Loan Tape (BoE)'!T45=0,"No",""))</f>
        <v/>
      </c>
      <c r="U45" s="18">
        <f>R45+S45</f>
        <v/>
      </c>
      <c r="V45" s="17">
        <f>IFERROR(IFS('Loan Tape (BoE)'!U46=1,"Employed",'Loan Tape (BoE)'!U46=2,"Self-Employed",'Loan Tape (BoE)'!U46=3,"Unemployed",'Loan Tape (BoE)'!U46=4,"Retired"),"")</f>
        <v/>
      </c>
      <c r="W45" s="17">
        <f>IFERROR(IFS('Loan Tape (BoE)'!V46=1,"Employed",'Loan Tape (BoE)'!V46=2,"Self-Employed",'Loan Tape (BoE)'!V46=3,"Unemployed",'Loan Tape (BoE)'!V46=4,"Retired"),"")</f>
        <v/>
      </c>
      <c r="X45" s="17">
        <f>IF(OR(V45="Self-Employed",W45="Self-Employed"),"Yes","No")</f>
        <v/>
      </c>
      <c r="Y45" s="17">
        <f>'Loan Tape (BoE)'!W46</f>
        <v/>
      </c>
      <c r="Z45" s="17">
        <f>'Loan Tape (BoE)'!X46</f>
        <v/>
      </c>
      <c r="AA45" s="17">
        <f>IF(T45=1,Y45,MIN(Y45,Z45))</f>
        <v/>
      </c>
      <c r="AB45" s="17">
        <f>'Loan Tape (BoE)'!Y46</f>
        <v/>
      </c>
      <c r="AC45" s="17">
        <f>'Loan Tape (BoE)'!Z46</f>
        <v/>
      </c>
      <c r="AD45" s="17">
        <f>AB45+AC45</f>
        <v/>
      </c>
      <c r="AE45" s="18">
        <f>'Loan Tape (BoE)'!AA46</f>
        <v/>
      </c>
      <c r="AF45" s="18">
        <f>'Loan Tape (BoE)'!AB46</f>
        <v/>
      </c>
      <c r="AG45" s="18">
        <f>AE45+AF45</f>
        <v/>
      </c>
      <c r="AH45" s="19">
        <f>MAX('Loan Tape (BoE)'!AC46,'Loan Tape (BoE)'!AD46)</f>
        <v/>
      </c>
      <c r="AI45" s="18">
        <f>'Loan Tape (BoE)'!AE46</f>
        <v/>
      </c>
      <c r="AJ45" s="18">
        <f>B45*H45/12</f>
        <v/>
      </c>
      <c r="AK45" s="21">
        <f>IF(AJ45&gt;0,AI45/AJ45,0)</f>
        <v/>
      </c>
      <c r="AL45" s="17">
        <f>IF('Loan Tape (BoE)'!AF46=1,"Yes","No")</f>
        <v/>
      </c>
      <c r="AM45" s="17">
        <f>IF('Loan Tape (BoE)'!AH46=1,"Yes","No")</f>
        <v/>
      </c>
      <c r="AN45" s="17">
        <f>IF('Loan Tape (BoE)'!AI46=1,"Yes","No")</f>
        <v/>
      </c>
      <c r="AO45" s="17">
        <f>IF('Loan Tape (BoE)'!AJ46=1,"Yes","No")</f>
        <v/>
      </c>
      <c r="AP45" s="17">
        <f>IF(OR('Loan Tape (BoE)'!AQ45=1,'Loan Tape (BoE)'!AQ45=2),"Yes",IF('Loan Tape (BoE)'!AQ45=0,"No",""))</f>
        <v/>
      </c>
      <c r="AQ45" s="17">
        <f>IF('Loan Tape (BoE)'!BV49_445&lt;&gt;"",'Loan Tape (BoE)'!BV49_45,"")</f>
        <v/>
      </c>
      <c r="AR45" s="17">
        <f>IF('Loan Tape (BoE)'!BV450_45&lt;&gt;"",'Loan Tape (BoE)'!BV50_45,"")</f>
        <v/>
      </c>
      <c r="AS45" s="17">
        <f>IFERROR(INDEX('FF Adj Parameters'!$A$103:$B$1045,MATCH('Loan Tape (BoE)'!P45,INDEX('FF Adj Parameters'!$A$103:$B$1045,,1),0),2),"Unknown")</f>
        <v/>
      </c>
      <c r="AT45" s="17">
        <f>IF(N45="Interest Only",M5*O5/12,IF(AND(O5&gt;0,ISNUMBER(O5),ISNUMBER(M5)),ABS(PMT(O5/12,AU5,-M5)),0))</f>
        <v/>
      </c>
      <c r="AU45" s="17">
        <f>IF(ISNUMBER(L45),MAX(0,(L5-'Control Panel'!$B$10)*12/365.25),0)</f>
        <v/>
      </c>
      <c r="AV45" s="17">
        <f>IF(ISNUMBER(L45),IF(L5&gt;'Control Panel'!$B$10,"Valid","Past Maturity"),"No Date")</f>
        <v/>
      </c>
      <c r="AW45" s="17">
        <f>IF(ISNUMBER(K45),MAX(0,('Control Panel'!$B$10-K5)*12/365.25),0)</f>
        <v/>
      </c>
    </row>
    <row r="46">
      <c r="A46" s="17">
        <f>'Loan Tape (BoE)'!A47</f>
        <v/>
      </c>
      <c r="B46" s="18">
        <f>IFERROR(INDEX('FF Adj Parameters'!$A$89:$B$92,MATCH('Loan Tape (BoE)'!C46,INDEX('FF Adj Parameters'!$A$89:$B$92,,1),0),2),"Unknown")</f>
        <v/>
      </c>
      <c r="C46" s="18">
        <f>'Loan Tape (BoE)'!C47</f>
        <v/>
      </c>
      <c r="D46" s="18">
        <f>'Loan Tape (BoE)'!D47</f>
        <v/>
      </c>
      <c r="E46" s="18">
        <f>'Loan Tape (BoE)'!E47</f>
        <v/>
      </c>
      <c r="F46" s="19">
        <f>'Loan Tape (BoE)'!F47</f>
        <v/>
      </c>
      <c r="G46" s="19">
        <f>'Loan Tape (BoE)'!G47</f>
        <v/>
      </c>
      <c r="H46" s="20">
        <f>'Loan Tape (BoE)'!H47/100</f>
        <v/>
      </c>
      <c r="I46" s="17">
        <f>IFERROR(IFS('Loan Tape (BoE)'!I47=1,"House",'Loan Tape (BoE)'!I47=2,"Flat",'Loan Tape (BoE)'!I47=3,"Bungalow",'Loan Tape (BoE)'!I47=4,"Maisonette"),"")</f>
        <v/>
      </c>
      <c r="J46" s="17">
        <f>'Loan Tape (BoE)'!J47</f>
        <v/>
      </c>
      <c r="K46" s="17">
        <f>'Loan Tape (BoE)'!K47</f>
        <v/>
      </c>
      <c r="L46" s="17">
        <f>IFERROR(IFS('Loan Tape (BoE)'!L47=1,"Owner Occupied",'Loan Tape (BoE)'!L47=2,"BTL",'Loan Tape (BoE)'!L47=3,"Second Home",'Loan Tape (BoE)'!L47=4,"Investment"),"")</f>
        <v/>
      </c>
      <c r="M46" s="17">
        <f>IFERROR(IFS('Loan Tape (BoE)'!M47=1,"Purchase",'Loan Tape (BoE)'!M47=2,"Remortgage",OR('Loan Tape (BoE)'!M47=3,'Loan Tape (BoE)'!M47=4),"Cash-out"),"")</f>
        <v/>
      </c>
      <c r="N46" s="17">
        <f>IFERROR(INDEX('FF Adj Parameters'!$A$96:$B$99,MATCH('Loan Tape (BoE)'!R46,INDEX('FF Adj Parameters'!$A$96:$B$99,,1),0),2),"Unknown")</f>
        <v/>
      </c>
      <c r="O46" s="17">
        <f>IF('Loan Tape (BoE)'!O47=1,"Yes","No")</f>
        <v/>
      </c>
      <c r="P46" s="17">
        <f>IF('Loan Tape (BoE)'!P46=1,"Yes",IF('Loan Tape (BoE)'!P46=0,"No",""))</f>
        <v/>
      </c>
      <c r="Q46" s="17">
        <f>IF('Loan Tape (BoE)'!Q46=1,"Yes",IF('Loan Tape (BoE)'!Q46=0,"No",""))</f>
        <v/>
      </c>
      <c r="R46" s="18">
        <f>IF('Loan Tape (BoE)'!R46=1,"Yes",IF('Loan Tape (BoE)'!R46=0,"No",""))</f>
        <v/>
      </c>
      <c r="S46" s="18">
        <f>IF('Loan Tape (BoE)'!S46=1,"Yes",IF('Loan Tape (BoE)'!S46=0,"No",""))</f>
        <v/>
      </c>
      <c r="T46" s="17">
        <f>IF('Loan Tape (BoE)'!T46=1,"Yes",IF('Loan Tape (BoE)'!T46=0,"No",""))</f>
        <v/>
      </c>
      <c r="U46" s="18">
        <f>R46+S46</f>
        <v/>
      </c>
      <c r="V46" s="17">
        <f>IFERROR(IFS('Loan Tape (BoE)'!U47=1,"Employed",'Loan Tape (BoE)'!U47=2,"Self-Employed",'Loan Tape (BoE)'!U47=3,"Unemployed",'Loan Tape (BoE)'!U47=4,"Retired"),"")</f>
        <v/>
      </c>
      <c r="W46" s="17">
        <f>IFERROR(IFS('Loan Tape (BoE)'!V47=1,"Employed",'Loan Tape (BoE)'!V47=2,"Self-Employed",'Loan Tape (BoE)'!V47=3,"Unemployed",'Loan Tape (BoE)'!V47=4,"Retired"),"")</f>
        <v/>
      </c>
      <c r="X46" s="17">
        <f>IF(OR(V46="Self-Employed",W46="Self-Employed"),"Yes","No")</f>
        <v/>
      </c>
      <c r="Y46" s="17">
        <f>'Loan Tape (BoE)'!W47</f>
        <v/>
      </c>
      <c r="Z46" s="17">
        <f>'Loan Tape (BoE)'!X47</f>
        <v/>
      </c>
      <c r="AA46" s="17">
        <f>IF(T46=1,Y46,MIN(Y46,Z46))</f>
        <v/>
      </c>
      <c r="AB46" s="17">
        <f>'Loan Tape (BoE)'!Y47</f>
        <v/>
      </c>
      <c r="AC46" s="17">
        <f>'Loan Tape (BoE)'!Z47</f>
        <v/>
      </c>
      <c r="AD46" s="17">
        <f>AB46+AC46</f>
        <v/>
      </c>
      <c r="AE46" s="18">
        <f>'Loan Tape (BoE)'!AA47</f>
        <v/>
      </c>
      <c r="AF46" s="18">
        <f>'Loan Tape (BoE)'!AB47</f>
        <v/>
      </c>
      <c r="AG46" s="18">
        <f>AE46+AF46</f>
        <v/>
      </c>
      <c r="AH46" s="19">
        <f>MAX('Loan Tape (BoE)'!AC47,'Loan Tape (BoE)'!AD47)</f>
        <v/>
      </c>
      <c r="AI46" s="18">
        <f>'Loan Tape (BoE)'!AE47</f>
        <v/>
      </c>
      <c r="AJ46" s="18">
        <f>B46*H46/12</f>
        <v/>
      </c>
      <c r="AK46" s="21">
        <f>IF(AJ46&gt;0,AI46/AJ46,0)</f>
        <v/>
      </c>
      <c r="AL46" s="17">
        <f>IF('Loan Tape (BoE)'!AF47=1,"Yes","No")</f>
        <v/>
      </c>
      <c r="AM46" s="17">
        <f>IF('Loan Tape (BoE)'!AH47=1,"Yes","No")</f>
        <v/>
      </c>
      <c r="AN46" s="17">
        <f>IF('Loan Tape (BoE)'!AI47=1,"Yes","No")</f>
        <v/>
      </c>
      <c r="AO46" s="17">
        <f>IF('Loan Tape (BoE)'!AJ47=1,"Yes","No")</f>
        <v/>
      </c>
      <c r="AP46" s="17">
        <f>IF(OR('Loan Tape (BoE)'!AQ46=1,'Loan Tape (BoE)'!AQ46=2),"Yes",IF('Loan Tape (BoE)'!AQ46=0,"No",""))</f>
        <v/>
      </c>
      <c r="AQ46" s="17">
        <f>IF('Loan Tape (BoE)'!BV49_46&lt;&gt;"",'Loan Tape (BoE)'!BV49_46,"")</f>
        <v/>
      </c>
      <c r="AR46" s="17">
        <f>IF('Loan Tape (BoE)'!BV460_46&lt;&gt;"",'Loan Tape (BoE)'!BV50_46,"")</f>
        <v/>
      </c>
      <c r="AS46" s="17">
        <f>IFERROR(INDEX('FF Adj Parameters'!$A$103:$B$1046,MATCH('Loan Tape (BoE)'!P46,INDEX('FF Adj Parameters'!$A$103:$B$1046,,1),0),2),"Unknown")</f>
        <v/>
      </c>
      <c r="AT46" s="17">
        <f>IF(N46="Interest Only",M5*O5/12,IF(AND(O5&gt;0,ISNUMBER(O5),ISNUMBER(M5)),ABS(PMT(O5/12,AU5,-M5)),0))</f>
        <v/>
      </c>
      <c r="AU46" s="17">
        <f>IF(ISNUMBER(L46),MAX(0,(L5-'Control Panel'!$B$10)*12/365.25),0)</f>
        <v/>
      </c>
      <c r="AV46" s="17">
        <f>IF(ISNUMBER(L46),IF(L5&gt;'Control Panel'!$B$10,"Valid","Past Maturity"),"No Date")</f>
        <v/>
      </c>
      <c r="AW46" s="17">
        <f>IF(ISNUMBER(K46),MAX(0,('Control Panel'!$B$10-K5)*12/365.25),0)</f>
        <v/>
      </c>
    </row>
    <row r="47">
      <c r="A47" s="17">
        <f>'Loan Tape (BoE)'!A48</f>
        <v/>
      </c>
      <c r="B47" s="18">
        <f>IFERROR(INDEX('FF Adj Parameters'!$A$89:$B$92,MATCH('Loan Tape (BoE)'!C47,INDEX('FF Adj Parameters'!$A$89:$B$92,,1),0),2),"Unknown")</f>
        <v/>
      </c>
      <c r="C47" s="18">
        <f>'Loan Tape (BoE)'!C48</f>
        <v/>
      </c>
      <c r="D47" s="18">
        <f>'Loan Tape (BoE)'!D48</f>
        <v/>
      </c>
      <c r="E47" s="18">
        <f>'Loan Tape (BoE)'!E48</f>
        <v/>
      </c>
      <c r="F47" s="19">
        <f>'Loan Tape (BoE)'!F48</f>
        <v/>
      </c>
      <c r="G47" s="19">
        <f>'Loan Tape (BoE)'!G48</f>
        <v/>
      </c>
      <c r="H47" s="20">
        <f>'Loan Tape (BoE)'!H48/100</f>
        <v/>
      </c>
      <c r="I47" s="17">
        <f>IFERROR(IFS('Loan Tape (BoE)'!I48=1,"House",'Loan Tape (BoE)'!I48=2,"Flat",'Loan Tape (BoE)'!I48=3,"Bungalow",'Loan Tape (BoE)'!I48=4,"Maisonette"),"")</f>
        <v/>
      </c>
      <c r="J47" s="17">
        <f>'Loan Tape (BoE)'!J48</f>
        <v/>
      </c>
      <c r="K47" s="17">
        <f>'Loan Tape (BoE)'!K48</f>
        <v/>
      </c>
      <c r="L47" s="17">
        <f>IFERROR(IFS('Loan Tape (BoE)'!L48=1,"Owner Occupied",'Loan Tape (BoE)'!L48=2,"BTL",'Loan Tape (BoE)'!L48=3,"Second Home",'Loan Tape (BoE)'!L48=4,"Investment"),"")</f>
        <v/>
      </c>
      <c r="M47" s="17">
        <f>IFERROR(IFS('Loan Tape (BoE)'!M48=1,"Purchase",'Loan Tape (BoE)'!M48=2,"Remortgage",OR('Loan Tape (BoE)'!M48=3,'Loan Tape (BoE)'!M48=4),"Cash-out"),"")</f>
        <v/>
      </c>
      <c r="N47" s="17">
        <f>IFERROR(INDEX('FF Adj Parameters'!$A$96:$B$99,MATCH('Loan Tape (BoE)'!R47,INDEX('FF Adj Parameters'!$A$96:$B$99,,1),0),2),"Unknown")</f>
        <v/>
      </c>
      <c r="O47" s="17">
        <f>IF('Loan Tape (BoE)'!O48=1,"Yes","No")</f>
        <v/>
      </c>
      <c r="P47" s="17">
        <f>IF('Loan Tape (BoE)'!P47=1,"Yes",IF('Loan Tape (BoE)'!P47=0,"No",""))</f>
        <v/>
      </c>
      <c r="Q47" s="17">
        <f>IF('Loan Tape (BoE)'!Q47=1,"Yes",IF('Loan Tape (BoE)'!Q47=0,"No",""))</f>
        <v/>
      </c>
      <c r="R47" s="18">
        <f>IF('Loan Tape (BoE)'!R47=1,"Yes",IF('Loan Tape (BoE)'!R47=0,"No",""))</f>
        <v/>
      </c>
      <c r="S47" s="18">
        <f>IF('Loan Tape (BoE)'!S47=1,"Yes",IF('Loan Tape (BoE)'!S47=0,"No",""))</f>
        <v/>
      </c>
      <c r="T47" s="17">
        <f>IF('Loan Tape (BoE)'!T47=1,"Yes",IF('Loan Tape (BoE)'!T47=0,"No",""))</f>
        <v/>
      </c>
      <c r="U47" s="18">
        <f>R47+S47</f>
        <v/>
      </c>
      <c r="V47" s="17">
        <f>IFERROR(IFS('Loan Tape (BoE)'!U48=1,"Employed",'Loan Tape (BoE)'!U48=2,"Self-Employed",'Loan Tape (BoE)'!U48=3,"Unemployed",'Loan Tape (BoE)'!U48=4,"Retired"),"")</f>
        <v/>
      </c>
      <c r="W47" s="17">
        <f>IFERROR(IFS('Loan Tape (BoE)'!V48=1,"Employed",'Loan Tape (BoE)'!V48=2,"Self-Employed",'Loan Tape (BoE)'!V48=3,"Unemployed",'Loan Tape (BoE)'!V48=4,"Retired"),"")</f>
        <v/>
      </c>
      <c r="X47" s="17">
        <f>IF(OR(V47="Self-Employed",W47="Self-Employed"),"Yes","No")</f>
        <v/>
      </c>
      <c r="Y47" s="17">
        <f>'Loan Tape (BoE)'!W48</f>
        <v/>
      </c>
      <c r="Z47" s="17">
        <f>'Loan Tape (BoE)'!X48</f>
        <v/>
      </c>
      <c r="AA47" s="17">
        <f>IF(T47=1,Y47,MIN(Y47,Z47))</f>
        <v/>
      </c>
      <c r="AB47" s="17">
        <f>'Loan Tape (BoE)'!Y48</f>
        <v/>
      </c>
      <c r="AC47" s="17">
        <f>'Loan Tape (BoE)'!Z48</f>
        <v/>
      </c>
      <c r="AD47" s="17">
        <f>AB47+AC47</f>
        <v/>
      </c>
      <c r="AE47" s="18">
        <f>'Loan Tape (BoE)'!AA48</f>
        <v/>
      </c>
      <c r="AF47" s="18">
        <f>'Loan Tape (BoE)'!AB48</f>
        <v/>
      </c>
      <c r="AG47" s="18">
        <f>AE47+AF47</f>
        <v/>
      </c>
      <c r="AH47" s="19">
        <f>MAX('Loan Tape (BoE)'!AC48,'Loan Tape (BoE)'!AD48)</f>
        <v/>
      </c>
      <c r="AI47" s="18">
        <f>'Loan Tape (BoE)'!AE48</f>
        <v/>
      </c>
      <c r="AJ47" s="18">
        <f>B47*H47/12</f>
        <v/>
      </c>
      <c r="AK47" s="21">
        <f>IF(AJ47&gt;0,AI47/AJ47,0)</f>
        <v/>
      </c>
      <c r="AL47" s="17">
        <f>IF('Loan Tape (BoE)'!AF48=1,"Yes","No")</f>
        <v/>
      </c>
      <c r="AM47" s="17">
        <f>IF('Loan Tape (BoE)'!AH48=1,"Yes","No")</f>
        <v/>
      </c>
      <c r="AN47" s="17">
        <f>IF('Loan Tape (BoE)'!AI48=1,"Yes","No")</f>
        <v/>
      </c>
      <c r="AO47" s="17">
        <f>IF('Loan Tape (BoE)'!AJ48=1,"Yes","No")</f>
        <v/>
      </c>
      <c r="AP47" s="17">
        <f>IF(OR('Loan Tape (BoE)'!AQ47=1,'Loan Tape (BoE)'!AQ47=2),"Yes",IF('Loan Tape (BoE)'!AQ47=0,"No",""))</f>
        <v/>
      </c>
      <c r="AQ47" s="17">
        <f>IF('Loan Tape (BoE)'!BV49_47&lt;&gt;"",'Loan Tape (BoE)'!BV49_47,"")</f>
        <v/>
      </c>
      <c r="AR47" s="17">
        <f>IF('Loan Tape (BoE)'!BV470_47&lt;&gt;"",'Loan Tape (BoE)'!BV50_47,"")</f>
        <v/>
      </c>
      <c r="AS47" s="17">
        <f>IFERROR(INDEX('FF Adj Parameters'!$A$103:$B$1047,MATCH('Loan Tape (BoE)'!P47,INDEX('FF Adj Parameters'!$A$103:$B$1047,,1),0),2),"Unknown")</f>
        <v/>
      </c>
      <c r="AT47" s="17">
        <f>IF(N47="Interest Only",M5*O5/12,IF(AND(O5&gt;0,ISNUMBER(O5),ISNUMBER(M5)),ABS(PMT(O5/12,AU5,-M5)),0))</f>
        <v/>
      </c>
      <c r="AU47" s="17">
        <f>IF(ISNUMBER(L47),MAX(0,(L5-'Control Panel'!$B$10)*12/365.25),0)</f>
        <v/>
      </c>
      <c r="AV47" s="17">
        <f>IF(ISNUMBER(L47),IF(L5&gt;'Control Panel'!$B$10,"Valid","Past Maturity"),"No Date")</f>
        <v/>
      </c>
      <c r="AW47" s="17">
        <f>IF(ISNUMBER(K47),MAX(0,('Control Panel'!$B$10-K5)*12/365.25),0)</f>
        <v/>
      </c>
    </row>
    <row r="48">
      <c r="A48" s="17">
        <f>'Loan Tape (BoE)'!A49</f>
        <v/>
      </c>
      <c r="B48" s="18">
        <f>IFERROR(INDEX('FF Adj Parameters'!$A$89:$B$92,MATCH('Loan Tape (BoE)'!C48,INDEX('FF Adj Parameters'!$A$89:$B$92,,1),0),2),"Unknown")</f>
        <v/>
      </c>
      <c r="C48" s="18">
        <f>'Loan Tape (BoE)'!C49</f>
        <v/>
      </c>
      <c r="D48" s="18">
        <f>'Loan Tape (BoE)'!D49</f>
        <v/>
      </c>
      <c r="E48" s="18">
        <f>'Loan Tape (BoE)'!E49</f>
        <v/>
      </c>
      <c r="F48" s="19">
        <f>'Loan Tape (BoE)'!F49</f>
        <v/>
      </c>
      <c r="G48" s="19">
        <f>'Loan Tape (BoE)'!G49</f>
        <v/>
      </c>
      <c r="H48" s="20">
        <f>'Loan Tape (BoE)'!H49/100</f>
        <v/>
      </c>
      <c r="I48" s="17">
        <f>IFERROR(IFS('Loan Tape (BoE)'!I49=1,"House",'Loan Tape (BoE)'!I49=2,"Flat",'Loan Tape (BoE)'!I49=3,"Bungalow",'Loan Tape (BoE)'!I49=4,"Maisonette"),"")</f>
        <v/>
      </c>
      <c r="J48" s="17">
        <f>'Loan Tape (BoE)'!J49</f>
        <v/>
      </c>
      <c r="K48" s="17">
        <f>'Loan Tape (BoE)'!K49</f>
        <v/>
      </c>
      <c r="L48" s="17">
        <f>IFERROR(IFS('Loan Tape (BoE)'!L49=1,"Owner Occupied",'Loan Tape (BoE)'!L49=2,"BTL",'Loan Tape (BoE)'!L49=3,"Second Home",'Loan Tape (BoE)'!L49=4,"Investment"),"")</f>
        <v/>
      </c>
      <c r="M48" s="17">
        <f>IFERROR(IFS('Loan Tape (BoE)'!M49=1,"Purchase",'Loan Tape (BoE)'!M49=2,"Remortgage",OR('Loan Tape (BoE)'!M49=3,'Loan Tape (BoE)'!M49=4),"Cash-out"),"")</f>
        <v/>
      </c>
      <c r="N48" s="17">
        <f>IFERROR(INDEX('FF Adj Parameters'!$A$96:$B$99,MATCH('Loan Tape (BoE)'!R48,INDEX('FF Adj Parameters'!$A$96:$B$99,,1),0),2),"Unknown")</f>
        <v/>
      </c>
      <c r="O48" s="17">
        <f>IF('Loan Tape (BoE)'!O49=1,"Yes","No")</f>
        <v/>
      </c>
      <c r="P48" s="17">
        <f>IF('Loan Tape (BoE)'!P48=1,"Yes",IF('Loan Tape (BoE)'!P48=0,"No",""))</f>
        <v/>
      </c>
      <c r="Q48" s="17">
        <f>IF('Loan Tape (BoE)'!Q48=1,"Yes",IF('Loan Tape (BoE)'!Q48=0,"No",""))</f>
        <v/>
      </c>
      <c r="R48" s="18">
        <f>IF('Loan Tape (BoE)'!R48=1,"Yes",IF('Loan Tape (BoE)'!R48=0,"No",""))</f>
        <v/>
      </c>
      <c r="S48" s="18">
        <f>IF('Loan Tape (BoE)'!S48=1,"Yes",IF('Loan Tape (BoE)'!S48=0,"No",""))</f>
        <v/>
      </c>
      <c r="T48" s="17">
        <f>IF('Loan Tape (BoE)'!T48=1,"Yes",IF('Loan Tape (BoE)'!T48=0,"No",""))</f>
        <v/>
      </c>
      <c r="U48" s="18">
        <f>R48+S48</f>
        <v/>
      </c>
      <c r="V48" s="17">
        <f>IFERROR(IFS('Loan Tape (BoE)'!U49=1,"Employed",'Loan Tape (BoE)'!U49=2,"Self-Employed",'Loan Tape (BoE)'!U49=3,"Unemployed",'Loan Tape (BoE)'!U49=4,"Retired"),"")</f>
        <v/>
      </c>
      <c r="W48" s="17">
        <f>IFERROR(IFS('Loan Tape (BoE)'!V49=1,"Employed",'Loan Tape (BoE)'!V49=2,"Self-Employed",'Loan Tape (BoE)'!V49=3,"Unemployed",'Loan Tape (BoE)'!V49=4,"Retired"),"")</f>
        <v/>
      </c>
      <c r="X48" s="17">
        <f>IF(OR(V48="Self-Employed",W48="Self-Employed"),"Yes","No")</f>
        <v/>
      </c>
      <c r="Y48" s="17">
        <f>'Loan Tape (BoE)'!W49</f>
        <v/>
      </c>
      <c r="Z48" s="17">
        <f>'Loan Tape (BoE)'!X49</f>
        <v/>
      </c>
      <c r="AA48" s="17">
        <f>IF(T48=1,Y48,MIN(Y48,Z48))</f>
        <v/>
      </c>
      <c r="AB48" s="17">
        <f>'Loan Tape (BoE)'!Y49</f>
        <v/>
      </c>
      <c r="AC48" s="17">
        <f>'Loan Tape (BoE)'!Z49</f>
        <v/>
      </c>
      <c r="AD48" s="17">
        <f>AB48+AC48</f>
        <v/>
      </c>
      <c r="AE48" s="18">
        <f>'Loan Tape (BoE)'!AA49</f>
        <v/>
      </c>
      <c r="AF48" s="18">
        <f>'Loan Tape (BoE)'!AB49</f>
        <v/>
      </c>
      <c r="AG48" s="18">
        <f>AE48+AF48</f>
        <v/>
      </c>
      <c r="AH48" s="19">
        <f>MAX('Loan Tape (BoE)'!AC49,'Loan Tape (BoE)'!AD49)</f>
        <v/>
      </c>
      <c r="AI48" s="18">
        <f>'Loan Tape (BoE)'!AE49</f>
        <v/>
      </c>
      <c r="AJ48" s="18">
        <f>B48*H48/12</f>
        <v/>
      </c>
      <c r="AK48" s="21">
        <f>IF(AJ48&gt;0,AI48/AJ48,0)</f>
        <v/>
      </c>
      <c r="AL48" s="17">
        <f>IF('Loan Tape (BoE)'!AF49=1,"Yes","No")</f>
        <v/>
      </c>
      <c r="AM48" s="17">
        <f>IF('Loan Tape (BoE)'!AH49=1,"Yes","No")</f>
        <v/>
      </c>
      <c r="AN48" s="17">
        <f>IF('Loan Tape (BoE)'!AI49=1,"Yes","No")</f>
        <v/>
      </c>
      <c r="AO48" s="17">
        <f>IF('Loan Tape (BoE)'!AJ49=1,"Yes","No")</f>
        <v/>
      </c>
      <c r="AP48" s="17">
        <f>IF(OR('Loan Tape (BoE)'!AQ48=1,'Loan Tape (BoE)'!AQ48=2),"Yes",IF('Loan Tape (BoE)'!AQ48=0,"No",""))</f>
        <v/>
      </c>
      <c r="AQ48" s="17">
        <f>IF('Loan Tape (BoE)'!BV49_48&lt;&gt;"",'Loan Tape (BoE)'!BV49_48,"")</f>
        <v/>
      </c>
      <c r="AR48" s="17">
        <f>IF('Loan Tape (BoE)'!BV480_48&lt;&gt;"",'Loan Tape (BoE)'!BV50_48,"")</f>
        <v/>
      </c>
      <c r="AS48" s="17">
        <f>IFERROR(INDEX('FF Adj Parameters'!$A$103:$B$1048,MATCH('Loan Tape (BoE)'!P48,INDEX('FF Adj Parameters'!$A$103:$B$1048,,1),0),2),"Unknown")</f>
        <v/>
      </c>
      <c r="AT48" s="17">
        <f>IF(N48="Interest Only",M5*O5/12,IF(AND(O5&gt;0,ISNUMBER(O5),ISNUMBER(M5)),ABS(PMT(O5/12,AU5,-M5)),0))</f>
        <v/>
      </c>
      <c r="AU48" s="17">
        <f>IF(ISNUMBER(L48),MAX(0,(L5-'Control Panel'!$B$10)*12/365.25),0)</f>
        <v/>
      </c>
      <c r="AV48" s="17">
        <f>IF(ISNUMBER(L48),IF(L5&gt;'Control Panel'!$B$10,"Valid","Past Maturity"),"No Date")</f>
        <v/>
      </c>
      <c r="AW48" s="17">
        <f>IF(ISNUMBER(K48),MAX(0,('Control Panel'!$B$10-K5)*12/365.25),0)</f>
        <v/>
      </c>
    </row>
    <row r="49">
      <c r="A49" s="17">
        <f>'Loan Tape (BoE)'!A50</f>
        <v/>
      </c>
      <c r="B49" s="18">
        <f>IFERROR(INDEX('FF Adj Parameters'!$A$89:$B$92,MATCH('Loan Tape (BoE)'!C49,INDEX('FF Adj Parameters'!$A$89:$B$92,,1),0),2),"Unknown")</f>
        <v/>
      </c>
      <c r="C49" s="18">
        <f>'Loan Tape (BoE)'!C50</f>
        <v/>
      </c>
      <c r="D49" s="18">
        <f>'Loan Tape (BoE)'!D50</f>
        <v/>
      </c>
      <c r="E49" s="18">
        <f>'Loan Tape (BoE)'!E50</f>
        <v/>
      </c>
      <c r="F49" s="19">
        <f>'Loan Tape (BoE)'!F50</f>
        <v/>
      </c>
      <c r="G49" s="19">
        <f>'Loan Tape (BoE)'!G50</f>
        <v/>
      </c>
      <c r="H49" s="20">
        <f>'Loan Tape (BoE)'!H50/100</f>
        <v/>
      </c>
      <c r="I49" s="17">
        <f>IFERROR(IFS('Loan Tape (BoE)'!I50=1,"House",'Loan Tape (BoE)'!I50=2,"Flat",'Loan Tape (BoE)'!I50=3,"Bungalow",'Loan Tape (BoE)'!I50=4,"Maisonette"),"")</f>
        <v/>
      </c>
      <c r="J49" s="17">
        <f>'Loan Tape (BoE)'!J50</f>
        <v/>
      </c>
      <c r="K49" s="17">
        <f>'Loan Tape (BoE)'!K50</f>
        <v/>
      </c>
      <c r="L49" s="17">
        <f>IFERROR(IFS('Loan Tape (BoE)'!L50=1,"Owner Occupied",'Loan Tape (BoE)'!L50=2,"BTL",'Loan Tape (BoE)'!L50=3,"Second Home",'Loan Tape (BoE)'!L50=4,"Investment"),"")</f>
        <v/>
      </c>
      <c r="M49" s="17">
        <f>IFERROR(IFS('Loan Tape (BoE)'!M50=1,"Purchase",'Loan Tape (BoE)'!M50=2,"Remortgage",OR('Loan Tape (BoE)'!M50=3,'Loan Tape (BoE)'!M50=4),"Cash-out"),"")</f>
        <v/>
      </c>
      <c r="N49" s="17">
        <f>IFERROR(INDEX('FF Adj Parameters'!$A$96:$B$99,MATCH('Loan Tape (BoE)'!R49,INDEX('FF Adj Parameters'!$A$96:$B$99,,1),0),2),"Unknown")</f>
        <v/>
      </c>
      <c r="O49" s="17">
        <f>IF('Loan Tape (BoE)'!O50=1,"Yes","No")</f>
        <v/>
      </c>
      <c r="P49" s="17">
        <f>IF('Loan Tape (BoE)'!P49=1,"Yes",IF('Loan Tape (BoE)'!P49=0,"No",""))</f>
        <v/>
      </c>
      <c r="Q49" s="17">
        <f>IF('Loan Tape (BoE)'!Q49=1,"Yes",IF('Loan Tape (BoE)'!Q49=0,"No",""))</f>
        <v/>
      </c>
      <c r="R49" s="18">
        <f>IF('Loan Tape (BoE)'!R49=1,"Yes",IF('Loan Tape (BoE)'!R49=0,"No",""))</f>
        <v/>
      </c>
      <c r="S49" s="18">
        <f>IF('Loan Tape (BoE)'!S49=1,"Yes",IF('Loan Tape (BoE)'!S49=0,"No",""))</f>
        <v/>
      </c>
      <c r="T49" s="17">
        <f>IF('Loan Tape (BoE)'!T49=1,"Yes",IF('Loan Tape (BoE)'!T49=0,"No",""))</f>
        <v/>
      </c>
      <c r="U49" s="18">
        <f>R49+S49</f>
        <v/>
      </c>
      <c r="V49" s="17">
        <f>IFERROR(IFS('Loan Tape (BoE)'!U50=1,"Employed",'Loan Tape (BoE)'!U50=2,"Self-Employed",'Loan Tape (BoE)'!U50=3,"Unemployed",'Loan Tape (BoE)'!U50=4,"Retired"),"")</f>
        <v/>
      </c>
      <c r="W49" s="17">
        <f>IFERROR(IFS('Loan Tape (BoE)'!V50=1,"Employed",'Loan Tape (BoE)'!V50=2,"Self-Employed",'Loan Tape (BoE)'!V50=3,"Unemployed",'Loan Tape (BoE)'!V50=4,"Retired"),"")</f>
        <v/>
      </c>
      <c r="X49" s="17">
        <f>IF(OR(V49="Self-Employed",W49="Self-Employed"),"Yes","No")</f>
        <v/>
      </c>
      <c r="Y49" s="17">
        <f>'Loan Tape (BoE)'!W50</f>
        <v/>
      </c>
      <c r="Z49" s="17">
        <f>'Loan Tape (BoE)'!X50</f>
        <v/>
      </c>
      <c r="AA49" s="17">
        <f>IF(T49=1,Y49,MIN(Y49,Z49))</f>
        <v/>
      </c>
      <c r="AB49" s="17">
        <f>'Loan Tape (BoE)'!Y50</f>
        <v/>
      </c>
      <c r="AC49" s="17">
        <f>'Loan Tape (BoE)'!Z50</f>
        <v/>
      </c>
      <c r="AD49" s="17">
        <f>AB49+AC49</f>
        <v/>
      </c>
      <c r="AE49" s="18">
        <f>'Loan Tape (BoE)'!AA50</f>
        <v/>
      </c>
      <c r="AF49" s="18">
        <f>'Loan Tape (BoE)'!AB50</f>
        <v/>
      </c>
      <c r="AG49" s="18">
        <f>AE49+AF49</f>
        <v/>
      </c>
      <c r="AH49" s="19">
        <f>MAX('Loan Tape (BoE)'!AC50,'Loan Tape (BoE)'!AD50)</f>
        <v/>
      </c>
      <c r="AI49" s="18">
        <f>'Loan Tape (BoE)'!AE50</f>
        <v/>
      </c>
      <c r="AJ49" s="18">
        <f>B49*H49/12</f>
        <v/>
      </c>
      <c r="AK49" s="21">
        <f>IF(AJ49&gt;0,AI49/AJ49,0)</f>
        <v/>
      </c>
      <c r="AL49" s="17">
        <f>IF('Loan Tape (BoE)'!AF50=1,"Yes","No")</f>
        <v/>
      </c>
      <c r="AM49" s="17">
        <f>IF('Loan Tape (BoE)'!AH50=1,"Yes","No")</f>
        <v/>
      </c>
      <c r="AN49" s="17">
        <f>IF('Loan Tape (BoE)'!AI50=1,"Yes","No")</f>
        <v/>
      </c>
      <c r="AO49" s="17">
        <f>IF('Loan Tape (BoE)'!AJ50=1,"Yes","No")</f>
        <v/>
      </c>
      <c r="AP49" s="17">
        <f>IF(OR('Loan Tape (BoE)'!AQ49=1,'Loan Tape (BoE)'!AQ49=2),"Yes",IF('Loan Tape (BoE)'!AQ49=0,"No",""))</f>
        <v/>
      </c>
      <c r="AQ49" s="17">
        <f>IF('Loan Tape (BoE)'!BV49_49&lt;&gt;"",'Loan Tape (BoE)'!BV49_49,"")</f>
        <v/>
      </c>
      <c r="AR49" s="17">
        <f>IF('Loan Tape (BoE)'!BV490_49&lt;&gt;"",'Loan Tape (BoE)'!BV50_49,"")</f>
        <v/>
      </c>
      <c r="AS49" s="17">
        <f>IFERROR(INDEX('FF Adj Parameters'!$A$103:$B$1049,MATCH('Loan Tape (BoE)'!P49,INDEX('FF Adj Parameters'!$A$103:$B$1049,,1),0),2),"Unknown")</f>
        <v/>
      </c>
      <c r="AT49" s="17">
        <f>IF(N49="Interest Only",M5*O5/12,IF(AND(O5&gt;0,ISNUMBER(O5),ISNUMBER(M5)),ABS(PMT(O5/12,AU5,-M5)),0))</f>
        <v/>
      </c>
      <c r="AU49" s="17">
        <f>IF(ISNUMBER(L49),MAX(0,(L5-'Control Panel'!$B$10)*12/365.25),0)</f>
        <v/>
      </c>
      <c r="AV49" s="17">
        <f>IF(ISNUMBER(L49),IF(L5&gt;'Control Panel'!$B$10,"Valid","Past Maturity"),"No Date")</f>
        <v/>
      </c>
      <c r="AW49" s="17">
        <f>IF(ISNUMBER(K49),MAX(0,('Control Panel'!$B$10-K5)*12/365.25),0)</f>
        <v/>
      </c>
    </row>
    <row r="50">
      <c r="A50" s="17">
        <f>'Loan Tape (BoE)'!A51</f>
        <v/>
      </c>
      <c r="B50" s="18">
        <f>IFERROR(INDEX('FF Adj Parameters'!$A$89:$B$92,MATCH('Loan Tape (BoE)'!C50,INDEX('FF Adj Parameters'!$A$89:$B$92,,1),0),2),"Unknown")</f>
        <v/>
      </c>
      <c r="C50" s="18">
        <f>'Loan Tape (BoE)'!C51</f>
        <v/>
      </c>
      <c r="D50" s="18">
        <f>'Loan Tape (BoE)'!D51</f>
        <v/>
      </c>
      <c r="E50" s="18">
        <f>'Loan Tape (BoE)'!E51</f>
        <v/>
      </c>
      <c r="F50" s="19">
        <f>'Loan Tape (BoE)'!F51</f>
        <v/>
      </c>
      <c r="G50" s="19">
        <f>'Loan Tape (BoE)'!G51</f>
        <v/>
      </c>
      <c r="H50" s="20">
        <f>'Loan Tape (BoE)'!H51/100</f>
        <v/>
      </c>
      <c r="I50" s="17">
        <f>IFERROR(IFS('Loan Tape (BoE)'!I51=1,"House",'Loan Tape (BoE)'!I51=2,"Flat",'Loan Tape (BoE)'!I51=3,"Bungalow",'Loan Tape (BoE)'!I51=4,"Maisonette"),"")</f>
        <v/>
      </c>
      <c r="J50" s="17">
        <f>'Loan Tape (BoE)'!J51</f>
        <v/>
      </c>
      <c r="K50" s="17">
        <f>'Loan Tape (BoE)'!K51</f>
        <v/>
      </c>
      <c r="L50" s="17">
        <f>IFERROR(IFS('Loan Tape (BoE)'!L51=1,"Owner Occupied",'Loan Tape (BoE)'!L51=2,"BTL",'Loan Tape (BoE)'!L51=3,"Second Home",'Loan Tape (BoE)'!L51=4,"Investment"),"")</f>
        <v/>
      </c>
      <c r="M50" s="17">
        <f>IFERROR(IFS('Loan Tape (BoE)'!M51=1,"Purchase",'Loan Tape (BoE)'!M51=2,"Remortgage",OR('Loan Tape (BoE)'!M51=3,'Loan Tape (BoE)'!M51=4),"Cash-out"),"")</f>
        <v/>
      </c>
      <c r="N50" s="17">
        <f>IFERROR(INDEX('FF Adj Parameters'!$A$96:$B$99,MATCH('Loan Tape (BoE)'!R50,INDEX('FF Adj Parameters'!$A$96:$B$99,,1),0),2),"Unknown")</f>
        <v/>
      </c>
      <c r="O50" s="17">
        <f>IF('Loan Tape (BoE)'!O51=1,"Yes","No")</f>
        <v/>
      </c>
      <c r="P50" s="17">
        <f>IF('Loan Tape (BoE)'!P50=1,"Yes",IF('Loan Tape (BoE)'!P50=0,"No",""))</f>
        <v/>
      </c>
      <c r="Q50" s="17">
        <f>IF('Loan Tape (BoE)'!Q50=1,"Yes",IF('Loan Tape (BoE)'!Q50=0,"No",""))</f>
        <v/>
      </c>
      <c r="R50" s="18">
        <f>IF('Loan Tape (BoE)'!R50=1,"Yes",IF('Loan Tape (BoE)'!R50=0,"No",""))</f>
        <v/>
      </c>
      <c r="S50" s="18">
        <f>IF('Loan Tape (BoE)'!S50=1,"Yes",IF('Loan Tape (BoE)'!S50=0,"No",""))</f>
        <v/>
      </c>
      <c r="T50" s="17">
        <f>IF('Loan Tape (BoE)'!T50=1,"Yes",IF('Loan Tape (BoE)'!T50=0,"No",""))</f>
        <v/>
      </c>
      <c r="U50" s="18">
        <f>R50+S50</f>
        <v/>
      </c>
      <c r="V50" s="17">
        <f>IFERROR(IFS('Loan Tape (BoE)'!U51=1,"Employed",'Loan Tape (BoE)'!U51=2,"Self-Employed",'Loan Tape (BoE)'!U51=3,"Unemployed",'Loan Tape (BoE)'!U51=4,"Retired"),"")</f>
        <v/>
      </c>
      <c r="W50" s="17">
        <f>IFERROR(IFS('Loan Tape (BoE)'!V51=1,"Employed",'Loan Tape (BoE)'!V51=2,"Self-Employed",'Loan Tape (BoE)'!V51=3,"Unemployed",'Loan Tape (BoE)'!V51=4,"Retired"),"")</f>
        <v/>
      </c>
      <c r="X50" s="17">
        <f>IF(OR(V50="Self-Employed",W50="Self-Employed"),"Yes","No")</f>
        <v/>
      </c>
      <c r="Y50" s="17">
        <f>'Loan Tape (BoE)'!W51</f>
        <v/>
      </c>
      <c r="Z50" s="17">
        <f>'Loan Tape (BoE)'!X51</f>
        <v/>
      </c>
      <c r="AA50" s="17">
        <f>IF(T50=1,Y50,MIN(Y50,Z50))</f>
        <v/>
      </c>
      <c r="AB50" s="17">
        <f>'Loan Tape (BoE)'!Y51</f>
        <v/>
      </c>
      <c r="AC50" s="17">
        <f>'Loan Tape (BoE)'!Z51</f>
        <v/>
      </c>
      <c r="AD50" s="17">
        <f>AB50+AC50</f>
        <v/>
      </c>
      <c r="AE50" s="18">
        <f>'Loan Tape (BoE)'!AA51</f>
        <v/>
      </c>
      <c r="AF50" s="18">
        <f>'Loan Tape (BoE)'!AB51</f>
        <v/>
      </c>
      <c r="AG50" s="18">
        <f>AE50+AF50</f>
        <v/>
      </c>
      <c r="AH50" s="19">
        <f>MAX('Loan Tape (BoE)'!AC51,'Loan Tape (BoE)'!AD51)</f>
        <v/>
      </c>
      <c r="AI50" s="18">
        <f>'Loan Tape (BoE)'!AE51</f>
        <v/>
      </c>
      <c r="AJ50" s="18">
        <f>B50*H50/12</f>
        <v/>
      </c>
      <c r="AK50" s="21">
        <f>IF(AJ50&gt;0,AI50/AJ50,0)</f>
        <v/>
      </c>
      <c r="AL50" s="17">
        <f>IF('Loan Tape (BoE)'!AF51=1,"Yes","No")</f>
        <v/>
      </c>
      <c r="AM50" s="17">
        <f>IF('Loan Tape (BoE)'!AH51=1,"Yes","No")</f>
        <v/>
      </c>
      <c r="AN50" s="17">
        <f>IF('Loan Tape (BoE)'!AI51=1,"Yes","No")</f>
        <v/>
      </c>
      <c r="AO50" s="17">
        <f>IF('Loan Tape (BoE)'!AJ51=1,"Yes","No")</f>
        <v/>
      </c>
      <c r="AP50" s="17">
        <f>IF(OR('Loan Tape (BoE)'!AQ50=1,'Loan Tape (BoE)'!AQ50=2),"Yes",IF('Loan Tape (BoE)'!AQ50=0,"No",""))</f>
        <v/>
      </c>
      <c r="AQ50" s="17">
        <f>IF('Loan Tape (BoE)'!BV49_500&lt;&gt;"",'Loan Tape (BoE)'!BV49_50,"")</f>
        <v/>
      </c>
      <c r="AR50" s="17">
        <f>IF('Loan Tape (BoE)'!BV500_50&lt;&gt;"",'Loan Tape (BoE)'!BV50_50,"")</f>
        <v/>
      </c>
      <c r="AS50" s="17">
        <f>IFERROR(INDEX('FF Adj Parameters'!$A$103:$B$1050,MATCH('Loan Tape (BoE)'!P50,INDEX('FF Adj Parameters'!$A$103:$B$1050,,1),0),2),"Unknown")</f>
        <v/>
      </c>
      <c r="AT50" s="17">
        <f>IF(N50="Interest Only",M5*O5/12,IF(AND(O5&gt;0,ISNUMBER(O5),ISNUMBER(M5)),ABS(PMT(O5/12,AU5,-M5)),0))</f>
        <v/>
      </c>
      <c r="AU50" s="17">
        <f>IF(ISNUMBER(L50),MAX(0,(L5-'Control Panel'!$B$10)*12/365.25),0)</f>
        <v/>
      </c>
      <c r="AV50" s="17">
        <f>IF(ISNUMBER(L50),IF(L5&gt;'Control Panel'!$B$10,"Valid","Past Maturity"),"No Date")</f>
        <v/>
      </c>
      <c r="AW50" s="17">
        <f>IF(ISNUMBER(K50),MAX(0,('Control Panel'!$B$10-K5)*12/365.25),0)</f>
        <v/>
      </c>
    </row>
    <row r="51">
      <c r="A51" s="17">
        <f>'Loan Tape (BoE)'!A52</f>
        <v/>
      </c>
      <c r="B51" s="18">
        <f>IFERROR(INDEX('FF Adj Parameters'!$A$89:$B$92,MATCH('Loan Tape (BoE)'!C51,INDEX('FF Adj Parameters'!$A$89:$B$92,,1),0),2),"Unknown")</f>
        <v/>
      </c>
      <c r="C51" s="18">
        <f>'Loan Tape (BoE)'!C52</f>
        <v/>
      </c>
      <c r="D51" s="18">
        <f>'Loan Tape (BoE)'!D52</f>
        <v/>
      </c>
      <c r="E51" s="18">
        <f>'Loan Tape (BoE)'!E52</f>
        <v/>
      </c>
      <c r="F51" s="19">
        <f>'Loan Tape (BoE)'!F52</f>
        <v/>
      </c>
      <c r="G51" s="19">
        <f>'Loan Tape (BoE)'!G52</f>
        <v/>
      </c>
      <c r="H51" s="20">
        <f>'Loan Tape (BoE)'!H52/100</f>
        <v/>
      </c>
      <c r="I51" s="17">
        <f>IFERROR(IFS('Loan Tape (BoE)'!I52=1,"House",'Loan Tape (BoE)'!I52=2,"Flat",'Loan Tape (BoE)'!I52=3,"Bungalow",'Loan Tape (BoE)'!I52=4,"Maisonette"),"")</f>
        <v/>
      </c>
      <c r="J51" s="17">
        <f>'Loan Tape (BoE)'!J52</f>
        <v/>
      </c>
      <c r="K51" s="17">
        <f>'Loan Tape (BoE)'!K52</f>
        <v/>
      </c>
      <c r="L51" s="17">
        <f>IFERROR(IFS('Loan Tape (BoE)'!L52=1,"Owner Occupied",'Loan Tape (BoE)'!L52=2,"BTL",'Loan Tape (BoE)'!L52=3,"Second Home",'Loan Tape (BoE)'!L52=4,"Investment"),"")</f>
        <v/>
      </c>
      <c r="M51" s="17">
        <f>IFERROR(IFS('Loan Tape (BoE)'!M52=1,"Purchase",'Loan Tape (BoE)'!M52=2,"Remortgage",OR('Loan Tape (BoE)'!M52=3,'Loan Tape (BoE)'!M52=4),"Cash-out"),"")</f>
        <v/>
      </c>
      <c r="N51" s="17">
        <f>IFERROR(INDEX('FF Adj Parameters'!$A$96:$B$99,MATCH('Loan Tape (BoE)'!R51,INDEX('FF Adj Parameters'!$A$96:$B$99,,1),0),2),"Unknown")</f>
        <v/>
      </c>
      <c r="O51" s="17">
        <f>IF('Loan Tape (BoE)'!O52=1,"Yes","No")</f>
        <v/>
      </c>
      <c r="P51" s="17">
        <f>IF('Loan Tape (BoE)'!P51=1,"Yes",IF('Loan Tape (BoE)'!P51=0,"No",""))</f>
        <v/>
      </c>
      <c r="Q51" s="17">
        <f>IF('Loan Tape (BoE)'!Q51=1,"Yes",IF('Loan Tape (BoE)'!Q51=0,"No",""))</f>
        <v/>
      </c>
      <c r="R51" s="18">
        <f>IF('Loan Tape (BoE)'!R51=1,"Yes",IF('Loan Tape (BoE)'!R51=0,"No",""))</f>
        <v/>
      </c>
      <c r="S51" s="18">
        <f>IF('Loan Tape (BoE)'!S51=1,"Yes",IF('Loan Tape (BoE)'!S51=0,"No",""))</f>
        <v/>
      </c>
      <c r="T51" s="17">
        <f>IF('Loan Tape (BoE)'!T51=1,"Yes",IF('Loan Tape (BoE)'!T51=0,"No",""))</f>
        <v/>
      </c>
      <c r="U51" s="18">
        <f>R51+S51</f>
        <v/>
      </c>
      <c r="V51" s="17">
        <f>IFERROR(IFS('Loan Tape (BoE)'!U52=1,"Employed",'Loan Tape (BoE)'!U52=2,"Self-Employed",'Loan Tape (BoE)'!U52=3,"Unemployed",'Loan Tape (BoE)'!U52=4,"Retired"),"")</f>
        <v/>
      </c>
      <c r="W51" s="17">
        <f>IFERROR(IFS('Loan Tape (BoE)'!V52=1,"Employed",'Loan Tape (BoE)'!V52=2,"Self-Employed",'Loan Tape (BoE)'!V52=3,"Unemployed",'Loan Tape (BoE)'!V52=4,"Retired"),"")</f>
        <v/>
      </c>
      <c r="X51" s="17">
        <f>IF(OR(V51="Self-Employed",W51="Self-Employed"),"Yes","No")</f>
        <v/>
      </c>
      <c r="Y51" s="17">
        <f>'Loan Tape (BoE)'!W52</f>
        <v/>
      </c>
      <c r="Z51" s="17">
        <f>'Loan Tape (BoE)'!X52</f>
        <v/>
      </c>
      <c r="AA51" s="17">
        <f>IF(T51=1,Y51,MIN(Y51,Z51))</f>
        <v/>
      </c>
      <c r="AB51" s="17">
        <f>'Loan Tape (BoE)'!Y52</f>
        <v/>
      </c>
      <c r="AC51" s="17">
        <f>'Loan Tape (BoE)'!Z52</f>
        <v/>
      </c>
      <c r="AD51" s="17">
        <f>AB51+AC51</f>
        <v/>
      </c>
      <c r="AE51" s="18">
        <f>'Loan Tape (BoE)'!AA52</f>
        <v/>
      </c>
      <c r="AF51" s="18">
        <f>'Loan Tape (BoE)'!AB52</f>
        <v/>
      </c>
      <c r="AG51" s="18">
        <f>AE51+AF51</f>
        <v/>
      </c>
      <c r="AH51" s="19">
        <f>MAX('Loan Tape (BoE)'!AC52,'Loan Tape (BoE)'!AD52)</f>
        <v/>
      </c>
      <c r="AI51" s="18">
        <f>'Loan Tape (BoE)'!AE52</f>
        <v/>
      </c>
      <c r="AJ51" s="18">
        <f>B51*H51/12</f>
        <v/>
      </c>
      <c r="AK51" s="21">
        <f>IF(AJ51&gt;0,AI51/AJ51,0)</f>
        <v/>
      </c>
      <c r="AL51" s="17">
        <f>IF('Loan Tape (BoE)'!AF52=1,"Yes","No")</f>
        <v/>
      </c>
      <c r="AM51" s="17">
        <f>IF('Loan Tape (BoE)'!AH52=1,"Yes","No")</f>
        <v/>
      </c>
      <c r="AN51" s="17">
        <f>IF('Loan Tape (BoE)'!AI52=1,"Yes","No")</f>
        <v/>
      </c>
      <c r="AO51" s="17">
        <f>IF('Loan Tape (BoE)'!AJ52=1,"Yes","No")</f>
        <v/>
      </c>
      <c r="AP51" s="17">
        <f>IF(OR('Loan Tape (BoE)'!AQ51=1,'Loan Tape (BoE)'!AQ51=2),"Yes",IF('Loan Tape (BoE)'!AQ51=0,"No",""))</f>
        <v/>
      </c>
      <c r="AQ51" s="17">
        <f>IF('Loan Tape (BoE)'!BV49_511&lt;&gt;"",'Loan Tape (BoE)'!BV49_51,"")</f>
        <v/>
      </c>
      <c r="AR51" s="17">
        <f>IF('Loan Tape (BoE)'!BV510_51&lt;&gt;"",'Loan Tape (BoE)'!BV50_51,"")</f>
        <v/>
      </c>
      <c r="AS51" s="17">
        <f>IFERROR(INDEX('FF Adj Parameters'!$A$103:$B$1051,MATCH('Loan Tape (BoE)'!P51,INDEX('FF Adj Parameters'!$A$103:$B$1051,,1),0),2),"Unknown")</f>
        <v/>
      </c>
      <c r="AT51" s="17">
        <f>IF(N51="Interest Only",M5*O5/12,IF(AND(O5&gt;0,ISNUMBER(O5),ISNUMBER(M5)),ABS(PMT(O5/12,AU5,-M5)),0))</f>
        <v/>
      </c>
      <c r="AU51" s="17">
        <f>IF(ISNUMBER(L51),MAX(0,(L5-'Control Panel'!$B$10)*12/365.25),0)</f>
        <v/>
      </c>
      <c r="AV51" s="17">
        <f>IF(ISNUMBER(L51),IF(L5&gt;'Control Panel'!$B$10,"Valid","Past Maturity"),"No Date")</f>
        <v/>
      </c>
      <c r="AW51" s="17">
        <f>IF(ISNUMBER(K51),MAX(0,('Control Panel'!$B$10-K5)*12/365.25),0)</f>
        <v/>
      </c>
    </row>
    <row r="52">
      <c r="A52" s="17">
        <f>'Loan Tape (BoE)'!A53</f>
        <v/>
      </c>
      <c r="B52" s="18">
        <f>IFERROR(INDEX('FF Adj Parameters'!$A$89:$B$92,MATCH('Loan Tape (BoE)'!C52,INDEX('FF Adj Parameters'!$A$89:$B$92,,1),0),2),"Unknown")</f>
        <v/>
      </c>
      <c r="C52" s="18">
        <f>'Loan Tape (BoE)'!C53</f>
        <v/>
      </c>
      <c r="D52" s="18">
        <f>'Loan Tape (BoE)'!D53</f>
        <v/>
      </c>
      <c r="E52" s="18">
        <f>'Loan Tape (BoE)'!E53</f>
        <v/>
      </c>
      <c r="F52" s="19">
        <f>'Loan Tape (BoE)'!F53</f>
        <v/>
      </c>
      <c r="G52" s="19">
        <f>'Loan Tape (BoE)'!G53</f>
        <v/>
      </c>
      <c r="H52" s="20">
        <f>'Loan Tape (BoE)'!H53/100</f>
        <v/>
      </c>
      <c r="I52" s="17">
        <f>IFERROR(IFS('Loan Tape (BoE)'!I53=1,"House",'Loan Tape (BoE)'!I53=2,"Flat",'Loan Tape (BoE)'!I53=3,"Bungalow",'Loan Tape (BoE)'!I53=4,"Maisonette"),"")</f>
        <v/>
      </c>
      <c r="J52" s="17">
        <f>'Loan Tape (BoE)'!J53</f>
        <v/>
      </c>
      <c r="K52" s="17">
        <f>'Loan Tape (BoE)'!K53</f>
        <v/>
      </c>
      <c r="L52" s="17">
        <f>IFERROR(IFS('Loan Tape (BoE)'!L53=1,"Owner Occupied",'Loan Tape (BoE)'!L53=2,"BTL",'Loan Tape (BoE)'!L53=3,"Second Home",'Loan Tape (BoE)'!L53=4,"Investment"),"")</f>
        <v/>
      </c>
      <c r="M52" s="17">
        <f>IFERROR(IFS('Loan Tape (BoE)'!M53=1,"Purchase",'Loan Tape (BoE)'!M53=2,"Remortgage",OR('Loan Tape (BoE)'!M53=3,'Loan Tape (BoE)'!M53=4),"Cash-out"),"")</f>
        <v/>
      </c>
      <c r="N52" s="17">
        <f>IFERROR(INDEX('FF Adj Parameters'!$A$96:$B$99,MATCH('Loan Tape (BoE)'!R52,INDEX('FF Adj Parameters'!$A$96:$B$99,,1),0),2),"Unknown")</f>
        <v/>
      </c>
      <c r="O52" s="17">
        <f>IF('Loan Tape (BoE)'!O53=1,"Yes","No")</f>
        <v/>
      </c>
      <c r="P52" s="17">
        <f>IF('Loan Tape (BoE)'!P52=1,"Yes",IF('Loan Tape (BoE)'!P52=0,"No",""))</f>
        <v/>
      </c>
      <c r="Q52" s="17">
        <f>IF('Loan Tape (BoE)'!Q52=1,"Yes",IF('Loan Tape (BoE)'!Q52=0,"No",""))</f>
        <v/>
      </c>
      <c r="R52" s="18">
        <f>IF('Loan Tape (BoE)'!R52=1,"Yes",IF('Loan Tape (BoE)'!R52=0,"No",""))</f>
        <v/>
      </c>
      <c r="S52" s="18">
        <f>IF('Loan Tape (BoE)'!S52=1,"Yes",IF('Loan Tape (BoE)'!S52=0,"No",""))</f>
        <v/>
      </c>
      <c r="T52" s="17">
        <f>IF('Loan Tape (BoE)'!T52=1,"Yes",IF('Loan Tape (BoE)'!T52=0,"No",""))</f>
        <v/>
      </c>
      <c r="U52" s="18">
        <f>R52+S52</f>
        <v/>
      </c>
      <c r="V52" s="17">
        <f>IFERROR(IFS('Loan Tape (BoE)'!U53=1,"Employed",'Loan Tape (BoE)'!U53=2,"Self-Employed",'Loan Tape (BoE)'!U53=3,"Unemployed",'Loan Tape (BoE)'!U53=4,"Retired"),"")</f>
        <v/>
      </c>
      <c r="W52" s="17">
        <f>IFERROR(IFS('Loan Tape (BoE)'!V53=1,"Employed",'Loan Tape (BoE)'!V53=2,"Self-Employed",'Loan Tape (BoE)'!V53=3,"Unemployed",'Loan Tape (BoE)'!V53=4,"Retired"),"")</f>
        <v/>
      </c>
      <c r="X52" s="17">
        <f>IF(OR(V52="Self-Employed",W52="Self-Employed"),"Yes","No")</f>
        <v/>
      </c>
      <c r="Y52" s="17">
        <f>'Loan Tape (BoE)'!W53</f>
        <v/>
      </c>
      <c r="Z52" s="17">
        <f>'Loan Tape (BoE)'!X53</f>
        <v/>
      </c>
      <c r="AA52" s="17">
        <f>IF(T52=1,Y52,MIN(Y52,Z52))</f>
        <v/>
      </c>
      <c r="AB52" s="17">
        <f>'Loan Tape (BoE)'!Y53</f>
        <v/>
      </c>
      <c r="AC52" s="17">
        <f>'Loan Tape (BoE)'!Z53</f>
        <v/>
      </c>
      <c r="AD52" s="17">
        <f>AB52+AC52</f>
        <v/>
      </c>
      <c r="AE52" s="18">
        <f>'Loan Tape (BoE)'!AA53</f>
        <v/>
      </c>
      <c r="AF52" s="18">
        <f>'Loan Tape (BoE)'!AB53</f>
        <v/>
      </c>
      <c r="AG52" s="18">
        <f>AE52+AF52</f>
        <v/>
      </c>
      <c r="AH52" s="19">
        <f>MAX('Loan Tape (BoE)'!AC53,'Loan Tape (BoE)'!AD53)</f>
        <v/>
      </c>
      <c r="AI52" s="18">
        <f>'Loan Tape (BoE)'!AE53</f>
        <v/>
      </c>
      <c r="AJ52" s="18">
        <f>B52*H52/12</f>
        <v/>
      </c>
      <c r="AK52" s="21">
        <f>IF(AJ52&gt;0,AI52/AJ52,0)</f>
        <v/>
      </c>
      <c r="AL52" s="17">
        <f>IF('Loan Tape (BoE)'!AF53=1,"Yes","No")</f>
        <v/>
      </c>
      <c r="AM52" s="17">
        <f>IF('Loan Tape (BoE)'!AH53=1,"Yes","No")</f>
        <v/>
      </c>
      <c r="AN52" s="17">
        <f>IF('Loan Tape (BoE)'!AI53=1,"Yes","No")</f>
        <v/>
      </c>
      <c r="AO52" s="17">
        <f>IF('Loan Tape (BoE)'!AJ53=1,"Yes","No")</f>
        <v/>
      </c>
      <c r="AP52" s="17">
        <f>IF(OR('Loan Tape (BoE)'!AQ52=1,'Loan Tape (BoE)'!AQ52=2),"Yes",IF('Loan Tape (BoE)'!AQ52=0,"No",""))</f>
        <v/>
      </c>
      <c r="AQ52" s="17">
        <f>IF('Loan Tape (BoE)'!BV49_522&lt;&gt;"",'Loan Tape (BoE)'!BV49_52,"")</f>
        <v/>
      </c>
      <c r="AR52" s="17">
        <f>IF('Loan Tape (BoE)'!BV520_52&lt;&gt;"",'Loan Tape (BoE)'!BV50_52,"")</f>
        <v/>
      </c>
      <c r="AS52" s="17">
        <f>IFERROR(INDEX('FF Adj Parameters'!$A$103:$B$1052,MATCH('Loan Tape (BoE)'!P52,INDEX('FF Adj Parameters'!$A$103:$B$1052,,1),0),2),"Unknown")</f>
        <v/>
      </c>
      <c r="AT52" s="17">
        <f>IF(N52="Interest Only",M5*O5/12,IF(AND(O5&gt;0,ISNUMBER(O5),ISNUMBER(M5)),ABS(PMT(O5/12,AU5,-M5)),0))</f>
        <v/>
      </c>
      <c r="AU52" s="17">
        <f>IF(ISNUMBER(L52),MAX(0,(L5-'Control Panel'!$B$10)*12/365.25),0)</f>
        <v/>
      </c>
      <c r="AV52" s="17">
        <f>IF(ISNUMBER(L52),IF(L5&gt;'Control Panel'!$B$10,"Valid","Past Maturity"),"No Date")</f>
        <v/>
      </c>
      <c r="AW52" s="17">
        <f>IF(ISNUMBER(K52),MAX(0,('Control Panel'!$B$10-K5)*12/365.25),0)</f>
        <v/>
      </c>
    </row>
    <row r="53">
      <c r="A53" s="17">
        <f>'Loan Tape (BoE)'!A54</f>
        <v/>
      </c>
      <c r="B53" s="18">
        <f>IFERROR(INDEX('FF Adj Parameters'!$A$89:$B$92,MATCH('Loan Tape (BoE)'!C53,INDEX('FF Adj Parameters'!$A$89:$B$92,,1),0),2),"Unknown")</f>
        <v/>
      </c>
      <c r="C53" s="18">
        <f>'Loan Tape (BoE)'!C54</f>
        <v/>
      </c>
      <c r="D53" s="18">
        <f>'Loan Tape (BoE)'!D54</f>
        <v/>
      </c>
      <c r="E53" s="18">
        <f>'Loan Tape (BoE)'!E54</f>
        <v/>
      </c>
      <c r="F53" s="19">
        <f>'Loan Tape (BoE)'!F54</f>
        <v/>
      </c>
      <c r="G53" s="19">
        <f>'Loan Tape (BoE)'!G54</f>
        <v/>
      </c>
      <c r="H53" s="20">
        <f>'Loan Tape (BoE)'!H54/100</f>
        <v/>
      </c>
      <c r="I53" s="17">
        <f>IFERROR(IFS('Loan Tape (BoE)'!I54=1,"House",'Loan Tape (BoE)'!I54=2,"Flat",'Loan Tape (BoE)'!I54=3,"Bungalow",'Loan Tape (BoE)'!I54=4,"Maisonette"),"")</f>
        <v/>
      </c>
      <c r="J53" s="17">
        <f>'Loan Tape (BoE)'!J54</f>
        <v/>
      </c>
      <c r="K53" s="17">
        <f>'Loan Tape (BoE)'!K54</f>
        <v/>
      </c>
      <c r="L53" s="17">
        <f>IFERROR(IFS('Loan Tape (BoE)'!L54=1,"Owner Occupied",'Loan Tape (BoE)'!L54=2,"BTL",'Loan Tape (BoE)'!L54=3,"Second Home",'Loan Tape (BoE)'!L54=4,"Investment"),"")</f>
        <v/>
      </c>
      <c r="M53" s="17">
        <f>IFERROR(IFS('Loan Tape (BoE)'!M54=1,"Purchase",'Loan Tape (BoE)'!M54=2,"Remortgage",OR('Loan Tape (BoE)'!M54=3,'Loan Tape (BoE)'!M54=4),"Cash-out"),"")</f>
        <v/>
      </c>
      <c r="N53" s="17">
        <f>IFERROR(INDEX('FF Adj Parameters'!$A$96:$B$99,MATCH('Loan Tape (BoE)'!R53,INDEX('FF Adj Parameters'!$A$96:$B$99,,1),0),2),"Unknown")</f>
        <v/>
      </c>
      <c r="O53" s="17">
        <f>IF('Loan Tape (BoE)'!O54=1,"Yes","No")</f>
        <v/>
      </c>
      <c r="P53" s="17">
        <f>IF('Loan Tape (BoE)'!P53=1,"Yes",IF('Loan Tape (BoE)'!P53=0,"No",""))</f>
        <v/>
      </c>
      <c r="Q53" s="17">
        <f>IF('Loan Tape (BoE)'!Q53=1,"Yes",IF('Loan Tape (BoE)'!Q53=0,"No",""))</f>
        <v/>
      </c>
      <c r="R53" s="18">
        <f>IF('Loan Tape (BoE)'!R53=1,"Yes",IF('Loan Tape (BoE)'!R53=0,"No",""))</f>
        <v/>
      </c>
      <c r="S53" s="18">
        <f>IF('Loan Tape (BoE)'!S53=1,"Yes",IF('Loan Tape (BoE)'!S53=0,"No",""))</f>
        <v/>
      </c>
      <c r="T53" s="17">
        <f>IF('Loan Tape (BoE)'!T53=1,"Yes",IF('Loan Tape (BoE)'!T53=0,"No",""))</f>
        <v/>
      </c>
      <c r="U53" s="18">
        <f>R53+S53</f>
        <v/>
      </c>
      <c r="V53" s="17">
        <f>IFERROR(IFS('Loan Tape (BoE)'!U54=1,"Employed",'Loan Tape (BoE)'!U54=2,"Self-Employed",'Loan Tape (BoE)'!U54=3,"Unemployed",'Loan Tape (BoE)'!U54=4,"Retired"),"")</f>
        <v/>
      </c>
      <c r="W53" s="17">
        <f>IFERROR(IFS('Loan Tape (BoE)'!V54=1,"Employed",'Loan Tape (BoE)'!V54=2,"Self-Employed",'Loan Tape (BoE)'!V54=3,"Unemployed",'Loan Tape (BoE)'!V54=4,"Retired"),"")</f>
        <v/>
      </c>
      <c r="X53" s="17">
        <f>IF(OR(V53="Self-Employed",W53="Self-Employed"),"Yes","No")</f>
        <v/>
      </c>
      <c r="Y53" s="17">
        <f>'Loan Tape (BoE)'!W54</f>
        <v/>
      </c>
      <c r="Z53" s="17">
        <f>'Loan Tape (BoE)'!X54</f>
        <v/>
      </c>
      <c r="AA53" s="17">
        <f>IF(T53=1,Y53,MIN(Y53,Z53))</f>
        <v/>
      </c>
      <c r="AB53" s="17">
        <f>'Loan Tape (BoE)'!Y54</f>
        <v/>
      </c>
      <c r="AC53" s="17">
        <f>'Loan Tape (BoE)'!Z54</f>
        <v/>
      </c>
      <c r="AD53" s="17">
        <f>AB53+AC53</f>
        <v/>
      </c>
      <c r="AE53" s="18">
        <f>'Loan Tape (BoE)'!AA54</f>
        <v/>
      </c>
      <c r="AF53" s="18">
        <f>'Loan Tape (BoE)'!AB54</f>
        <v/>
      </c>
      <c r="AG53" s="18">
        <f>AE53+AF53</f>
        <v/>
      </c>
      <c r="AH53" s="19">
        <f>MAX('Loan Tape (BoE)'!AC54,'Loan Tape (BoE)'!AD54)</f>
        <v/>
      </c>
      <c r="AI53" s="18">
        <f>'Loan Tape (BoE)'!AE54</f>
        <v/>
      </c>
      <c r="AJ53" s="18">
        <f>B53*H53/12</f>
        <v/>
      </c>
      <c r="AK53" s="21">
        <f>IF(AJ53&gt;0,AI53/AJ53,0)</f>
        <v/>
      </c>
      <c r="AL53" s="17">
        <f>IF('Loan Tape (BoE)'!AF54=1,"Yes","No")</f>
        <v/>
      </c>
      <c r="AM53" s="17">
        <f>IF('Loan Tape (BoE)'!AH54=1,"Yes","No")</f>
        <v/>
      </c>
      <c r="AN53" s="17">
        <f>IF('Loan Tape (BoE)'!AI54=1,"Yes","No")</f>
        <v/>
      </c>
      <c r="AO53" s="17">
        <f>IF('Loan Tape (BoE)'!AJ54=1,"Yes","No")</f>
        <v/>
      </c>
      <c r="AP53" s="17">
        <f>IF(OR('Loan Tape (BoE)'!AQ53=1,'Loan Tape (BoE)'!AQ53=2),"Yes",IF('Loan Tape (BoE)'!AQ53=0,"No",""))</f>
        <v/>
      </c>
      <c r="AQ53" s="17">
        <f>IF('Loan Tape (BoE)'!BV49_533&lt;&gt;"",'Loan Tape (BoE)'!BV49_53,"")</f>
        <v/>
      </c>
      <c r="AR53" s="17">
        <f>IF('Loan Tape (BoE)'!BV530_53&lt;&gt;"",'Loan Tape (BoE)'!BV50_53,"")</f>
        <v/>
      </c>
      <c r="AS53" s="17">
        <f>IFERROR(INDEX('FF Adj Parameters'!$A$103:$B$1053,MATCH('Loan Tape (BoE)'!P53,INDEX('FF Adj Parameters'!$A$103:$B$1053,,1),0),2),"Unknown")</f>
        <v/>
      </c>
      <c r="AT53" s="17">
        <f>IF(N53="Interest Only",M5*O5/12,IF(AND(O5&gt;0,ISNUMBER(O5),ISNUMBER(M5)),ABS(PMT(O5/12,AU5,-M5)),0))</f>
        <v/>
      </c>
      <c r="AU53" s="17">
        <f>IF(ISNUMBER(L53),MAX(0,(L5-'Control Panel'!$B$10)*12/365.25),0)</f>
        <v/>
      </c>
      <c r="AV53" s="17">
        <f>IF(ISNUMBER(L53),IF(L5&gt;'Control Panel'!$B$10,"Valid","Past Maturity"),"No Date")</f>
        <v/>
      </c>
      <c r="AW53" s="17">
        <f>IF(ISNUMBER(K53),MAX(0,('Control Panel'!$B$10-K5)*12/365.25),0)</f>
        <v/>
      </c>
    </row>
    <row r="54">
      <c r="A54" s="17">
        <f>'Loan Tape (BoE)'!A55</f>
        <v/>
      </c>
      <c r="B54" s="18">
        <f>IFERROR(INDEX('FF Adj Parameters'!$A$89:$B$92,MATCH('Loan Tape (BoE)'!C54,INDEX('FF Adj Parameters'!$A$89:$B$92,,1),0),2),"Unknown")</f>
        <v/>
      </c>
      <c r="C54" s="18">
        <f>'Loan Tape (BoE)'!C55</f>
        <v/>
      </c>
      <c r="D54" s="18">
        <f>'Loan Tape (BoE)'!D55</f>
        <v/>
      </c>
      <c r="E54" s="18">
        <f>'Loan Tape (BoE)'!E55</f>
        <v/>
      </c>
      <c r="F54" s="19">
        <f>'Loan Tape (BoE)'!F55</f>
        <v/>
      </c>
      <c r="G54" s="19">
        <f>'Loan Tape (BoE)'!G55</f>
        <v/>
      </c>
      <c r="H54" s="20">
        <f>'Loan Tape (BoE)'!H55/100</f>
        <v/>
      </c>
      <c r="I54" s="17">
        <f>IFERROR(IFS('Loan Tape (BoE)'!I55=1,"House",'Loan Tape (BoE)'!I55=2,"Flat",'Loan Tape (BoE)'!I55=3,"Bungalow",'Loan Tape (BoE)'!I55=4,"Maisonette"),"")</f>
        <v/>
      </c>
      <c r="J54" s="17">
        <f>'Loan Tape (BoE)'!J55</f>
        <v/>
      </c>
      <c r="K54" s="17">
        <f>'Loan Tape (BoE)'!K55</f>
        <v/>
      </c>
      <c r="L54" s="17">
        <f>IFERROR(IFS('Loan Tape (BoE)'!L55=1,"Owner Occupied",'Loan Tape (BoE)'!L55=2,"BTL",'Loan Tape (BoE)'!L55=3,"Second Home",'Loan Tape (BoE)'!L55=4,"Investment"),"")</f>
        <v/>
      </c>
      <c r="M54" s="17">
        <f>IFERROR(IFS('Loan Tape (BoE)'!M55=1,"Purchase",'Loan Tape (BoE)'!M55=2,"Remortgage",OR('Loan Tape (BoE)'!M55=3,'Loan Tape (BoE)'!M55=4),"Cash-out"),"")</f>
        <v/>
      </c>
      <c r="N54" s="17">
        <f>IFERROR(INDEX('FF Adj Parameters'!$A$96:$B$99,MATCH('Loan Tape (BoE)'!R54,INDEX('FF Adj Parameters'!$A$96:$B$99,,1),0),2),"Unknown")</f>
        <v/>
      </c>
      <c r="O54" s="17">
        <f>IF('Loan Tape (BoE)'!O55=1,"Yes","No")</f>
        <v/>
      </c>
      <c r="P54" s="17">
        <f>IF('Loan Tape (BoE)'!P54=1,"Yes",IF('Loan Tape (BoE)'!P54=0,"No",""))</f>
        <v/>
      </c>
      <c r="Q54" s="17">
        <f>IF('Loan Tape (BoE)'!Q54=1,"Yes",IF('Loan Tape (BoE)'!Q54=0,"No",""))</f>
        <v/>
      </c>
      <c r="R54" s="18">
        <f>IF('Loan Tape (BoE)'!R54=1,"Yes",IF('Loan Tape (BoE)'!R54=0,"No",""))</f>
        <v/>
      </c>
      <c r="S54" s="18">
        <f>IF('Loan Tape (BoE)'!S54=1,"Yes",IF('Loan Tape (BoE)'!S54=0,"No",""))</f>
        <v/>
      </c>
      <c r="T54" s="17">
        <f>IF('Loan Tape (BoE)'!T54=1,"Yes",IF('Loan Tape (BoE)'!T54=0,"No",""))</f>
        <v/>
      </c>
      <c r="U54" s="18">
        <f>R54+S54</f>
        <v/>
      </c>
      <c r="V54" s="17">
        <f>IFERROR(IFS('Loan Tape (BoE)'!U55=1,"Employed",'Loan Tape (BoE)'!U55=2,"Self-Employed",'Loan Tape (BoE)'!U55=3,"Unemployed",'Loan Tape (BoE)'!U55=4,"Retired"),"")</f>
        <v/>
      </c>
      <c r="W54" s="17">
        <f>IFERROR(IFS('Loan Tape (BoE)'!V55=1,"Employed",'Loan Tape (BoE)'!V55=2,"Self-Employed",'Loan Tape (BoE)'!V55=3,"Unemployed",'Loan Tape (BoE)'!V55=4,"Retired"),"")</f>
        <v/>
      </c>
      <c r="X54" s="17">
        <f>IF(OR(V54="Self-Employed",W54="Self-Employed"),"Yes","No")</f>
        <v/>
      </c>
      <c r="Y54" s="17">
        <f>'Loan Tape (BoE)'!W55</f>
        <v/>
      </c>
      <c r="Z54" s="17">
        <f>'Loan Tape (BoE)'!X55</f>
        <v/>
      </c>
      <c r="AA54" s="17">
        <f>IF(T54=1,Y54,MIN(Y54,Z54))</f>
        <v/>
      </c>
      <c r="AB54" s="17">
        <f>'Loan Tape (BoE)'!Y55</f>
        <v/>
      </c>
      <c r="AC54" s="17">
        <f>'Loan Tape (BoE)'!Z55</f>
        <v/>
      </c>
      <c r="AD54" s="17">
        <f>AB54+AC54</f>
        <v/>
      </c>
      <c r="AE54" s="18">
        <f>'Loan Tape (BoE)'!AA55</f>
        <v/>
      </c>
      <c r="AF54" s="18">
        <f>'Loan Tape (BoE)'!AB55</f>
        <v/>
      </c>
      <c r="AG54" s="18">
        <f>AE54+AF54</f>
        <v/>
      </c>
      <c r="AH54" s="19">
        <f>MAX('Loan Tape (BoE)'!AC55,'Loan Tape (BoE)'!AD55)</f>
        <v/>
      </c>
      <c r="AI54" s="18">
        <f>'Loan Tape (BoE)'!AE55</f>
        <v/>
      </c>
      <c r="AJ54" s="18">
        <f>B54*H54/12</f>
        <v/>
      </c>
      <c r="AK54" s="21">
        <f>IF(AJ54&gt;0,AI54/AJ54,0)</f>
        <v/>
      </c>
      <c r="AL54" s="17">
        <f>IF('Loan Tape (BoE)'!AF55=1,"Yes","No")</f>
        <v/>
      </c>
      <c r="AM54" s="17">
        <f>IF('Loan Tape (BoE)'!AH55=1,"Yes","No")</f>
        <v/>
      </c>
      <c r="AN54" s="17">
        <f>IF('Loan Tape (BoE)'!AI55=1,"Yes","No")</f>
        <v/>
      </c>
      <c r="AO54" s="17">
        <f>IF('Loan Tape (BoE)'!AJ55=1,"Yes","No")</f>
        <v/>
      </c>
      <c r="AP54" s="17">
        <f>IF(OR('Loan Tape (BoE)'!AQ54=1,'Loan Tape (BoE)'!AQ54=2),"Yes",IF('Loan Tape (BoE)'!AQ54=0,"No",""))</f>
        <v/>
      </c>
      <c r="AQ54" s="17">
        <f>IF('Loan Tape (BoE)'!BV49_544&lt;&gt;"",'Loan Tape (BoE)'!BV49_54,"")</f>
        <v/>
      </c>
      <c r="AR54" s="17">
        <f>IF('Loan Tape (BoE)'!BV540_54&lt;&gt;"",'Loan Tape (BoE)'!BV50_54,"")</f>
        <v/>
      </c>
      <c r="AS54" s="17">
        <f>IFERROR(INDEX('FF Adj Parameters'!$A$103:$B$1054,MATCH('Loan Tape (BoE)'!P54,INDEX('FF Adj Parameters'!$A$103:$B$1054,,1),0),2),"Unknown")</f>
        <v/>
      </c>
      <c r="AT54" s="17">
        <f>IF(N54="Interest Only",M5*O5/12,IF(AND(O5&gt;0,ISNUMBER(O5),ISNUMBER(M5)),ABS(PMT(O5/12,AU5,-M5)),0))</f>
        <v/>
      </c>
      <c r="AU54" s="17">
        <f>IF(ISNUMBER(L54),MAX(0,(L5-'Control Panel'!$B$10)*12/365.25),0)</f>
        <v/>
      </c>
      <c r="AV54" s="17">
        <f>IF(ISNUMBER(L54),IF(L5&gt;'Control Panel'!$B$10,"Valid","Past Maturity"),"No Date")</f>
        <v/>
      </c>
      <c r="AW54" s="17">
        <f>IF(ISNUMBER(K54),MAX(0,('Control Panel'!$B$10-K5)*12/365.25),0)</f>
        <v/>
      </c>
    </row>
    <row r="55">
      <c r="A55" s="17">
        <f>'Loan Tape (BoE)'!A56</f>
        <v/>
      </c>
      <c r="B55" s="18">
        <f>IFERROR(INDEX('FF Adj Parameters'!$A$89:$B$92,MATCH('Loan Tape (BoE)'!C55,INDEX('FF Adj Parameters'!$A$89:$B$92,,1),0),2),"Unknown")</f>
        <v/>
      </c>
      <c r="C55" s="18">
        <f>'Loan Tape (BoE)'!C56</f>
        <v/>
      </c>
      <c r="D55" s="18">
        <f>'Loan Tape (BoE)'!D56</f>
        <v/>
      </c>
      <c r="E55" s="18">
        <f>'Loan Tape (BoE)'!E56</f>
        <v/>
      </c>
      <c r="F55" s="19">
        <f>'Loan Tape (BoE)'!F56</f>
        <v/>
      </c>
      <c r="G55" s="19">
        <f>'Loan Tape (BoE)'!G56</f>
        <v/>
      </c>
      <c r="H55" s="20">
        <f>'Loan Tape (BoE)'!H56/100</f>
        <v/>
      </c>
      <c r="I55" s="17">
        <f>IFERROR(IFS('Loan Tape (BoE)'!I56=1,"House",'Loan Tape (BoE)'!I56=2,"Flat",'Loan Tape (BoE)'!I56=3,"Bungalow",'Loan Tape (BoE)'!I56=4,"Maisonette"),"")</f>
        <v/>
      </c>
      <c r="J55" s="17">
        <f>'Loan Tape (BoE)'!J56</f>
        <v/>
      </c>
      <c r="K55" s="17">
        <f>'Loan Tape (BoE)'!K56</f>
        <v/>
      </c>
      <c r="L55" s="17">
        <f>IFERROR(IFS('Loan Tape (BoE)'!L56=1,"Owner Occupied",'Loan Tape (BoE)'!L56=2,"BTL",'Loan Tape (BoE)'!L56=3,"Second Home",'Loan Tape (BoE)'!L56=4,"Investment"),"")</f>
        <v/>
      </c>
      <c r="M55" s="17">
        <f>IFERROR(IFS('Loan Tape (BoE)'!M56=1,"Purchase",'Loan Tape (BoE)'!M56=2,"Remortgage",OR('Loan Tape (BoE)'!M56=3,'Loan Tape (BoE)'!M56=4),"Cash-out"),"")</f>
        <v/>
      </c>
      <c r="N55" s="17">
        <f>IFERROR(INDEX('FF Adj Parameters'!$A$96:$B$99,MATCH('Loan Tape (BoE)'!R55,INDEX('FF Adj Parameters'!$A$96:$B$99,,1),0),2),"Unknown")</f>
        <v/>
      </c>
      <c r="O55" s="17">
        <f>IF('Loan Tape (BoE)'!O56=1,"Yes","No")</f>
        <v/>
      </c>
      <c r="P55" s="17">
        <f>IF('Loan Tape (BoE)'!P55=1,"Yes",IF('Loan Tape (BoE)'!P55=0,"No",""))</f>
        <v/>
      </c>
      <c r="Q55" s="17">
        <f>IF('Loan Tape (BoE)'!Q55=1,"Yes",IF('Loan Tape (BoE)'!Q55=0,"No",""))</f>
        <v/>
      </c>
      <c r="R55" s="18">
        <f>IF('Loan Tape (BoE)'!R55=1,"Yes",IF('Loan Tape (BoE)'!R55=0,"No",""))</f>
        <v/>
      </c>
      <c r="S55" s="18">
        <f>IF('Loan Tape (BoE)'!S55=1,"Yes",IF('Loan Tape (BoE)'!S55=0,"No",""))</f>
        <v/>
      </c>
      <c r="T55" s="17">
        <f>IF('Loan Tape (BoE)'!T55=1,"Yes",IF('Loan Tape (BoE)'!T55=0,"No",""))</f>
        <v/>
      </c>
      <c r="U55" s="18">
        <f>R55+S55</f>
        <v/>
      </c>
      <c r="V55" s="17">
        <f>IFERROR(IFS('Loan Tape (BoE)'!U56=1,"Employed",'Loan Tape (BoE)'!U56=2,"Self-Employed",'Loan Tape (BoE)'!U56=3,"Unemployed",'Loan Tape (BoE)'!U56=4,"Retired"),"")</f>
        <v/>
      </c>
      <c r="W55" s="17">
        <f>IFERROR(IFS('Loan Tape (BoE)'!V56=1,"Employed",'Loan Tape (BoE)'!V56=2,"Self-Employed",'Loan Tape (BoE)'!V56=3,"Unemployed",'Loan Tape (BoE)'!V56=4,"Retired"),"")</f>
        <v/>
      </c>
      <c r="X55" s="17">
        <f>IF(OR(V55="Self-Employed",W55="Self-Employed"),"Yes","No")</f>
        <v/>
      </c>
      <c r="Y55" s="17">
        <f>'Loan Tape (BoE)'!W56</f>
        <v/>
      </c>
      <c r="Z55" s="17">
        <f>'Loan Tape (BoE)'!X56</f>
        <v/>
      </c>
      <c r="AA55" s="17">
        <f>IF(T55=1,Y55,MIN(Y55,Z55))</f>
        <v/>
      </c>
      <c r="AB55" s="17">
        <f>'Loan Tape (BoE)'!Y56</f>
        <v/>
      </c>
      <c r="AC55" s="17">
        <f>'Loan Tape (BoE)'!Z56</f>
        <v/>
      </c>
      <c r="AD55" s="17">
        <f>AB55+AC55</f>
        <v/>
      </c>
      <c r="AE55" s="18">
        <f>'Loan Tape (BoE)'!AA56</f>
        <v/>
      </c>
      <c r="AF55" s="18">
        <f>'Loan Tape (BoE)'!AB56</f>
        <v/>
      </c>
      <c r="AG55" s="18">
        <f>AE55+AF55</f>
        <v/>
      </c>
      <c r="AH55" s="19">
        <f>MAX('Loan Tape (BoE)'!AC56,'Loan Tape (BoE)'!AD56)</f>
        <v/>
      </c>
      <c r="AI55" s="18">
        <f>'Loan Tape (BoE)'!AE56</f>
        <v/>
      </c>
      <c r="AJ55" s="18">
        <f>B55*H55/12</f>
        <v/>
      </c>
      <c r="AK55" s="21">
        <f>IF(AJ55&gt;0,AI55/AJ55,0)</f>
        <v/>
      </c>
      <c r="AL55" s="17">
        <f>IF('Loan Tape (BoE)'!AF56=1,"Yes","No")</f>
        <v/>
      </c>
      <c r="AM55" s="17">
        <f>IF('Loan Tape (BoE)'!AH56=1,"Yes","No")</f>
        <v/>
      </c>
      <c r="AN55" s="17">
        <f>IF('Loan Tape (BoE)'!AI56=1,"Yes","No")</f>
        <v/>
      </c>
      <c r="AO55" s="17">
        <f>IF('Loan Tape (BoE)'!AJ56=1,"Yes","No")</f>
        <v/>
      </c>
      <c r="AP55" s="17">
        <f>IF(OR('Loan Tape (BoE)'!AQ55=1,'Loan Tape (BoE)'!AQ55=2),"Yes",IF('Loan Tape (BoE)'!AQ55=0,"No",""))</f>
        <v/>
      </c>
      <c r="AQ55" s="17">
        <f>IF('Loan Tape (BoE)'!BV49_555&lt;&gt;"",'Loan Tape (BoE)'!BV49_55,"")</f>
        <v/>
      </c>
      <c r="AR55" s="17">
        <f>IF('Loan Tape (BoE)'!BV550_55&lt;&gt;"",'Loan Tape (BoE)'!BV50_55,"")</f>
        <v/>
      </c>
      <c r="AS55" s="17">
        <f>IFERROR(INDEX('FF Adj Parameters'!$A$103:$B$1055,MATCH('Loan Tape (BoE)'!P55,INDEX('FF Adj Parameters'!$A$103:$B$1055,,1),0),2),"Unknown")</f>
        <v/>
      </c>
      <c r="AT55" s="17">
        <f>IF(N55="Interest Only",M5*O5/12,IF(AND(O5&gt;0,ISNUMBER(O5),ISNUMBER(M5)),ABS(PMT(O5/12,AU5,-M5)),0))</f>
        <v/>
      </c>
      <c r="AU55" s="17">
        <f>IF(ISNUMBER(L55),MAX(0,(L5-'Control Panel'!$B$10)*12/365.25),0)</f>
        <v/>
      </c>
      <c r="AV55" s="17">
        <f>IF(ISNUMBER(L55),IF(L5&gt;'Control Panel'!$B$10,"Valid","Past Maturity"),"No Date")</f>
        <v/>
      </c>
      <c r="AW55" s="17">
        <f>IF(ISNUMBER(K55),MAX(0,('Control Panel'!$B$10-K5)*12/365.25),0)</f>
        <v/>
      </c>
    </row>
    <row r="56">
      <c r="A56" s="17">
        <f>'Loan Tape (BoE)'!A57</f>
        <v/>
      </c>
      <c r="B56" s="18">
        <f>IFERROR(INDEX('FF Adj Parameters'!$A$89:$B$92,MATCH('Loan Tape (BoE)'!C56,INDEX('FF Adj Parameters'!$A$89:$B$92,,1),0),2),"Unknown")</f>
        <v/>
      </c>
      <c r="C56" s="18">
        <f>'Loan Tape (BoE)'!C57</f>
        <v/>
      </c>
      <c r="D56" s="18">
        <f>'Loan Tape (BoE)'!D57</f>
        <v/>
      </c>
      <c r="E56" s="18">
        <f>'Loan Tape (BoE)'!E57</f>
        <v/>
      </c>
      <c r="F56" s="19">
        <f>'Loan Tape (BoE)'!F57</f>
        <v/>
      </c>
      <c r="G56" s="19">
        <f>'Loan Tape (BoE)'!G57</f>
        <v/>
      </c>
      <c r="H56" s="20">
        <f>'Loan Tape (BoE)'!H57/100</f>
        <v/>
      </c>
      <c r="I56" s="17">
        <f>IFERROR(IFS('Loan Tape (BoE)'!I57=1,"House",'Loan Tape (BoE)'!I57=2,"Flat",'Loan Tape (BoE)'!I57=3,"Bungalow",'Loan Tape (BoE)'!I57=4,"Maisonette"),"")</f>
        <v/>
      </c>
      <c r="J56" s="17">
        <f>'Loan Tape (BoE)'!J57</f>
        <v/>
      </c>
      <c r="K56" s="17">
        <f>'Loan Tape (BoE)'!K57</f>
        <v/>
      </c>
      <c r="L56" s="17">
        <f>IFERROR(IFS('Loan Tape (BoE)'!L57=1,"Owner Occupied",'Loan Tape (BoE)'!L57=2,"BTL",'Loan Tape (BoE)'!L57=3,"Second Home",'Loan Tape (BoE)'!L57=4,"Investment"),"")</f>
        <v/>
      </c>
      <c r="M56" s="17">
        <f>IFERROR(IFS('Loan Tape (BoE)'!M57=1,"Purchase",'Loan Tape (BoE)'!M57=2,"Remortgage",OR('Loan Tape (BoE)'!M57=3,'Loan Tape (BoE)'!M57=4),"Cash-out"),"")</f>
        <v/>
      </c>
      <c r="N56" s="17">
        <f>IFERROR(INDEX('FF Adj Parameters'!$A$96:$B$99,MATCH('Loan Tape (BoE)'!R56,INDEX('FF Adj Parameters'!$A$96:$B$99,,1),0),2),"Unknown")</f>
        <v/>
      </c>
      <c r="O56" s="17">
        <f>IF('Loan Tape (BoE)'!O57=1,"Yes","No")</f>
        <v/>
      </c>
      <c r="P56" s="17">
        <f>IF('Loan Tape (BoE)'!P56=1,"Yes",IF('Loan Tape (BoE)'!P56=0,"No",""))</f>
        <v/>
      </c>
      <c r="Q56" s="17">
        <f>IF('Loan Tape (BoE)'!Q56=1,"Yes",IF('Loan Tape (BoE)'!Q56=0,"No",""))</f>
        <v/>
      </c>
      <c r="R56" s="18">
        <f>IF('Loan Tape (BoE)'!R56=1,"Yes",IF('Loan Tape (BoE)'!R56=0,"No",""))</f>
        <v/>
      </c>
      <c r="S56" s="18">
        <f>IF('Loan Tape (BoE)'!S56=1,"Yes",IF('Loan Tape (BoE)'!S56=0,"No",""))</f>
        <v/>
      </c>
      <c r="T56" s="17">
        <f>IF('Loan Tape (BoE)'!T56=1,"Yes",IF('Loan Tape (BoE)'!T56=0,"No",""))</f>
        <v/>
      </c>
      <c r="U56" s="18">
        <f>R56+S56</f>
        <v/>
      </c>
      <c r="V56" s="17">
        <f>IFERROR(IFS('Loan Tape (BoE)'!U57=1,"Employed",'Loan Tape (BoE)'!U57=2,"Self-Employed",'Loan Tape (BoE)'!U57=3,"Unemployed",'Loan Tape (BoE)'!U57=4,"Retired"),"")</f>
        <v/>
      </c>
      <c r="W56" s="17">
        <f>IFERROR(IFS('Loan Tape (BoE)'!V57=1,"Employed",'Loan Tape (BoE)'!V57=2,"Self-Employed",'Loan Tape (BoE)'!V57=3,"Unemployed",'Loan Tape (BoE)'!V57=4,"Retired"),"")</f>
        <v/>
      </c>
      <c r="X56" s="17">
        <f>IF(OR(V56="Self-Employed",W56="Self-Employed"),"Yes","No")</f>
        <v/>
      </c>
      <c r="Y56" s="17">
        <f>'Loan Tape (BoE)'!W57</f>
        <v/>
      </c>
      <c r="Z56" s="17">
        <f>'Loan Tape (BoE)'!X57</f>
        <v/>
      </c>
      <c r="AA56" s="17">
        <f>IF(T56=1,Y56,MIN(Y56,Z56))</f>
        <v/>
      </c>
      <c r="AB56" s="17">
        <f>'Loan Tape (BoE)'!Y57</f>
        <v/>
      </c>
      <c r="AC56" s="17">
        <f>'Loan Tape (BoE)'!Z57</f>
        <v/>
      </c>
      <c r="AD56" s="17">
        <f>AB56+AC56</f>
        <v/>
      </c>
      <c r="AE56" s="18">
        <f>'Loan Tape (BoE)'!AA57</f>
        <v/>
      </c>
      <c r="AF56" s="18">
        <f>'Loan Tape (BoE)'!AB57</f>
        <v/>
      </c>
      <c r="AG56" s="18">
        <f>AE56+AF56</f>
        <v/>
      </c>
      <c r="AH56" s="19">
        <f>MAX('Loan Tape (BoE)'!AC57,'Loan Tape (BoE)'!AD57)</f>
        <v/>
      </c>
      <c r="AI56" s="18">
        <f>'Loan Tape (BoE)'!AE57</f>
        <v/>
      </c>
      <c r="AJ56" s="18">
        <f>B56*H56/12</f>
        <v/>
      </c>
      <c r="AK56" s="21">
        <f>IF(AJ56&gt;0,AI56/AJ56,0)</f>
        <v/>
      </c>
      <c r="AL56" s="17">
        <f>IF('Loan Tape (BoE)'!AF57=1,"Yes","No")</f>
        <v/>
      </c>
      <c r="AM56" s="17">
        <f>IF('Loan Tape (BoE)'!AH57=1,"Yes","No")</f>
        <v/>
      </c>
      <c r="AN56" s="17">
        <f>IF('Loan Tape (BoE)'!AI57=1,"Yes","No")</f>
        <v/>
      </c>
      <c r="AO56" s="17">
        <f>IF('Loan Tape (BoE)'!AJ57=1,"Yes","No")</f>
        <v/>
      </c>
      <c r="AP56" s="17">
        <f>IF(OR('Loan Tape (BoE)'!AQ56=1,'Loan Tape (BoE)'!AQ56=2),"Yes",IF('Loan Tape (BoE)'!AQ56=0,"No",""))</f>
        <v/>
      </c>
      <c r="AQ56" s="17">
        <f>IF('Loan Tape (BoE)'!BV49_566&lt;&gt;"",'Loan Tape (BoE)'!BV49_56,"")</f>
        <v/>
      </c>
      <c r="AR56" s="17">
        <f>IF('Loan Tape (BoE)'!BV560_56&lt;&gt;"",'Loan Tape (BoE)'!BV50_56,"")</f>
        <v/>
      </c>
      <c r="AS56" s="17">
        <f>IFERROR(INDEX('FF Adj Parameters'!$A$103:$B$1056,MATCH('Loan Tape (BoE)'!P56,INDEX('FF Adj Parameters'!$A$103:$B$1056,,1),0),2),"Unknown")</f>
        <v/>
      </c>
      <c r="AT56" s="17">
        <f>IF(N56="Interest Only",M5*O5/12,IF(AND(O5&gt;0,ISNUMBER(O5),ISNUMBER(M5)),ABS(PMT(O5/12,AU5,-M5)),0))</f>
        <v/>
      </c>
      <c r="AU56" s="17">
        <f>IF(ISNUMBER(L56),MAX(0,(L5-'Control Panel'!$B$10)*12/365.25),0)</f>
        <v/>
      </c>
      <c r="AV56" s="17">
        <f>IF(ISNUMBER(L56),IF(L5&gt;'Control Panel'!$B$10,"Valid","Past Maturity"),"No Date")</f>
        <v/>
      </c>
      <c r="AW56" s="17">
        <f>IF(ISNUMBER(K56),MAX(0,('Control Panel'!$B$10-K5)*12/365.25),0)</f>
        <v/>
      </c>
    </row>
    <row r="57">
      <c r="A57" s="17">
        <f>'Loan Tape (BoE)'!A58</f>
        <v/>
      </c>
      <c r="B57" s="18">
        <f>IFERROR(INDEX('FF Adj Parameters'!$A$89:$B$92,MATCH('Loan Tape (BoE)'!C57,INDEX('FF Adj Parameters'!$A$89:$B$92,,1),0),2),"Unknown")</f>
        <v/>
      </c>
      <c r="C57" s="18">
        <f>'Loan Tape (BoE)'!C58</f>
        <v/>
      </c>
      <c r="D57" s="18">
        <f>'Loan Tape (BoE)'!D58</f>
        <v/>
      </c>
      <c r="E57" s="18">
        <f>'Loan Tape (BoE)'!E58</f>
        <v/>
      </c>
      <c r="F57" s="19">
        <f>'Loan Tape (BoE)'!F58</f>
        <v/>
      </c>
      <c r="G57" s="19">
        <f>'Loan Tape (BoE)'!G58</f>
        <v/>
      </c>
      <c r="H57" s="20">
        <f>'Loan Tape (BoE)'!H58/100</f>
        <v/>
      </c>
      <c r="I57" s="17">
        <f>IFERROR(IFS('Loan Tape (BoE)'!I58=1,"House",'Loan Tape (BoE)'!I58=2,"Flat",'Loan Tape (BoE)'!I58=3,"Bungalow",'Loan Tape (BoE)'!I58=4,"Maisonette"),"")</f>
        <v/>
      </c>
      <c r="J57" s="17">
        <f>'Loan Tape (BoE)'!J58</f>
        <v/>
      </c>
      <c r="K57" s="17">
        <f>'Loan Tape (BoE)'!K58</f>
        <v/>
      </c>
      <c r="L57" s="17">
        <f>IFERROR(IFS('Loan Tape (BoE)'!L58=1,"Owner Occupied",'Loan Tape (BoE)'!L58=2,"BTL",'Loan Tape (BoE)'!L58=3,"Second Home",'Loan Tape (BoE)'!L58=4,"Investment"),"")</f>
        <v/>
      </c>
      <c r="M57" s="17">
        <f>IFERROR(IFS('Loan Tape (BoE)'!M58=1,"Purchase",'Loan Tape (BoE)'!M58=2,"Remortgage",OR('Loan Tape (BoE)'!M58=3,'Loan Tape (BoE)'!M58=4),"Cash-out"),"")</f>
        <v/>
      </c>
      <c r="N57" s="17">
        <f>IFERROR(INDEX('FF Adj Parameters'!$A$96:$B$99,MATCH('Loan Tape (BoE)'!R57,INDEX('FF Adj Parameters'!$A$96:$B$99,,1),0),2),"Unknown")</f>
        <v/>
      </c>
      <c r="O57" s="17">
        <f>IF('Loan Tape (BoE)'!O58=1,"Yes","No")</f>
        <v/>
      </c>
      <c r="P57" s="17">
        <f>IF('Loan Tape (BoE)'!P57=1,"Yes",IF('Loan Tape (BoE)'!P57=0,"No",""))</f>
        <v/>
      </c>
      <c r="Q57" s="17">
        <f>IF('Loan Tape (BoE)'!Q57=1,"Yes",IF('Loan Tape (BoE)'!Q57=0,"No",""))</f>
        <v/>
      </c>
      <c r="R57" s="18">
        <f>IF('Loan Tape (BoE)'!R57=1,"Yes",IF('Loan Tape (BoE)'!R57=0,"No",""))</f>
        <v/>
      </c>
      <c r="S57" s="18">
        <f>IF('Loan Tape (BoE)'!S57=1,"Yes",IF('Loan Tape (BoE)'!S57=0,"No",""))</f>
        <v/>
      </c>
      <c r="T57" s="17">
        <f>IF('Loan Tape (BoE)'!T57=1,"Yes",IF('Loan Tape (BoE)'!T57=0,"No",""))</f>
        <v/>
      </c>
      <c r="U57" s="18">
        <f>R57+S57</f>
        <v/>
      </c>
      <c r="V57" s="17">
        <f>IFERROR(IFS('Loan Tape (BoE)'!U58=1,"Employed",'Loan Tape (BoE)'!U58=2,"Self-Employed",'Loan Tape (BoE)'!U58=3,"Unemployed",'Loan Tape (BoE)'!U58=4,"Retired"),"")</f>
        <v/>
      </c>
      <c r="W57" s="17">
        <f>IFERROR(IFS('Loan Tape (BoE)'!V58=1,"Employed",'Loan Tape (BoE)'!V58=2,"Self-Employed",'Loan Tape (BoE)'!V58=3,"Unemployed",'Loan Tape (BoE)'!V58=4,"Retired"),"")</f>
        <v/>
      </c>
      <c r="X57" s="17">
        <f>IF(OR(V57="Self-Employed",W57="Self-Employed"),"Yes","No")</f>
        <v/>
      </c>
      <c r="Y57" s="17">
        <f>'Loan Tape (BoE)'!W58</f>
        <v/>
      </c>
      <c r="Z57" s="17">
        <f>'Loan Tape (BoE)'!X58</f>
        <v/>
      </c>
      <c r="AA57" s="17">
        <f>IF(T57=1,Y57,MIN(Y57,Z57))</f>
        <v/>
      </c>
      <c r="AB57" s="17">
        <f>'Loan Tape (BoE)'!Y58</f>
        <v/>
      </c>
      <c r="AC57" s="17">
        <f>'Loan Tape (BoE)'!Z58</f>
        <v/>
      </c>
      <c r="AD57" s="17">
        <f>AB57+AC57</f>
        <v/>
      </c>
      <c r="AE57" s="18">
        <f>'Loan Tape (BoE)'!AA58</f>
        <v/>
      </c>
      <c r="AF57" s="18">
        <f>'Loan Tape (BoE)'!AB58</f>
        <v/>
      </c>
      <c r="AG57" s="18">
        <f>AE57+AF57</f>
        <v/>
      </c>
      <c r="AH57" s="19">
        <f>MAX('Loan Tape (BoE)'!AC58,'Loan Tape (BoE)'!AD58)</f>
        <v/>
      </c>
      <c r="AI57" s="18">
        <f>'Loan Tape (BoE)'!AE58</f>
        <v/>
      </c>
      <c r="AJ57" s="18">
        <f>B57*H57/12</f>
        <v/>
      </c>
      <c r="AK57" s="21">
        <f>IF(AJ57&gt;0,AI57/AJ57,0)</f>
        <v/>
      </c>
      <c r="AL57" s="17">
        <f>IF('Loan Tape (BoE)'!AF58=1,"Yes","No")</f>
        <v/>
      </c>
      <c r="AM57" s="17">
        <f>IF('Loan Tape (BoE)'!AH58=1,"Yes","No")</f>
        <v/>
      </c>
      <c r="AN57" s="17">
        <f>IF('Loan Tape (BoE)'!AI58=1,"Yes","No")</f>
        <v/>
      </c>
      <c r="AO57" s="17">
        <f>IF('Loan Tape (BoE)'!AJ58=1,"Yes","No")</f>
        <v/>
      </c>
      <c r="AP57" s="17">
        <f>IF(OR('Loan Tape (BoE)'!AQ57=1,'Loan Tape (BoE)'!AQ57=2),"Yes",IF('Loan Tape (BoE)'!AQ57=0,"No",""))</f>
        <v/>
      </c>
      <c r="AQ57" s="17">
        <f>IF('Loan Tape (BoE)'!BV49_577&lt;&gt;"",'Loan Tape (BoE)'!BV49_57,"")</f>
        <v/>
      </c>
      <c r="AR57" s="17">
        <f>IF('Loan Tape (BoE)'!BV570_57&lt;&gt;"",'Loan Tape (BoE)'!BV50_57,"")</f>
        <v/>
      </c>
      <c r="AS57" s="17">
        <f>IFERROR(INDEX('FF Adj Parameters'!$A$103:$B$1057,MATCH('Loan Tape (BoE)'!P57,INDEX('FF Adj Parameters'!$A$103:$B$1057,,1),0),2),"Unknown")</f>
        <v/>
      </c>
      <c r="AT57" s="17">
        <f>IF(N57="Interest Only",M5*O5/12,IF(AND(O5&gt;0,ISNUMBER(O5),ISNUMBER(M5)),ABS(PMT(O5/12,AU5,-M5)),0))</f>
        <v/>
      </c>
      <c r="AU57" s="17">
        <f>IF(ISNUMBER(L57),MAX(0,(L5-'Control Panel'!$B$10)*12/365.25),0)</f>
        <v/>
      </c>
      <c r="AV57" s="17">
        <f>IF(ISNUMBER(L57),IF(L5&gt;'Control Panel'!$B$10,"Valid","Past Maturity"),"No Date")</f>
        <v/>
      </c>
      <c r="AW57" s="17">
        <f>IF(ISNUMBER(K57),MAX(0,('Control Panel'!$B$10-K5)*12/365.25),0)</f>
        <v/>
      </c>
    </row>
    <row r="58">
      <c r="A58" s="17">
        <f>'Loan Tape (BoE)'!A59</f>
        <v/>
      </c>
      <c r="B58" s="18">
        <f>IFERROR(INDEX('FF Adj Parameters'!$A$89:$B$92,MATCH('Loan Tape (BoE)'!C58,INDEX('FF Adj Parameters'!$A$89:$B$92,,1),0),2),"Unknown")</f>
        <v/>
      </c>
      <c r="C58" s="18">
        <f>'Loan Tape (BoE)'!C59</f>
        <v/>
      </c>
      <c r="D58" s="18">
        <f>'Loan Tape (BoE)'!D59</f>
        <v/>
      </c>
      <c r="E58" s="18">
        <f>'Loan Tape (BoE)'!E59</f>
        <v/>
      </c>
      <c r="F58" s="19">
        <f>'Loan Tape (BoE)'!F59</f>
        <v/>
      </c>
      <c r="G58" s="19">
        <f>'Loan Tape (BoE)'!G59</f>
        <v/>
      </c>
      <c r="H58" s="20">
        <f>'Loan Tape (BoE)'!H59/100</f>
        <v/>
      </c>
      <c r="I58" s="17">
        <f>IFERROR(IFS('Loan Tape (BoE)'!I59=1,"House",'Loan Tape (BoE)'!I59=2,"Flat",'Loan Tape (BoE)'!I59=3,"Bungalow",'Loan Tape (BoE)'!I59=4,"Maisonette"),"")</f>
        <v/>
      </c>
      <c r="J58" s="17">
        <f>'Loan Tape (BoE)'!J59</f>
        <v/>
      </c>
      <c r="K58" s="17">
        <f>'Loan Tape (BoE)'!K59</f>
        <v/>
      </c>
      <c r="L58" s="17">
        <f>IFERROR(IFS('Loan Tape (BoE)'!L59=1,"Owner Occupied",'Loan Tape (BoE)'!L59=2,"BTL",'Loan Tape (BoE)'!L59=3,"Second Home",'Loan Tape (BoE)'!L59=4,"Investment"),"")</f>
        <v/>
      </c>
      <c r="M58" s="17">
        <f>IFERROR(IFS('Loan Tape (BoE)'!M59=1,"Purchase",'Loan Tape (BoE)'!M59=2,"Remortgage",OR('Loan Tape (BoE)'!M59=3,'Loan Tape (BoE)'!M59=4),"Cash-out"),"")</f>
        <v/>
      </c>
      <c r="N58" s="17">
        <f>IFERROR(INDEX('FF Adj Parameters'!$A$96:$B$99,MATCH('Loan Tape (BoE)'!R58,INDEX('FF Adj Parameters'!$A$96:$B$99,,1),0),2),"Unknown")</f>
        <v/>
      </c>
      <c r="O58" s="17">
        <f>IF('Loan Tape (BoE)'!O59=1,"Yes","No")</f>
        <v/>
      </c>
      <c r="P58" s="17">
        <f>IF('Loan Tape (BoE)'!P58=1,"Yes",IF('Loan Tape (BoE)'!P58=0,"No",""))</f>
        <v/>
      </c>
      <c r="Q58" s="17">
        <f>IF('Loan Tape (BoE)'!Q58=1,"Yes",IF('Loan Tape (BoE)'!Q58=0,"No",""))</f>
        <v/>
      </c>
      <c r="R58" s="18">
        <f>IF('Loan Tape (BoE)'!R58=1,"Yes",IF('Loan Tape (BoE)'!R58=0,"No",""))</f>
        <v/>
      </c>
      <c r="S58" s="18">
        <f>IF('Loan Tape (BoE)'!S58=1,"Yes",IF('Loan Tape (BoE)'!S58=0,"No",""))</f>
        <v/>
      </c>
      <c r="T58" s="17">
        <f>IF('Loan Tape (BoE)'!T58=1,"Yes",IF('Loan Tape (BoE)'!T58=0,"No",""))</f>
        <v/>
      </c>
      <c r="U58" s="18">
        <f>R58+S58</f>
        <v/>
      </c>
      <c r="V58" s="17">
        <f>IFERROR(IFS('Loan Tape (BoE)'!U59=1,"Employed",'Loan Tape (BoE)'!U59=2,"Self-Employed",'Loan Tape (BoE)'!U59=3,"Unemployed",'Loan Tape (BoE)'!U59=4,"Retired"),"")</f>
        <v/>
      </c>
      <c r="W58" s="17">
        <f>IFERROR(IFS('Loan Tape (BoE)'!V59=1,"Employed",'Loan Tape (BoE)'!V59=2,"Self-Employed",'Loan Tape (BoE)'!V59=3,"Unemployed",'Loan Tape (BoE)'!V59=4,"Retired"),"")</f>
        <v/>
      </c>
      <c r="X58" s="17">
        <f>IF(OR(V58="Self-Employed",W58="Self-Employed"),"Yes","No")</f>
        <v/>
      </c>
      <c r="Y58" s="17">
        <f>'Loan Tape (BoE)'!W59</f>
        <v/>
      </c>
      <c r="Z58" s="17">
        <f>'Loan Tape (BoE)'!X59</f>
        <v/>
      </c>
      <c r="AA58" s="17">
        <f>IF(T58=1,Y58,MIN(Y58,Z58))</f>
        <v/>
      </c>
      <c r="AB58" s="17">
        <f>'Loan Tape (BoE)'!Y59</f>
        <v/>
      </c>
      <c r="AC58" s="17">
        <f>'Loan Tape (BoE)'!Z59</f>
        <v/>
      </c>
      <c r="AD58" s="17">
        <f>AB58+AC58</f>
        <v/>
      </c>
      <c r="AE58" s="18">
        <f>'Loan Tape (BoE)'!AA59</f>
        <v/>
      </c>
      <c r="AF58" s="18">
        <f>'Loan Tape (BoE)'!AB59</f>
        <v/>
      </c>
      <c r="AG58" s="18">
        <f>AE58+AF58</f>
        <v/>
      </c>
      <c r="AH58" s="19">
        <f>MAX('Loan Tape (BoE)'!AC59,'Loan Tape (BoE)'!AD59)</f>
        <v/>
      </c>
      <c r="AI58" s="18">
        <f>'Loan Tape (BoE)'!AE59</f>
        <v/>
      </c>
      <c r="AJ58" s="18">
        <f>B58*H58/12</f>
        <v/>
      </c>
      <c r="AK58" s="21">
        <f>IF(AJ58&gt;0,AI58/AJ58,0)</f>
        <v/>
      </c>
      <c r="AL58" s="17">
        <f>IF('Loan Tape (BoE)'!AF59=1,"Yes","No")</f>
        <v/>
      </c>
      <c r="AM58" s="17">
        <f>IF('Loan Tape (BoE)'!AH59=1,"Yes","No")</f>
        <v/>
      </c>
      <c r="AN58" s="17">
        <f>IF('Loan Tape (BoE)'!AI59=1,"Yes","No")</f>
        <v/>
      </c>
      <c r="AO58" s="17">
        <f>IF('Loan Tape (BoE)'!AJ59=1,"Yes","No")</f>
        <v/>
      </c>
      <c r="AP58" s="17">
        <f>IF(OR('Loan Tape (BoE)'!AQ58=1,'Loan Tape (BoE)'!AQ58=2),"Yes",IF('Loan Tape (BoE)'!AQ58=0,"No",""))</f>
        <v/>
      </c>
      <c r="AQ58" s="17">
        <f>IF('Loan Tape (BoE)'!BV49_588&lt;&gt;"",'Loan Tape (BoE)'!BV49_58,"")</f>
        <v/>
      </c>
      <c r="AR58" s="17">
        <f>IF('Loan Tape (BoE)'!BV580_58&lt;&gt;"",'Loan Tape (BoE)'!BV50_58,"")</f>
        <v/>
      </c>
      <c r="AS58" s="17">
        <f>IFERROR(INDEX('FF Adj Parameters'!$A$103:$B$1058,MATCH('Loan Tape (BoE)'!P58,INDEX('FF Adj Parameters'!$A$103:$B$1058,,1),0),2),"Unknown")</f>
        <v/>
      </c>
      <c r="AT58" s="17">
        <f>IF(N58="Interest Only",M5*O5/12,IF(AND(O5&gt;0,ISNUMBER(O5),ISNUMBER(M5)),ABS(PMT(O5/12,AU5,-M5)),0))</f>
        <v/>
      </c>
      <c r="AU58" s="17">
        <f>IF(ISNUMBER(L58),MAX(0,(L5-'Control Panel'!$B$10)*12/365.25),0)</f>
        <v/>
      </c>
      <c r="AV58" s="17">
        <f>IF(ISNUMBER(L58),IF(L5&gt;'Control Panel'!$B$10,"Valid","Past Maturity"),"No Date")</f>
        <v/>
      </c>
      <c r="AW58" s="17">
        <f>IF(ISNUMBER(K58),MAX(0,('Control Panel'!$B$10-K5)*12/365.25),0)</f>
        <v/>
      </c>
    </row>
    <row r="59">
      <c r="A59" s="17">
        <f>'Loan Tape (BoE)'!A60</f>
        <v/>
      </c>
      <c r="B59" s="18">
        <f>IFERROR(INDEX('FF Adj Parameters'!$A$89:$B$92,MATCH('Loan Tape (BoE)'!C59,INDEX('FF Adj Parameters'!$A$89:$B$92,,1),0),2),"Unknown")</f>
        <v/>
      </c>
      <c r="C59" s="18">
        <f>'Loan Tape (BoE)'!C60</f>
        <v/>
      </c>
      <c r="D59" s="18">
        <f>'Loan Tape (BoE)'!D60</f>
        <v/>
      </c>
      <c r="E59" s="18">
        <f>'Loan Tape (BoE)'!E60</f>
        <v/>
      </c>
      <c r="F59" s="19">
        <f>'Loan Tape (BoE)'!F60</f>
        <v/>
      </c>
      <c r="G59" s="19">
        <f>'Loan Tape (BoE)'!G60</f>
        <v/>
      </c>
      <c r="H59" s="20">
        <f>'Loan Tape (BoE)'!H60/100</f>
        <v/>
      </c>
      <c r="I59" s="17">
        <f>IFERROR(IFS('Loan Tape (BoE)'!I60=1,"House",'Loan Tape (BoE)'!I60=2,"Flat",'Loan Tape (BoE)'!I60=3,"Bungalow",'Loan Tape (BoE)'!I60=4,"Maisonette"),"")</f>
        <v/>
      </c>
      <c r="J59" s="17">
        <f>'Loan Tape (BoE)'!J60</f>
        <v/>
      </c>
      <c r="K59" s="17">
        <f>'Loan Tape (BoE)'!K60</f>
        <v/>
      </c>
      <c r="L59" s="17">
        <f>IFERROR(IFS('Loan Tape (BoE)'!L60=1,"Owner Occupied",'Loan Tape (BoE)'!L60=2,"BTL",'Loan Tape (BoE)'!L60=3,"Second Home",'Loan Tape (BoE)'!L60=4,"Investment"),"")</f>
        <v/>
      </c>
      <c r="M59" s="17">
        <f>IFERROR(IFS('Loan Tape (BoE)'!M60=1,"Purchase",'Loan Tape (BoE)'!M60=2,"Remortgage",OR('Loan Tape (BoE)'!M60=3,'Loan Tape (BoE)'!M60=4),"Cash-out"),"")</f>
        <v/>
      </c>
      <c r="N59" s="17">
        <f>IFERROR(INDEX('FF Adj Parameters'!$A$96:$B$99,MATCH('Loan Tape (BoE)'!R59,INDEX('FF Adj Parameters'!$A$96:$B$99,,1),0),2),"Unknown")</f>
        <v/>
      </c>
      <c r="O59" s="17">
        <f>IF('Loan Tape (BoE)'!O60=1,"Yes","No")</f>
        <v/>
      </c>
      <c r="P59" s="17">
        <f>IF('Loan Tape (BoE)'!P59=1,"Yes",IF('Loan Tape (BoE)'!P59=0,"No",""))</f>
        <v/>
      </c>
      <c r="Q59" s="17">
        <f>IF('Loan Tape (BoE)'!Q59=1,"Yes",IF('Loan Tape (BoE)'!Q59=0,"No",""))</f>
        <v/>
      </c>
      <c r="R59" s="18">
        <f>IF('Loan Tape (BoE)'!R59=1,"Yes",IF('Loan Tape (BoE)'!R59=0,"No",""))</f>
        <v/>
      </c>
      <c r="S59" s="18">
        <f>IF('Loan Tape (BoE)'!S59=1,"Yes",IF('Loan Tape (BoE)'!S59=0,"No",""))</f>
        <v/>
      </c>
      <c r="T59" s="17">
        <f>IF('Loan Tape (BoE)'!T59=1,"Yes",IF('Loan Tape (BoE)'!T59=0,"No",""))</f>
        <v/>
      </c>
      <c r="U59" s="18">
        <f>R59+S59</f>
        <v/>
      </c>
      <c r="V59" s="17">
        <f>IFERROR(IFS('Loan Tape (BoE)'!U60=1,"Employed",'Loan Tape (BoE)'!U60=2,"Self-Employed",'Loan Tape (BoE)'!U60=3,"Unemployed",'Loan Tape (BoE)'!U60=4,"Retired"),"")</f>
        <v/>
      </c>
      <c r="W59" s="17">
        <f>IFERROR(IFS('Loan Tape (BoE)'!V60=1,"Employed",'Loan Tape (BoE)'!V60=2,"Self-Employed",'Loan Tape (BoE)'!V60=3,"Unemployed",'Loan Tape (BoE)'!V60=4,"Retired"),"")</f>
        <v/>
      </c>
      <c r="X59" s="17">
        <f>IF(OR(V59="Self-Employed",W59="Self-Employed"),"Yes","No")</f>
        <v/>
      </c>
      <c r="Y59" s="17">
        <f>'Loan Tape (BoE)'!W60</f>
        <v/>
      </c>
      <c r="Z59" s="17">
        <f>'Loan Tape (BoE)'!X60</f>
        <v/>
      </c>
      <c r="AA59" s="17">
        <f>IF(T59=1,Y59,MIN(Y59,Z59))</f>
        <v/>
      </c>
      <c r="AB59" s="17">
        <f>'Loan Tape (BoE)'!Y60</f>
        <v/>
      </c>
      <c r="AC59" s="17">
        <f>'Loan Tape (BoE)'!Z60</f>
        <v/>
      </c>
      <c r="AD59" s="17">
        <f>AB59+AC59</f>
        <v/>
      </c>
      <c r="AE59" s="18">
        <f>'Loan Tape (BoE)'!AA60</f>
        <v/>
      </c>
      <c r="AF59" s="18">
        <f>'Loan Tape (BoE)'!AB60</f>
        <v/>
      </c>
      <c r="AG59" s="18">
        <f>AE59+AF59</f>
        <v/>
      </c>
      <c r="AH59" s="19">
        <f>MAX('Loan Tape (BoE)'!AC60,'Loan Tape (BoE)'!AD60)</f>
        <v/>
      </c>
      <c r="AI59" s="18">
        <f>'Loan Tape (BoE)'!AE60</f>
        <v/>
      </c>
      <c r="AJ59" s="18">
        <f>B59*H59/12</f>
        <v/>
      </c>
      <c r="AK59" s="21">
        <f>IF(AJ59&gt;0,AI59/AJ59,0)</f>
        <v/>
      </c>
      <c r="AL59" s="17">
        <f>IF('Loan Tape (BoE)'!AF60=1,"Yes","No")</f>
        <v/>
      </c>
      <c r="AM59" s="17">
        <f>IF('Loan Tape (BoE)'!AH60=1,"Yes","No")</f>
        <v/>
      </c>
      <c r="AN59" s="17">
        <f>IF('Loan Tape (BoE)'!AI60=1,"Yes","No")</f>
        <v/>
      </c>
      <c r="AO59" s="17">
        <f>IF('Loan Tape (BoE)'!AJ60=1,"Yes","No")</f>
        <v/>
      </c>
      <c r="AP59" s="17">
        <f>IF(OR('Loan Tape (BoE)'!AQ59=1,'Loan Tape (BoE)'!AQ59=2),"Yes",IF('Loan Tape (BoE)'!AQ59=0,"No",""))</f>
        <v/>
      </c>
      <c r="AQ59" s="17">
        <f>IF('Loan Tape (BoE)'!BV49_599&lt;&gt;"",'Loan Tape (BoE)'!BV49_59,"")</f>
        <v/>
      </c>
      <c r="AR59" s="17">
        <f>IF('Loan Tape (BoE)'!BV590_59&lt;&gt;"",'Loan Tape (BoE)'!BV50_59,"")</f>
        <v/>
      </c>
      <c r="AS59" s="17">
        <f>IFERROR(INDEX('FF Adj Parameters'!$A$103:$B$1059,MATCH('Loan Tape (BoE)'!P59,INDEX('FF Adj Parameters'!$A$103:$B$1059,,1),0),2),"Unknown")</f>
        <v/>
      </c>
      <c r="AT59" s="17">
        <f>IF(N59="Interest Only",M5*O5/12,IF(AND(O5&gt;0,ISNUMBER(O5),ISNUMBER(M5)),ABS(PMT(O5/12,AU5,-M5)),0))</f>
        <v/>
      </c>
      <c r="AU59" s="17">
        <f>IF(ISNUMBER(L59),MAX(0,(L5-'Control Panel'!$B$10)*12/365.25),0)</f>
        <v/>
      </c>
      <c r="AV59" s="17">
        <f>IF(ISNUMBER(L59),IF(L5&gt;'Control Panel'!$B$10,"Valid","Past Maturity"),"No Date")</f>
        <v/>
      </c>
      <c r="AW59" s="17">
        <f>IF(ISNUMBER(K59),MAX(0,('Control Panel'!$B$10-K5)*12/365.25),0)</f>
        <v/>
      </c>
    </row>
    <row r="60">
      <c r="A60" s="17">
        <f>'Loan Tape (BoE)'!A61</f>
        <v/>
      </c>
      <c r="B60" s="18">
        <f>IFERROR(INDEX('FF Adj Parameters'!$A$89:$B$92,MATCH('Loan Tape (BoE)'!C60,INDEX('FF Adj Parameters'!$A$89:$B$92,,1),0),2),"Unknown")</f>
        <v/>
      </c>
      <c r="C60" s="18">
        <f>'Loan Tape (BoE)'!C61</f>
        <v/>
      </c>
      <c r="D60" s="18">
        <f>'Loan Tape (BoE)'!D61</f>
        <v/>
      </c>
      <c r="E60" s="18">
        <f>'Loan Tape (BoE)'!E61</f>
        <v/>
      </c>
      <c r="F60" s="19">
        <f>'Loan Tape (BoE)'!F61</f>
        <v/>
      </c>
      <c r="G60" s="19">
        <f>'Loan Tape (BoE)'!G61</f>
        <v/>
      </c>
      <c r="H60" s="20">
        <f>'Loan Tape (BoE)'!H61/100</f>
        <v/>
      </c>
      <c r="I60" s="17">
        <f>IFERROR(IFS('Loan Tape (BoE)'!I61=1,"House",'Loan Tape (BoE)'!I61=2,"Flat",'Loan Tape (BoE)'!I61=3,"Bungalow",'Loan Tape (BoE)'!I61=4,"Maisonette"),"")</f>
        <v/>
      </c>
      <c r="J60" s="17">
        <f>'Loan Tape (BoE)'!J61</f>
        <v/>
      </c>
      <c r="K60" s="17">
        <f>'Loan Tape (BoE)'!K61</f>
        <v/>
      </c>
      <c r="L60" s="17">
        <f>IFERROR(IFS('Loan Tape (BoE)'!L61=1,"Owner Occupied",'Loan Tape (BoE)'!L61=2,"BTL",'Loan Tape (BoE)'!L61=3,"Second Home",'Loan Tape (BoE)'!L61=4,"Investment"),"")</f>
        <v/>
      </c>
      <c r="M60" s="17">
        <f>IFERROR(IFS('Loan Tape (BoE)'!M61=1,"Purchase",'Loan Tape (BoE)'!M61=2,"Remortgage",OR('Loan Tape (BoE)'!M61=3,'Loan Tape (BoE)'!M61=4),"Cash-out"),"")</f>
        <v/>
      </c>
      <c r="N60" s="17">
        <f>IFERROR(INDEX('FF Adj Parameters'!$A$96:$B$99,MATCH('Loan Tape (BoE)'!R60,INDEX('FF Adj Parameters'!$A$96:$B$99,,1),0),2),"Unknown")</f>
        <v/>
      </c>
      <c r="O60" s="17">
        <f>IF('Loan Tape (BoE)'!O61=1,"Yes","No")</f>
        <v/>
      </c>
      <c r="P60" s="17">
        <f>IF('Loan Tape (BoE)'!P60=1,"Yes",IF('Loan Tape (BoE)'!P60=0,"No",""))</f>
        <v/>
      </c>
      <c r="Q60" s="17">
        <f>IF('Loan Tape (BoE)'!Q60=1,"Yes",IF('Loan Tape (BoE)'!Q60=0,"No",""))</f>
        <v/>
      </c>
      <c r="R60" s="18">
        <f>IF('Loan Tape (BoE)'!R60=1,"Yes",IF('Loan Tape (BoE)'!R60=0,"No",""))</f>
        <v/>
      </c>
      <c r="S60" s="18">
        <f>IF('Loan Tape (BoE)'!S60=1,"Yes",IF('Loan Tape (BoE)'!S60=0,"No",""))</f>
        <v/>
      </c>
      <c r="T60" s="17">
        <f>IF('Loan Tape (BoE)'!T60=1,"Yes",IF('Loan Tape (BoE)'!T60=0,"No",""))</f>
        <v/>
      </c>
      <c r="U60" s="18">
        <f>R60+S60</f>
        <v/>
      </c>
      <c r="V60" s="17">
        <f>IFERROR(IFS('Loan Tape (BoE)'!U61=1,"Employed",'Loan Tape (BoE)'!U61=2,"Self-Employed",'Loan Tape (BoE)'!U61=3,"Unemployed",'Loan Tape (BoE)'!U61=4,"Retired"),"")</f>
        <v/>
      </c>
      <c r="W60" s="17">
        <f>IFERROR(IFS('Loan Tape (BoE)'!V61=1,"Employed",'Loan Tape (BoE)'!V61=2,"Self-Employed",'Loan Tape (BoE)'!V61=3,"Unemployed",'Loan Tape (BoE)'!V61=4,"Retired"),"")</f>
        <v/>
      </c>
      <c r="X60" s="17">
        <f>IF(OR(V60="Self-Employed",W60="Self-Employed"),"Yes","No")</f>
        <v/>
      </c>
      <c r="Y60" s="17">
        <f>'Loan Tape (BoE)'!W61</f>
        <v/>
      </c>
      <c r="Z60" s="17">
        <f>'Loan Tape (BoE)'!X61</f>
        <v/>
      </c>
      <c r="AA60" s="17">
        <f>IF(T60=1,Y60,MIN(Y60,Z60))</f>
        <v/>
      </c>
      <c r="AB60" s="17">
        <f>'Loan Tape (BoE)'!Y61</f>
        <v/>
      </c>
      <c r="AC60" s="17">
        <f>'Loan Tape (BoE)'!Z61</f>
        <v/>
      </c>
      <c r="AD60" s="17">
        <f>AB60+AC60</f>
        <v/>
      </c>
      <c r="AE60" s="18">
        <f>'Loan Tape (BoE)'!AA61</f>
        <v/>
      </c>
      <c r="AF60" s="18">
        <f>'Loan Tape (BoE)'!AB61</f>
        <v/>
      </c>
      <c r="AG60" s="18">
        <f>AE60+AF60</f>
        <v/>
      </c>
      <c r="AH60" s="19">
        <f>MAX('Loan Tape (BoE)'!AC61,'Loan Tape (BoE)'!AD61)</f>
        <v/>
      </c>
      <c r="AI60" s="18">
        <f>'Loan Tape (BoE)'!AE61</f>
        <v/>
      </c>
      <c r="AJ60" s="18">
        <f>B60*H60/12</f>
        <v/>
      </c>
      <c r="AK60" s="21">
        <f>IF(AJ60&gt;0,AI60/AJ60,0)</f>
        <v/>
      </c>
      <c r="AL60" s="17">
        <f>IF('Loan Tape (BoE)'!AF61=1,"Yes","No")</f>
        <v/>
      </c>
      <c r="AM60" s="17">
        <f>IF('Loan Tape (BoE)'!AH61=1,"Yes","No")</f>
        <v/>
      </c>
      <c r="AN60" s="17">
        <f>IF('Loan Tape (BoE)'!AI61=1,"Yes","No")</f>
        <v/>
      </c>
      <c r="AO60" s="17">
        <f>IF('Loan Tape (BoE)'!AJ61=1,"Yes","No")</f>
        <v/>
      </c>
      <c r="AP60" s="17">
        <f>IF(OR('Loan Tape (BoE)'!AQ60=1,'Loan Tape (BoE)'!AQ60=2),"Yes",IF('Loan Tape (BoE)'!AQ60=0,"No",""))</f>
        <v/>
      </c>
      <c r="AQ60" s="17">
        <f>IF('Loan Tape (BoE)'!BV49_60&lt;&gt;"",'Loan Tape (BoE)'!BV49_60,"")</f>
        <v/>
      </c>
      <c r="AR60" s="17">
        <f>IF('Loan Tape (BoE)'!BV600_60&lt;&gt;"",'Loan Tape (BoE)'!BV50_60,"")</f>
        <v/>
      </c>
      <c r="AS60" s="17">
        <f>IFERROR(INDEX('FF Adj Parameters'!$A$103:$B$1060,MATCH('Loan Tape (BoE)'!P60,INDEX('FF Adj Parameters'!$A$103:$B$1060,,1),0),2),"Unknown")</f>
        <v/>
      </c>
      <c r="AT60" s="17">
        <f>IF(N60="Interest Only",M5*O5/12,IF(AND(O5&gt;0,ISNUMBER(O5),ISNUMBER(M5)),ABS(PMT(O5/12,AU5,-M5)),0))</f>
        <v/>
      </c>
      <c r="AU60" s="17">
        <f>IF(ISNUMBER(L60),MAX(0,(L5-'Control Panel'!$B$10)*12/365.25),0)</f>
        <v/>
      </c>
      <c r="AV60" s="17">
        <f>IF(ISNUMBER(L60),IF(L5&gt;'Control Panel'!$B$10,"Valid","Past Maturity"),"No Date")</f>
        <v/>
      </c>
      <c r="AW60" s="17">
        <f>IF(ISNUMBER(K60),MAX(0,('Control Panel'!$B$10-K5)*12/365.25),0)</f>
        <v/>
      </c>
    </row>
    <row r="61">
      <c r="A61" s="17">
        <f>'Loan Tape (BoE)'!A62</f>
        <v/>
      </c>
      <c r="B61" s="18">
        <f>IFERROR(INDEX('FF Adj Parameters'!$A$89:$B$92,MATCH('Loan Tape (BoE)'!C61,INDEX('FF Adj Parameters'!$A$89:$B$92,,1),0),2),"Unknown")</f>
        <v/>
      </c>
      <c r="C61" s="18">
        <f>'Loan Tape (BoE)'!C62</f>
        <v/>
      </c>
      <c r="D61" s="18">
        <f>'Loan Tape (BoE)'!D62</f>
        <v/>
      </c>
      <c r="E61" s="18">
        <f>'Loan Tape (BoE)'!E62</f>
        <v/>
      </c>
      <c r="F61" s="19">
        <f>'Loan Tape (BoE)'!F62</f>
        <v/>
      </c>
      <c r="G61" s="19">
        <f>'Loan Tape (BoE)'!G62</f>
        <v/>
      </c>
      <c r="H61" s="20">
        <f>'Loan Tape (BoE)'!H62/100</f>
        <v/>
      </c>
      <c r="I61" s="17">
        <f>IFERROR(IFS('Loan Tape (BoE)'!I62=1,"House",'Loan Tape (BoE)'!I62=2,"Flat",'Loan Tape (BoE)'!I62=3,"Bungalow",'Loan Tape (BoE)'!I62=4,"Maisonette"),"")</f>
        <v/>
      </c>
      <c r="J61" s="17">
        <f>'Loan Tape (BoE)'!J62</f>
        <v/>
      </c>
      <c r="K61" s="17">
        <f>'Loan Tape (BoE)'!K62</f>
        <v/>
      </c>
      <c r="L61" s="17">
        <f>IFERROR(IFS('Loan Tape (BoE)'!L62=1,"Owner Occupied",'Loan Tape (BoE)'!L62=2,"BTL",'Loan Tape (BoE)'!L62=3,"Second Home",'Loan Tape (BoE)'!L62=4,"Investment"),"")</f>
        <v/>
      </c>
      <c r="M61" s="17">
        <f>IFERROR(IFS('Loan Tape (BoE)'!M62=1,"Purchase",'Loan Tape (BoE)'!M62=2,"Remortgage",OR('Loan Tape (BoE)'!M62=3,'Loan Tape (BoE)'!M62=4),"Cash-out"),"")</f>
        <v/>
      </c>
      <c r="N61" s="17">
        <f>IFERROR(INDEX('FF Adj Parameters'!$A$96:$B$99,MATCH('Loan Tape (BoE)'!R61,INDEX('FF Adj Parameters'!$A$96:$B$99,,1),0),2),"Unknown")</f>
        <v/>
      </c>
      <c r="O61" s="17">
        <f>IF('Loan Tape (BoE)'!O62=1,"Yes","No")</f>
        <v/>
      </c>
      <c r="P61" s="17">
        <f>IF('Loan Tape (BoE)'!P61=1,"Yes",IF('Loan Tape (BoE)'!P61=0,"No",""))</f>
        <v/>
      </c>
      <c r="Q61" s="17">
        <f>IF('Loan Tape (BoE)'!Q61=1,"Yes",IF('Loan Tape (BoE)'!Q61=0,"No",""))</f>
        <v/>
      </c>
      <c r="R61" s="18">
        <f>IF('Loan Tape (BoE)'!R61=1,"Yes",IF('Loan Tape (BoE)'!R61=0,"No",""))</f>
        <v/>
      </c>
      <c r="S61" s="18">
        <f>IF('Loan Tape (BoE)'!S61=1,"Yes",IF('Loan Tape (BoE)'!S61=0,"No",""))</f>
        <v/>
      </c>
      <c r="T61" s="17">
        <f>IF('Loan Tape (BoE)'!T61=1,"Yes",IF('Loan Tape (BoE)'!T61=0,"No",""))</f>
        <v/>
      </c>
      <c r="U61" s="18">
        <f>R61+S61</f>
        <v/>
      </c>
      <c r="V61" s="17">
        <f>IFERROR(IFS('Loan Tape (BoE)'!U62=1,"Employed",'Loan Tape (BoE)'!U62=2,"Self-Employed",'Loan Tape (BoE)'!U62=3,"Unemployed",'Loan Tape (BoE)'!U62=4,"Retired"),"")</f>
        <v/>
      </c>
      <c r="W61" s="17">
        <f>IFERROR(IFS('Loan Tape (BoE)'!V62=1,"Employed",'Loan Tape (BoE)'!V62=2,"Self-Employed",'Loan Tape (BoE)'!V62=3,"Unemployed",'Loan Tape (BoE)'!V62=4,"Retired"),"")</f>
        <v/>
      </c>
      <c r="X61" s="17">
        <f>IF(OR(V61="Self-Employed",W61="Self-Employed"),"Yes","No")</f>
        <v/>
      </c>
      <c r="Y61" s="17">
        <f>'Loan Tape (BoE)'!W62</f>
        <v/>
      </c>
      <c r="Z61" s="17">
        <f>'Loan Tape (BoE)'!X62</f>
        <v/>
      </c>
      <c r="AA61" s="17">
        <f>IF(T61=1,Y61,MIN(Y61,Z61))</f>
        <v/>
      </c>
      <c r="AB61" s="17">
        <f>'Loan Tape (BoE)'!Y62</f>
        <v/>
      </c>
      <c r="AC61" s="17">
        <f>'Loan Tape (BoE)'!Z62</f>
        <v/>
      </c>
      <c r="AD61" s="17">
        <f>AB61+AC61</f>
        <v/>
      </c>
      <c r="AE61" s="18">
        <f>'Loan Tape (BoE)'!AA62</f>
        <v/>
      </c>
      <c r="AF61" s="18">
        <f>'Loan Tape (BoE)'!AB62</f>
        <v/>
      </c>
      <c r="AG61" s="18">
        <f>AE61+AF61</f>
        <v/>
      </c>
      <c r="AH61" s="19">
        <f>MAX('Loan Tape (BoE)'!AC62,'Loan Tape (BoE)'!AD62)</f>
        <v/>
      </c>
      <c r="AI61" s="18">
        <f>'Loan Tape (BoE)'!AE62</f>
        <v/>
      </c>
      <c r="AJ61" s="18">
        <f>B61*H61/12</f>
        <v/>
      </c>
      <c r="AK61" s="21">
        <f>IF(AJ61&gt;0,AI61/AJ61,0)</f>
        <v/>
      </c>
      <c r="AL61" s="17">
        <f>IF('Loan Tape (BoE)'!AF62=1,"Yes","No")</f>
        <v/>
      </c>
      <c r="AM61" s="17">
        <f>IF('Loan Tape (BoE)'!AH62=1,"Yes","No")</f>
        <v/>
      </c>
      <c r="AN61" s="17">
        <f>IF('Loan Tape (BoE)'!AI62=1,"Yes","No")</f>
        <v/>
      </c>
      <c r="AO61" s="17">
        <f>IF('Loan Tape (BoE)'!AJ62=1,"Yes","No")</f>
        <v/>
      </c>
      <c r="AP61" s="17">
        <f>IF(OR('Loan Tape (BoE)'!AQ61=1,'Loan Tape (BoE)'!AQ61=2),"Yes",IF('Loan Tape (BoE)'!AQ61=0,"No",""))</f>
        <v/>
      </c>
      <c r="AQ61" s="17">
        <f>IF('Loan Tape (BoE)'!BV49_61&lt;&gt;"",'Loan Tape (BoE)'!BV49_61,"")</f>
        <v/>
      </c>
      <c r="AR61" s="17">
        <f>IF('Loan Tape (BoE)'!BV610_61&lt;&gt;"",'Loan Tape (BoE)'!BV50_61,"")</f>
        <v/>
      </c>
      <c r="AS61" s="17">
        <f>IFERROR(INDEX('FF Adj Parameters'!$A$103:$B$1061,MATCH('Loan Tape (BoE)'!P61,INDEX('FF Adj Parameters'!$A$103:$B$1061,,1),0),2),"Unknown")</f>
        <v/>
      </c>
      <c r="AT61" s="17">
        <f>IF(N61="Interest Only",M5*O5/12,IF(AND(O5&gt;0,ISNUMBER(O5),ISNUMBER(M5)),ABS(PMT(O5/12,AU5,-M5)),0))</f>
        <v/>
      </c>
      <c r="AU61" s="17">
        <f>IF(ISNUMBER(L61),MAX(0,(L5-'Control Panel'!$B$10)*12/365.25),0)</f>
        <v/>
      </c>
      <c r="AV61" s="17">
        <f>IF(ISNUMBER(L61),IF(L5&gt;'Control Panel'!$B$10,"Valid","Past Maturity"),"No Date")</f>
        <v/>
      </c>
      <c r="AW61" s="17">
        <f>IF(ISNUMBER(K61),MAX(0,('Control Panel'!$B$10-K5)*12/365.25),0)</f>
        <v/>
      </c>
    </row>
    <row r="62">
      <c r="A62" s="17">
        <f>'Loan Tape (BoE)'!A63</f>
        <v/>
      </c>
      <c r="B62" s="18">
        <f>IFERROR(INDEX('FF Adj Parameters'!$A$89:$B$92,MATCH('Loan Tape (BoE)'!C62,INDEX('FF Adj Parameters'!$A$89:$B$92,,1),0),2),"Unknown")</f>
        <v/>
      </c>
      <c r="C62" s="18">
        <f>'Loan Tape (BoE)'!C63</f>
        <v/>
      </c>
      <c r="D62" s="18">
        <f>'Loan Tape (BoE)'!D63</f>
        <v/>
      </c>
      <c r="E62" s="18">
        <f>'Loan Tape (BoE)'!E63</f>
        <v/>
      </c>
      <c r="F62" s="19">
        <f>'Loan Tape (BoE)'!F63</f>
        <v/>
      </c>
      <c r="G62" s="19">
        <f>'Loan Tape (BoE)'!G63</f>
        <v/>
      </c>
      <c r="H62" s="20">
        <f>'Loan Tape (BoE)'!H63/100</f>
        <v/>
      </c>
      <c r="I62" s="17">
        <f>IFERROR(IFS('Loan Tape (BoE)'!I63=1,"House",'Loan Tape (BoE)'!I63=2,"Flat",'Loan Tape (BoE)'!I63=3,"Bungalow",'Loan Tape (BoE)'!I63=4,"Maisonette"),"")</f>
        <v/>
      </c>
      <c r="J62" s="17">
        <f>'Loan Tape (BoE)'!J63</f>
        <v/>
      </c>
      <c r="K62" s="17">
        <f>'Loan Tape (BoE)'!K63</f>
        <v/>
      </c>
      <c r="L62" s="17">
        <f>IFERROR(IFS('Loan Tape (BoE)'!L63=1,"Owner Occupied",'Loan Tape (BoE)'!L63=2,"BTL",'Loan Tape (BoE)'!L63=3,"Second Home",'Loan Tape (BoE)'!L63=4,"Investment"),"")</f>
        <v/>
      </c>
      <c r="M62" s="17">
        <f>IFERROR(IFS('Loan Tape (BoE)'!M63=1,"Purchase",'Loan Tape (BoE)'!M63=2,"Remortgage",OR('Loan Tape (BoE)'!M63=3,'Loan Tape (BoE)'!M63=4),"Cash-out"),"")</f>
        <v/>
      </c>
      <c r="N62" s="17">
        <f>IFERROR(INDEX('FF Adj Parameters'!$A$96:$B$99,MATCH('Loan Tape (BoE)'!R62,INDEX('FF Adj Parameters'!$A$96:$B$99,,1),0),2),"Unknown")</f>
        <v/>
      </c>
      <c r="O62" s="17">
        <f>IF('Loan Tape (BoE)'!O63=1,"Yes","No")</f>
        <v/>
      </c>
      <c r="P62" s="17">
        <f>IF('Loan Tape (BoE)'!P62=1,"Yes",IF('Loan Tape (BoE)'!P62=0,"No",""))</f>
        <v/>
      </c>
      <c r="Q62" s="17">
        <f>IF('Loan Tape (BoE)'!Q62=1,"Yes",IF('Loan Tape (BoE)'!Q62=0,"No",""))</f>
        <v/>
      </c>
      <c r="R62" s="18">
        <f>IF('Loan Tape (BoE)'!R62=1,"Yes",IF('Loan Tape (BoE)'!R62=0,"No",""))</f>
        <v/>
      </c>
      <c r="S62" s="18">
        <f>IF('Loan Tape (BoE)'!S62=1,"Yes",IF('Loan Tape (BoE)'!S62=0,"No",""))</f>
        <v/>
      </c>
      <c r="T62" s="17">
        <f>IF('Loan Tape (BoE)'!T62=1,"Yes",IF('Loan Tape (BoE)'!T62=0,"No",""))</f>
        <v/>
      </c>
      <c r="U62" s="18">
        <f>R62+S62</f>
        <v/>
      </c>
      <c r="V62" s="17">
        <f>IFERROR(IFS('Loan Tape (BoE)'!U63=1,"Employed",'Loan Tape (BoE)'!U63=2,"Self-Employed",'Loan Tape (BoE)'!U63=3,"Unemployed",'Loan Tape (BoE)'!U63=4,"Retired"),"")</f>
        <v/>
      </c>
      <c r="W62" s="17">
        <f>IFERROR(IFS('Loan Tape (BoE)'!V63=1,"Employed",'Loan Tape (BoE)'!V63=2,"Self-Employed",'Loan Tape (BoE)'!V63=3,"Unemployed",'Loan Tape (BoE)'!V63=4,"Retired"),"")</f>
        <v/>
      </c>
      <c r="X62" s="17">
        <f>IF(OR(V62="Self-Employed",W62="Self-Employed"),"Yes","No")</f>
        <v/>
      </c>
      <c r="Y62" s="17">
        <f>'Loan Tape (BoE)'!W63</f>
        <v/>
      </c>
      <c r="Z62" s="17">
        <f>'Loan Tape (BoE)'!X63</f>
        <v/>
      </c>
      <c r="AA62" s="17">
        <f>IF(T62=1,Y62,MIN(Y62,Z62))</f>
        <v/>
      </c>
      <c r="AB62" s="17">
        <f>'Loan Tape (BoE)'!Y63</f>
        <v/>
      </c>
      <c r="AC62" s="17">
        <f>'Loan Tape (BoE)'!Z63</f>
        <v/>
      </c>
      <c r="AD62" s="17">
        <f>AB62+AC62</f>
        <v/>
      </c>
      <c r="AE62" s="18">
        <f>'Loan Tape (BoE)'!AA63</f>
        <v/>
      </c>
      <c r="AF62" s="18">
        <f>'Loan Tape (BoE)'!AB63</f>
        <v/>
      </c>
      <c r="AG62" s="18">
        <f>AE62+AF62</f>
        <v/>
      </c>
      <c r="AH62" s="19">
        <f>MAX('Loan Tape (BoE)'!AC63,'Loan Tape (BoE)'!AD63)</f>
        <v/>
      </c>
      <c r="AI62" s="18">
        <f>'Loan Tape (BoE)'!AE63</f>
        <v/>
      </c>
      <c r="AJ62" s="18">
        <f>B62*H62/12</f>
        <v/>
      </c>
      <c r="AK62" s="21">
        <f>IF(AJ62&gt;0,AI62/AJ62,0)</f>
        <v/>
      </c>
      <c r="AL62" s="17">
        <f>IF('Loan Tape (BoE)'!AF63=1,"Yes","No")</f>
        <v/>
      </c>
      <c r="AM62" s="17">
        <f>IF('Loan Tape (BoE)'!AH63=1,"Yes","No")</f>
        <v/>
      </c>
      <c r="AN62" s="17">
        <f>IF('Loan Tape (BoE)'!AI63=1,"Yes","No")</f>
        <v/>
      </c>
      <c r="AO62" s="17">
        <f>IF('Loan Tape (BoE)'!AJ63=1,"Yes","No")</f>
        <v/>
      </c>
      <c r="AP62" s="17">
        <f>IF(OR('Loan Tape (BoE)'!AQ62=1,'Loan Tape (BoE)'!AQ62=2),"Yes",IF('Loan Tape (BoE)'!AQ62=0,"No",""))</f>
        <v/>
      </c>
      <c r="AQ62" s="17">
        <f>IF('Loan Tape (BoE)'!BV49_62&lt;&gt;"",'Loan Tape (BoE)'!BV49_62,"")</f>
        <v/>
      </c>
      <c r="AR62" s="17">
        <f>IF('Loan Tape (BoE)'!BV620_62&lt;&gt;"",'Loan Tape (BoE)'!BV50_62,"")</f>
        <v/>
      </c>
      <c r="AS62" s="17">
        <f>IFERROR(INDEX('FF Adj Parameters'!$A$103:$B$1062,MATCH('Loan Tape (BoE)'!P62,INDEX('FF Adj Parameters'!$A$103:$B$1062,,1),0),2),"Unknown")</f>
        <v/>
      </c>
      <c r="AT62" s="17">
        <f>IF(N62="Interest Only",M5*O5/12,IF(AND(O5&gt;0,ISNUMBER(O5),ISNUMBER(M5)),ABS(PMT(O5/12,AU5,-M5)),0))</f>
        <v/>
      </c>
      <c r="AU62" s="17">
        <f>IF(ISNUMBER(L62),MAX(0,(L5-'Control Panel'!$B$10)*12/365.25),0)</f>
        <v/>
      </c>
      <c r="AV62" s="17">
        <f>IF(ISNUMBER(L62),IF(L5&gt;'Control Panel'!$B$10,"Valid","Past Maturity"),"No Date")</f>
        <v/>
      </c>
      <c r="AW62" s="17">
        <f>IF(ISNUMBER(K62),MAX(0,('Control Panel'!$B$10-K5)*12/365.25),0)</f>
        <v/>
      </c>
    </row>
    <row r="63">
      <c r="A63" s="17">
        <f>'Loan Tape (BoE)'!A64</f>
        <v/>
      </c>
      <c r="B63" s="18">
        <f>IFERROR(INDEX('FF Adj Parameters'!$A$89:$B$92,MATCH('Loan Tape (BoE)'!C63,INDEX('FF Adj Parameters'!$A$89:$B$92,,1),0),2),"Unknown")</f>
        <v/>
      </c>
      <c r="C63" s="18">
        <f>'Loan Tape (BoE)'!C64</f>
        <v/>
      </c>
      <c r="D63" s="18">
        <f>'Loan Tape (BoE)'!D64</f>
        <v/>
      </c>
      <c r="E63" s="18">
        <f>'Loan Tape (BoE)'!E64</f>
        <v/>
      </c>
      <c r="F63" s="19">
        <f>'Loan Tape (BoE)'!F64</f>
        <v/>
      </c>
      <c r="G63" s="19">
        <f>'Loan Tape (BoE)'!G64</f>
        <v/>
      </c>
      <c r="H63" s="20">
        <f>'Loan Tape (BoE)'!H64/100</f>
        <v/>
      </c>
      <c r="I63" s="17">
        <f>IFERROR(IFS('Loan Tape (BoE)'!I64=1,"House",'Loan Tape (BoE)'!I64=2,"Flat",'Loan Tape (BoE)'!I64=3,"Bungalow",'Loan Tape (BoE)'!I64=4,"Maisonette"),"")</f>
        <v/>
      </c>
      <c r="J63" s="17">
        <f>'Loan Tape (BoE)'!J64</f>
        <v/>
      </c>
      <c r="K63" s="17">
        <f>'Loan Tape (BoE)'!K64</f>
        <v/>
      </c>
      <c r="L63" s="17">
        <f>IFERROR(IFS('Loan Tape (BoE)'!L64=1,"Owner Occupied",'Loan Tape (BoE)'!L64=2,"BTL",'Loan Tape (BoE)'!L64=3,"Second Home",'Loan Tape (BoE)'!L64=4,"Investment"),"")</f>
        <v/>
      </c>
      <c r="M63" s="17">
        <f>IFERROR(IFS('Loan Tape (BoE)'!M64=1,"Purchase",'Loan Tape (BoE)'!M64=2,"Remortgage",OR('Loan Tape (BoE)'!M64=3,'Loan Tape (BoE)'!M64=4),"Cash-out"),"")</f>
        <v/>
      </c>
      <c r="N63" s="17">
        <f>IFERROR(INDEX('FF Adj Parameters'!$A$96:$B$99,MATCH('Loan Tape (BoE)'!R63,INDEX('FF Adj Parameters'!$A$96:$B$99,,1),0),2),"Unknown")</f>
        <v/>
      </c>
      <c r="O63" s="17">
        <f>IF('Loan Tape (BoE)'!O64=1,"Yes","No")</f>
        <v/>
      </c>
      <c r="P63" s="17">
        <f>IF('Loan Tape (BoE)'!P63=1,"Yes",IF('Loan Tape (BoE)'!P63=0,"No",""))</f>
        <v/>
      </c>
      <c r="Q63" s="17">
        <f>IF('Loan Tape (BoE)'!Q63=1,"Yes",IF('Loan Tape (BoE)'!Q63=0,"No",""))</f>
        <v/>
      </c>
      <c r="R63" s="18">
        <f>IF('Loan Tape (BoE)'!R63=1,"Yes",IF('Loan Tape (BoE)'!R63=0,"No",""))</f>
        <v/>
      </c>
      <c r="S63" s="18">
        <f>IF('Loan Tape (BoE)'!S63=1,"Yes",IF('Loan Tape (BoE)'!S63=0,"No",""))</f>
        <v/>
      </c>
      <c r="T63" s="17">
        <f>IF('Loan Tape (BoE)'!T63=1,"Yes",IF('Loan Tape (BoE)'!T63=0,"No",""))</f>
        <v/>
      </c>
      <c r="U63" s="18">
        <f>R63+S63</f>
        <v/>
      </c>
      <c r="V63" s="17">
        <f>IFERROR(IFS('Loan Tape (BoE)'!U64=1,"Employed",'Loan Tape (BoE)'!U64=2,"Self-Employed",'Loan Tape (BoE)'!U64=3,"Unemployed",'Loan Tape (BoE)'!U64=4,"Retired"),"")</f>
        <v/>
      </c>
      <c r="W63" s="17">
        <f>IFERROR(IFS('Loan Tape (BoE)'!V64=1,"Employed",'Loan Tape (BoE)'!V64=2,"Self-Employed",'Loan Tape (BoE)'!V64=3,"Unemployed",'Loan Tape (BoE)'!V64=4,"Retired"),"")</f>
        <v/>
      </c>
      <c r="X63" s="17">
        <f>IF(OR(V63="Self-Employed",W63="Self-Employed"),"Yes","No")</f>
        <v/>
      </c>
      <c r="Y63" s="17">
        <f>'Loan Tape (BoE)'!W64</f>
        <v/>
      </c>
      <c r="Z63" s="17">
        <f>'Loan Tape (BoE)'!X64</f>
        <v/>
      </c>
      <c r="AA63" s="17">
        <f>IF(T63=1,Y63,MIN(Y63,Z63))</f>
        <v/>
      </c>
      <c r="AB63" s="17">
        <f>'Loan Tape (BoE)'!Y64</f>
        <v/>
      </c>
      <c r="AC63" s="17">
        <f>'Loan Tape (BoE)'!Z64</f>
        <v/>
      </c>
      <c r="AD63" s="17">
        <f>AB63+AC63</f>
        <v/>
      </c>
      <c r="AE63" s="18">
        <f>'Loan Tape (BoE)'!AA64</f>
        <v/>
      </c>
      <c r="AF63" s="18">
        <f>'Loan Tape (BoE)'!AB64</f>
        <v/>
      </c>
      <c r="AG63" s="18">
        <f>AE63+AF63</f>
        <v/>
      </c>
      <c r="AH63" s="19">
        <f>MAX('Loan Tape (BoE)'!AC64,'Loan Tape (BoE)'!AD64)</f>
        <v/>
      </c>
      <c r="AI63" s="18">
        <f>'Loan Tape (BoE)'!AE64</f>
        <v/>
      </c>
      <c r="AJ63" s="18">
        <f>B63*H63/12</f>
        <v/>
      </c>
      <c r="AK63" s="21">
        <f>IF(AJ63&gt;0,AI63/AJ63,0)</f>
        <v/>
      </c>
      <c r="AL63" s="17">
        <f>IF('Loan Tape (BoE)'!AF64=1,"Yes","No")</f>
        <v/>
      </c>
      <c r="AM63" s="17">
        <f>IF('Loan Tape (BoE)'!AH64=1,"Yes","No")</f>
        <v/>
      </c>
      <c r="AN63" s="17">
        <f>IF('Loan Tape (BoE)'!AI64=1,"Yes","No")</f>
        <v/>
      </c>
      <c r="AO63" s="17">
        <f>IF('Loan Tape (BoE)'!AJ64=1,"Yes","No")</f>
        <v/>
      </c>
      <c r="AP63" s="17">
        <f>IF(OR('Loan Tape (BoE)'!AQ63=1,'Loan Tape (BoE)'!AQ63=2),"Yes",IF('Loan Tape (BoE)'!AQ63=0,"No",""))</f>
        <v/>
      </c>
      <c r="AQ63" s="17">
        <f>IF('Loan Tape (BoE)'!BV49_63&lt;&gt;"",'Loan Tape (BoE)'!BV49_63,"")</f>
        <v/>
      </c>
      <c r="AR63" s="17">
        <f>IF('Loan Tape (BoE)'!BV630_63&lt;&gt;"",'Loan Tape (BoE)'!BV50_63,"")</f>
        <v/>
      </c>
      <c r="AS63" s="17">
        <f>IFERROR(INDEX('FF Adj Parameters'!$A$103:$B$1063,MATCH('Loan Tape (BoE)'!P63,INDEX('FF Adj Parameters'!$A$103:$B$1063,,1),0),2),"Unknown")</f>
        <v/>
      </c>
      <c r="AT63" s="17">
        <f>IF(N63="Interest Only",M5*O5/12,IF(AND(O5&gt;0,ISNUMBER(O5),ISNUMBER(M5)),ABS(PMT(O5/12,AU5,-M5)),0))</f>
        <v/>
      </c>
      <c r="AU63" s="17">
        <f>IF(ISNUMBER(L63),MAX(0,(L5-'Control Panel'!$B$10)*12/365.25),0)</f>
        <v/>
      </c>
      <c r="AV63" s="17">
        <f>IF(ISNUMBER(L63),IF(L5&gt;'Control Panel'!$B$10,"Valid","Past Maturity"),"No Date")</f>
        <v/>
      </c>
      <c r="AW63" s="17">
        <f>IF(ISNUMBER(K63),MAX(0,('Control Panel'!$B$10-K5)*12/365.25),0)</f>
        <v/>
      </c>
    </row>
    <row r="64">
      <c r="A64" s="17">
        <f>'Loan Tape (BoE)'!A65</f>
        <v/>
      </c>
      <c r="B64" s="18">
        <f>IFERROR(INDEX('FF Adj Parameters'!$A$89:$B$92,MATCH('Loan Tape (BoE)'!C64,INDEX('FF Adj Parameters'!$A$89:$B$92,,1),0),2),"Unknown")</f>
        <v/>
      </c>
      <c r="C64" s="18">
        <f>'Loan Tape (BoE)'!C65</f>
        <v/>
      </c>
      <c r="D64" s="18">
        <f>'Loan Tape (BoE)'!D65</f>
        <v/>
      </c>
      <c r="E64" s="18">
        <f>'Loan Tape (BoE)'!E65</f>
        <v/>
      </c>
      <c r="F64" s="19">
        <f>'Loan Tape (BoE)'!F65</f>
        <v/>
      </c>
      <c r="G64" s="19">
        <f>'Loan Tape (BoE)'!G65</f>
        <v/>
      </c>
      <c r="H64" s="20">
        <f>'Loan Tape (BoE)'!H65/100</f>
        <v/>
      </c>
      <c r="I64" s="17">
        <f>IFERROR(IFS('Loan Tape (BoE)'!I65=1,"House",'Loan Tape (BoE)'!I65=2,"Flat",'Loan Tape (BoE)'!I65=3,"Bungalow",'Loan Tape (BoE)'!I65=4,"Maisonette"),"")</f>
        <v/>
      </c>
      <c r="J64" s="17">
        <f>'Loan Tape (BoE)'!J65</f>
        <v/>
      </c>
      <c r="K64" s="17">
        <f>'Loan Tape (BoE)'!K65</f>
        <v/>
      </c>
      <c r="L64" s="17">
        <f>IFERROR(IFS('Loan Tape (BoE)'!L65=1,"Owner Occupied",'Loan Tape (BoE)'!L65=2,"BTL",'Loan Tape (BoE)'!L65=3,"Second Home",'Loan Tape (BoE)'!L65=4,"Investment"),"")</f>
        <v/>
      </c>
      <c r="M64" s="17">
        <f>IFERROR(IFS('Loan Tape (BoE)'!M65=1,"Purchase",'Loan Tape (BoE)'!M65=2,"Remortgage",OR('Loan Tape (BoE)'!M65=3,'Loan Tape (BoE)'!M65=4),"Cash-out"),"")</f>
        <v/>
      </c>
      <c r="N64" s="17">
        <f>IFERROR(INDEX('FF Adj Parameters'!$A$96:$B$99,MATCH('Loan Tape (BoE)'!R64,INDEX('FF Adj Parameters'!$A$96:$B$99,,1),0),2),"Unknown")</f>
        <v/>
      </c>
      <c r="O64" s="17">
        <f>IF('Loan Tape (BoE)'!O65=1,"Yes","No")</f>
        <v/>
      </c>
      <c r="P64" s="17">
        <f>IF('Loan Tape (BoE)'!P64=1,"Yes",IF('Loan Tape (BoE)'!P64=0,"No",""))</f>
        <v/>
      </c>
      <c r="Q64" s="17">
        <f>IF('Loan Tape (BoE)'!Q64=1,"Yes",IF('Loan Tape (BoE)'!Q64=0,"No",""))</f>
        <v/>
      </c>
      <c r="R64" s="18">
        <f>IF('Loan Tape (BoE)'!R64=1,"Yes",IF('Loan Tape (BoE)'!R64=0,"No",""))</f>
        <v/>
      </c>
      <c r="S64" s="18">
        <f>IF('Loan Tape (BoE)'!S64=1,"Yes",IF('Loan Tape (BoE)'!S64=0,"No",""))</f>
        <v/>
      </c>
      <c r="T64" s="17">
        <f>IF('Loan Tape (BoE)'!T64=1,"Yes",IF('Loan Tape (BoE)'!T64=0,"No",""))</f>
        <v/>
      </c>
      <c r="U64" s="18">
        <f>R64+S64</f>
        <v/>
      </c>
      <c r="V64" s="17">
        <f>IFERROR(IFS('Loan Tape (BoE)'!U65=1,"Employed",'Loan Tape (BoE)'!U65=2,"Self-Employed",'Loan Tape (BoE)'!U65=3,"Unemployed",'Loan Tape (BoE)'!U65=4,"Retired"),"")</f>
        <v/>
      </c>
      <c r="W64" s="17">
        <f>IFERROR(IFS('Loan Tape (BoE)'!V65=1,"Employed",'Loan Tape (BoE)'!V65=2,"Self-Employed",'Loan Tape (BoE)'!V65=3,"Unemployed",'Loan Tape (BoE)'!V65=4,"Retired"),"")</f>
        <v/>
      </c>
      <c r="X64" s="17">
        <f>IF(OR(V64="Self-Employed",W64="Self-Employed"),"Yes","No")</f>
        <v/>
      </c>
      <c r="Y64" s="17">
        <f>'Loan Tape (BoE)'!W65</f>
        <v/>
      </c>
      <c r="Z64" s="17">
        <f>'Loan Tape (BoE)'!X65</f>
        <v/>
      </c>
      <c r="AA64" s="17">
        <f>IF(T64=1,Y64,MIN(Y64,Z64))</f>
        <v/>
      </c>
      <c r="AB64" s="17">
        <f>'Loan Tape (BoE)'!Y65</f>
        <v/>
      </c>
      <c r="AC64" s="17">
        <f>'Loan Tape (BoE)'!Z65</f>
        <v/>
      </c>
      <c r="AD64" s="17">
        <f>AB64+AC64</f>
        <v/>
      </c>
      <c r="AE64" s="18">
        <f>'Loan Tape (BoE)'!AA65</f>
        <v/>
      </c>
      <c r="AF64" s="18">
        <f>'Loan Tape (BoE)'!AB65</f>
        <v/>
      </c>
      <c r="AG64" s="18">
        <f>AE64+AF64</f>
        <v/>
      </c>
      <c r="AH64" s="19">
        <f>MAX('Loan Tape (BoE)'!AC65,'Loan Tape (BoE)'!AD65)</f>
        <v/>
      </c>
      <c r="AI64" s="18">
        <f>'Loan Tape (BoE)'!AE65</f>
        <v/>
      </c>
      <c r="AJ64" s="18">
        <f>B64*H64/12</f>
        <v/>
      </c>
      <c r="AK64" s="21">
        <f>IF(AJ64&gt;0,AI64/AJ64,0)</f>
        <v/>
      </c>
      <c r="AL64" s="17">
        <f>IF('Loan Tape (BoE)'!AF65=1,"Yes","No")</f>
        <v/>
      </c>
      <c r="AM64" s="17">
        <f>IF('Loan Tape (BoE)'!AH65=1,"Yes","No")</f>
        <v/>
      </c>
      <c r="AN64" s="17">
        <f>IF('Loan Tape (BoE)'!AI65=1,"Yes","No")</f>
        <v/>
      </c>
      <c r="AO64" s="17">
        <f>IF('Loan Tape (BoE)'!AJ65=1,"Yes","No")</f>
        <v/>
      </c>
      <c r="AP64" s="17">
        <f>IF(OR('Loan Tape (BoE)'!AQ64=1,'Loan Tape (BoE)'!AQ64=2),"Yes",IF('Loan Tape (BoE)'!AQ64=0,"No",""))</f>
        <v/>
      </c>
      <c r="AQ64" s="17">
        <f>IF('Loan Tape (BoE)'!BV49_64&lt;&gt;"",'Loan Tape (BoE)'!BV49_64,"")</f>
        <v/>
      </c>
      <c r="AR64" s="17">
        <f>IF('Loan Tape (BoE)'!BV640_64&lt;&gt;"",'Loan Tape (BoE)'!BV50_64,"")</f>
        <v/>
      </c>
      <c r="AS64" s="17">
        <f>IFERROR(INDEX('FF Adj Parameters'!$A$103:$B$1064,MATCH('Loan Tape (BoE)'!P64,INDEX('FF Adj Parameters'!$A$103:$B$1064,,1),0),2),"Unknown")</f>
        <v/>
      </c>
      <c r="AT64" s="17">
        <f>IF(N64="Interest Only",M5*O5/12,IF(AND(O5&gt;0,ISNUMBER(O5),ISNUMBER(M5)),ABS(PMT(O5/12,AU5,-M5)),0))</f>
        <v/>
      </c>
      <c r="AU64" s="17">
        <f>IF(ISNUMBER(L64),MAX(0,(L5-'Control Panel'!$B$10)*12/365.25),0)</f>
        <v/>
      </c>
      <c r="AV64" s="17">
        <f>IF(ISNUMBER(L64),IF(L5&gt;'Control Panel'!$B$10,"Valid","Past Maturity"),"No Date")</f>
        <v/>
      </c>
      <c r="AW64" s="17">
        <f>IF(ISNUMBER(K64),MAX(0,('Control Panel'!$B$10-K5)*12/365.25),0)</f>
        <v/>
      </c>
    </row>
    <row r="65">
      <c r="A65" s="17">
        <f>'Loan Tape (BoE)'!A66</f>
        <v/>
      </c>
      <c r="B65" s="18">
        <f>IFERROR(INDEX('FF Adj Parameters'!$A$89:$B$92,MATCH('Loan Tape (BoE)'!C65,INDEX('FF Adj Parameters'!$A$89:$B$92,,1),0),2),"Unknown")</f>
        <v/>
      </c>
      <c r="C65" s="18">
        <f>'Loan Tape (BoE)'!C66</f>
        <v/>
      </c>
      <c r="D65" s="18">
        <f>'Loan Tape (BoE)'!D66</f>
        <v/>
      </c>
      <c r="E65" s="18">
        <f>'Loan Tape (BoE)'!E66</f>
        <v/>
      </c>
      <c r="F65" s="19">
        <f>'Loan Tape (BoE)'!F66</f>
        <v/>
      </c>
      <c r="G65" s="19">
        <f>'Loan Tape (BoE)'!G66</f>
        <v/>
      </c>
      <c r="H65" s="20">
        <f>'Loan Tape (BoE)'!H66/100</f>
        <v/>
      </c>
      <c r="I65" s="17">
        <f>IFERROR(IFS('Loan Tape (BoE)'!I66=1,"House",'Loan Tape (BoE)'!I66=2,"Flat",'Loan Tape (BoE)'!I66=3,"Bungalow",'Loan Tape (BoE)'!I66=4,"Maisonette"),"")</f>
        <v/>
      </c>
      <c r="J65" s="17">
        <f>'Loan Tape (BoE)'!J66</f>
        <v/>
      </c>
      <c r="K65" s="17">
        <f>'Loan Tape (BoE)'!K66</f>
        <v/>
      </c>
      <c r="L65" s="17">
        <f>IFERROR(IFS('Loan Tape (BoE)'!L66=1,"Owner Occupied",'Loan Tape (BoE)'!L66=2,"BTL",'Loan Tape (BoE)'!L66=3,"Second Home",'Loan Tape (BoE)'!L66=4,"Investment"),"")</f>
        <v/>
      </c>
      <c r="M65" s="17">
        <f>IFERROR(IFS('Loan Tape (BoE)'!M66=1,"Purchase",'Loan Tape (BoE)'!M66=2,"Remortgage",OR('Loan Tape (BoE)'!M66=3,'Loan Tape (BoE)'!M66=4),"Cash-out"),"")</f>
        <v/>
      </c>
      <c r="N65" s="17">
        <f>IFERROR(INDEX('FF Adj Parameters'!$A$96:$B$99,MATCH('Loan Tape (BoE)'!R65,INDEX('FF Adj Parameters'!$A$96:$B$99,,1),0),2),"Unknown")</f>
        <v/>
      </c>
      <c r="O65" s="17">
        <f>IF('Loan Tape (BoE)'!O66=1,"Yes","No")</f>
        <v/>
      </c>
      <c r="P65" s="17">
        <f>IF('Loan Tape (BoE)'!P65=1,"Yes",IF('Loan Tape (BoE)'!P65=0,"No",""))</f>
        <v/>
      </c>
      <c r="Q65" s="17">
        <f>IF('Loan Tape (BoE)'!Q65=1,"Yes",IF('Loan Tape (BoE)'!Q65=0,"No",""))</f>
        <v/>
      </c>
      <c r="R65" s="18">
        <f>IF('Loan Tape (BoE)'!R65=1,"Yes",IF('Loan Tape (BoE)'!R65=0,"No",""))</f>
        <v/>
      </c>
      <c r="S65" s="18">
        <f>IF('Loan Tape (BoE)'!S65=1,"Yes",IF('Loan Tape (BoE)'!S65=0,"No",""))</f>
        <v/>
      </c>
      <c r="T65" s="17">
        <f>IF('Loan Tape (BoE)'!T65=1,"Yes",IF('Loan Tape (BoE)'!T65=0,"No",""))</f>
        <v/>
      </c>
      <c r="U65" s="18">
        <f>R65+S65</f>
        <v/>
      </c>
      <c r="V65" s="17">
        <f>IFERROR(IFS('Loan Tape (BoE)'!U66=1,"Employed",'Loan Tape (BoE)'!U66=2,"Self-Employed",'Loan Tape (BoE)'!U66=3,"Unemployed",'Loan Tape (BoE)'!U66=4,"Retired"),"")</f>
        <v/>
      </c>
      <c r="W65" s="17">
        <f>IFERROR(IFS('Loan Tape (BoE)'!V66=1,"Employed",'Loan Tape (BoE)'!V66=2,"Self-Employed",'Loan Tape (BoE)'!V66=3,"Unemployed",'Loan Tape (BoE)'!V66=4,"Retired"),"")</f>
        <v/>
      </c>
      <c r="X65" s="17">
        <f>IF(OR(V65="Self-Employed",W65="Self-Employed"),"Yes","No")</f>
        <v/>
      </c>
      <c r="Y65" s="17">
        <f>'Loan Tape (BoE)'!W66</f>
        <v/>
      </c>
      <c r="Z65" s="17">
        <f>'Loan Tape (BoE)'!X66</f>
        <v/>
      </c>
      <c r="AA65" s="17">
        <f>IF(T65=1,Y65,MIN(Y65,Z65))</f>
        <v/>
      </c>
      <c r="AB65" s="17">
        <f>'Loan Tape (BoE)'!Y66</f>
        <v/>
      </c>
      <c r="AC65" s="17">
        <f>'Loan Tape (BoE)'!Z66</f>
        <v/>
      </c>
      <c r="AD65" s="17">
        <f>AB65+AC65</f>
        <v/>
      </c>
      <c r="AE65" s="18">
        <f>'Loan Tape (BoE)'!AA66</f>
        <v/>
      </c>
      <c r="AF65" s="18">
        <f>'Loan Tape (BoE)'!AB66</f>
        <v/>
      </c>
      <c r="AG65" s="18">
        <f>AE65+AF65</f>
        <v/>
      </c>
      <c r="AH65" s="19">
        <f>MAX('Loan Tape (BoE)'!AC66,'Loan Tape (BoE)'!AD66)</f>
        <v/>
      </c>
      <c r="AI65" s="18">
        <f>'Loan Tape (BoE)'!AE66</f>
        <v/>
      </c>
      <c r="AJ65" s="18">
        <f>B65*H65/12</f>
        <v/>
      </c>
      <c r="AK65" s="21">
        <f>IF(AJ65&gt;0,AI65/AJ65,0)</f>
        <v/>
      </c>
      <c r="AL65" s="17">
        <f>IF('Loan Tape (BoE)'!AF66=1,"Yes","No")</f>
        <v/>
      </c>
      <c r="AM65" s="17">
        <f>IF('Loan Tape (BoE)'!AH66=1,"Yes","No")</f>
        <v/>
      </c>
      <c r="AN65" s="17">
        <f>IF('Loan Tape (BoE)'!AI66=1,"Yes","No")</f>
        <v/>
      </c>
      <c r="AO65" s="17">
        <f>IF('Loan Tape (BoE)'!AJ66=1,"Yes","No")</f>
        <v/>
      </c>
      <c r="AP65" s="17">
        <f>IF(OR('Loan Tape (BoE)'!AQ65=1,'Loan Tape (BoE)'!AQ65=2),"Yes",IF('Loan Tape (BoE)'!AQ65=0,"No",""))</f>
        <v/>
      </c>
      <c r="AQ65" s="17">
        <f>IF('Loan Tape (BoE)'!BV49_665&lt;&gt;"",'Loan Tape (BoE)'!BV49_65,"")</f>
        <v/>
      </c>
      <c r="AR65" s="17">
        <f>IF('Loan Tape (BoE)'!BV650_65&lt;&gt;"",'Loan Tape (BoE)'!BV50_65,"")</f>
        <v/>
      </c>
      <c r="AS65" s="17">
        <f>IFERROR(INDEX('FF Adj Parameters'!$A$103:$B$1065,MATCH('Loan Tape (BoE)'!P65,INDEX('FF Adj Parameters'!$A$103:$B$1065,,1),0),2),"Unknown")</f>
        <v/>
      </c>
      <c r="AT65" s="17">
        <f>IF(N65="Interest Only",M5*O5/12,IF(AND(O5&gt;0,ISNUMBER(O5),ISNUMBER(M5)),ABS(PMT(O5/12,AU5,-M5)),0))</f>
        <v/>
      </c>
      <c r="AU65" s="17">
        <f>IF(ISNUMBER(L65),MAX(0,(L5-'Control Panel'!$B$10)*12/365.25),0)</f>
        <v/>
      </c>
      <c r="AV65" s="17">
        <f>IF(ISNUMBER(L65),IF(L5&gt;'Control Panel'!$B$10,"Valid","Past Maturity"),"No Date")</f>
        <v/>
      </c>
      <c r="AW65" s="17">
        <f>IF(ISNUMBER(K65),MAX(0,('Control Panel'!$B$10-K5)*12/365.25),0)</f>
        <v/>
      </c>
    </row>
    <row r="66">
      <c r="A66" s="17">
        <f>'Loan Tape (BoE)'!A67</f>
        <v/>
      </c>
      <c r="B66" s="18">
        <f>IFERROR(INDEX('FF Adj Parameters'!$A$89:$B$92,MATCH('Loan Tape (BoE)'!C66,INDEX('FF Adj Parameters'!$A$89:$B$92,,1),0),2),"Unknown")</f>
        <v/>
      </c>
      <c r="C66" s="18">
        <f>'Loan Tape (BoE)'!C67</f>
        <v/>
      </c>
      <c r="D66" s="18">
        <f>'Loan Tape (BoE)'!D67</f>
        <v/>
      </c>
      <c r="E66" s="18">
        <f>'Loan Tape (BoE)'!E67</f>
        <v/>
      </c>
      <c r="F66" s="19">
        <f>'Loan Tape (BoE)'!F67</f>
        <v/>
      </c>
      <c r="G66" s="19">
        <f>'Loan Tape (BoE)'!G67</f>
        <v/>
      </c>
      <c r="H66" s="20">
        <f>'Loan Tape (BoE)'!H67/100</f>
        <v/>
      </c>
      <c r="I66" s="17">
        <f>IFERROR(IFS('Loan Tape (BoE)'!I67=1,"House",'Loan Tape (BoE)'!I67=2,"Flat",'Loan Tape (BoE)'!I67=3,"Bungalow",'Loan Tape (BoE)'!I67=4,"Maisonette"),"")</f>
        <v/>
      </c>
      <c r="J66" s="17">
        <f>'Loan Tape (BoE)'!J67</f>
        <v/>
      </c>
      <c r="K66" s="17">
        <f>'Loan Tape (BoE)'!K67</f>
        <v/>
      </c>
      <c r="L66" s="17">
        <f>IFERROR(IFS('Loan Tape (BoE)'!L67=1,"Owner Occupied",'Loan Tape (BoE)'!L67=2,"BTL",'Loan Tape (BoE)'!L67=3,"Second Home",'Loan Tape (BoE)'!L67=4,"Investment"),"")</f>
        <v/>
      </c>
      <c r="M66" s="17">
        <f>IFERROR(IFS('Loan Tape (BoE)'!M67=1,"Purchase",'Loan Tape (BoE)'!M67=2,"Remortgage",OR('Loan Tape (BoE)'!M67=3,'Loan Tape (BoE)'!M67=4),"Cash-out"),"")</f>
        <v/>
      </c>
      <c r="N66" s="17">
        <f>IFERROR(INDEX('FF Adj Parameters'!$A$96:$B$99,MATCH('Loan Tape (BoE)'!R66,INDEX('FF Adj Parameters'!$A$96:$B$99,,1),0),2),"Unknown")</f>
        <v/>
      </c>
      <c r="O66" s="17">
        <f>IF('Loan Tape (BoE)'!O67=1,"Yes","No")</f>
        <v/>
      </c>
      <c r="P66" s="17">
        <f>IF('Loan Tape (BoE)'!P66=1,"Yes",IF('Loan Tape (BoE)'!P66=0,"No",""))</f>
        <v/>
      </c>
      <c r="Q66" s="17">
        <f>IF('Loan Tape (BoE)'!Q66=1,"Yes",IF('Loan Tape (BoE)'!Q66=0,"No",""))</f>
        <v/>
      </c>
      <c r="R66" s="18">
        <f>IF('Loan Tape (BoE)'!R66=1,"Yes",IF('Loan Tape (BoE)'!R66=0,"No",""))</f>
        <v/>
      </c>
      <c r="S66" s="18">
        <f>IF('Loan Tape (BoE)'!S66=1,"Yes",IF('Loan Tape (BoE)'!S66=0,"No",""))</f>
        <v/>
      </c>
      <c r="T66" s="17">
        <f>IF('Loan Tape (BoE)'!T66=1,"Yes",IF('Loan Tape (BoE)'!T66=0,"No",""))</f>
        <v/>
      </c>
      <c r="U66" s="18">
        <f>R66+S66</f>
        <v/>
      </c>
      <c r="V66" s="17">
        <f>IFERROR(IFS('Loan Tape (BoE)'!U67=1,"Employed",'Loan Tape (BoE)'!U67=2,"Self-Employed",'Loan Tape (BoE)'!U67=3,"Unemployed",'Loan Tape (BoE)'!U67=4,"Retired"),"")</f>
        <v/>
      </c>
      <c r="W66" s="17">
        <f>IFERROR(IFS('Loan Tape (BoE)'!V67=1,"Employed",'Loan Tape (BoE)'!V67=2,"Self-Employed",'Loan Tape (BoE)'!V67=3,"Unemployed",'Loan Tape (BoE)'!V67=4,"Retired"),"")</f>
        <v/>
      </c>
      <c r="X66" s="17">
        <f>IF(OR(V66="Self-Employed",W66="Self-Employed"),"Yes","No")</f>
        <v/>
      </c>
      <c r="Y66" s="17">
        <f>'Loan Tape (BoE)'!W67</f>
        <v/>
      </c>
      <c r="Z66" s="17">
        <f>'Loan Tape (BoE)'!X67</f>
        <v/>
      </c>
      <c r="AA66" s="17">
        <f>IF(T66=1,Y66,MIN(Y66,Z66))</f>
        <v/>
      </c>
      <c r="AB66" s="17">
        <f>'Loan Tape (BoE)'!Y67</f>
        <v/>
      </c>
      <c r="AC66" s="17">
        <f>'Loan Tape (BoE)'!Z67</f>
        <v/>
      </c>
      <c r="AD66" s="17">
        <f>AB66+AC66</f>
        <v/>
      </c>
      <c r="AE66" s="18">
        <f>'Loan Tape (BoE)'!AA67</f>
        <v/>
      </c>
      <c r="AF66" s="18">
        <f>'Loan Tape (BoE)'!AB67</f>
        <v/>
      </c>
      <c r="AG66" s="18">
        <f>AE66+AF66</f>
        <v/>
      </c>
      <c r="AH66" s="19">
        <f>MAX('Loan Tape (BoE)'!AC67,'Loan Tape (BoE)'!AD67)</f>
        <v/>
      </c>
      <c r="AI66" s="18">
        <f>'Loan Tape (BoE)'!AE67</f>
        <v/>
      </c>
      <c r="AJ66" s="18">
        <f>B66*H66/12</f>
        <v/>
      </c>
      <c r="AK66" s="21">
        <f>IF(AJ66&gt;0,AI66/AJ66,0)</f>
        <v/>
      </c>
      <c r="AL66" s="17">
        <f>IF('Loan Tape (BoE)'!AF67=1,"Yes","No")</f>
        <v/>
      </c>
      <c r="AM66" s="17">
        <f>IF('Loan Tape (BoE)'!AH67=1,"Yes","No")</f>
        <v/>
      </c>
      <c r="AN66" s="17">
        <f>IF('Loan Tape (BoE)'!AI67=1,"Yes","No")</f>
        <v/>
      </c>
      <c r="AO66" s="17">
        <f>IF('Loan Tape (BoE)'!AJ67=1,"Yes","No")</f>
        <v/>
      </c>
      <c r="AP66" s="17">
        <f>IF(OR('Loan Tape (BoE)'!AQ66=1,'Loan Tape (BoE)'!AQ66=2),"Yes",IF('Loan Tape (BoE)'!AQ66=0,"No",""))</f>
        <v/>
      </c>
      <c r="AQ66" s="17">
        <f>IF('Loan Tape (BoE)'!BV49_66&lt;&gt;"",'Loan Tape (BoE)'!BV49_66,"")</f>
        <v/>
      </c>
      <c r="AR66" s="17">
        <f>IF('Loan Tape (BoE)'!BV660_66&lt;&gt;"",'Loan Tape (BoE)'!BV50_66,"")</f>
        <v/>
      </c>
      <c r="AS66" s="17">
        <f>IFERROR(INDEX('FF Adj Parameters'!$A$103:$B$1066,MATCH('Loan Tape (BoE)'!P66,INDEX('FF Adj Parameters'!$A$103:$B$1066,,1),0),2),"Unknown")</f>
        <v/>
      </c>
      <c r="AT66" s="17">
        <f>IF(N66="Interest Only",M5*O5/12,IF(AND(O5&gt;0,ISNUMBER(O5),ISNUMBER(M5)),ABS(PMT(O5/12,AU5,-M5)),0))</f>
        <v/>
      </c>
      <c r="AU66" s="17">
        <f>IF(ISNUMBER(L66),MAX(0,(L5-'Control Panel'!$B$10)*12/365.25),0)</f>
        <v/>
      </c>
      <c r="AV66" s="17">
        <f>IF(ISNUMBER(L66),IF(L5&gt;'Control Panel'!$B$10,"Valid","Past Maturity"),"No Date")</f>
        <v/>
      </c>
      <c r="AW66" s="17">
        <f>IF(ISNUMBER(K66),MAX(0,('Control Panel'!$B$10-K5)*12/365.25),0)</f>
        <v/>
      </c>
    </row>
    <row r="67">
      <c r="A67" s="17">
        <f>'Loan Tape (BoE)'!A68</f>
        <v/>
      </c>
      <c r="B67" s="18">
        <f>IFERROR(INDEX('FF Adj Parameters'!$A$89:$B$92,MATCH('Loan Tape (BoE)'!C67,INDEX('FF Adj Parameters'!$A$89:$B$92,,1),0),2),"Unknown")</f>
        <v/>
      </c>
      <c r="C67" s="18">
        <f>'Loan Tape (BoE)'!C68</f>
        <v/>
      </c>
      <c r="D67" s="18">
        <f>'Loan Tape (BoE)'!D68</f>
        <v/>
      </c>
      <c r="E67" s="18">
        <f>'Loan Tape (BoE)'!E68</f>
        <v/>
      </c>
      <c r="F67" s="19">
        <f>'Loan Tape (BoE)'!F68</f>
        <v/>
      </c>
      <c r="G67" s="19">
        <f>'Loan Tape (BoE)'!G68</f>
        <v/>
      </c>
      <c r="H67" s="20">
        <f>'Loan Tape (BoE)'!H68/100</f>
        <v/>
      </c>
      <c r="I67" s="17">
        <f>IFERROR(IFS('Loan Tape (BoE)'!I68=1,"House",'Loan Tape (BoE)'!I68=2,"Flat",'Loan Tape (BoE)'!I68=3,"Bungalow",'Loan Tape (BoE)'!I68=4,"Maisonette"),"")</f>
        <v/>
      </c>
      <c r="J67" s="17">
        <f>'Loan Tape (BoE)'!J68</f>
        <v/>
      </c>
      <c r="K67" s="17">
        <f>'Loan Tape (BoE)'!K68</f>
        <v/>
      </c>
      <c r="L67" s="17">
        <f>IFERROR(IFS('Loan Tape (BoE)'!L68=1,"Owner Occupied",'Loan Tape (BoE)'!L68=2,"BTL",'Loan Tape (BoE)'!L68=3,"Second Home",'Loan Tape (BoE)'!L68=4,"Investment"),"")</f>
        <v/>
      </c>
      <c r="M67" s="17">
        <f>IFERROR(IFS('Loan Tape (BoE)'!M68=1,"Purchase",'Loan Tape (BoE)'!M68=2,"Remortgage",OR('Loan Tape (BoE)'!M68=3,'Loan Tape (BoE)'!M68=4),"Cash-out"),"")</f>
        <v/>
      </c>
      <c r="N67" s="17">
        <f>IFERROR(INDEX('FF Adj Parameters'!$A$96:$B$99,MATCH('Loan Tape (BoE)'!R67,INDEX('FF Adj Parameters'!$A$96:$B$99,,1),0),2),"Unknown")</f>
        <v/>
      </c>
      <c r="O67" s="17">
        <f>IF('Loan Tape (BoE)'!O68=1,"Yes","No")</f>
        <v/>
      </c>
      <c r="P67" s="17">
        <f>IF('Loan Tape (BoE)'!P67=1,"Yes",IF('Loan Tape (BoE)'!P67=0,"No",""))</f>
        <v/>
      </c>
      <c r="Q67" s="17">
        <f>IF('Loan Tape (BoE)'!Q67=1,"Yes",IF('Loan Tape (BoE)'!Q67=0,"No",""))</f>
        <v/>
      </c>
      <c r="R67" s="18">
        <f>IF('Loan Tape (BoE)'!R67=1,"Yes",IF('Loan Tape (BoE)'!R67=0,"No",""))</f>
        <v/>
      </c>
      <c r="S67" s="18">
        <f>IF('Loan Tape (BoE)'!S67=1,"Yes",IF('Loan Tape (BoE)'!S67=0,"No",""))</f>
        <v/>
      </c>
      <c r="T67" s="17">
        <f>IF('Loan Tape (BoE)'!T67=1,"Yes",IF('Loan Tape (BoE)'!T67=0,"No",""))</f>
        <v/>
      </c>
      <c r="U67" s="18">
        <f>R67+S67</f>
        <v/>
      </c>
      <c r="V67" s="17">
        <f>IFERROR(IFS('Loan Tape (BoE)'!U68=1,"Employed",'Loan Tape (BoE)'!U68=2,"Self-Employed",'Loan Tape (BoE)'!U68=3,"Unemployed",'Loan Tape (BoE)'!U68=4,"Retired"),"")</f>
        <v/>
      </c>
      <c r="W67" s="17">
        <f>IFERROR(IFS('Loan Tape (BoE)'!V68=1,"Employed",'Loan Tape (BoE)'!V68=2,"Self-Employed",'Loan Tape (BoE)'!V68=3,"Unemployed",'Loan Tape (BoE)'!V68=4,"Retired"),"")</f>
        <v/>
      </c>
      <c r="X67" s="17">
        <f>IF(OR(V67="Self-Employed",W67="Self-Employed"),"Yes","No")</f>
        <v/>
      </c>
      <c r="Y67" s="17">
        <f>'Loan Tape (BoE)'!W68</f>
        <v/>
      </c>
      <c r="Z67" s="17">
        <f>'Loan Tape (BoE)'!X68</f>
        <v/>
      </c>
      <c r="AA67" s="17">
        <f>IF(T67=1,Y67,MIN(Y67,Z67))</f>
        <v/>
      </c>
      <c r="AB67" s="17">
        <f>'Loan Tape (BoE)'!Y68</f>
        <v/>
      </c>
      <c r="AC67" s="17">
        <f>'Loan Tape (BoE)'!Z68</f>
        <v/>
      </c>
      <c r="AD67" s="17">
        <f>AB67+AC67</f>
        <v/>
      </c>
      <c r="AE67" s="18">
        <f>'Loan Tape (BoE)'!AA68</f>
        <v/>
      </c>
      <c r="AF67" s="18">
        <f>'Loan Tape (BoE)'!AB68</f>
        <v/>
      </c>
      <c r="AG67" s="18">
        <f>AE67+AF67</f>
        <v/>
      </c>
      <c r="AH67" s="19">
        <f>MAX('Loan Tape (BoE)'!AC68,'Loan Tape (BoE)'!AD68)</f>
        <v/>
      </c>
      <c r="AI67" s="18">
        <f>'Loan Tape (BoE)'!AE68</f>
        <v/>
      </c>
      <c r="AJ67" s="18">
        <f>B67*H67/12</f>
        <v/>
      </c>
      <c r="AK67" s="21">
        <f>IF(AJ67&gt;0,AI67/AJ67,0)</f>
        <v/>
      </c>
      <c r="AL67" s="17">
        <f>IF('Loan Tape (BoE)'!AF68=1,"Yes","No")</f>
        <v/>
      </c>
      <c r="AM67" s="17">
        <f>IF('Loan Tape (BoE)'!AH68=1,"Yes","No")</f>
        <v/>
      </c>
      <c r="AN67" s="17">
        <f>IF('Loan Tape (BoE)'!AI68=1,"Yes","No")</f>
        <v/>
      </c>
      <c r="AO67" s="17">
        <f>IF('Loan Tape (BoE)'!AJ68=1,"Yes","No")</f>
        <v/>
      </c>
      <c r="AP67" s="17">
        <f>IF(OR('Loan Tape (BoE)'!AQ67=1,'Loan Tape (BoE)'!AQ67=2),"Yes",IF('Loan Tape (BoE)'!AQ67=0,"No",""))</f>
        <v/>
      </c>
      <c r="AQ67" s="17">
        <f>IF('Loan Tape (BoE)'!BV49_67&lt;&gt;"",'Loan Tape (BoE)'!BV49_67,"")</f>
        <v/>
      </c>
      <c r="AR67" s="17">
        <f>IF('Loan Tape (BoE)'!BV670_67&lt;&gt;"",'Loan Tape (BoE)'!BV50_67,"")</f>
        <v/>
      </c>
      <c r="AS67" s="17">
        <f>IFERROR(INDEX('FF Adj Parameters'!$A$103:$B$1067,MATCH('Loan Tape (BoE)'!P67,INDEX('FF Adj Parameters'!$A$103:$B$1067,,1),0),2),"Unknown")</f>
        <v/>
      </c>
      <c r="AT67" s="17">
        <f>IF(N67="Interest Only",M5*O5/12,IF(AND(O5&gt;0,ISNUMBER(O5),ISNUMBER(M5)),ABS(PMT(O5/12,AU5,-M5)),0))</f>
        <v/>
      </c>
      <c r="AU67" s="17">
        <f>IF(ISNUMBER(L67),MAX(0,(L5-'Control Panel'!$B$10)*12/365.25),0)</f>
        <v/>
      </c>
      <c r="AV67" s="17">
        <f>IF(ISNUMBER(L67),IF(L5&gt;'Control Panel'!$B$10,"Valid","Past Maturity"),"No Date")</f>
        <v/>
      </c>
      <c r="AW67" s="17">
        <f>IF(ISNUMBER(K67),MAX(0,('Control Panel'!$B$10-K5)*12/365.25),0)</f>
        <v/>
      </c>
    </row>
    <row r="68">
      <c r="A68" s="17">
        <f>'Loan Tape (BoE)'!A69</f>
        <v/>
      </c>
      <c r="B68" s="18">
        <f>IFERROR(INDEX('FF Adj Parameters'!$A$89:$B$92,MATCH('Loan Tape (BoE)'!C68,INDEX('FF Adj Parameters'!$A$89:$B$92,,1),0),2),"Unknown")</f>
        <v/>
      </c>
      <c r="C68" s="18">
        <f>'Loan Tape (BoE)'!C69</f>
        <v/>
      </c>
      <c r="D68" s="18">
        <f>'Loan Tape (BoE)'!D69</f>
        <v/>
      </c>
      <c r="E68" s="18">
        <f>'Loan Tape (BoE)'!E69</f>
        <v/>
      </c>
      <c r="F68" s="19">
        <f>'Loan Tape (BoE)'!F69</f>
        <v/>
      </c>
      <c r="G68" s="19">
        <f>'Loan Tape (BoE)'!G69</f>
        <v/>
      </c>
      <c r="H68" s="20">
        <f>'Loan Tape (BoE)'!H69/100</f>
        <v/>
      </c>
      <c r="I68" s="17">
        <f>IFERROR(IFS('Loan Tape (BoE)'!I69=1,"House",'Loan Tape (BoE)'!I69=2,"Flat",'Loan Tape (BoE)'!I69=3,"Bungalow",'Loan Tape (BoE)'!I69=4,"Maisonette"),"")</f>
        <v/>
      </c>
      <c r="J68" s="17">
        <f>'Loan Tape (BoE)'!J69</f>
        <v/>
      </c>
      <c r="K68" s="17">
        <f>'Loan Tape (BoE)'!K69</f>
        <v/>
      </c>
      <c r="L68" s="17">
        <f>IFERROR(IFS('Loan Tape (BoE)'!L69=1,"Owner Occupied",'Loan Tape (BoE)'!L69=2,"BTL",'Loan Tape (BoE)'!L69=3,"Second Home",'Loan Tape (BoE)'!L69=4,"Investment"),"")</f>
        <v/>
      </c>
      <c r="M68" s="17">
        <f>IFERROR(IFS('Loan Tape (BoE)'!M69=1,"Purchase",'Loan Tape (BoE)'!M69=2,"Remortgage",OR('Loan Tape (BoE)'!M69=3,'Loan Tape (BoE)'!M69=4),"Cash-out"),"")</f>
        <v/>
      </c>
      <c r="N68" s="17">
        <f>IFERROR(INDEX('FF Adj Parameters'!$A$96:$B$99,MATCH('Loan Tape (BoE)'!R68,INDEX('FF Adj Parameters'!$A$96:$B$99,,1),0),2),"Unknown")</f>
        <v/>
      </c>
      <c r="O68" s="17">
        <f>IF('Loan Tape (BoE)'!O69=1,"Yes","No")</f>
        <v/>
      </c>
      <c r="P68" s="17">
        <f>IF('Loan Tape (BoE)'!P68=1,"Yes",IF('Loan Tape (BoE)'!P68=0,"No",""))</f>
        <v/>
      </c>
      <c r="Q68" s="17">
        <f>IF('Loan Tape (BoE)'!Q68=1,"Yes",IF('Loan Tape (BoE)'!Q68=0,"No",""))</f>
        <v/>
      </c>
      <c r="R68" s="18">
        <f>IF('Loan Tape (BoE)'!R68=1,"Yes",IF('Loan Tape (BoE)'!R68=0,"No",""))</f>
        <v/>
      </c>
      <c r="S68" s="18">
        <f>IF('Loan Tape (BoE)'!S68=1,"Yes",IF('Loan Tape (BoE)'!S68=0,"No",""))</f>
        <v/>
      </c>
      <c r="T68" s="17">
        <f>IF('Loan Tape (BoE)'!T68=1,"Yes",IF('Loan Tape (BoE)'!T68=0,"No",""))</f>
        <v/>
      </c>
      <c r="U68" s="18">
        <f>R68+S68</f>
        <v/>
      </c>
      <c r="V68" s="17">
        <f>IFERROR(IFS('Loan Tape (BoE)'!U69=1,"Employed",'Loan Tape (BoE)'!U69=2,"Self-Employed",'Loan Tape (BoE)'!U69=3,"Unemployed",'Loan Tape (BoE)'!U69=4,"Retired"),"")</f>
        <v/>
      </c>
      <c r="W68" s="17">
        <f>IFERROR(IFS('Loan Tape (BoE)'!V69=1,"Employed",'Loan Tape (BoE)'!V69=2,"Self-Employed",'Loan Tape (BoE)'!V69=3,"Unemployed",'Loan Tape (BoE)'!V69=4,"Retired"),"")</f>
        <v/>
      </c>
      <c r="X68" s="17">
        <f>IF(OR(V68="Self-Employed",W68="Self-Employed"),"Yes","No")</f>
        <v/>
      </c>
      <c r="Y68" s="17">
        <f>'Loan Tape (BoE)'!W69</f>
        <v/>
      </c>
      <c r="Z68" s="17">
        <f>'Loan Tape (BoE)'!X69</f>
        <v/>
      </c>
      <c r="AA68" s="17">
        <f>IF(T68=1,Y68,MIN(Y68,Z68))</f>
        <v/>
      </c>
      <c r="AB68" s="17">
        <f>'Loan Tape (BoE)'!Y69</f>
        <v/>
      </c>
      <c r="AC68" s="17">
        <f>'Loan Tape (BoE)'!Z69</f>
        <v/>
      </c>
      <c r="AD68" s="17">
        <f>AB68+AC68</f>
        <v/>
      </c>
      <c r="AE68" s="18">
        <f>'Loan Tape (BoE)'!AA69</f>
        <v/>
      </c>
      <c r="AF68" s="18">
        <f>'Loan Tape (BoE)'!AB69</f>
        <v/>
      </c>
      <c r="AG68" s="18">
        <f>AE68+AF68</f>
        <v/>
      </c>
      <c r="AH68" s="19">
        <f>MAX('Loan Tape (BoE)'!AC69,'Loan Tape (BoE)'!AD69)</f>
        <v/>
      </c>
      <c r="AI68" s="18">
        <f>'Loan Tape (BoE)'!AE69</f>
        <v/>
      </c>
      <c r="AJ68" s="18">
        <f>B68*H68/12</f>
        <v/>
      </c>
      <c r="AK68" s="21">
        <f>IF(AJ68&gt;0,AI68/AJ68,0)</f>
        <v/>
      </c>
      <c r="AL68" s="17">
        <f>IF('Loan Tape (BoE)'!AF69=1,"Yes","No")</f>
        <v/>
      </c>
      <c r="AM68" s="17">
        <f>IF('Loan Tape (BoE)'!AH69=1,"Yes","No")</f>
        <v/>
      </c>
      <c r="AN68" s="17">
        <f>IF('Loan Tape (BoE)'!AI69=1,"Yes","No")</f>
        <v/>
      </c>
      <c r="AO68" s="17">
        <f>IF('Loan Tape (BoE)'!AJ69=1,"Yes","No")</f>
        <v/>
      </c>
      <c r="AP68" s="17">
        <f>IF(OR('Loan Tape (BoE)'!AQ68=1,'Loan Tape (BoE)'!AQ68=2),"Yes",IF('Loan Tape (BoE)'!AQ68=0,"No",""))</f>
        <v/>
      </c>
      <c r="AQ68" s="17">
        <f>IF('Loan Tape (BoE)'!BV49_68&lt;&gt;"",'Loan Tape (BoE)'!BV49_68,"")</f>
        <v/>
      </c>
      <c r="AR68" s="17">
        <f>IF('Loan Tape (BoE)'!BV680_68&lt;&gt;"",'Loan Tape (BoE)'!BV50_68,"")</f>
        <v/>
      </c>
      <c r="AS68" s="17">
        <f>IFERROR(INDEX('FF Adj Parameters'!$A$103:$B$1068,MATCH('Loan Tape (BoE)'!P68,INDEX('FF Adj Parameters'!$A$103:$B$1068,,1),0),2),"Unknown")</f>
        <v/>
      </c>
      <c r="AT68" s="17">
        <f>IF(N68="Interest Only",M5*O5/12,IF(AND(O5&gt;0,ISNUMBER(O5),ISNUMBER(M5)),ABS(PMT(O5/12,AU5,-M5)),0))</f>
        <v/>
      </c>
      <c r="AU68" s="17">
        <f>IF(ISNUMBER(L68),MAX(0,(L5-'Control Panel'!$B$10)*12/365.25),0)</f>
        <v/>
      </c>
      <c r="AV68" s="17">
        <f>IF(ISNUMBER(L68),IF(L5&gt;'Control Panel'!$B$10,"Valid","Past Maturity"),"No Date")</f>
        <v/>
      </c>
      <c r="AW68" s="17">
        <f>IF(ISNUMBER(K68),MAX(0,('Control Panel'!$B$10-K5)*12/365.25),0)</f>
        <v/>
      </c>
    </row>
    <row r="69">
      <c r="A69" s="17">
        <f>'Loan Tape (BoE)'!A70</f>
        <v/>
      </c>
      <c r="B69" s="18">
        <f>IFERROR(INDEX('FF Adj Parameters'!$A$89:$B$92,MATCH('Loan Tape (BoE)'!C69,INDEX('FF Adj Parameters'!$A$89:$B$92,,1),0),2),"Unknown")</f>
        <v/>
      </c>
      <c r="C69" s="18">
        <f>'Loan Tape (BoE)'!C70</f>
        <v/>
      </c>
      <c r="D69" s="18">
        <f>'Loan Tape (BoE)'!D70</f>
        <v/>
      </c>
      <c r="E69" s="18">
        <f>'Loan Tape (BoE)'!E70</f>
        <v/>
      </c>
      <c r="F69" s="19">
        <f>'Loan Tape (BoE)'!F70</f>
        <v/>
      </c>
      <c r="G69" s="19">
        <f>'Loan Tape (BoE)'!G70</f>
        <v/>
      </c>
      <c r="H69" s="20">
        <f>'Loan Tape (BoE)'!H70/100</f>
        <v/>
      </c>
      <c r="I69" s="17">
        <f>IFERROR(IFS('Loan Tape (BoE)'!I70=1,"House",'Loan Tape (BoE)'!I70=2,"Flat",'Loan Tape (BoE)'!I70=3,"Bungalow",'Loan Tape (BoE)'!I70=4,"Maisonette"),"")</f>
        <v/>
      </c>
      <c r="J69" s="17">
        <f>'Loan Tape (BoE)'!J70</f>
        <v/>
      </c>
      <c r="K69" s="17">
        <f>'Loan Tape (BoE)'!K70</f>
        <v/>
      </c>
      <c r="L69" s="17">
        <f>IFERROR(IFS('Loan Tape (BoE)'!L70=1,"Owner Occupied",'Loan Tape (BoE)'!L70=2,"BTL",'Loan Tape (BoE)'!L70=3,"Second Home",'Loan Tape (BoE)'!L70=4,"Investment"),"")</f>
        <v/>
      </c>
      <c r="M69" s="17">
        <f>IFERROR(IFS('Loan Tape (BoE)'!M70=1,"Purchase",'Loan Tape (BoE)'!M70=2,"Remortgage",OR('Loan Tape (BoE)'!M70=3,'Loan Tape (BoE)'!M70=4),"Cash-out"),"")</f>
        <v/>
      </c>
      <c r="N69" s="17">
        <f>IFERROR(INDEX('FF Adj Parameters'!$A$96:$B$99,MATCH('Loan Tape (BoE)'!R69,INDEX('FF Adj Parameters'!$A$96:$B$99,,1),0),2),"Unknown")</f>
        <v/>
      </c>
      <c r="O69" s="17">
        <f>IF('Loan Tape (BoE)'!O70=1,"Yes","No")</f>
        <v/>
      </c>
      <c r="P69" s="17">
        <f>IF('Loan Tape (BoE)'!P69=1,"Yes",IF('Loan Tape (BoE)'!P69=0,"No",""))</f>
        <v/>
      </c>
      <c r="Q69" s="17">
        <f>IF('Loan Tape (BoE)'!Q69=1,"Yes",IF('Loan Tape (BoE)'!Q69=0,"No",""))</f>
        <v/>
      </c>
      <c r="R69" s="18">
        <f>IF('Loan Tape (BoE)'!R69=1,"Yes",IF('Loan Tape (BoE)'!R69=0,"No",""))</f>
        <v/>
      </c>
      <c r="S69" s="18">
        <f>IF('Loan Tape (BoE)'!S69=1,"Yes",IF('Loan Tape (BoE)'!S69=0,"No",""))</f>
        <v/>
      </c>
      <c r="T69" s="17">
        <f>IF('Loan Tape (BoE)'!T69=1,"Yes",IF('Loan Tape (BoE)'!T69=0,"No",""))</f>
        <v/>
      </c>
      <c r="U69" s="18">
        <f>R69+S69</f>
        <v/>
      </c>
      <c r="V69" s="17">
        <f>IFERROR(IFS('Loan Tape (BoE)'!U70=1,"Employed",'Loan Tape (BoE)'!U70=2,"Self-Employed",'Loan Tape (BoE)'!U70=3,"Unemployed",'Loan Tape (BoE)'!U70=4,"Retired"),"")</f>
        <v/>
      </c>
      <c r="W69" s="17">
        <f>IFERROR(IFS('Loan Tape (BoE)'!V70=1,"Employed",'Loan Tape (BoE)'!V70=2,"Self-Employed",'Loan Tape (BoE)'!V70=3,"Unemployed",'Loan Tape (BoE)'!V70=4,"Retired"),"")</f>
        <v/>
      </c>
      <c r="X69" s="17">
        <f>IF(OR(V69="Self-Employed",W69="Self-Employed"),"Yes","No")</f>
        <v/>
      </c>
      <c r="Y69" s="17">
        <f>'Loan Tape (BoE)'!W70</f>
        <v/>
      </c>
      <c r="Z69" s="17">
        <f>'Loan Tape (BoE)'!X70</f>
        <v/>
      </c>
      <c r="AA69" s="17">
        <f>IF(T69=1,Y69,MIN(Y69,Z69))</f>
        <v/>
      </c>
      <c r="AB69" s="17">
        <f>'Loan Tape (BoE)'!Y70</f>
        <v/>
      </c>
      <c r="AC69" s="17">
        <f>'Loan Tape (BoE)'!Z70</f>
        <v/>
      </c>
      <c r="AD69" s="17">
        <f>AB69+AC69</f>
        <v/>
      </c>
      <c r="AE69" s="18">
        <f>'Loan Tape (BoE)'!AA70</f>
        <v/>
      </c>
      <c r="AF69" s="18">
        <f>'Loan Tape (BoE)'!AB70</f>
        <v/>
      </c>
      <c r="AG69" s="18">
        <f>AE69+AF69</f>
        <v/>
      </c>
      <c r="AH69" s="19">
        <f>MAX('Loan Tape (BoE)'!AC70,'Loan Tape (BoE)'!AD70)</f>
        <v/>
      </c>
      <c r="AI69" s="18">
        <f>'Loan Tape (BoE)'!AE70</f>
        <v/>
      </c>
      <c r="AJ69" s="18">
        <f>B69*H69/12</f>
        <v/>
      </c>
      <c r="AK69" s="21">
        <f>IF(AJ69&gt;0,AI69/AJ69,0)</f>
        <v/>
      </c>
      <c r="AL69" s="17">
        <f>IF('Loan Tape (BoE)'!AF70=1,"Yes","No")</f>
        <v/>
      </c>
      <c r="AM69" s="17">
        <f>IF('Loan Tape (BoE)'!AH70=1,"Yes","No")</f>
        <v/>
      </c>
      <c r="AN69" s="17">
        <f>IF('Loan Tape (BoE)'!AI70=1,"Yes","No")</f>
        <v/>
      </c>
      <c r="AO69" s="17">
        <f>IF('Loan Tape (BoE)'!AJ70=1,"Yes","No")</f>
        <v/>
      </c>
      <c r="AP69" s="17">
        <f>IF(OR('Loan Tape (BoE)'!AQ69=1,'Loan Tape (BoE)'!AQ69=2),"Yes",IF('Loan Tape (BoE)'!AQ69=0,"No",""))</f>
        <v/>
      </c>
      <c r="AQ69" s="17">
        <f>IF('Loan Tape (BoE)'!BV49_69&lt;&gt;"",'Loan Tape (BoE)'!BV49_69,"")</f>
        <v/>
      </c>
      <c r="AR69" s="17">
        <f>IF('Loan Tape (BoE)'!BV690_69&lt;&gt;"",'Loan Tape (BoE)'!BV50_69,"")</f>
        <v/>
      </c>
      <c r="AS69" s="17">
        <f>IFERROR(INDEX('FF Adj Parameters'!$A$103:$B$1069,MATCH('Loan Tape (BoE)'!P69,INDEX('FF Adj Parameters'!$A$103:$B$1069,,1),0),2),"Unknown")</f>
        <v/>
      </c>
      <c r="AT69" s="17">
        <f>IF(N69="Interest Only",M5*O5/12,IF(AND(O5&gt;0,ISNUMBER(O5),ISNUMBER(M5)),ABS(PMT(O5/12,AU5,-M5)),0))</f>
        <v/>
      </c>
      <c r="AU69" s="17">
        <f>IF(ISNUMBER(L69),MAX(0,(L5-'Control Panel'!$B$10)*12/365.25),0)</f>
        <v/>
      </c>
      <c r="AV69" s="17">
        <f>IF(ISNUMBER(L69),IF(L5&gt;'Control Panel'!$B$10,"Valid","Past Maturity"),"No Date")</f>
        <v/>
      </c>
      <c r="AW69" s="17">
        <f>IF(ISNUMBER(K69),MAX(0,('Control Panel'!$B$10-K5)*12/365.25),0)</f>
        <v/>
      </c>
    </row>
    <row r="70">
      <c r="A70" s="17">
        <f>'Loan Tape (BoE)'!A71</f>
        <v/>
      </c>
      <c r="B70" s="18">
        <f>IFERROR(INDEX('FF Adj Parameters'!$A$89:$B$92,MATCH('Loan Tape (BoE)'!C70,INDEX('FF Adj Parameters'!$A$89:$B$92,,1),0),2),"Unknown")</f>
        <v/>
      </c>
      <c r="C70" s="18">
        <f>'Loan Tape (BoE)'!C71</f>
        <v/>
      </c>
      <c r="D70" s="18">
        <f>'Loan Tape (BoE)'!D71</f>
        <v/>
      </c>
      <c r="E70" s="18">
        <f>'Loan Tape (BoE)'!E71</f>
        <v/>
      </c>
      <c r="F70" s="19">
        <f>'Loan Tape (BoE)'!F71</f>
        <v/>
      </c>
      <c r="G70" s="19">
        <f>'Loan Tape (BoE)'!G71</f>
        <v/>
      </c>
      <c r="H70" s="20">
        <f>'Loan Tape (BoE)'!H71/100</f>
        <v/>
      </c>
      <c r="I70" s="17">
        <f>IFERROR(IFS('Loan Tape (BoE)'!I71=1,"House",'Loan Tape (BoE)'!I71=2,"Flat",'Loan Tape (BoE)'!I71=3,"Bungalow",'Loan Tape (BoE)'!I71=4,"Maisonette"),"")</f>
        <v/>
      </c>
      <c r="J70" s="17">
        <f>'Loan Tape (BoE)'!J71</f>
        <v/>
      </c>
      <c r="K70" s="17">
        <f>'Loan Tape (BoE)'!K71</f>
        <v/>
      </c>
      <c r="L70" s="17">
        <f>IFERROR(IFS('Loan Tape (BoE)'!L71=1,"Owner Occupied",'Loan Tape (BoE)'!L71=2,"BTL",'Loan Tape (BoE)'!L71=3,"Second Home",'Loan Tape (BoE)'!L71=4,"Investment"),"")</f>
        <v/>
      </c>
      <c r="M70" s="17">
        <f>IFERROR(IFS('Loan Tape (BoE)'!M71=1,"Purchase",'Loan Tape (BoE)'!M71=2,"Remortgage",OR('Loan Tape (BoE)'!M71=3,'Loan Tape (BoE)'!M71=4),"Cash-out"),"")</f>
        <v/>
      </c>
      <c r="N70" s="17">
        <f>IFERROR(INDEX('FF Adj Parameters'!$A$96:$B$99,MATCH('Loan Tape (BoE)'!R70,INDEX('FF Adj Parameters'!$A$96:$B$99,,1),0),2),"Unknown")</f>
        <v/>
      </c>
      <c r="O70" s="17">
        <f>IF('Loan Tape (BoE)'!O71=1,"Yes","No")</f>
        <v/>
      </c>
      <c r="P70" s="17">
        <f>IF('Loan Tape (BoE)'!P70=1,"Yes",IF('Loan Tape (BoE)'!P70=0,"No",""))</f>
        <v/>
      </c>
      <c r="Q70" s="17">
        <f>IF('Loan Tape (BoE)'!Q70=1,"Yes",IF('Loan Tape (BoE)'!Q70=0,"No",""))</f>
        <v/>
      </c>
      <c r="R70" s="18">
        <f>IF('Loan Tape (BoE)'!R70=1,"Yes",IF('Loan Tape (BoE)'!R70=0,"No",""))</f>
        <v/>
      </c>
      <c r="S70" s="18">
        <f>IF('Loan Tape (BoE)'!S70=1,"Yes",IF('Loan Tape (BoE)'!S70=0,"No",""))</f>
        <v/>
      </c>
      <c r="T70" s="17">
        <f>IF('Loan Tape (BoE)'!T70=1,"Yes",IF('Loan Tape (BoE)'!T70=0,"No",""))</f>
        <v/>
      </c>
      <c r="U70" s="18">
        <f>R70+S70</f>
        <v/>
      </c>
      <c r="V70" s="17">
        <f>IFERROR(IFS('Loan Tape (BoE)'!U71=1,"Employed",'Loan Tape (BoE)'!U71=2,"Self-Employed",'Loan Tape (BoE)'!U71=3,"Unemployed",'Loan Tape (BoE)'!U71=4,"Retired"),"")</f>
        <v/>
      </c>
      <c r="W70" s="17">
        <f>IFERROR(IFS('Loan Tape (BoE)'!V71=1,"Employed",'Loan Tape (BoE)'!V71=2,"Self-Employed",'Loan Tape (BoE)'!V71=3,"Unemployed",'Loan Tape (BoE)'!V71=4,"Retired"),"")</f>
        <v/>
      </c>
      <c r="X70" s="17">
        <f>IF(OR(V70="Self-Employed",W70="Self-Employed"),"Yes","No")</f>
        <v/>
      </c>
      <c r="Y70" s="17">
        <f>'Loan Tape (BoE)'!W71</f>
        <v/>
      </c>
      <c r="Z70" s="17">
        <f>'Loan Tape (BoE)'!X71</f>
        <v/>
      </c>
      <c r="AA70" s="17">
        <f>IF(T70=1,Y70,MIN(Y70,Z70))</f>
        <v/>
      </c>
      <c r="AB70" s="17">
        <f>'Loan Tape (BoE)'!Y71</f>
        <v/>
      </c>
      <c r="AC70" s="17">
        <f>'Loan Tape (BoE)'!Z71</f>
        <v/>
      </c>
      <c r="AD70" s="17">
        <f>AB70+AC70</f>
        <v/>
      </c>
      <c r="AE70" s="18">
        <f>'Loan Tape (BoE)'!AA71</f>
        <v/>
      </c>
      <c r="AF70" s="18">
        <f>'Loan Tape (BoE)'!AB71</f>
        <v/>
      </c>
      <c r="AG70" s="18">
        <f>AE70+AF70</f>
        <v/>
      </c>
      <c r="AH70" s="19">
        <f>MAX('Loan Tape (BoE)'!AC71,'Loan Tape (BoE)'!AD71)</f>
        <v/>
      </c>
      <c r="AI70" s="18">
        <f>'Loan Tape (BoE)'!AE71</f>
        <v/>
      </c>
      <c r="AJ70" s="18">
        <f>B70*H70/12</f>
        <v/>
      </c>
      <c r="AK70" s="21">
        <f>IF(AJ70&gt;0,AI70/AJ70,0)</f>
        <v/>
      </c>
      <c r="AL70" s="17">
        <f>IF('Loan Tape (BoE)'!AF71=1,"Yes","No")</f>
        <v/>
      </c>
      <c r="AM70" s="17">
        <f>IF('Loan Tape (BoE)'!AH71=1,"Yes","No")</f>
        <v/>
      </c>
      <c r="AN70" s="17">
        <f>IF('Loan Tape (BoE)'!AI71=1,"Yes","No")</f>
        <v/>
      </c>
      <c r="AO70" s="17">
        <f>IF('Loan Tape (BoE)'!AJ71=1,"Yes","No")</f>
        <v/>
      </c>
      <c r="AP70" s="17">
        <f>IF(OR('Loan Tape (BoE)'!AQ70=1,'Loan Tape (BoE)'!AQ70=2),"Yes",IF('Loan Tape (BoE)'!AQ70=0,"No",""))</f>
        <v/>
      </c>
      <c r="AQ70" s="17">
        <f>IF('Loan Tape (BoE)'!BV49_70&lt;&gt;"",'Loan Tape (BoE)'!BV49_70,"")</f>
        <v/>
      </c>
      <c r="AR70" s="17">
        <f>IF('Loan Tape (BoE)'!BV700_70&lt;&gt;"",'Loan Tape (BoE)'!BV50_70,"")</f>
        <v/>
      </c>
      <c r="AS70" s="17">
        <f>IFERROR(INDEX('FF Adj Parameters'!$A$103:$B$1070,MATCH('Loan Tape (BoE)'!P70,INDEX('FF Adj Parameters'!$A$103:$B$1070,,1),0),2),"Unknown")</f>
        <v/>
      </c>
      <c r="AT70" s="17">
        <f>IF(N70="Interest Only",M5*O5/12,IF(AND(O5&gt;0,ISNUMBER(O5),ISNUMBER(M5)),ABS(PMT(O5/12,AU5,-M5)),0))</f>
        <v/>
      </c>
      <c r="AU70" s="17">
        <f>IF(ISNUMBER(L70),MAX(0,(L5-'Control Panel'!$B$10)*12/365.25),0)</f>
        <v/>
      </c>
      <c r="AV70" s="17">
        <f>IF(ISNUMBER(L70),IF(L5&gt;'Control Panel'!$B$10,"Valid","Past Maturity"),"No Date")</f>
        <v/>
      </c>
      <c r="AW70" s="17">
        <f>IF(ISNUMBER(K70),MAX(0,('Control Panel'!$B$10-K5)*12/365.25),0)</f>
        <v/>
      </c>
    </row>
    <row r="71">
      <c r="A71" s="17">
        <f>'Loan Tape (BoE)'!A72</f>
        <v/>
      </c>
      <c r="B71" s="18">
        <f>IFERROR(INDEX('FF Adj Parameters'!$A$89:$B$92,MATCH('Loan Tape (BoE)'!C71,INDEX('FF Adj Parameters'!$A$89:$B$92,,1),0),2),"Unknown")</f>
        <v/>
      </c>
      <c r="C71" s="18">
        <f>'Loan Tape (BoE)'!C72</f>
        <v/>
      </c>
      <c r="D71" s="18">
        <f>'Loan Tape (BoE)'!D72</f>
        <v/>
      </c>
      <c r="E71" s="18">
        <f>'Loan Tape (BoE)'!E72</f>
        <v/>
      </c>
      <c r="F71" s="19">
        <f>'Loan Tape (BoE)'!F72</f>
        <v/>
      </c>
      <c r="G71" s="19">
        <f>'Loan Tape (BoE)'!G72</f>
        <v/>
      </c>
      <c r="H71" s="20">
        <f>'Loan Tape (BoE)'!H72/100</f>
        <v/>
      </c>
      <c r="I71" s="17">
        <f>IFERROR(IFS('Loan Tape (BoE)'!I72=1,"House",'Loan Tape (BoE)'!I72=2,"Flat",'Loan Tape (BoE)'!I72=3,"Bungalow",'Loan Tape (BoE)'!I72=4,"Maisonette"),"")</f>
        <v/>
      </c>
      <c r="J71" s="17">
        <f>'Loan Tape (BoE)'!J72</f>
        <v/>
      </c>
      <c r="K71" s="17">
        <f>'Loan Tape (BoE)'!K72</f>
        <v/>
      </c>
      <c r="L71" s="17">
        <f>IFERROR(IFS('Loan Tape (BoE)'!L72=1,"Owner Occupied",'Loan Tape (BoE)'!L72=2,"BTL",'Loan Tape (BoE)'!L72=3,"Second Home",'Loan Tape (BoE)'!L72=4,"Investment"),"")</f>
        <v/>
      </c>
      <c r="M71" s="17">
        <f>IFERROR(IFS('Loan Tape (BoE)'!M72=1,"Purchase",'Loan Tape (BoE)'!M72=2,"Remortgage",OR('Loan Tape (BoE)'!M72=3,'Loan Tape (BoE)'!M72=4),"Cash-out"),"")</f>
        <v/>
      </c>
      <c r="N71" s="17">
        <f>IFERROR(INDEX('FF Adj Parameters'!$A$96:$B$99,MATCH('Loan Tape (BoE)'!R71,INDEX('FF Adj Parameters'!$A$96:$B$99,,1),0),2),"Unknown")</f>
        <v/>
      </c>
      <c r="O71" s="17">
        <f>IF('Loan Tape (BoE)'!O72=1,"Yes","No")</f>
        <v/>
      </c>
      <c r="P71" s="17">
        <f>IF('Loan Tape (BoE)'!P71=1,"Yes",IF('Loan Tape (BoE)'!P71=0,"No",""))</f>
        <v/>
      </c>
      <c r="Q71" s="17">
        <f>IF('Loan Tape (BoE)'!Q71=1,"Yes",IF('Loan Tape (BoE)'!Q71=0,"No",""))</f>
        <v/>
      </c>
      <c r="R71" s="18">
        <f>IF('Loan Tape (BoE)'!R71=1,"Yes",IF('Loan Tape (BoE)'!R71=0,"No",""))</f>
        <v/>
      </c>
      <c r="S71" s="18">
        <f>IF('Loan Tape (BoE)'!S71=1,"Yes",IF('Loan Tape (BoE)'!S71=0,"No",""))</f>
        <v/>
      </c>
      <c r="T71" s="17">
        <f>IF('Loan Tape (BoE)'!T71=1,"Yes",IF('Loan Tape (BoE)'!T71=0,"No",""))</f>
        <v/>
      </c>
      <c r="U71" s="18">
        <f>R71+S71</f>
        <v/>
      </c>
      <c r="V71" s="17">
        <f>IFERROR(IFS('Loan Tape (BoE)'!U72=1,"Employed",'Loan Tape (BoE)'!U72=2,"Self-Employed",'Loan Tape (BoE)'!U72=3,"Unemployed",'Loan Tape (BoE)'!U72=4,"Retired"),"")</f>
        <v/>
      </c>
      <c r="W71" s="17">
        <f>IFERROR(IFS('Loan Tape (BoE)'!V72=1,"Employed",'Loan Tape (BoE)'!V72=2,"Self-Employed",'Loan Tape (BoE)'!V72=3,"Unemployed",'Loan Tape (BoE)'!V72=4,"Retired"),"")</f>
        <v/>
      </c>
      <c r="X71" s="17">
        <f>IF(OR(V71="Self-Employed",W71="Self-Employed"),"Yes","No")</f>
        <v/>
      </c>
      <c r="Y71" s="17">
        <f>'Loan Tape (BoE)'!W72</f>
        <v/>
      </c>
      <c r="Z71" s="17">
        <f>'Loan Tape (BoE)'!X72</f>
        <v/>
      </c>
      <c r="AA71" s="17">
        <f>IF(T71=1,Y71,MIN(Y71,Z71))</f>
        <v/>
      </c>
      <c r="AB71" s="17">
        <f>'Loan Tape (BoE)'!Y72</f>
        <v/>
      </c>
      <c r="AC71" s="17">
        <f>'Loan Tape (BoE)'!Z72</f>
        <v/>
      </c>
      <c r="AD71" s="17">
        <f>AB71+AC71</f>
        <v/>
      </c>
      <c r="AE71" s="18">
        <f>'Loan Tape (BoE)'!AA72</f>
        <v/>
      </c>
      <c r="AF71" s="18">
        <f>'Loan Tape (BoE)'!AB72</f>
        <v/>
      </c>
      <c r="AG71" s="18">
        <f>AE71+AF71</f>
        <v/>
      </c>
      <c r="AH71" s="19">
        <f>MAX('Loan Tape (BoE)'!AC72,'Loan Tape (BoE)'!AD72)</f>
        <v/>
      </c>
      <c r="AI71" s="18">
        <f>'Loan Tape (BoE)'!AE72</f>
        <v/>
      </c>
      <c r="AJ71" s="18">
        <f>B71*H71/12</f>
        <v/>
      </c>
      <c r="AK71" s="21">
        <f>IF(AJ71&gt;0,AI71/AJ71,0)</f>
        <v/>
      </c>
      <c r="AL71" s="17">
        <f>IF('Loan Tape (BoE)'!AF72=1,"Yes","No")</f>
        <v/>
      </c>
      <c r="AM71" s="17">
        <f>IF('Loan Tape (BoE)'!AH72=1,"Yes","No")</f>
        <v/>
      </c>
      <c r="AN71" s="17">
        <f>IF('Loan Tape (BoE)'!AI72=1,"Yes","No")</f>
        <v/>
      </c>
      <c r="AO71" s="17">
        <f>IF('Loan Tape (BoE)'!AJ72=1,"Yes","No")</f>
        <v/>
      </c>
      <c r="AP71" s="17">
        <f>IF(OR('Loan Tape (BoE)'!AQ71=1,'Loan Tape (BoE)'!AQ71=2),"Yes",IF('Loan Tape (BoE)'!AQ71=0,"No",""))</f>
        <v/>
      </c>
      <c r="AQ71" s="17">
        <f>IF('Loan Tape (BoE)'!BV49_71&lt;&gt;"",'Loan Tape (BoE)'!BV49_71,"")</f>
        <v/>
      </c>
      <c r="AR71" s="17">
        <f>IF('Loan Tape (BoE)'!BV710_71&lt;&gt;"",'Loan Tape (BoE)'!BV50_71,"")</f>
        <v/>
      </c>
      <c r="AS71" s="17">
        <f>IFERROR(INDEX('FF Adj Parameters'!$A$103:$B$1071,MATCH('Loan Tape (BoE)'!P71,INDEX('FF Adj Parameters'!$A$103:$B$1071,,1),0),2),"Unknown")</f>
        <v/>
      </c>
      <c r="AT71" s="17">
        <f>IF(N71="Interest Only",M5*O5/12,IF(AND(O5&gt;0,ISNUMBER(O5),ISNUMBER(M5)),ABS(PMT(O5/12,AU5,-M5)),0))</f>
        <v/>
      </c>
      <c r="AU71" s="17">
        <f>IF(ISNUMBER(L71),MAX(0,(L5-'Control Panel'!$B$10)*12/365.25),0)</f>
        <v/>
      </c>
      <c r="AV71" s="17">
        <f>IF(ISNUMBER(L71),IF(L5&gt;'Control Panel'!$B$10,"Valid","Past Maturity"),"No Date")</f>
        <v/>
      </c>
      <c r="AW71" s="17">
        <f>IF(ISNUMBER(K71),MAX(0,('Control Panel'!$B$10-K5)*12/365.25),0)</f>
        <v/>
      </c>
    </row>
    <row r="72">
      <c r="A72" s="17">
        <f>'Loan Tape (BoE)'!A73</f>
        <v/>
      </c>
      <c r="B72" s="18">
        <f>IFERROR(INDEX('FF Adj Parameters'!$A$89:$B$92,MATCH('Loan Tape (BoE)'!C72,INDEX('FF Adj Parameters'!$A$89:$B$92,,1),0),2),"Unknown")</f>
        <v/>
      </c>
      <c r="C72" s="18">
        <f>'Loan Tape (BoE)'!C73</f>
        <v/>
      </c>
      <c r="D72" s="18">
        <f>'Loan Tape (BoE)'!D73</f>
        <v/>
      </c>
      <c r="E72" s="18">
        <f>'Loan Tape (BoE)'!E73</f>
        <v/>
      </c>
      <c r="F72" s="19">
        <f>'Loan Tape (BoE)'!F73</f>
        <v/>
      </c>
      <c r="G72" s="19">
        <f>'Loan Tape (BoE)'!G73</f>
        <v/>
      </c>
      <c r="H72" s="20">
        <f>'Loan Tape (BoE)'!H73/100</f>
        <v/>
      </c>
      <c r="I72" s="17">
        <f>IFERROR(IFS('Loan Tape (BoE)'!I73=1,"House",'Loan Tape (BoE)'!I73=2,"Flat",'Loan Tape (BoE)'!I73=3,"Bungalow",'Loan Tape (BoE)'!I73=4,"Maisonette"),"")</f>
        <v/>
      </c>
      <c r="J72" s="17">
        <f>'Loan Tape (BoE)'!J73</f>
        <v/>
      </c>
      <c r="K72" s="17">
        <f>'Loan Tape (BoE)'!K73</f>
        <v/>
      </c>
      <c r="L72" s="17">
        <f>IFERROR(IFS('Loan Tape (BoE)'!L73=1,"Owner Occupied",'Loan Tape (BoE)'!L73=2,"BTL",'Loan Tape (BoE)'!L73=3,"Second Home",'Loan Tape (BoE)'!L73=4,"Investment"),"")</f>
        <v/>
      </c>
      <c r="M72" s="17">
        <f>IFERROR(IFS('Loan Tape (BoE)'!M73=1,"Purchase",'Loan Tape (BoE)'!M73=2,"Remortgage",OR('Loan Tape (BoE)'!M73=3,'Loan Tape (BoE)'!M73=4),"Cash-out"),"")</f>
        <v/>
      </c>
      <c r="N72" s="17">
        <f>IFERROR(INDEX('FF Adj Parameters'!$A$96:$B$99,MATCH('Loan Tape (BoE)'!R72,INDEX('FF Adj Parameters'!$A$96:$B$99,,1),0),2),"Unknown")</f>
        <v/>
      </c>
      <c r="O72" s="17">
        <f>IF('Loan Tape (BoE)'!O73=1,"Yes","No")</f>
        <v/>
      </c>
      <c r="P72" s="17">
        <f>IF('Loan Tape (BoE)'!P72=1,"Yes",IF('Loan Tape (BoE)'!P72=0,"No",""))</f>
        <v/>
      </c>
      <c r="Q72" s="17">
        <f>IF('Loan Tape (BoE)'!Q72=1,"Yes",IF('Loan Tape (BoE)'!Q72=0,"No",""))</f>
        <v/>
      </c>
      <c r="R72" s="18">
        <f>IF('Loan Tape (BoE)'!R72=1,"Yes",IF('Loan Tape (BoE)'!R72=0,"No",""))</f>
        <v/>
      </c>
      <c r="S72" s="18">
        <f>IF('Loan Tape (BoE)'!S72=1,"Yes",IF('Loan Tape (BoE)'!S72=0,"No",""))</f>
        <v/>
      </c>
      <c r="T72" s="17">
        <f>IF('Loan Tape (BoE)'!T72=1,"Yes",IF('Loan Tape (BoE)'!T72=0,"No",""))</f>
        <v/>
      </c>
      <c r="U72" s="18">
        <f>R72+S72</f>
        <v/>
      </c>
      <c r="V72" s="17">
        <f>IFERROR(IFS('Loan Tape (BoE)'!U73=1,"Employed",'Loan Tape (BoE)'!U73=2,"Self-Employed",'Loan Tape (BoE)'!U73=3,"Unemployed",'Loan Tape (BoE)'!U73=4,"Retired"),"")</f>
        <v/>
      </c>
      <c r="W72" s="17">
        <f>IFERROR(IFS('Loan Tape (BoE)'!V73=1,"Employed",'Loan Tape (BoE)'!V73=2,"Self-Employed",'Loan Tape (BoE)'!V73=3,"Unemployed",'Loan Tape (BoE)'!V73=4,"Retired"),"")</f>
        <v/>
      </c>
      <c r="X72" s="17">
        <f>IF(OR(V72="Self-Employed",W72="Self-Employed"),"Yes","No")</f>
        <v/>
      </c>
      <c r="Y72" s="17">
        <f>'Loan Tape (BoE)'!W73</f>
        <v/>
      </c>
      <c r="Z72" s="17">
        <f>'Loan Tape (BoE)'!X73</f>
        <v/>
      </c>
      <c r="AA72" s="17">
        <f>IF(T72=1,Y72,MIN(Y72,Z72))</f>
        <v/>
      </c>
      <c r="AB72" s="17">
        <f>'Loan Tape (BoE)'!Y73</f>
        <v/>
      </c>
      <c r="AC72" s="17">
        <f>'Loan Tape (BoE)'!Z73</f>
        <v/>
      </c>
      <c r="AD72" s="17">
        <f>AB72+AC72</f>
        <v/>
      </c>
      <c r="AE72" s="18">
        <f>'Loan Tape (BoE)'!AA73</f>
        <v/>
      </c>
      <c r="AF72" s="18">
        <f>'Loan Tape (BoE)'!AB73</f>
        <v/>
      </c>
      <c r="AG72" s="18">
        <f>AE72+AF72</f>
        <v/>
      </c>
      <c r="AH72" s="19">
        <f>MAX('Loan Tape (BoE)'!AC73,'Loan Tape (BoE)'!AD73)</f>
        <v/>
      </c>
      <c r="AI72" s="18">
        <f>'Loan Tape (BoE)'!AE73</f>
        <v/>
      </c>
      <c r="AJ72" s="18">
        <f>B72*H72/12</f>
        <v/>
      </c>
      <c r="AK72" s="21">
        <f>IF(AJ72&gt;0,AI72/AJ72,0)</f>
        <v/>
      </c>
      <c r="AL72" s="17">
        <f>IF('Loan Tape (BoE)'!AF73=1,"Yes","No")</f>
        <v/>
      </c>
      <c r="AM72" s="17">
        <f>IF('Loan Tape (BoE)'!AH73=1,"Yes","No")</f>
        <v/>
      </c>
      <c r="AN72" s="17">
        <f>IF('Loan Tape (BoE)'!AI73=1,"Yes","No")</f>
        <v/>
      </c>
      <c r="AO72" s="17">
        <f>IF('Loan Tape (BoE)'!AJ73=1,"Yes","No")</f>
        <v/>
      </c>
      <c r="AP72" s="17">
        <f>IF(OR('Loan Tape (BoE)'!AQ72=1,'Loan Tape (BoE)'!AQ72=2),"Yes",IF('Loan Tape (BoE)'!AQ72=0,"No",""))</f>
        <v/>
      </c>
      <c r="AQ72" s="17">
        <f>IF('Loan Tape (BoE)'!BV49_72&lt;&gt;"",'Loan Tape (BoE)'!BV49_72,"")</f>
        <v/>
      </c>
      <c r="AR72" s="17">
        <f>IF('Loan Tape (BoE)'!BV720_72&lt;&gt;"",'Loan Tape (BoE)'!BV50_72,"")</f>
        <v/>
      </c>
      <c r="AS72" s="17">
        <f>IFERROR(INDEX('FF Adj Parameters'!$A$103:$B$1072,MATCH('Loan Tape (BoE)'!P72,INDEX('FF Adj Parameters'!$A$103:$B$1072,,1),0),2),"Unknown")</f>
        <v/>
      </c>
      <c r="AT72" s="17">
        <f>IF(N72="Interest Only",M5*O5/12,IF(AND(O5&gt;0,ISNUMBER(O5),ISNUMBER(M5)),ABS(PMT(O5/12,AU5,-M5)),0))</f>
        <v/>
      </c>
      <c r="AU72" s="17">
        <f>IF(ISNUMBER(L72),MAX(0,(L5-'Control Panel'!$B$10)*12/365.25),0)</f>
        <v/>
      </c>
      <c r="AV72" s="17">
        <f>IF(ISNUMBER(L72),IF(L5&gt;'Control Panel'!$B$10,"Valid","Past Maturity"),"No Date")</f>
        <v/>
      </c>
      <c r="AW72" s="17">
        <f>IF(ISNUMBER(K72),MAX(0,('Control Panel'!$B$10-K5)*12/365.25),0)</f>
        <v/>
      </c>
    </row>
    <row r="73">
      <c r="A73" s="17">
        <f>'Loan Tape (BoE)'!A74</f>
        <v/>
      </c>
      <c r="B73" s="18">
        <f>IFERROR(INDEX('FF Adj Parameters'!$A$89:$B$92,MATCH('Loan Tape (BoE)'!C73,INDEX('FF Adj Parameters'!$A$89:$B$92,,1),0),2),"Unknown")</f>
        <v/>
      </c>
      <c r="C73" s="18">
        <f>'Loan Tape (BoE)'!C74</f>
        <v/>
      </c>
      <c r="D73" s="18">
        <f>'Loan Tape (BoE)'!D74</f>
        <v/>
      </c>
      <c r="E73" s="18">
        <f>'Loan Tape (BoE)'!E74</f>
        <v/>
      </c>
      <c r="F73" s="19">
        <f>'Loan Tape (BoE)'!F74</f>
        <v/>
      </c>
      <c r="G73" s="19">
        <f>'Loan Tape (BoE)'!G74</f>
        <v/>
      </c>
      <c r="H73" s="20">
        <f>'Loan Tape (BoE)'!H74/100</f>
        <v/>
      </c>
      <c r="I73" s="17">
        <f>IFERROR(IFS('Loan Tape (BoE)'!I74=1,"House",'Loan Tape (BoE)'!I74=2,"Flat",'Loan Tape (BoE)'!I74=3,"Bungalow",'Loan Tape (BoE)'!I74=4,"Maisonette"),"")</f>
        <v/>
      </c>
      <c r="J73" s="17">
        <f>'Loan Tape (BoE)'!J74</f>
        <v/>
      </c>
      <c r="K73" s="17">
        <f>'Loan Tape (BoE)'!K74</f>
        <v/>
      </c>
      <c r="L73" s="17">
        <f>IFERROR(IFS('Loan Tape (BoE)'!L74=1,"Owner Occupied",'Loan Tape (BoE)'!L74=2,"BTL",'Loan Tape (BoE)'!L74=3,"Second Home",'Loan Tape (BoE)'!L74=4,"Investment"),"")</f>
        <v/>
      </c>
      <c r="M73" s="17">
        <f>IFERROR(IFS('Loan Tape (BoE)'!M74=1,"Purchase",'Loan Tape (BoE)'!M74=2,"Remortgage",OR('Loan Tape (BoE)'!M74=3,'Loan Tape (BoE)'!M74=4),"Cash-out"),"")</f>
        <v/>
      </c>
      <c r="N73" s="17">
        <f>IFERROR(INDEX('FF Adj Parameters'!$A$96:$B$99,MATCH('Loan Tape (BoE)'!R73,INDEX('FF Adj Parameters'!$A$96:$B$99,,1),0),2),"Unknown")</f>
        <v/>
      </c>
      <c r="O73" s="17">
        <f>IF('Loan Tape (BoE)'!O74=1,"Yes","No")</f>
        <v/>
      </c>
      <c r="P73" s="17">
        <f>IF('Loan Tape (BoE)'!P73=1,"Yes",IF('Loan Tape (BoE)'!P73=0,"No",""))</f>
        <v/>
      </c>
      <c r="Q73" s="17">
        <f>IF('Loan Tape (BoE)'!Q73=1,"Yes",IF('Loan Tape (BoE)'!Q73=0,"No",""))</f>
        <v/>
      </c>
      <c r="R73" s="18">
        <f>IF('Loan Tape (BoE)'!R73=1,"Yes",IF('Loan Tape (BoE)'!R73=0,"No",""))</f>
        <v/>
      </c>
      <c r="S73" s="18">
        <f>IF('Loan Tape (BoE)'!S73=1,"Yes",IF('Loan Tape (BoE)'!S73=0,"No",""))</f>
        <v/>
      </c>
      <c r="T73" s="17">
        <f>IF('Loan Tape (BoE)'!T73=1,"Yes",IF('Loan Tape (BoE)'!T73=0,"No",""))</f>
        <v/>
      </c>
      <c r="U73" s="18">
        <f>R73+S73</f>
        <v/>
      </c>
      <c r="V73" s="17">
        <f>IFERROR(IFS('Loan Tape (BoE)'!U74=1,"Employed",'Loan Tape (BoE)'!U74=2,"Self-Employed",'Loan Tape (BoE)'!U74=3,"Unemployed",'Loan Tape (BoE)'!U74=4,"Retired"),"")</f>
        <v/>
      </c>
      <c r="W73" s="17">
        <f>IFERROR(IFS('Loan Tape (BoE)'!V74=1,"Employed",'Loan Tape (BoE)'!V74=2,"Self-Employed",'Loan Tape (BoE)'!V74=3,"Unemployed",'Loan Tape (BoE)'!V74=4,"Retired"),"")</f>
        <v/>
      </c>
      <c r="X73" s="17">
        <f>IF(OR(V73="Self-Employed",W73="Self-Employed"),"Yes","No")</f>
        <v/>
      </c>
      <c r="Y73" s="17">
        <f>'Loan Tape (BoE)'!W74</f>
        <v/>
      </c>
      <c r="Z73" s="17">
        <f>'Loan Tape (BoE)'!X74</f>
        <v/>
      </c>
      <c r="AA73" s="17">
        <f>IF(T73=1,Y73,MIN(Y73,Z73))</f>
        <v/>
      </c>
      <c r="AB73" s="17">
        <f>'Loan Tape (BoE)'!Y74</f>
        <v/>
      </c>
      <c r="AC73" s="17">
        <f>'Loan Tape (BoE)'!Z74</f>
        <v/>
      </c>
      <c r="AD73" s="17">
        <f>AB73+AC73</f>
        <v/>
      </c>
      <c r="AE73" s="18">
        <f>'Loan Tape (BoE)'!AA74</f>
        <v/>
      </c>
      <c r="AF73" s="18">
        <f>'Loan Tape (BoE)'!AB74</f>
        <v/>
      </c>
      <c r="AG73" s="18">
        <f>AE73+AF73</f>
        <v/>
      </c>
      <c r="AH73" s="19">
        <f>MAX('Loan Tape (BoE)'!AC74,'Loan Tape (BoE)'!AD74)</f>
        <v/>
      </c>
      <c r="AI73" s="18">
        <f>'Loan Tape (BoE)'!AE74</f>
        <v/>
      </c>
      <c r="AJ73" s="18">
        <f>B73*H73/12</f>
        <v/>
      </c>
      <c r="AK73" s="21">
        <f>IF(AJ73&gt;0,AI73/AJ73,0)</f>
        <v/>
      </c>
      <c r="AL73" s="17">
        <f>IF('Loan Tape (BoE)'!AF74=1,"Yes","No")</f>
        <v/>
      </c>
      <c r="AM73" s="17">
        <f>IF('Loan Tape (BoE)'!AH74=1,"Yes","No")</f>
        <v/>
      </c>
      <c r="AN73" s="17">
        <f>IF('Loan Tape (BoE)'!AI74=1,"Yes","No")</f>
        <v/>
      </c>
      <c r="AO73" s="17">
        <f>IF('Loan Tape (BoE)'!AJ74=1,"Yes","No")</f>
        <v/>
      </c>
      <c r="AP73" s="17">
        <f>IF(OR('Loan Tape (BoE)'!AQ73=1,'Loan Tape (BoE)'!AQ73=2),"Yes",IF('Loan Tape (BoE)'!AQ73=0,"No",""))</f>
        <v/>
      </c>
      <c r="AQ73" s="17">
        <f>IF('Loan Tape (BoE)'!BV49_73&lt;&gt;"",'Loan Tape (BoE)'!BV49_73,"")</f>
        <v/>
      </c>
      <c r="AR73" s="17">
        <f>IF('Loan Tape (BoE)'!BV730_73&lt;&gt;"",'Loan Tape (BoE)'!BV50_73,"")</f>
        <v/>
      </c>
      <c r="AS73" s="17">
        <f>IFERROR(INDEX('FF Adj Parameters'!$A$103:$B$1073,MATCH('Loan Tape (BoE)'!P73,INDEX('FF Adj Parameters'!$A$103:$B$1073,,1),0),2),"Unknown")</f>
        <v/>
      </c>
      <c r="AT73" s="17">
        <f>IF(N73="Interest Only",M5*O5/12,IF(AND(O5&gt;0,ISNUMBER(O5),ISNUMBER(M5)),ABS(PMT(O5/12,AU5,-M5)),0))</f>
        <v/>
      </c>
      <c r="AU73" s="17">
        <f>IF(ISNUMBER(L73),MAX(0,(L5-'Control Panel'!$B$10)*12/365.25),0)</f>
        <v/>
      </c>
      <c r="AV73" s="17">
        <f>IF(ISNUMBER(L73),IF(L5&gt;'Control Panel'!$B$10,"Valid","Past Maturity"),"No Date")</f>
        <v/>
      </c>
      <c r="AW73" s="17">
        <f>IF(ISNUMBER(K73),MAX(0,('Control Panel'!$B$10-K5)*12/365.25),0)</f>
        <v/>
      </c>
    </row>
    <row r="74">
      <c r="A74" s="17">
        <f>'Loan Tape (BoE)'!A75</f>
        <v/>
      </c>
      <c r="B74" s="18">
        <f>IFERROR(INDEX('FF Adj Parameters'!$A$89:$B$92,MATCH('Loan Tape (BoE)'!C74,INDEX('FF Adj Parameters'!$A$89:$B$92,,1),0),2),"Unknown")</f>
        <v/>
      </c>
      <c r="C74" s="18">
        <f>'Loan Tape (BoE)'!C75</f>
        <v/>
      </c>
      <c r="D74" s="18">
        <f>'Loan Tape (BoE)'!D75</f>
        <v/>
      </c>
      <c r="E74" s="18">
        <f>'Loan Tape (BoE)'!E75</f>
        <v/>
      </c>
      <c r="F74" s="19">
        <f>'Loan Tape (BoE)'!F75</f>
        <v/>
      </c>
      <c r="G74" s="19">
        <f>'Loan Tape (BoE)'!G75</f>
        <v/>
      </c>
      <c r="H74" s="20">
        <f>'Loan Tape (BoE)'!H75/100</f>
        <v/>
      </c>
      <c r="I74" s="17">
        <f>IFERROR(IFS('Loan Tape (BoE)'!I75=1,"House",'Loan Tape (BoE)'!I75=2,"Flat",'Loan Tape (BoE)'!I75=3,"Bungalow",'Loan Tape (BoE)'!I75=4,"Maisonette"),"")</f>
        <v/>
      </c>
      <c r="J74" s="17">
        <f>'Loan Tape (BoE)'!J75</f>
        <v/>
      </c>
      <c r="K74" s="17">
        <f>'Loan Tape (BoE)'!K75</f>
        <v/>
      </c>
      <c r="L74" s="17">
        <f>IFERROR(IFS('Loan Tape (BoE)'!L75=1,"Owner Occupied",'Loan Tape (BoE)'!L75=2,"BTL",'Loan Tape (BoE)'!L75=3,"Second Home",'Loan Tape (BoE)'!L75=4,"Investment"),"")</f>
        <v/>
      </c>
      <c r="M74" s="17">
        <f>IFERROR(IFS('Loan Tape (BoE)'!M75=1,"Purchase",'Loan Tape (BoE)'!M75=2,"Remortgage",OR('Loan Tape (BoE)'!M75=3,'Loan Tape (BoE)'!M75=4),"Cash-out"),"")</f>
        <v/>
      </c>
      <c r="N74" s="17">
        <f>IFERROR(INDEX('FF Adj Parameters'!$A$96:$B$99,MATCH('Loan Tape (BoE)'!R74,INDEX('FF Adj Parameters'!$A$96:$B$99,,1),0),2),"Unknown")</f>
        <v/>
      </c>
      <c r="O74" s="17">
        <f>IF('Loan Tape (BoE)'!O75=1,"Yes","No")</f>
        <v/>
      </c>
      <c r="P74" s="17">
        <f>IF('Loan Tape (BoE)'!P74=1,"Yes",IF('Loan Tape (BoE)'!P74=0,"No",""))</f>
        <v/>
      </c>
      <c r="Q74" s="17">
        <f>IF('Loan Tape (BoE)'!Q74=1,"Yes",IF('Loan Tape (BoE)'!Q74=0,"No",""))</f>
        <v/>
      </c>
      <c r="R74" s="18">
        <f>IF('Loan Tape (BoE)'!R74=1,"Yes",IF('Loan Tape (BoE)'!R74=0,"No",""))</f>
        <v/>
      </c>
      <c r="S74" s="18">
        <f>IF('Loan Tape (BoE)'!S74=1,"Yes",IF('Loan Tape (BoE)'!S74=0,"No",""))</f>
        <v/>
      </c>
      <c r="T74" s="17">
        <f>IF('Loan Tape (BoE)'!T74=1,"Yes",IF('Loan Tape (BoE)'!T74=0,"No",""))</f>
        <v/>
      </c>
      <c r="U74" s="18">
        <f>R74+S74</f>
        <v/>
      </c>
      <c r="V74" s="17">
        <f>IFERROR(IFS('Loan Tape (BoE)'!U75=1,"Employed",'Loan Tape (BoE)'!U75=2,"Self-Employed",'Loan Tape (BoE)'!U75=3,"Unemployed",'Loan Tape (BoE)'!U75=4,"Retired"),"")</f>
        <v/>
      </c>
      <c r="W74" s="17">
        <f>IFERROR(IFS('Loan Tape (BoE)'!V75=1,"Employed",'Loan Tape (BoE)'!V75=2,"Self-Employed",'Loan Tape (BoE)'!V75=3,"Unemployed",'Loan Tape (BoE)'!V75=4,"Retired"),"")</f>
        <v/>
      </c>
      <c r="X74" s="17">
        <f>IF(OR(V74="Self-Employed",W74="Self-Employed"),"Yes","No")</f>
        <v/>
      </c>
      <c r="Y74" s="17">
        <f>'Loan Tape (BoE)'!W75</f>
        <v/>
      </c>
      <c r="Z74" s="17">
        <f>'Loan Tape (BoE)'!X75</f>
        <v/>
      </c>
      <c r="AA74" s="17">
        <f>IF(T74=1,Y74,MIN(Y74,Z74))</f>
        <v/>
      </c>
      <c r="AB74" s="17">
        <f>'Loan Tape (BoE)'!Y75</f>
        <v/>
      </c>
      <c r="AC74" s="17">
        <f>'Loan Tape (BoE)'!Z75</f>
        <v/>
      </c>
      <c r="AD74" s="17">
        <f>AB74+AC74</f>
        <v/>
      </c>
      <c r="AE74" s="18">
        <f>'Loan Tape (BoE)'!AA75</f>
        <v/>
      </c>
      <c r="AF74" s="18">
        <f>'Loan Tape (BoE)'!AB75</f>
        <v/>
      </c>
      <c r="AG74" s="18">
        <f>AE74+AF74</f>
        <v/>
      </c>
      <c r="AH74" s="19">
        <f>MAX('Loan Tape (BoE)'!AC75,'Loan Tape (BoE)'!AD75)</f>
        <v/>
      </c>
      <c r="AI74" s="18">
        <f>'Loan Tape (BoE)'!AE75</f>
        <v/>
      </c>
      <c r="AJ74" s="18">
        <f>B74*H74/12</f>
        <v/>
      </c>
      <c r="AK74" s="21">
        <f>IF(AJ74&gt;0,AI74/AJ74,0)</f>
        <v/>
      </c>
      <c r="AL74" s="17">
        <f>IF('Loan Tape (BoE)'!AF75=1,"Yes","No")</f>
        <v/>
      </c>
      <c r="AM74" s="17">
        <f>IF('Loan Tape (BoE)'!AH75=1,"Yes","No")</f>
        <v/>
      </c>
      <c r="AN74" s="17">
        <f>IF('Loan Tape (BoE)'!AI75=1,"Yes","No")</f>
        <v/>
      </c>
      <c r="AO74" s="17">
        <f>IF('Loan Tape (BoE)'!AJ75=1,"Yes","No")</f>
        <v/>
      </c>
      <c r="AP74" s="17">
        <f>IF(OR('Loan Tape (BoE)'!AQ74=1,'Loan Tape (BoE)'!AQ74=2),"Yes",IF('Loan Tape (BoE)'!AQ74=0,"No",""))</f>
        <v/>
      </c>
      <c r="AQ74" s="17">
        <f>IF('Loan Tape (BoE)'!BV49_74&lt;&gt;"",'Loan Tape (BoE)'!BV49_74,"")</f>
        <v/>
      </c>
      <c r="AR74" s="17">
        <f>IF('Loan Tape (BoE)'!BV740_74&lt;&gt;"",'Loan Tape (BoE)'!BV50_74,"")</f>
        <v/>
      </c>
      <c r="AS74" s="17">
        <f>IFERROR(INDEX('FF Adj Parameters'!$A$103:$B$1074,MATCH('Loan Tape (BoE)'!P74,INDEX('FF Adj Parameters'!$A$103:$B$1074,,1),0),2),"Unknown")</f>
        <v/>
      </c>
      <c r="AT74" s="17">
        <f>IF(N74="Interest Only",M5*O5/12,IF(AND(O5&gt;0,ISNUMBER(O5),ISNUMBER(M5)),ABS(PMT(O5/12,AU5,-M5)),0))</f>
        <v/>
      </c>
      <c r="AU74" s="17">
        <f>IF(ISNUMBER(L74),MAX(0,(L5-'Control Panel'!$B$10)*12/365.25),0)</f>
        <v/>
      </c>
      <c r="AV74" s="17">
        <f>IF(ISNUMBER(L74),IF(L5&gt;'Control Panel'!$B$10,"Valid","Past Maturity"),"No Date")</f>
        <v/>
      </c>
      <c r="AW74" s="17">
        <f>IF(ISNUMBER(K74),MAX(0,('Control Panel'!$B$10-K5)*12/365.25),0)</f>
        <v/>
      </c>
    </row>
    <row r="75">
      <c r="A75" s="17">
        <f>'Loan Tape (BoE)'!A76</f>
        <v/>
      </c>
      <c r="B75" s="18">
        <f>IFERROR(INDEX('FF Adj Parameters'!$A$89:$B$92,MATCH('Loan Tape (BoE)'!C75,INDEX('FF Adj Parameters'!$A$89:$B$92,,1),0),2),"Unknown")</f>
        <v/>
      </c>
      <c r="C75" s="18">
        <f>'Loan Tape (BoE)'!C76</f>
        <v/>
      </c>
      <c r="D75" s="18">
        <f>'Loan Tape (BoE)'!D76</f>
        <v/>
      </c>
      <c r="E75" s="18">
        <f>'Loan Tape (BoE)'!E76</f>
        <v/>
      </c>
      <c r="F75" s="19">
        <f>'Loan Tape (BoE)'!F76</f>
        <v/>
      </c>
      <c r="G75" s="19">
        <f>'Loan Tape (BoE)'!G76</f>
        <v/>
      </c>
      <c r="H75" s="20">
        <f>'Loan Tape (BoE)'!H76/100</f>
        <v/>
      </c>
      <c r="I75" s="17">
        <f>IFERROR(IFS('Loan Tape (BoE)'!I76=1,"House",'Loan Tape (BoE)'!I76=2,"Flat",'Loan Tape (BoE)'!I76=3,"Bungalow",'Loan Tape (BoE)'!I76=4,"Maisonette"),"")</f>
        <v/>
      </c>
      <c r="J75" s="17">
        <f>'Loan Tape (BoE)'!J76</f>
        <v/>
      </c>
      <c r="K75" s="17">
        <f>'Loan Tape (BoE)'!K76</f>
        <v/>
      </c>
      <c r="L75" s="17">
        <f>IFERROR(IFS('Loan Tape (BoE)'!L76=1,"Owner Occupied",'Loan Tape (BoE)'!L76=2,"BTL",'Loan Tape (BoE)'!L76=3,"Second Home",'Loan Tape (BoE)'!L76=4,"Investment"),"")</f>
        <v/>
      </c>
      <c r="M75" s="17">
        <f>IFERROR(IFS('Loan Tape (BoE)'!M76=1,"Purchase",'Loan Tape (BoE)'!M76=2,"Remortgage",OR('Loan Tape (BoE)'!M76=3,'Loan Tape (BoE)'!M76=4),"Cash-out"),"")</f>
        <v/>
      </c>
      <c r="N75" s="17">
        <f>IFERROR(INDEX('FF Adj Parameters'!$A$96:$B$99,MATCH('Loan Tape (BoE)'!R75,INDEX('FF Adj Parameters'!$A$96:$B$99,,1),0),2),"Unknown")</f>
        <v/>
      </c>
      <c r="O75" s="17">
        <f>IF('Loan Tape (BoE)'!O76=1,"Yes","No")</f>
        <v/>
      </c>
      <c r="P75" s="17">
        <f>IF('Loan Tape (BoE)'!P75=1,"Yes",IF('Loan Tape (BoE)'!P75=0,"No",""))</f>
        <v/>
      </c>
      <c r="Q75" s="17">
        <f>IF('Loan Tape (BoE)'!Q75=1,"Yes",IF('Loan Tape (BoE)'!Q75=0,"No",""))</f>
        <v/>
      </c>
      <c r="R75" s="18">
        <f>IF('Loan Tape (BoE)'!R75=1,"Yes",IF('Loan Tape (BoE)'!R75=0,"No",""))</f>
        <v/>
      </c>
      <c r="S75" s="18">
        <f>IF('Loan Tape (BoE)'!S75=1,"Yes",IF('Loan Tape (BoE)'!S75=0,"No",""))</f>
        <v/>
      </c>
      <c r="T75" s="17">
        <f>IF('Loan Tape (BoE)'!T75=1,"Yes",IF('Loan Tape (BoE)'!T75=0,"No",""))</f>
        <v/>
      </c>
      <c r="U75" s="18">
        <f>R75+S75</f>
        <v/>
      </c>
      <c r="V75" s="17">
        <f>IFERROR(IFS('Loan Tape (BoE)'!U76=1,"Employed",'Loan Tape (BoE)'!U76=2,"Self-Employed",'Loan Tape (BoE)'!U76=3,"Unemployed",'Loan Tape (BoE)'!U76=4,"Retired"),"")</f>
        <v/>
      </c>
      <c r="W75" s="17">
        <f>IFERROR(IFS('Loan Tape (BoE)'!V76=1,"Employed",'Loan Tape (BoE)'!V76=2,"Self-Employed",'Loan Tape (BoE)'!V76=3,"Unemployed",'Loan Tape (BoE)'!V76=4,"Retired"),"")</f>
        <v/>
      </c>
      <c r="X75" s="17">
        <f>IF(OR(V75="Self-Employed",W75="Self-Employed"),"Yes","No")</f>
        <v/>
      </c>
      <c r="Y75" s="17">
        <f>'Loan Tape (BoE)'!W76</f>
        <v/>
      </c>
      <c r="Z75" s="17">
        <f>'Loan Tape (BoE)'!X76</f>
        <v/>
      </c>
      <c r="AA75" s="17">
        <f>IF(T75=1,Y75,MIN(Y75,Z75))</f>
        <v/>
      </c>
      <c r="AB75" s="17">
        <f>'Loan Tape (BoE)'!Y76</f>
        <v/>
      </c>
      <c r="AC75" s="17">
        <f>'Loan Tape (BoE)'!Z76</f>
        <v/>
      </c>
      <c r="AD75" s="17">
        <f>AB75+AC75</f>
        <v/>
      </c>
      <c r="AE75" s="18">
        <f>'Loan Tape (BoE)'!AA76</f>
        <v/>
      </c>
      <c r="AF75" s="18">
        <f>'Loan Tape (BoE)'!AB76</f>
        <v/>
      </c>
      <c r="AG75" s="18">
        <f>AE75+AF75</f>
        <v/>
      </c>
      <c r="AH75" s="19">
        <f>MAX('Loan Tape (BoE)'!AC76,'Loan Tape (BoE)'!AD76)</f>
        <v/>
      </c>
      <c r="AI75" s="18">
        <f>'Loan Tape (BoE)'!AE76</f>
        <v/>
      </c>
      <c r="AJ75" s="18">
        <f>B75*H75/12</f>
        <v/>
      </c>
      <c r="AK75" s="21">
        <f>IF(AJ75&gt;0,AI75/AJ75,0)</f>
        <v/>
      </c>
      <c r="AL75" s="17">
        <f>IF('Loan Tape (BoE)'!AF76=1,"Yes","No")</f>
        <v/>
      </c>
      <c r="AM75" s="17">
        <f>IF('Loan Tape (BoE)'!AH76=1,"Yes","No")</f>
        <v/>
      </c>
      <c r="AN75" s="17">
        <f>IF('Loan Tape (BoE)'!AI76=1,"Yes","No")</f>
        <v/>
      </c>
      <c r="AO75" s="17">
        <f>IF('Loan Tape (BoE)'!AJ76=1,"Yes","No")</f>
        <v/>
      </c>
      <c r="AP75" s="17">
        <f>IF(OR('Loan Tape (BoE)'!AQ75=1,'Loan Tape (BoE)'!AQ75=2),"Yes",IF('Loan Tape (BoE)'!AQ75=0,"No",""))</f>
        <v/>
      </c>
      <c r="AQ75" s="17">
        <f>IF('Loan Tape (BoE)'!BV49_775&lt;&gt;"",'Loan Tape (BoE)'!BV49_75,"")</f>
        <v/>
      </c>
      <c r="AR75" s="17">
        <f>IF('Loan Tape (BoE)'!BV750_75&lt;&gt;"",'Loan Tape (BoE)'!BV50_75,"")</f>
        <v/>
      </c>
      <c r="AS75" s="17">
        <f>IFERROR(INDEX('FF Adj Parameters'!$A$103:$B$1075,MATCH('Loan Tape (BoE)'!P75,INDEX('FF Adj Parameters'!$A$103:$B$1075,,1),0),2),"Unknown")</f>
        <v/>
      </c>
      <c r="AT75" s="17">
        <f>IF(N75="Interest Only",M5*O5/12,IF(AND(O5&gt;0,ISNUMBER(O5),ISNUMBER(M5)),ABS(PMT(O5/12,AU5,-M5)),0))</f>
        <v/>
      </c>
      <c r="AU75" s="17">
        <f>IF(ISNUMBER(L75),MAX(0,(L5-'Control Panel'!$B$10)*12/365.25),0)</f>
        <v/>
      </c>
      <c r="AV75" s="17">
        <f>IF(ISNUMBER(L75),IF(L5&gt;'Control Panel'!$B$10,"Valid","Past Maturity"),"No Date")</f>
        <v/>
      </c>
      <c r="AW75" s="17">
        <f>IF(ISNUMBER(K75),MAX(0,('Control Panel'!$B$10-K5)*12/365.25),0)</f>
        <v/>
      </c>
    </row>
    <row r="76">
      <c r="A76" s="17">
        <f>'Loan Tape (BoE)'!A77</f>
        <v/>
      </c>
      <c r="B76" s="18">
        <f>IFERROR(INDEX('FF Adj Parameters'!$A$89:$B$92,MATCH('Loan Tape (BoE)'!C76,INDEX('FF Adj Parameters'!$A$89:$B$92,,1),0),2),"Unknown")</f>
        <v/>
      </c>
      <c r="C76" s="18">
        <f>'Loan Tape (BoE)'!C77</f>
        <v/>
      </c>
      <c r="D76" s="18">
        <f>'Loan Tape (BoE)'!D77</f>
        <v/>
      </c>
      <c r="E76" s="18">
        <f>'Loan Tape (BoE)'!E77</f>
        <v/>
      </c>
      <c r="F76" s="19">
        <f>'Loan Tape (BoE)'!F77</f>
        <v/>
      </c>
      <c r="G76" s="19">
        <f>'Loan Tape (BoE)'!G77</f>
        <v/>
      </c>
      <c r="H76" s="20">
        <f>'Loan Tape (BoE)'!H77/100</f>
        <v/>
      </c>
      <c r="I76" s="17">
        <f>IFERROR(IFS('Loan Tape (BoE)'!I77=1,"House",'Loan Tape (BoE)'!I77=2,"Flat",'Loan Tape (BoE)'!I77=3,"Bungalow",'Loan Tape (BoE)'!I77=4,"Maisonette"),"")</f>
        <v/>
      </c>
      <c r="J76" s="17">
        <f>'Loan Tape (BoE)'!J77</f>
        <v/>
      </c>
      <c r="K76" s="17">
        <f>'Loan Tape (BoE)'!K77</f>
        <v/>
      </c>
      <c r="L76" s="17">
        <f>IFERROR(IFS('Loan Tape (BoE)'!L77=1,"Owner Occupied",'Loan Tape (BoE)'!L77=2,"BTL",'Loan Tape (BoE)'!L77=3,"Second Home",'Loan Tape (BoE)'!L77=4,"Investment"),"")</f>
        <v/>
      </c>
      <c r="M76" s="17">
        <f>IFERROR(IFS('Loan Tape (BoE)'!M77=1,"Purchase",'Loan Tape (BoE)'!M77=2,"Remortgage",OR('Loan Tape (BoE)'!M77=3,'Loan Tape (BoE)'!M77=4),"Cash-out"),"")</f>
        <v/>
      </c>
      <c r="N76" s="17">
        <f>IFERROR(INDEX('FF Adj Parameters'!$A$96:$B$99,MATCH('Loan Tape (BoE)'!R76,INDEX('FF Adj Parameters'!$A$96:$B$99,,1),0),2),"Unknown")</f>
        <v/>
      </c>
      <c r="O76" s="17">
        <f>IF('Loan Tape (BoE)'!O77=1,"Yes","No")</f>
        <v/>
      </c>
      <c r="P76" s="17">
        <f>IF('Loan Tape (BoE)'!P76=1,"Yes",IF('Loan Tape (BoE)'!P76=0,"No",""))</f>
        <v/>
      </c>
      <c r="Q76" s="17">
        <f>IF('Loan Tape (BoE)'!Q76=1,"Yes",IF('Loan Tape (BoE)'!Q76=0,"No",""))</f>
        <v/>
      </c>
      <c r="R76" s="18">
        <f>IF('Loan Tape (BoE)'!R76=1,"Yes",IF('Loan Tape (BoE)'!R76=0,"No",""))</f>
        <v/>
      </c>
      <c r="S76" s="18">
        <f>IF('Loan Tape (BoE)'!S76=1,"Yes",IF('Loan Tape (BoE)'!S76=0,"No",""))</f>
        <v/>
      </c>
      <c r="T76" s="17">
        <f>IF('Loan Tape (BoE)'!T76=1,"Yes",IF('Loan Tape (BoE)'!T76=0,"No",""))</f>
        <v/>
      </c>
      <c r="U76" s="18">
        <f>R76+S76</f>
        <v/>
      </c>
      <c r="V76" s="17">
        <f>IFERROR(IFS('Loan Tape (BoE)'!U77=1,"Employed",'Loan Tape (BoE)'!U77=2,"Self-Employed",'Loan Tape (BoE)'!U77=3,"Unemployed",'Loan Tape (BoE)'!U77=4,"Retired"),"")</f>
        <v/>
      </c>
      <c r="W76" s="17">
        <f>IFERROR(IFS('Loan Tape (BoE)'!V77=1,"Employed",'Loan Tape (BoE)'!V77=2,"Self-Employed",'Loan Tape (BoE)'!V77=3,"Unemployed",'Loan Tape (BoE)'!V77=4,"Retired"),"")</f>
        <v/>
      </c>
      <c r="X76" s="17">
        <f>IF(OR(V76="Self-Employed",W76="Self-Employed"),"Yes","No")</f>
        <v/>
      </c>
      <c r="Y76" s="17">
        <f>'Loan Tape (BoE)'!W77</f>
        <v/>
      </c>
      <c r="Z76" s="17">
        <f>'Loan Tape (BoE)'!X77</f>
        <v/>
      </c>
      <c r="AA76" s="17">
        <f>IF(T76=1,Y76,MIN(Y76,Z76))</f>
        <v/>
      </c>
      <c r="AB76" s="17">
        <f>'Loan Tape (BoE)'!Y77</f>
        <v/>
      </c>
      <c r="AC76" s="17">
        <f>'Loan Tape (BoE)'!Z77</f>
        <v/>
      </c>
      <c r="AD76" s="17">
        <f>AB76+AC76</f>
        <v/>
      </c>
      <c r="AE76" s="18">
        <f>'Loan Tape (BoE)'!AA77</f>
        <v/>
      </c>
      <c r="AF76" s="18">
        <f>'Loan Tape (BoE)'!AB77</f>
        <v/>
      </c>
      <c r="AG76" s="18">
        <f>AE76+AF76</f>
        <v/>
      </c>
      <c r="AH76" s="19">
        <f>MAX('Loan Tape (BoE)'!AC77,'Loan Tape (BoE)'!AD77)</f>
        <v/>
      </c>
      <c r="AI76" s="18">
        <f>'Loan Tape (BoE)'!AE77</f>
        <v/>
      </c>
      <c r="AJ76" s="18">
        <f>B76*H76/12</f>
        <v/>
      </c>
      <c r="AK76" s="21">
        <f>IF(AJ76&gt;0,AI76/AJ76,0)</f>
        <v/>
      </c>
      <c r="AL76" s="17">
        <f>IF('Loan Tape (BoE)'!AF77=1,"Yes","No")</f>
        <v/>
      </c>
      <c r="AM76" s="17">
        <f>IF('Loan Tape (BoE)'!AH77=1,"Yes","No")</f>
        <v/>
      </c>
      <c r="AN76" s="17">
        <f>IF('Loan Tape (BoE)'!AI77=1,"Yes","No")</f>
        <v/>
      </c>
      <c r="AO76" s="17">
        <f>IF('Loan Tape (BoE)'!AJ77=1,"Yes","No")</f>
        <v/>
      </c>
      <c r="AP76" s="17">
        <f>IF(OR('Loan Tape (BoE)'!AQ76=1,'Loan Tape (BoE)'!AQ76=2),"Yes",IF('Loan Tape (BoE)'!AQ76=0,"No",""))</f>
        <v/>
      </c>
      <c r="AQ76" s="17">
        <f>IF('Loan Tape (BoE)'!BV49_76&lt;&gt;"",'Loan Tape (BoE)'!BV49_76,"")</f>
        <v/>
      </c>
      <c r="AR76" s="17">
        <f>IF('Loan Tape (BoE)'!BV760_76&lt;&gt;"",'Loan Tape (BoE)'!BV50_76,"")</f>
        <v/>
      </c>
      <c r="AS76" s="17">
        <f>IFERROR(INDEX('FF Adj Parameters'!$A$103:$B$1076,MATCH('Loan Tape (BoE)'!P76,INDEX('FF Adj Parameters'!$A$103:$B$1076,,1),0),2),"Unknown")</f>
        <v/>
      </c>
      <c r="AT76" s="17">
        <f>IF(N76="Interest Only",M5*O5/12,IF(AND(O5&gt;0,ISNUMBER(O5),ISNUMBER(M5)),ABS(PMT(O5/12,AU5,-M5)),0))</f>
        <v/>
      </c>
      <c r="AU76" s="17">
        <f>IF(ISNUMBER(L76),MAX(0,(L5-'Control Panel'!$B$10)*12/365.25),0)</f>
        <v/>
      </c>
      <c r="AV76" s="17">
        <f>IF(ISNUMBER(L76),IF(L5&gt;'Control Panel'!$B$10,"Valid","Past Maturity"),"No Date")</f>
        <v/>
      </c>
      <c r="AW76" s="17">
        <f>IF(ISNUMBER(K76),MAX(0,('Control Panel'!$B$10-K5)*12/365.25),0)</f>
        <v/>
      </c>
    </row>
    <row r="77">
      <c r="A77" s="17">
        <f>'Loan Tape (BoE)'!A78</f>
        <v/>
      </c>
      <c r="B77" s="18">
        <f>IFERROR(INDEX('FF Adj Parameters'!$A$89:$B$92,MATCH('Loan Tape (BoE)'!C77,INDEX('FF Adj Parameters'!$A$89:$B$92,,1),0),2),"Unknown")</f>
        <v/>
      </c>
      <c r="C77" s="18">
        <f>'Loan Tape (BoE)'!C78</f>
        <v/>
      </c>
      <c r="D77" s="18">
        <f>'Loan Tape (BoE)'!D78</f>
        <v/>
      </c>
      <c r="E77" s="18">
        <f>'Loan Tape (BoE)'!E78</f>
        <v/>
      </c>
      <c r="F77" s="19">
        <f>'Loan Tape (BoE)'!F78</f>
        <v/>
      </c>
      <c r="G77" s="19">
        <f>'Loan Tape (BoE)'!G78</f>
        <v/>
      </c>
      <c r="H77" s="20">
        <f>'Loan Tape (BoE)'!H78/100</f>
        <v/>
      </c>
      <c r="I77" s="17">
        <f>IFERROR(IFS('Loan Tape (BoE)'!I78=1,"House",'Loan Tape (BoE)'!I78=2,"Flat",'Loan Tape (BoE)'!I78=3,"Bungalow",'Loan Tape (BoE)'!I78=4,"Maisonette"),"")</f>
        <v/>
      </c>
      <c r="J77" s="17">
        <f>'Loan Tape (BoE)'!J78</f>
        <v/>
      </c>
      <c r="K77" s="17">
        <f>'Loan Tape (BoE)'!K78</f>
        <v/>
      </c>
      <c r="L77" s="17">
        <f>IFERROR(IFS('Loan Tape (BoE)'!L78=1,"Owner Occupied",'Loan Tape (BoE)'!L78=2,"BTL",'Loan Tape (BoE)'!L78=3,"Second Home",'Loan Tape (BoE)'!L78=4,"Investment"),"")</f>
        <v/>
      </c>
      <c r="M77" s="17">
        <f>IFERROR(IFS('Loan Tape (BoE)'!M78=1,"Purchase",'Loan Tape (BoE)'!M78=2,"Remortgage",OR('Loan Tape (BoE)'!M78=3,'Loan Tape (BoE)'!M78=4),"Cash-out"),"")</f>
        <v/>
      </c>
      <c r="N77" s="17">
        <f>IFERROR(INDEX('FF Adj Parameters'!$A$96:$B$99,MATCH('Loan Tape (BoE)'!R77,INDEX('FF Adj Parameters'!$A$96:$B$99,,1),0),2),"Unknown")</f>
        <v/>
      </c>
      <c r="O77" s="17">
        <f>IF('Loan Tape (BoE)'!O78=1,"Yes","No")</f>
        <v/>
      </c>
      <c r="P77" s="17">
        <f>IF('Loan Tape (BoE)'!P77=1,"Yes",IF('Loan Tape (BoE)'!P77=0,"No",""))</f>
        <v/>
      </c>
      <c r="Q77" s="17">
        <f>IF('Loan Tape (BoE)'!Q77=1,"Yes",IF('Loan Tape (BoE)'!Q77=0,"No",""))</f>
        <v/>
      </c>
      <c r="R77" s="18">
        <f>IF('Loan Tape (BoE)'!R77=1,"Yes",IF('Loan Tape (BoE)'!R77=0,"No",""))</f>
        <v/>
      </c>
      <c r="S77" s="18">
        <f>IF('Loan Tape (BoE)'!S77=1,"Yes",IF('Loan Tape (BoE)'!S77=0,"No",""))</f>
        <v/>
      </c>
      <c r="T77" s="17">
        <f>IF('Loan Tape (BoE)'!T77=1,"Yes",IF('Loan Tape (BoE)'!T77=0,"No",""))</f>
        <v/>
      </c>
      <c r="U77" s="18">
        <f>R77+S77</f>
        <v/>
      </c>
      <c r="V77" s="17">
        <f>IFERROR(IFS('Loan Tape (BoE)'!U78=1,"Employed",'Loan Tape (BoE)'!U78=2,"Self-Employed",'Loan Tape (BoE)'!U78=3,"Unemployed",'Loan Tape (BoE)'!U78=4,"Retired"),"")</f>
        <v/>
      </c>
      <c r="W77" s="17">
        <f>IFERROR(IFS('Loan Tape (BoE)'!V78=1,"Employed",'Loan Tape (BoE)'!V78=2,"Self-Employed",'Loan Tape (BoE)'!V78=3,"Unemployed",'Loan Tape (BoE)'!V78=4,"Retired"),"")</f>
        <v/>
      </c>
      <c r="X77" s="17">
        <f>IF(OR(V77="Self-Employed",W77="Self-Employed"),"Yes","No")</f>
        <v/>
      </c>
      <c r="Y77" s="17">
        <f>'Loan Tape (BoE)'!W78</f>
        <v/>
      </c>
      <c r="Z77" s="17">
        <f>'Loan Tape (BoE)'!X78</f>
        <v/>
      </c>
      <c r="AA77" s="17">
        <f>IF(T77=1,Y77,MIN(Y77,Z77))</f>
        <v/>
      </c>
      <c r="AB77" s="17">
        <f>'Loan Tape (BoE)'!Y78</f>
        <v/>
      </c>
      <c r="AC77" s="17">
        <f>'Loan Tape (BoE)'!Z78</f>
        <v/>
      </c>
      <c r="AD77" s="17">
        <f>AB77+AC77</f>
        <v/>
      </c>
      <c r="AE77" s="18">
        <f>'Loan Tape (BoE)'!AA78</f>
        <v/>
      </c>
      <c r="AF77" s="18">
        <f>'Loan Tape (BoE)'!AB78</f>
        <v/>
      </c>
      <c r="AG77" s="18">
        <f>AE77+AF77</f>
        <v/>
      </c>
      <c r="AH77" s="19">
        <f>MAX('Loan Tape (BoE)'!AC78,'Loan Tape (BoE)'!AD78)</f>
        <v/>
      </c>
      <c r="AI77" s="18">
        <f>'Loan Tape (BoE)'!AE78</f>
        <v/>
      </c>
      <c r="AJ77" s="18">
        <f>B77*H77/12</f>
        <v/>
      </c>
      <c r="AK77" s="21">
        <f>IF(AJ77&gt;0,AI77/AJ77,0)</f>
        <v/>
      </c>
      <c r="AL77" s="17">
        <f>IF('Loan Tape (BoE)'!AF78=1,"Yes","No")</f>
        <v/>
      </c>
      <c r="AM77" s="17">
        <f>IF('Loan Tape (BoE)'!AH78=1,"Yes","No")</f>
        <v/>
      </c>
      <c r="AN77" s="17">
        <f>IF('Loan Tape (BoE)'!AI78=1,"Yes","No")</f>
        <v/>
      </c>
      <c r="AO77" s="17">
        <f>IF('Loan Tape (BoE)'!AJ78=1,"Yes","No")</f>
        <v/>
      </c>
      <c r="AP77" s="17">
        <f>IF(OR('Loan Tape (BoE)'!AQ77=1,'Loan Tape (BoE)'!AQ77=2),"Yes",IF('Loan Tape (BoE)'!AQ77=0,"No",""))</f>
        <v/>
      </c>
      <c r="AQ77" s="17">
        <f>IF('Loan Tape (BoE)'!BV49_77&lt;&gt;"",'Loan Tape (BoE)'!BV49_77,"")</f>
        <v/>
      </c>
      <c r="AR77" s="17">
        <f>IF('Loan Tape (BoE)'!BV770_77&lt;&gt;"",'Loan Tape (BoE)'!BV50_77,"")</f>
        <v/>
      </c>
      <c r="AS77" s="17">
        <f>IFERROR(INDEX('FF Adj Parameters'!$A$103:$B$1077,MATCH('Loan Tape (BoE)'!P77,INDEX('FF Adj Parameters'!$A$103:$B$1077,,1),0),2),"Unknown")</f>
        <v/>
      </c>
      <c r="AT77" s="17">
        <f>IF(N77="Interest Only",M5*O5/12,IF(AND(O5&gt;0,ISNUMBER(O5),ISNUMBER(M5)),ABS(PMT(O5/12,AU5,-M5)),0))</f>
        <v/>
      </c>
      <c r="AU77" s="17">
        <f>IF(ISNUMBER(L77),MAX(0,(L5-'Control Panel'!$B$10)*12/365.25),0)</f>
        <v/>
      </c>
      <c r="AV77" s="17">
        <f>IF(ISNUMBER(L77),IF(L5&gt;'Control Panel'!$B$10,"Valid","Past Maturity"),"No Date")</f>
        <v/>
      </c>
      <c r="AW77" s="17">
        <f>IF(ISNUMBER(K77),MAX(0,('Control Panel'!$B$10-K5)*12/365.25),0)</f>
        <v/>
      </c>
    </row>
    <row r="78">
      <c r="A78" s="17">
        <f>'Loan Tape (BoE)'!A79</f>
        <v/>
      </c>
      <c r="B78" s="18">
        <f>IFERROR(INDEX('FF Adj Parameters'!$A$89:$B$92,MATCH('Loan Tape (BoE)'!C78,INDEX('FF Adj Parameters'!$A$89:$B$92,,1),0),2),"Unknown")</f>
        <v/>
      </c>
      <c r="C78" s="18">
        <f>'Loan Tape (BoE)'!C79</f>
        <v/>
      </c>
      <c r="D78" s="18">
        <f>'Loan Tape (BoE)'!D79</f>
        <v/>
      </c>
      <c r="E78" s="18">
        <f>'Loan Tape (BoE)'!E79</f>
        <v/>
      </c>
      <c r="F78" s="19">
        <f>'Loan Tape (BoE)'!F79</f>
        <v/>
      </c>
      <c r="G78" s="19">
        <f>'Loan Tape (BoE)'!G79</f>
        <v/>
      </c>
      <c r="H78" s="20">
        <f>'Loan Tape (BoE)'!H79/100</f>
        <v/>
      </c>
      <c r="I78" s="17">
        <f>IFERROR(IFS('Loan Tape (BoE)'!I79=1,"House",'Loan Tape (BoE)'!I79=2,"Flat",'Loan Tape (BoE)'!I79=3,"Bungalow",'Loan Tape (BoE)'!I79=4,"Maisonette"),"")</f>
        <v/>
      </c>
      <c r="J78" s="17">
        <f>'Loan Tape (BoE)'!J79</f>
        <v/>
      </c>
      <c r="K78" s="17">
        <f>'Loan Tape (BoE)'!K79</f>
        <v/>
      </c>
      <c r="L78" s="17">
        <f>IFERROR(IFS('Loan Tape (BoE)'!L79=1,"Owner Occupied",'Loan Tape (BoE)'!L79=2,"BTL",'Loan Tape (BoE)'!L79=3,"Second Home",'Loan Tape (BoE)'!L79=4,"Investment"),"")</f>
        <v/>
      </c>
      <c r="M78" s="17">
        <f>IFERROR(IFS('Loan Tape (BoE)'!M79=1,"Purchase",'Loan Tape (BoE)'!M79=2,"Remortgage",OR('Loan Tape (BoE)'!M79=3,'Loan Tape (BoE)'!M79=4),"Cash-out"),"")</f>
        <v/>
      </c>
      <c r="N78" s="17">
        <f>IFERROR(INDEX('FF Adj Parameters'!$A$96:$B$99,MATCH('Loan Tape (BoE)'!R78,INDEX('FF Adj Parameters'!$A$96:$B$99,,1),0),2),"Unknown")</f>
        <v/>
      </c>
      <c r="O78" s="17">
        <f>IF('Loan Tape (BoE)'!O79=1,"Yes","No")</f>
        <v/>
      </c>
      <c r="P78" s="17">
        <f>IF('Loan Tape (BoE)'!P78=1,"Yes",IF('Loan Tape (BoE)'!P78=0,"No",""))</f>
        <v/>
      </c>
      <c r="Q78" s="17">
        <f>IF('Loan Tape (BoE)'!Q78=1,"Yes",IF('Loan Tape (BoE)'!Q78=0,"No",""))</f>
        <v/>
      </c>
      <c r="R78" s="18">
        <f>IF('Loan Tape (BoE)'!R78=1,"Yes",IF('Loan Tape (BoE)'!R78=0,"No",""))</f>
        <v/>
      </c>
      <c r="S78" s="18">
        <f>IF('Loan Tape (BoE)'!S78=1,"Yes",IF('Loan Tape (BoE)'!S78=0,"No",""))</f>
        <v/>
      </c>
      <c r="T78" s="17">
        <f>IF('Loan Tape (BoE)'!T78=1,"Yes",IF('Loan Tape (BoE)'!T78=0,"No",""))</f>
        <v/>
      </c>
      <c r="U78" s="18">
        <f>R78+S78</f>
        <v/>
      </c>
      <c r="V78" s="17">
        <f>IFERROR(IFS('Loan Tape (BoE)'!U79=1,"Employed",'Loan Tape (BoE)'!U79=2,"Self-Employed",'Loan Tape (BoE)'!U79=3,"Unemployed",'Loan Tape (BoE)'!U79=4,"Retired"),"")</f>
        <v/>
      </c>
      <c r="W78" s="17">
        <f>IFERROR(IFS('Loan Tape (BoE)'!V79=1,"Employed",'Loan Tape (BoE)'!V79=2,"Self-Employed",'Loan Tape (BoE)'!V79=3,"Unemployed",'Loan Tape (BoE)'!V79=4,"Retired"),"")</f>
        <v/>
      </c>
      <c r="X78" s="17">
        <f>IF(OR(V78="Self-Employed",W78="Self-Employed"),"Yes","No")</f>
        <v/>
      </c>
      <c r="Y78" s="17">
        <f>'Loan Tape (BoE)'!W79</f>
        <v/>
      </c>
      <c r="Z78" s="17">
        <f>'Loan Tape (BoE)'!X79</f>
        <v/>
      </c>
      <c r="AA78" s="17">
        <f>IF(T78=1,Y78,MIN(Y78,Z78))</f>
        <v/>
      </c>
      <c r="AB78" s="17">
        <f>'Loan Tape (BoE)'!Y79</f>
        <v/>
      </c>
      <c r="AC78" s="17">
        <f>'Loan Tape (BoE)'!Z79</f>
        <v/>
      </c>
      <c r="AD78" s="17">
        <f>AB78+AC78</f>
        <v/>
      </c>
      <c r="AE78" s="18">
        <f>'Loan Tape (BoE)'!AA79</f>
        <v/>
      </c>
      <c r="AF78" s="18">
        <f>'Loan Tape (BoE)'!AB79</f>
        <v/>
      </c>
      <c r="AG78" s="18">
        <f>AE78+AF78</f>
        <v/>
      </c>
      <c r="AH78" s="19">
        <f>MAX('Loan Tape (BoE)'!AC79,'Loan Tape (BoE)'!AD79)</f>
        <v/>
      </c>
      <c r="AI78" s="18">
        <f>'Loan Tape (BoE)'!AE79</f>
        <v/>
      </c>
      <c r="AJ78" s="18">
        <f>B78*H78/12</f>
        <v/>
      </c>
      <c r="AK78" s="21">
        <f>IF(AJ78&gt;0,AI78/AJ78,0)</f>
        <v/>
      </c>
      <c r="AL78" s="17">
        <f>IF('Loan Tape (BoE)'!AF79=1,"Yes","No")</f>
        <v/>
      </c>
      <c r="AM78" s="17">
        <f>IF('Loan Tape (BoE)'!AH79=1,"Yes","No")</f>
        <v/>
      </c>
      <c r="AN78" s="17">
        <f>IF('Loan Tape (BoE)'!AI79=1,"Yes","No")</f>
        <v/>
      </c>
      <c r="AO78" s="17">
        <f>IF('Loan Tape (BoE)'!AJ79=1,"Yes","No")</f>
        <v/>
      </c>
      <c r="AP78" s="17">
        <f>IF(OR('Loan Tape (BoE)'!AQ78=1,'Loan Tape (BoE)'!AQ78=2),"Yes",IF('Loan Tape (BoE)'!AQ78=0,"No",""))</f>
        <v/>
      </c>
      <c r="AQ78" s="17">
        <f>IF('Loan Tape (BoE)'!BV49_78&lt;&gt;"",'Loan Tape (BoE)'!BV49_78,"")</f>
        <v/>
      </c>
      <c r="AR78" s="17">
        <f>IF('Loan Tape (BoE)'!BV780_78&lt;&gt;"",'Loan Tape (BoE)'!BV50_78,"")</f>
        <v/>
      </c>
      <c r="AS78" s="17">
        <f>IFERROR(INDEX('FF Adj Parameters'!$A$103:$B$1078,MATCH('Loan Tape (BoE)'!P78,INDEX('FF Adj Parameters'!$A$103:$B$1078,,1),0),2),"Unknown")</f>
        <v/>
      </c>
      <c r="AT78" s="17">
        <f>IF(N78="Interest Only",M5*O5/12,IF(AND(O5&gt;0,ISNUMBER(O5),ISNUMBER(M5)),ABS(PMT(O5/12,AU5,-M5)),0))</f>
        <v/>
      </c>
      <c r="AU78" s="17">
        <f>IF(ISNUMBER(L78),MAX(0,(L5-'Control Panel'!$B$10)*12/365.25),0)</f>
        <v/>
      </c>
      <c r="AV78" s="17">
        <f>IF(ISNUMBER(L78),IF(L5&gt;'Control Panel'!$B$10,"Valid","Past Maturity"),"No Date")</f>
        <v/>
      </c>
      <c r="AW78" s="17">
        <f>IF(ISNUMBER(K78),MAX(0,('Control Panel'!$B$10-K5)*12/365.25),0)</f>
        <v/>
      </c>
    </row>
    <row r="79">
      <c r="A79" s="17">
        <f>'Loan Tape (BoE)'!A80</f>
        <v/>
      </c>
      <c r="B79" s="18">
        <f>IFERROR(INDEX('FF Adj Parameters'!$A$89:$B$92,MATCH('Loan Tape (BoE)'!C79,INDEX('FF Adj Parameters'!$A$89:$B$92,,1),0),2),"Unknown")</f>
        <v/>
      </c>
      <c r="C79" s="18">
        <f>'Loan Tape (BoE)'!C80</f>
        <v/>
      </c>
      <c r="D79" s="18">
        <f>'Loan Tape (BoE)'!D80</f>
        <v/>
      </c>
      <c r="E79" s="18">
        <f>'Loan Tape (BoE)'!E80</f>
        <v/>
      </c>
      <c r="F79" s="19">
        <f>'Loan Tape (BoE)'!F80</f>
        <v/>
      </c>
      <c r="G79" s="19">
        <f>'Loan Tape (BoE)'!G80</f>
        <v/>
      </c>
      <c r="H79" s="20">
        <f>'Loan Tape (BoE)'!H80/100</f>
        <v/>
      </c>
      <c r="I79" s="17">
        <f>IFERROR(IFS('Loan Tape (BoE)'!I80=1,"House",'Loan Tape (BoE)'!I80=2,"Flat",'Loan Tape (BoE)'!I80=3,"Bungalow",'Loan Tape (BoE)'!I80=4,"Maisonette"),"")</f>
        <v/>
      </c>
      <c r="J79" s="17">
        <f>'Loan Tape (BoE)'!J80</f>
        <v/>
      </c>
      <c r="K79" s="17">
        <f>'Loan Tape (BoE)'!K80</f>
        <v/>
      </c>
      <c r="L79" s="17">
        <f>IFERROR(IFS('Loan Tape (BoE)'!L80=1,"Owner Occupied",'Loan Tape (BoE)'!L80=2,"BTL",'Loan Tape (BoE)'!L80=3,"Second Home",'Loan Tape (BoE)'!L80=4,"Investment"),"")</f>
        <v/>
      </c>
      <c r="M79" s="17">
        <f>IFERROR(IFS('Loan Tape (BoE)'!M80=1,"Purchase",'Loan Tape (BoE)'!M80=2,"Remortgage",OR('Loan Tape (BoE)'!M80=3,'Loan Tape (BoE)'!M80=4),"Cash-out"),"")</f>
        <v/>
      </c>
      <c r="N79" s="17">
        <f>IFERROR(INDEX('FF Adj Parameters'!$A$96:$B$99,MATCH('Loan Tape (BoE)'!R79,INDEX('FF Adj Parameters'!$A$96:$B$99,,1),0),2),"Unknown")</f>
        <v/>
      </c>
      <c r="O79" s="17">
        <f>IF('Loan Tape (BoE)'!O80=1,"Yes","No")</f>
        <v/>
      </c>
      <c r="P79" s="17">
        <f>IF('Loan Tape (BoE)'!P79=1,"Yes",IF('Loan Tape (BoE)'!P79=0,"No",""))</f>
        <v/>
      </c>
      <c r="Q79" s="17">
        <f>IF('Loan Tape (BoE)'!Q79=1,"Yes",IF('Loan Tape (BoE)'!Q79=0,"No",""))</f>
        <v/>
      </c>
      <c r="R79" s="18">
        <f>IF('Loan Tape (BoE)'!R79=1,"Yes",IF('Loan Tape (BoE)'!R79=0,"No",""))</f>
        <v/>
      </c>
      <c r="S79" s="18">
        <f>IF('Loan Tape (BoE)'!S79=1,"Yes",IF('Loan Tape (BoE)'!S79=0,"No",""))</f>
        <v/>
      </c>
      <c r="T79" s="17">
        <f>IF('Loan Tape (BoE)'!T79=1,"Yes",IF('Loan Tape (BoE)'!T79=0,"No",""))</f>
        <v/>
      </c>
      <c r="U79" s="18">
        <f>R79+S79</f>
        <v/>
      </c>
      <c r="V79" s="17">
        <f>IFERROR(IFS('Loan Tape (BoE)'!U80=1,"Employed",'Loan Tape (BoE)'!U80=2,"Self-Employed",'Loan Tape (BoE)'!U80=3,"Unemployed",'Loan Tape (BoE)'!U80=4,"Retired"),"")</f>
        <v/>
      </c>
      <c r="W79" s="17">
        <f>IFERROR(IFS('Loan Tape (BoE)'!V80=1,"Employed",'Loan Tape (BoE)'!V80=2,"Self-Employed",'Loan Tape (BoE)'!V80=3,"Unemployed",'Loan Tape (BoE)'!V80=4,"Retired"),"")</f>
        <v/>
      </c>
      <c r="X79" s="17">
        <f>IF(OR(V79="Self-Employed",W79="Self-Employed"),"Yes","No")</f>
        <v/>
      </c>
      <c r="Y79" s="17">
        <f>'Loan Tape (BoE)'!W80</f>
        <v/>
      </c>
      <c r="Z79" s="17">
        <f>'Loan Tape (BoE)'!X80</f>
        <v/>
      </c>
      <c r="AA79" s="17">
        <f>IF(T79=1,Y79,MIN(Y79,Z79))</f>
        <v/>
      </c>
      <c r="AB79" s="17">
        <f>'Loan Tape (BoE)'!Y80</f>
        <v/>
      </c>
      <c r="AC79" s="17">
        <f>'Loan Tape (BoE)'!Z80</f>
        <v/>
      </c>
      <c r="AD79" s="17">
        <f>AB79+AC79</f>
        <v/>
      </c>
      <c r="AE79" s="18">
        <f>'Loan Tape (BoE)'!AA80</f>
        <v/>
      </c>
      <c r="AF79" s="18">
        <f>'Loan Tape (BoE)'!AB80</f>
        <v/>
      </c>
      <c r="AG79" s="18">
        <f>AE79+AF79</f>
        <v/>
      </c>
      <c r="AH79" s="19">
        <f>MAX('Loan Tape (BoE)'!AC80,'Loan Tape (BoE)'!AD80)</f>
        <v/>
      </c>
      <c r="AI79" s="18">
        <f>'Loan Tape (BoE)'!AE80</f>
        <v/>
      </c>
      <c r="AJ79" s="18">
        <f>B79*H79/12</f>
        <v/>
      </c>
      <c r="AK79" s="21">
        <f>IF(AJ79&gt;0,AI79/AJ79,0)</f>
        <v/>
      </c>
      <c r="AL79" s="17">
        <f>IF('Loan Tape (BoE)'!AF80=1,"Yes","No")</f>
        <v/>
      </c>
      <c r="AM79" s="17">
        <f>IF('Loan Tape (BoE)'!AH80=1,"Yes","No")</f>
        <v/>
      </c>
      <c r="AN79" s="17">
        <f>IF('Loan Tape (BoE)'!AI80=1,"Yes","No")</f>
        <v/>
      </c>
      <c r="AO79" s="17">
        <f>IF('Loan Tape (BoE)'!AJ80=1,"Yes","No")</f>
        <v/>
      </c>
      <c r="AP79" s="17">
        <f>IF(OR('Loan Tape (BoE)'!AQ79=1,'Loan Tape (BoE)'!AQ79=2),"Yes",IF('Loan Tape (BoE)'!AQ79=0,"No",""))</f>
        <v/>
      </c>
      <c r="AQ79" s="17">
        <f>IF('Loan Tape (BoE)'!BV49_79&lt;&gt;"",'Loan Tape (BoE)'!BV49_79,"")</f>
        <v/>
      </c>
      <c r="AR79" s="17">
        <f>IF('Loan Tape (BoE)'!BV790_79&lt;&gt;"",'Loan Tape (BoE)'!BV50_79,"")</f>
        <v/>
      </c>
      <c r="AS79" s="17">
        <f>IFERROR(INDEX('FF Adj Parameters'!$A$103:$B$1079,MATCH('Loan Tape (BoE)'!P79,INDEX('FF Adj Parameters'!$A$103:$B$1079,,1),0),2),"Unknown")</f>
        <v/>
      </c>
      <c r="AT79" s="17">
        <f>IF(N79="Interest Only",M5*O5/12,IF(AND(O5&gt;0,ISNUMBER(O5),ISNUMBER(M5)),ABS(PMT(O5/12,AU5,-M5)),0))</f>
        <v/>
      </c>
      <c r="AU79" s="17">
        <f>IF(ISNUMBER(L79),MAX(0,(L5-'Control Panel'!$B$10)*12/365.25),0)</f>
        <v/>
      </c>
      <c r="AV79" s="17">
        <f>IF(ISNUMBER(L79),IF(L5&gt;'Control Panel'!$B$10,"Valid","Past Maturity"),"No Date")</f>
        <v/>
      </c>
      <c r="AW79" s="17">
        <f>IF(ISNUMBER(K79),MAX(0,('Control Panel'!$B$10-K5)*12/365.25),0)</f>
        <v/>
      </c>
    </row>
    <row r="80">
      <c r="A80" s="17">
        <f>'Loan Tape (BoE)'!A81</f>
        <v/>
      </c>
      <c r="B80" s="18">
        <f>IFERROR(INDEX('FF Adj Parameters'!$A$89:$B$92,MATCH('Loan Tape (BoE)'!C80,INDEX('FF Adj Parameters'!$A$89:$B$92,,1),0),2),"Unknown")</f>
        <v/>
      </c>
      <c r="C80" s="18">
        <f>'Loan Tape (BoE)'!C81</f>
        <v/>
      </c>
      <c r="D80" s="18">
        <f>'Loan Tape (BoE)'!D81</f>
        <v/>
      </c>
      <c r="E80" s="18">
        <f>'Loan Tape (BoE)'!E81</f>
        <v/>
      </c>
      <c r="F80" s="19">
        <f>'Loan Tape (BoE)'!F81</f>
        <v/>
      </c>
      <c r="G80" s="19">
        <f>'Loan Tape (BoE)'!G81</f>
        <v/>
      </c>
      <c r="H80" s="20">
        <f>'Loan Tape (BoE)'!H81/100</f>
        <v/>
      </c>
      <c r="I80" s="17">
        <f>IFERROR(IFS('Loan Tape (BoE)'!I81=1,"House",'Loan Tape (BoE)'!I81=2,"Flat",'Loan Tape (BoE)'!I81=3,"Bungalow",'Loan Tape (BoE)'!I81=4,"Maisonette"),"")</f>
        <v/>
      </c>
      <c r="J80" s="17">
        <f>'Loan Tape (BoE)'!J81</f>
        <v/>
      </c>
      <c r="K80" s="17">
        <f>'Loan Tape (BoE)'!K81</f>
        <v/>
      </c>
      <c r="L80" s="17">
        <f>IFERROR(IFS('Loan Tape (BoE)'!L81=1,"Owner Occupied",'Loan Tape (BoE)'!L81=2,"BTL",'Loan Tape (BoE)'!L81=3,"Second Home",'Loan Tape (BoE)'!L81=4,"Investment"),"")</f>
        <v/>
      </c>
      <c r="M80" s="17">
        <f>IFERROR(IFS('Loan Tape (BoE)'!M81=1,"Purchase",'Loan Tape (BoE)'!M81=2,"Remortgage",OR('Loan Tape (BoE)'!M81=3,'Loan Tape (BoE)'!M81=4),"Cash-out"),"")</f>
        <v/>
      </c>
      <c r="N80" s="17">
        <f>IFERROR(INDEX('FF Adj Parameters'!$A$96:$B$99,MATCH('Loan Tape (BoE)'!R80,INDEX('FF Adj Parameters'!$A$96:$B$99,,1),0),2),"Unknown")</f>
        <v/>
      </c>
      <c r="O80" s="17">
        <f>IF('Loan Tape (BoE)'!O81=1,"Yes","No")</f>
        <v/>
      </c>
      <c r="P80" s="17">
        <f>IF('Loan Tape (BoE)'!P80=1,"Yes",IF('Loan Tape (BoE)'!P80=0,"No",""))</f>
        <v/>
      </c>
      <c r="Q80" s="17">
        <f>IF('Loan Tape (BoE)'!Q80=1,"Yes",IF('Loan Tape (BoE)'!Q80=0,"No",""))</f>
        <v/>
      </c>
      <c r="R80" s="18">
        <f>IF('Loan Tape (BoE)'!R80=1,"Yes",IF('Loan Tape (BoE)'!R80=0,"No",""))</f>
        <v/>
      </c>
      <c r="S80" s="18">
        <f>IF('Loan Tape (BoE)'!S80=1,"Yes",IF('Loan Tape (BoE)'!S80=0,"No",""))</f>
        <v/>
      </c>
      <c r="T80" s="17">
        <f>IF('Loan Tape (BoE)'!T80=1,"Yes",IF('Loan Tape (BoE)'!T80=0,"No",""))</f>
        <v/>
      </c>
      <c r="U80" s="18">
        <f>R80+S80</f>
        <v/>
      </c>
      <c r="V80" s="17">
        <f>IFERROR(IFS('Loan Tape (BoE)'!U81=1,"Employed",'Loan Tape (BoE)'!U81=2,"Self-Employed",'Loan Tape (BoE)'!U81=3,"Unemployed",'Loan Tape (BoE)'!U81=4,"Retired"),"")</f>
        <v/>
      </c>
      <c r="W80" s="17">
        <f>IFERROR(IFS('Loan Tape (BoE)'!V81=1,"Employed",'Loan Tape (BoE)'!V81=2,"Self-Employed",'Loan Tape (BoE)'!V81=3,"Unemployed",'Loan Tape (BoE)'!V81=4,"Retired"),"")</f>
        <v/>
      </c>
      <c r="X80" s="17">
        <f>IF(OR(V80="Self-Employed",W80="Self-Employed"),"Yes","No")</f>
        <v/>
      </c>
      <c r="Y80" s="17">
        <f>'Loan Tape (BoE)'!W81</f>
        <v/>
      </c>
      <c r="Z80" s="17">
        <f>'Loan Tape (BoE)'!X81</f>
        <v/>
      </c>
      <c r="AA80" s="17">
        <f>IF(T80=1,Y80,MIN(Y80,Z80))</f>
        <v/>
      </c>
      <c r="AB80" s="17">
        <f>'Loan Tape (BoE)'!Y81</f>
        <v/>
      </c>
      <c r="AC80" s="17">
        <f>'Loan Tape (BoE)'!Z81</f>
        <v/>
      </c>
      <c r="AD80" s="17">
        <f>AB80+AC80</f>
        <v/>
      </c>
      <c r="AE80" s="18">
        <f>'Loan Tape (BoE)'!AA81</f>
        <v/>
      </c>
      <c r="AF80" s="18">
        <f>'Loan Tape (BoE)'!AB81</f>
        <v/>
      </c>
      <c r="AG80" s="18">
        <f>AE80+AF80</f>
        <v/>
      </c>
      <c r="AH80" s="19">
        <f>MAX('Loan Tape (BoE)'!AC81,'Loan Tape (BoE)'!AD81)</f>
        <v/>
      </c>
      <c r="AI80" s="18">
        <f>'Loan Tape (BoE)'!AE81</f>
        <v/>
      </c>
      <c r="AJ80" s="18">
        <f>B80*H80/12</f>
        <v/>
      </c>
      <c r="AK80" s="21">
        <f>IF(AJ80&gt;0,AI80/AJ80,0)</f>
        <v/>
      </c>
      <c r="AL80" s="17">
        <f>IF('Loan Tape (BoE)'!AF81=1,"Yes","No")</f>
        <v/>
      </c>
      <c r="AM80" s="17">
        <f>IF('Loan Tape (BoE)'!AH81=1,"Yes","No")</f>
        <v/>
      </c>
      <c r="AN80" s="17">
        <f>IF('Loan Tape (BoE)'!AI81=1,"Yes","No")</f>
        <v/>
      </c>
      <c r="AO80" s="17">
        <f>IF('Loan Tape (BoE)'!AJ81=1,"Yes","No")</f>
        <v/>
      </c>
      <c r="AP80" s="17">
        <f>IF(OR('Loan Tape (BoE)'!AQ80=1,'Loan Tape (BoE)'!AQ80=2),"Yes",IF('Loan Tape (BoE)'!AQ80=0,"No",""))</f>
        <v/>
      </c>
      <c r="AQ80" s="17">
        <f>IF('Loan Tape (BoE)'!BV49_80&lt;&gt;"",'Loan Tape (BoE)'!BV49_80,"")</f>
        <v/>
      </c>
      <c r="AR80" s="17">
        <f>IF('Loan Tape (BoE)'!BV800_80&lt;&gt;"",'Loan Tape (BoE)'!BV50_80,"")</f>
        <v/>
      </c>
      <c r="AS80" s="17">
        <f>IFERROR(INDEX('FF Adj Parameters'!$A$103:$B$1080,MATCH('Loan Tape (BoE)'!P80,INDEX('FF Adj Parameters'!$A$103:$B$1080,,1),0),2),"Unknown")</f>
        <v/>
      </c>
      <c r="AT80" s="17">
        <f>IF(N80="Interest Only",M5*O5/12,IF(AND(O5&gt;0,ISNUMBER(O5),ISNUMBER(M5)),ABS(PMT(O5/12,AU5,-M5)),0))</f>
        <v/>
      </c>
      <c r="AU80" s="17">
        <f>IF(ISNUMBER(L80),MAX(0,(L5-'Control Panel'!$B$10)*12/365.25),0)</f>
        <v/>
      </c>
      <c r="AV80" s="17">
        <f>IF(ISNUMBER(L80),IF(L5&gt;'Control Panel'!$B$10,"Valid","Past Maturity"),"No Date")</f>
        <v/>
      </c>
      <c r="AW80" s="17">
        <f>IF(ISNUMBER(K80),MAX(0,('Control Panel'!$B$10-K5)*12/365.25),0)</f>
        <v/>
      </c>
    </row>
    <row r="81">
      <c r="A81" s="17">
        <f>'Loan Tape (BoE)'!A82</f>
        <v/>
      </c>
      <c r="B81" s="18">
        <f>IFERROR(INDEX('FF Adj Parameters'!$A$89:$B$92,MATCH('Loan Tape (BoE)'!C81,INDEX('FF Adj Parameters'!$A$89:$B$92,,1),0),2),"Unknown")</f>
        <v/>
      </c>
      <c r="C81" s="18">
        <f>'Loan Tape (BoE)'!C82</f>
        <v/>
      </c>
      <c r="D81" s="18">
        <f>'Loan Tape (BoE)'!D82</f>
        <v/>
      </c>
      <c r="E81" s="18">
        <f>'Loan Tape (BoE)'!E82</f>
        <v/>
      </c>
      <c r="F81" s="19">
        <f>'Loan Tape (BoE)'!F82</f>
        <v/>
      </c>
      <c r="G81" s="19">
        <f>'Loan Tape (BoE)'!G82</f>
        <v/>
      </c>
      <c r="H81" s="20">
        <f>'Loan Tape (BoE)'!H82/100</f>
        <v/>
      </c>
      <c r="I81" s="17">
        <f>IFERROR(IFS('Loan Tape (BoE)'!I82=1,"House",'Loan Tape (BoE)'!I82=2,"Flat",'Loan Tape (BoE)'!I82=3,"Bungalow",'Loan Tape (BoE)'!I82=4,"Maisonette"),"")</f>
        <v/>
      </c>
      <c r="J81" s="17">
        <f>'Loan Tape (BoE)'!J82</f>
        <v/>
      </c>
      <c r="K81" s="17">
        <f>'Loan Tape (BoE)'!K82</f>
        <v/>
      </c>
      <c r="L81" s="17">
        <f>IFERROR(IFS('Loan Tape (BoE)'!L82=1,"Owner Occupied",'Loan Tape (BoE)'!L82=2,"BTL",'Loan Tape (BoE)'!L82=3,"Second Home",'Loan Tape (BoE)'!L82=4,"Investment"),"")</f>
        <v/>
      </c>
      <c r="M81" s="17">
        <f>IFERROR(IFS('Loan Tape (BoE)'!M82=1,"Purchase",'Loan Tape (BoE)'!M82=2,"Remortgage",OR('Loan Tape (BoE)'!M82=3,'Loan Tape (BoE)'!M82=4),"Cash-out"),"")</f>
        <v/>
      </c>
      <c r="N81" s="17">
        <f>IFERROR(INDEX('FF Adj Parameters'!$A$96:$B$99,MATCH('Loan Tape (BoE)'!R81,INDEX('FF Adj Parameters'!$A$96:$B$99,,1),0),2),"Unknown")</f>
        <v/>
      </c>
      <c r="O81" s="17">
        <f>IF('Loan Tape (BoE)'!O82=1,"Yes","No")</f>
        <v/>
      </c>
      <c r="P81" s="17">
        <f>IF('Loan Tape (BoE)'!P81=1,"Yes",IF('Loan Tape (BoE)'!P81=0,"No",""))</f>
        <v/>
      </c>
      <c r="Q81" s="17">
        <f>IF('Loan Tape (BoE)'!Q81=1,"Yes",IF('Loan Tape (BoE)'!Q81=0,"No",""))</f>
        <v/>
      </c>
      <c r="R81" s="18">
        <f>IF('Loan Tape (BoE)'!R81=1,"Yes",IF('Loan Tape (BoE)'!R81=0,"No",""))</f>
        <v/>
      </c>
      <c r="S81" s="18">
        <f>IF('Loan Tape (BoE)'!S81=1,"Yes",IF('Loan Tape (BoE)'!S81=0,"No",""))</f>
        <v/>
      </c>
      <c r="T81" s="17">
        <f>IF('Loan Tape (BoE)'!T81=1,"Yes",IF('Loan Tape (BoE)'!T81=0,"No",""))</f>
        <v/>
      </c>
      <c r="U81" s="18">
        <f>R81+S81</f>
        <v/>
      </c>
      <c r="V81" s="17">
        <f>IFERROR(IFS('Loan Tape (BoE)'!U82=1,"Employed",'Loan Tape (BoE)'!U82=2,"Self-Employed",'Loan Tape (BoE)'!U82=3,"Unemployed",'Loan Tape (BoE)'!U82=4,"Retired"),"")</f>
        <v/>
      </c>
      <c r="W81" s="17">
        <f>IFERROR(IFS('Loan Tape (BoE)'!V82=1,"Employed",'Loan Tape (BoE)'!V82=2,"Self-Employed",'Loan Tape (BoE)'!V82=3,"Unemployed",'Loan Tape (BoE)'!V82=4,"Retired"),"")</f>
        <v/>
      </c>
      <c r="X81" s="17">
        <f>IF(OR(V81="Self-Employed",W81="Self-Employed"),"Yes","No")</f>
        <v/>
      </c>
      <c r="Y81" s="17">
        <f>'Loan Tape (BoE)'!W82</f>
        <v/>
      </c>
      <c r="Z81" s="17">
        <f>'Loan Tape (BoE)'!X82</f>
        <v/>
      </c>
      <c r="AA81" s="17">
        <f>IF(T81=1,Y81,MIN(Y81,Z81))</f>
        <v/>
      </c>
      <c r="AB81" s="17">
        <f>'Loan Tape (BoE)'!Y82</f>
        <v/>
      </c>
      <c r="AC81" s="17">
        <f>'Loan Tape (BoE)'!Z82</f>
        <v/>
      </c>
      <c r="AD81" s="17">
        <f>AB81+AC81</f>
        <v/>
      </c>
      <c r="AE81" s="18">
        <f>'Loan Tape (BoE)'!AA82</f>
        <v/>
      </c>
      <c r="AF81" s="18">
        <f>'Loan Tape (BoE)'!AB82</f>
        <v/>
      </c>
      <c r="AG81" s="18">
        <f>AE81+AF81</f>
        <v/>
      </c>
      <c r="AH81" s="19">
        <f>MAX('Loan Tape (BoE)'!AC82,'Loan Tape (BoE)'!AD82)</f>
        <v/>
      </c>
      <c r="AI81" s="18">
        <f>'Loan Tape (BoE)'!AE82</f>
        <v/>
      </c>
      <c r="AJ81" s="18">
        <f>B81*H81/12</f>
        <v/>
      </c>
      <c r="AK81" s="21">
        <f>IF(AJ81&gt;0,AI81/AJ81,0)</f>
        <v/>
      </c>
      <c r="AL81" s="17">
        <f>IF('Loan Tape (BoE)'!AF82=1,"Yes","No")</f>
        <v/>
      </c>
      <c r="AM81" s="17">
        <f>IF('Loan Tape (BoE)'!AH82=1,"Yes","No")</f>
        <v/>
      </c>
      <c r="AN81" s="17">
        <f>IF('Loan Tape (BoE)'!AI82=1,"Yes","No")</f>
        <v/>
      </c>
      <c r="AO81" s="17">
        <f>IF('Loan Tape (BoE)'!AJ82=1,"Yes","No")</f>
        <v/>
      </c>
      <c r="AP81" s="17">
        <f>IF(OR('Loan Tape (BoE)'!AQ81=1,'Loan Tape (BoE)'!AQ81=2),"Yes",IF('Loan Tape (BoE)'!AQ81=0,"No",""))</f>
        <v/>
      </c>
      <c r="AQ81" s="17">
        <f>IF('Loan Tape (BoE)'!BV49_81&lt;&gt;"",'Loan Tape (BoE)'!BV49_81,"")</f>
        <v/>
      </c>
      <c r="AR81" s="17">
        <f>IF('Loan Tape (BoE)'!BV810_81&lt;&gt;"",'Loan Tape (BoE)'!BV50_81,"")</f>
        <v/>
      </c>
      <c r="AS81" s="17">
        <f>IFERROR(INDEX('FF Adj Parameters'!$A$103:$B$1081,MATCH('Loan Tape (BoE)'!P81,INDEX('FF Adj Parameters'!$A$103:$B$1081,,1),0),2),"Unknown")</f>
        <v/>
      </c>
      <c r="AT81" s="17">
        <f>IF(N81="Interest Only",M5*O5/12,IF(AND(O5&gt;0,ISNUMBER(O5),ISNUMBER(M5)),ABS(PMT(O5/12,AU5,-M5)),0))</f>
        <v/>
      </c>
      <c r="AU81" s="17">
        <f>IF(ISNUMBER(L81),MAX(0,(L5-'Control Panel'!$B$10)*12/365.25),0)</f>
        <v/>
      </c>
      <c r="AV81" s="17">
        <f>IF(ISNUMBER(L81),IF(L5&gt;'Control Panel'!$B$10,"Valid","Past Maturity"),"No Date")</f>
        <v/>
      </c>
      <c r="AW81" s="17">
        <f>IF(ISNUMBER(K81),MAX(0,('Control Panel'!$B$10-K5)*12/365.25),0)</f>
        <v/>
      </c>
    </row>
    <row r="82">
      <c r="A82" s="17">
        <f>'Loan Tape (BoE)'!A83</f>
        <v/>
      </c>
      <c r="B82" s="18">
        <f>IFERROR(INDEX('FF Adj Parameters'!$A$89:$B$92,MATCH('Loan Tape (BoE)'!C82,INDEX('FF Adj Parameters'!$A$89:$B$92,,1),0),2),"Unknown")</f>
        <v/>
      </c>
      <c r="C82" s="18">
        <f>'Loan Tape (BoE)'!C83</f>
        <v/>
      </c>
      <c r="D82" s="18">
        <f>'Loan Tape (BoE)'!D83</f>
        <v/>
      </c>
      <c r="E82" s="18">
        <f>'Loan Tape (BoE)'!E83</f>
        <v/>
      </c>
      <c r="F82" s="19">
        <f>'Loan Tape (BoE)'!F83</f>
        <v/>
      </c>
      <c r="G82" s="19">
        <f>'Loan Tape (BoE)'!G83</f>
        <v/>
      </c>
      <c r="H82" s="20">
        <f>'Loan Tape (BoE)'!H83/100</f>
        <v/>
      </c>
      <c r="I82" s="17">
        <f>IFERROR(IFS('Loan Tape (BoE)'!I83=1,"House",'Loan Tape (BoE)'!I83=2,"Flat",'Loan Tape (BoE)'!I83=3,"Bungalow",'Loan Tape (BoE)'!I83=4,"Maisonette"),"")</f>
        <v/>
      </c>
      <c r="J82" s="17">
        <f>'Loan Tape (BoE)'!J83</f>
        <v/>
      </c>
      <c r="K82" s="17">
        <f>'Loan Tape (BoE)'!K83</f>
        <v/>
      </c>
      <c r="L82" s="17">
        <f>IFERROR(IFS('Loan Tape (BoE)'!L83=1,"Owner Occupied",'Loan Tape (BoE)'!L83=2,"BTL",'Loan Tape (BoE)'!L83=3,"Second Home",'Loan Tape (BoE)'!L83=4,"Investment"),"")</f>
        <v/>
      </c>
      <c r="M82" s="17">
        <f>IFERROR(IFS('Loan Tape (BoE)'!M83=1,"Purchase",'Loan Tape (BoE)'!M83=2,"Remortgage",OR('Loan Tape (BoE)'!M83=3,'Loan Tape (BoE)'!M83=4),"Cash-out"),"")</f>
        <v/>
      </c>
      <c r="N82" s="17">
        <f>IFERROR(INDEX('FF Adj Parameters'!$A$96:$B$99,MATCH('Loan Tape (BoE)'!R82,INDEX('FF Adj Parameters'!$A$96:$B$99,,1),0),2),"Unknown")</f>
        <v/>
      </c>
      <c r="O82" s="17">
        <f>IF('Loan Tape (BoE)'!O83=1,"Yes","No")</f>
        <v/>
      </c>
      <c r="P82" s="17">
        <f>IF('Loan Tape (BoE)'!P82=1,"Yes",IF('Loan Tape (BoE)'!P82=0,"No",""))</f>
        <v/>
      </c>
      <c r="Q82" s="17">
        <f>IF('Loan Tape (BoE)'!Q82=1,"Yes",IF('Loan Tape (BoE)'!Q82=0,"No",""))</f>
        <v/>
      </c>
      <c r="R82" s="18">
        <f>IF('Loan Tape (BoE)'!R82=1,"Yes",IF('Loan Tape (BoE)'!R82=0,"No",""))</f>
        <v/>
      </c>
      <c r="S82" s="18">
        <f>IF('Loan Tape (BoE)'!S82=1,"Yes",IF('Loan Tape (BoE)'!S82=0,"No",""))</f>
        <v/>
      </c>
      <c r="T82" s="17">
        <f>IF('Loan Tape (BoE)'!T82=1,"Yes",IF('Loan Tape (BoE)'!T82=0,"No",""))</f>
        <v/>
      </c>
      <c r="U82" s="18">
        <f>R82+S82</f>
        <v/>
      </c>
      <c r="V82" s="17">
        <f>IFERROR(IFS('Loan Tape (BoE)'!U83=1,"Employed",'Loan Tape (BoE)'!U83=2,"Self-Employed",'Loan Tape (BoE)'!U83=3,"Unemployed",'Loan Tape (BoE)'!U83=4,"Retired"),"")</f>
        <v/>
      </c>
      <c r="W82" s="17">
        <f>IFERROR(IFS('Loan Tape (BoE)'!V83=1,"Employed",'Loan Tape (BoE)'!V83=2,"Self-Employed",'Loan Tape (BoE)'!V83=3,"Unemployed",'Loan Tape (BoE)'!V83=4,"Retired"),"")</f>
        <v/>
      </c>
      <c r="X82" s="17">
        <f>IF(OR(V82="Self-Employed",W82="Self-Employed"),"Yes","No")</f>
        <v/>
      </c>
      <c r="Y82" s="17">
        <f>'Loan Tape (BoE)'!W83</f>
        <v/>
      </c>
      <c r="Z82" s="17">
        <f>'Loan Tape (BoE)'!X83</f>
        <v/>
      </c>
      <c r="AA82" s="17">
        <f>IF(T82=1,Y82,MIN(Y82,Z82))</f>
        <v/>
      </c>
      <c r="AB82" s="17">
        <f>'Loan Tape (BoE)'!Y83</f>
        <v/>
      </c>
      <c r="AC82" s="17">
        <f>'Loan Tape (BoE)'!Z83</f>
        <v/>
      </c>
      <c r="AD82" s="17">
        <f>AB82+AC82</f>
        <v/>
      </c>
      <c r="AE82" s="18">
        <f>'Loan Tape (BoE)'!AA83</f>
        <v/>
      </c>
      <c r="AF82" s="18">
        <f>'Loan Tape (BoE)'!AB83</f>
        <v/>
      </c>
      <c r="AG82" s="18">
        <f>AE82+AF82</f>
        <v/>
      </c>
      <c r="AH82" s="19">
        <f>MAX('Loan Tape (BoE)'!AC83,'Loan Tape (BoE)'!AD83)</f>
        <v/>
      </c>
      <c r="AI82" s="18">
        <f>'Loan Tape (BoE)'!AE83</f>
        <v/>
      </c>
      <c r="AJ82" s="18">
        <f>B82*H82/12</f>
        <v/>
      </c>
      <c r="AK82" s="21">
        <f>IF(AJ82&gt;0,AI82/AJ82,0)</f>
        <v/>
      </c>
      <c r="AL82" s="17">
        <f>IF('Loan Tape (BoE)'!AF83=1,"Yes","No")</f>
        <v/>
      </c>
      <c r="AM82" s="17">
        <f>IF('Loan Tape (BoE)'!AH83=1,"Yes","No")</f>
        <v/>
      </c>
      <c r="AN82" s="17">
        <f>IF('Loan Tape (BoE)'!AI83=1,"Yes","No")</f>
        <v/>
      </c>
      <c r="AO82" s="17">
        <f>IF('Loan Tape (BoE)'!AJ83=1,"Yes","No")</f>
        <v/>
      </c>
      <c r="AP82" s="17">
        <f>IF(OR('Loan Tape (BoE)'!AQ82=1,'Loan Tape (BoE)'!AQ82=2),"Yes",IF('Loan Tape (BoE)'!AQ82=0,"No",""))</f>
        <v/>
      </c>
      <c r="AQ82" s="17">
        <f>IF('Loan Tape (BoE)'!BV49_82&lt;&gt;"",'Loan Tape (BoE)'!BV49_82,"")</f>
        <v/>
      </c>
      <c r="AR82" s="17">
        <f>IF('Loan Tape (BoE)'!BV820_82&lt;&gt;"",'Loan Tape (BoE)'!BV50_82,"")</f>
        <v/>
      </c>
      <c r="AS82" s="17">
        <f>IFERROR(INDEX('FF Adj Parameters'!$A$103:$B$1082,MATCH('Loan Tape (BoE)'!P82,INDEX('FF Adj Parameters'!$A$103:$B$1082,,1),0),2),"Unknown")</f>
        <v/>
      </c>
      <c r="AT82" s="17">
        <f>IF(N82="Interest Only",M5*O5/12,IF(AND(O5&gt;0,ISNUMBER(O5),ISNUMBER(M5)),ABS(PMT(O5/12,AU5,-M5)),0))</f>
        <v/>
      </c>
      <c r="AU82" s="17">
        <f>IF(ISNUMBER(L82),MAX(0,(L5-'Control Panel'!$B$10)*12/365.25),0)</f>
        <v/>
      </c>
      <c r="AV82" s="17">
        <f>IF(ISNUMBER(L82),IF(L5&gt;'Control Panel'!$B$10,"Valid","Past Maturity"),"No Date")</f>
        <v/>
      </c>
      <c r="AW82" s="17">
        <f>IF(ISNUMBER(K82),MAX(0,('Control Panel'!$B$10-K5)*12/365.25),0)</f>
        <v/>
      </c>
    </row>
    <row r="83">
      <c r="A83" s="17">
        <f>'Loan Tape (BoE)'!A84</f>
        <v/>
      </c>
      <c r="B83" s="18">
        <f>IFERROR(INDEX('FF Adj Parameters'!$A$89:$B$92,MATCH('Loan Tape (BoE)'!C83,INDEX('FF Adj Parameters'!$A$89:$B$92,,1),0),2),"Unknown")</f>
        <v/>
      </c>
      <c r="C83" s="18">
        <f>'Loan Tape (BoE)'!C84</f>
        <v/>
      </c>
      <c r="D83" s="18">
        <f>'Loan Tape (BoE)'!D84</f>
        <v/>
      </c>
      <c r="E83" s="18">
        <f>'Loan Tape (BoE)'!E84</f>
        <v/>
      </c>
      <c r="F83" s="19">
        <f>'Loan Tape (BoE)'!F84</f>
        <v/>
      </c>
      <c r="G83" s="19">
        <f>'Loan Tape (BoE)'!G84</f>
        <v/>
      </c>
      <c r="H83" s="20">
        <f>'Loan Tape (BoE)'!H84/100</f>
        <v/>
      </c>
      <c r="I83" s="17">
        <f>IFERROR(IFS('Loan Tape (BoE)'!I84=1,"House",'Loan Tape (BoE)'!I84=2,"Flat",'Loan Tape (BoE)'!I84=3,"Bungalow",'Loan Tape (BoE)'!I84=4,"Maisonette"),"")</f>
        <v/>
      </c>
      <c r="J83" s="17">
        <f>'Loan Tape (BoE)'!J84</f>
        <v/>
      </c>
      <c r="K83" s="17">
        <f>'Loan Tape (BoE)'!K84</f>
        <v/>
      </c>
      <c r="L83" s="17">
        <f>IFERROR(IFS('Loan Tape (BoE)'!L84=1,"Owner Occupied",'Loan Tape (BoE)'!L84=2,"BTL",'Loan Tape (BoE)'!L84=3,"Second Home",'Loan Tape (BoE)'!L84=4,"Investment"),"")</f>
        <v/>
      </c>
      <c r="M83" s="17">
        <f>IFERROR(IFS('Loan Tape (BoE)'!M84=1,"Purchase",'Loan Tape (BoE)'!M84=2,"Remortgage",OR('Loan Tape (BoE)'!M84=3,'Loan Tape (BoE)'!M84=4),"Cash-out"),"")</f>
        <v/>
      </c>
      <c r="N83" s="17">
        <f>IFERROR(INDEX('FF Adj Parameters'!$A$96:$B$99,MATCH('Loan Tape (BoE)'!R83,INDEX('FF Adj Parameters'!$A$96:$B$99,,1),0),2),"Unknown")</f>
        <v/>
      </c>
      <c r="O83" s="17">
        <f>IF('Loan Tape (BoE)'!O84=1,"Yes","No")</f>
        <v/>
      </c>
      <c r="P83" s="17">
        <f>IF('Loan Tape (BoE)'!P83=1,"Yes",IF('Loan Tape (BoE)'!P83=0,"No",""))</f>
        <v/>
      </c>
      <c r="Q83" s="17">
        <f>IF('Loan Tape (BoE)'!Q83=1,"Yes",IF('Loan Tape (BoE)'!Q83=0,"No",""))</f>
        <v/>
      </c>
      <c r="R83" s="18">
        <f>IF('Loan Tape (BoE)'!R83=1,"Yes",IF('Loan Tape (BoE)'!R83=0,"No",""))</f>
        <v/>
      </c>
      <c r="S83" s="18">
        <f>IF('Loan Tape (BoE)'!S83=1,"Yes",IF('Loan Tape (BoE)'!S83=0,"No",""))</f>
        <v/>
      </c>
      <c r="T83" s="17">
        <f>IF('Loan Tape (BoE)'!T83=1,"Yes",IF('Loan Tape (BoE)'!T83=0,"No",""))</f>
        <v/>
      </c>
      <c r="U83" s="18">
        <f>R83+S83</f>
        <v/>
      </c>
      <c r="V83" s="17">
        <f>IFERROR(IFS('Loan Tape (BoE)'!U84=1,"Employed",'Loan Tape (BoE)'!U84=2,"Self-Employed",'Loan Tape (BoE)'!U84=3,"Unemployed",'Loan Tape (BoE)'!U84=4,"Retired"),"")</f>
        <v/>
      </c>
      <c r="W83" s="17">
        <f>IFERROR(IFS('Loan Tape (BoE)'!V84=1,"Employed",'Loan Tape (BoE)'!V84=2,"Self-Employed",'Loan Tape (BoE)'!V84=3,"Unemployed",'Loan Tape (BoE)'!V84=4,"Retired"),"")</f>
        <v/>
      </c>
      <c r="X83" s="17">
        <f>IF(OR(V83="Self-Employed",W83="Self-Employed"),"Yes","No")</f>
        <v/>
      </c>
      <c r="Y83" s="17">
        <f>'Loan Tape (BoE)'!W84</f>
        <v/>
      </c>
      <c r="Z83" s="17">
        <f>'Loan Tape (BoE)'!X84</f>
        <v/>
      </c>
      <c r="AA83" s="17">
        <f>IF(T83=1,Y83,MIN(Y83,Z83))</f>
        <v/>
      </c>
      <c r="AB83" s="17">
        <f>'Loan Tape (BoE)'!Y84</f>
        <v/>
      </c>
      <c r="AC83" s="17">
        <f>'Loan Tape (BoE)'!Z84</f>
        <v/>
      </c>
      <c r="AD83" s="17">
        <f>AB83+AC83</f>
        <v/>
      </c>
      <c r="AE83" s="18">
        <f>'Loan Tape (BoE)'!AA84</f>
        <v/>
      </c>
      <c r="AF83" s="18">
        <f>'Loan Tape (BoE)'!AB84</f>
        <v/>
      </c>
      <c r="AG83" s="18">
        <f>AE83+AF83</f>
        <v/>
      </c>
      <c r="AH83" s="19">
        <f>MAX('Loan Tape (BoE)'!AC84,'Loan Tape (BoE)'!AD84)</f>
        <v/>
      </c>
      <c r="AI83" s="18">
        <f>'Loan Tape (BoE)'!AE84</f>
        <v/>
      </c>
      <c r="AJ83" s="18">
        <f>B83*H83/12</f>
        <v/>
      </c>
      <c r="AK83" s="21">
        <f>IF(AJ83&gt;0,AI83/AJ83,0)</f>
        <v/>
      </c>
      <c r="AL83" s="17">
        <f>IF('Loan Tape (BoE)'!AF84=1,"Yes","No")</f>
        <v/>
      </c>
      <c r="AM83" s="17">
        <f>IF('Loan Tape (BoE)'!AH84=1,"Yes","No")</f>
        <v/>
      </c>
      <c r="AN83" s="17">
        <f>IF('Loan Tape (BoE)'!AI84=1,"Yes","No")</f>
        <v/>
      </c>
      <c r="AO83" s="17">
        <f>IF('Loan Tape (BoE)'!AJ84=1,"Yes","No")</f>
        <v/>
      </c>
      <c r="AP83" s="17">
        <f>IF(OR('Loan Tape (BoE)'!AQ83=1,'Loan Tape (BoE)'!AQ83=2),"Yes",IF('Loan Tape (BoE)'!AQ83=0,"No",""))</f>
        <v/>
      </c>
      <c r="AQ83" s="17">
        <f>IF('Loan Tape (BoE)'!BV49_83&lt;&gt;"",'Loan Tape (BoE)'!BV49_83,"")</f>
        <v/>
      </c>
      <c r="AR83" s="17">
        <f>IF('Loan Tape (BoE)'!BV830_83&lt;&gt;"",'Loan Tape (BoE)'!BV50_83,"")</f>
        <v/>
      </c>
      <c r="AS83" s="17">
        <f>IFERROR(INDEX('FF Adj Parameters'!$A$103:$B$1083,MATCH('Loan Tape (BoE)'!P83,INDEX('FF Adj Parameters'!$A$103:$B$1083,,1),0),2),"Unknown")</f>
        <v/>
      </c>
      <c r="AT83" s="17">
        <f>IF(N83="Interest Only",M5*O5/12,IF(AND(O5&gt;0,ISNUMBER(O5),ISNUMBER(M5)),ABS(PMT(O5/12,AU5,-M5)),0))</f>
        <v/>
      </c>
      <c r="AU83" s="17">
        <f>IF(ISNUMBER(L83),MAX(0,(L5-'Control Panel'!$B$10)*12/365.25),0)</f>
        <v/>
      </c>
      <c r="AV83" s="17">
        <f>IF(ISNUMBER(L83),IF(L5&gt;'Control Panel'!$B$10,"Valid","Past Maturity"),"No Date")</f>
        <v/>
      </c>
      <c r="AW83" s="17">
        <f>IF(ISNUMBER(K83),MAX(0,('Control Panel'!$B$10-K5)*12/365.25),0)</f>
        <v/>
      </c>
    </row>
    <row r="84">
      <c r="A84" s="17">
        <f>'Loan Tape (BoE)'!A85</f>
        <v/>
      </c>
      <c r="B84" s="18">
        <f>IFERROR(INDEX('FF Adj Parameters'!$A$89:$B$92,MATCH('Loan Tape (BoE)'!C84,INDEX('FF Adj Parameters'!$A$89:$B$92,,1),0),2),"Unknown")</f>
        <v/>
      </c>
      <c r="C84" s="18">
        <f>'Loan Tape (BoE)'!C85</f>
        <v/>
      </c>
      <c r="D84" s="18">
        <f>'Loan Tape (BoE)'!D85</f>
        <v/>
      </c>
      <c r="E84" s="18">
        <f>'Loan Tape (BoE)'!E85</f>
        <v/>
      </c>
      <c r="F84" s="19">
        <f>'Loan Tape (BoE)'!F85</f>
        <v/>
      </c>
      <c r="G84" s="19">
        <f>'Loan Tape (BoE)'!G85</f>
        <v/>
      </c>
      <c r="H84" s="20">
        <f>'Loan Tape (BoE)'!H85/100</f>
        <v/>
      </c>
      <c r="I84" s="17">
        <f>IFERROR(IFS('Loan Tape (BoE)'!I85=1,"House",'Loan Tape (BoE)'!I85=2,"Flat",'Loan Tape (BoE)'!I85=3,"Bungalow",'Loan Tape (BoE)'!I85=4,"Maisonette"),"")</f>
        <v/>
      </c>
      <c r="J84" s="17">
        <f>'Loan Tape (BoE)'!J85</f>
        <v/>
      </c>
      <c r="K84" s="17">
        <f>'Loan Tape (BoE)'!K85</f>
        <v/>
      </c>
      <c r="L84" s="17">
        <f>IFERROR(IFS('Loan Tape (BoE)'!L85=1,"Owner Occupied",'Loan Tape (BoE)'!L85=2,"BTL",'Loan Tape (BoE)'!L85=3,"Second Home",'Loan Tape (BoE)'!L85=4,"Investment"),"")</f>
        <v/>
      </c>
      <c r="M84" s="17">
        <f>IFERROR(IFS('Loan Tape (BoE)'!M85=1,"Purchase",'Loan Tape (BoE)'!M85=2,"Remortgage",OR('Loan Tape (BoE)'!M85=3,'Loan Tape (BoE)'!M85=4),"Cash-out"),"")</f>
        <v/>
      </c>
      <c r="N84" s="17">
        <f>IFERROR(INDEX('FF Adj Parameters'!$A$96:$B$99,MATCH('Loan Tape (BoE)'!R84,INDEX('FF Adj Parameters'!$A$96:$B$99,,1),0),2),"Unknown")</f>
        <v/>
      </c>
      <c r="O84" s="17">
        <f>IF('Loan Tape (BoE)'!O85=1,"Yes","No")</f>
        <v/>
      </c>
      <c r="P84" s="17">
        <f>IF('Loan Tape (BoE)'!P84=1,"Yes",IF('Loan Tape (BoE)'!P84=0,"No",""))</f>
        <v/>
      </c>
      <c r="Q84" s="17">
        <f>IF('Loan Tape (BoE)'!Q84=1,"Yes",IF('Loan Tape (BoE)'!Q84=0,"No",""))</f>
        <v/>
      </c>
      <c r="R84" s="18">
        <f>IF('Loan Tape (BoE)'!R84=1,"Yes",IF('Loan Tape (BoE)'!R84=0,"No",""))</f>
        <v/>
      </c>
      <c r="S84" s="18">
        <f>IF('Loan Tape (BoE)'!S84=1,"Yes",IF('Loan Tape (BoE)'!S84=0,"No",""))</f>
        <v/>
      </c>
      <c r="T84" s="17">
        <f>IF('Loan Tape (BoE)'!T84=1,"Yes",IF('Loan Tape (BoE)'!T84=0,"No",""))</f>
        <v/>
      </c>
      <c r="U84" s="18">
        <f>R84+S84</f>
        <v/>
      </c>
      <c r="V84" s="17">
        <f>IFERROR(IFS('Loan Tape (BoE)'!U85=1,"Employed",'Loan Tape (BoE)'!U85=2,"Self-Employed",'Loan Tape (BoE)'!U85=3,"Unemployed",'Loan Tape (BoE)'!U85=4,"Retired"),"")</f>
        <v/>
      </c>
      <c r="W84" s="17">
        <f>IFERROR(IFS('Loan Tape (BoE)'!V85=1,"Employed",'Loan Tape (BoE)'!V85=2,"Self-Employed",'Loan Tape (BoE)'!V85=3,"Unemployed",'Loan Tape (BoE)'!V85=4,"Retired"),"")</f>
        <v/>
      </c>
      <c r="X84" s="17">
        <f>IF(OR(V84="Self-Employed",W84="Self-Employed"),"Yes","No")</f>
        <v/>
      </c>
      <c r="Y84" s="17">
        <f>'Loan Tape (BoE)'!W85</f>
        <v/>
      </c>
      <c r="Z84" s="17">
        <f>'Loan Tape (BoE)'!X85</f>
        <v/>
      </c>
      <c r="AA84" s="17">
        <f>IF(T84=1,Y84,MIN(Y84,Z84))</f>
        <v/>
      </c>
      <c r="AB84" s="17">
        <f>'Loan Tape (BoE)'!Y85</f>
        <v/>
      </c>
      <c r="AC84" s="17">
        <f>'Loan Tape (BoE)'!Z85</f>
        <v/>
      </c>
      <c r="AD84" s="17">
        <f>AB84+AC84</f>
        <v/>
      </c>
      <c r="AE84" s="18">
        <f>'Loan Tape (BoE)'!AA85</f>
        <v/>
      </c>
      <c r="AF84" s="18">
        <f>'Loan Tape (BoE)'!AB85</f>
        <v/>
      </c>
      <c r="AG84" s="18">
        <f>AE84+AF84</f>
        <v/>
      </c>
      <c r="AH84" s="19">
        <f>MAX('Loan Tape (BoE)'!AC85,'Loan Tape (BoE)'!AD85)</f>
        <v/>
      </c>
      <c r="AI84" s="18">
        <f>'Loan Tape (BoE)'!AE85</f>
        <v/>
      </c>
      <c r="AJ84" s="18">
        <f>B84*H84/12</f>
        <v/>
      </c>
      <c r="AK84" s="21">
        <f>IF(AJ84&gt;0,AI84/AJ84,0)</f>
        <v/>
      </c>
      <c r="AL84" s="17">
        <f>IF('Loan Tape (BoE)'!AF85=1,"Yes","No")</f>
        <v/>
      </c>
      <c r="AM84" s="17">
        <f>IF('Loan Tape (BoE)'!AH85=1,"Yes","No")</f>
        <v/>
      </c>
      <c r="AN84" s="17">
        <f>IF('Loan Tape (BoE)'!AI85=1,"Yes","No")</f>
        <v/>
      </c>
      <c r="AO84" s="17">
        <f>IF('Loan Tape (BoE)'!AJ85=1,"Yes","No")</f>
        <v/>
      </c>
      <c r="AP84" s="17">
        <f>IF(OR('Loan Tape (BoE)'!AQ84=1,'Loan Tape (BoE)'!AQ84=2),"Yes",IF('Loan Tape (BoE)'!AQ84=0,"No",""))</f>
        <v/>
      </c>
      <c r="AQ84" s="17">
        <f>IF('Loan Tape (BoE)'!BV49_84&lt;&gt;"",'Loan Tape (BoE)'!BV49_84,"")</f>
        <v/>
      </c>
      <c r="AR84" s="17">
        <f>IF('Loan Tape (BoE)'!BV840_84&lt;&gt;"",'Loan Tape (BoE)'!BV50_84,"")</f>
        <v/>
      </c>
      <c r="AS84" s="17">
        <f>IFERROR(INDEX('FF Adj Parameters'!$A$103:$B$1084,MATCH('Loan Tape (BoE)'!P84,INDEX('FF Adj Parameters'!$A$103:$B$1084,,1),0),2),"Unknown")</f>
        <v/>
      </c>
      <c r="AT84" s="17">
        <f>IF(N84="Interest Only",M5*O5/12,IF(AND(O5&gt;0,ISNUMBER(O5),ISNUMBER(M5)),ABS(PMT(O5/12,AU5,-M5)),0))</f>
        <v/>
      </c>
      <c r="AU84" s="17">
        <f>IF(ISNUMBER(L84),MAX(0,(L5-'Control Panel'!$B$10)*12/365.25),0)</f>
        <v/>
      </c>
      <c r="AV84" s="17">
        <f>IF(ISNUMBER(L84),IF(L5&gt;'Control Panel'!$B$10,"Valid","Past Maturity"),"No Date")</f>
        <v/>
      </c>
      <c r="AW84" s="17">
        <f>IF(ISNUMBER(K84),MAX(0,('Control Panel'!$B$10-K5)*12/365.25),0)</f>
        <v/>
      </c>
    </row>
    <row r="85">
      <c r="A85" s="17">
        <f>'Loan Tape (BoE)'!A86</f>
        <v/>
      </c>
      <c r="B85" s="18">
        <f>IFERROR(INDEX('FF Adj Parameters'!$A$89:$B$92,MATCH('Loan Tape (BoE)'!C85,INDEX('FF Adj Parameters'!$A$89:$B$92,,1),0),2),"Unknown")</f>
        <v/>
      </c>
      <c r="C85" s="18">
        <f>'Loan Tape (BoE)'!C86</f>
        <v/>
      </c>
      <c r="D85" s="18">
        <f>'Loan Tape (BoE)'!D86</f>
        <v/>
      </c>
      <c r="E85" s="18">
        <f>'Loan Tape (BoE)'!E86</f>
        <v/>
      </c>
      <c r="F85" s="19">
        <f>'Loan Tape (BoE)'!F86</f>
        <v/>
      </c>
      <c r="G85" s="19">
        <f>'Loan Tape (BoE)'!G86</f>
        <v/>
      </c>
      <c r="H85" s="20">
        <f>'Loan Tape (BoE)'!H86/100</f>
        <v/>
      </c>
      <c r="I85" s="17">
        <f>IFERROR(IFS('Loan Tape (BoE)'!I86=1,"House",'Loan Tape (BoE)'!I86=2,"Flat",'Loan Tape (BoE)'!I86=3,"Bungalow",'Loan Tape (BoE)'!I86=4,"Maisonette"),"")</f>
        <v/>
      </c>
      <c r="J85" s="17">
        <f>'Loan Tape (BoE)'!J86</f>
        <v/>
      </c>
      <c r="K85" s="17">
        <f>'Loan Tape (BoE)'!K86</f>
        <v/>
      </c>
      <c r="L85" s="17">
        <f>IFERROR(IFS('Loan Tape (BoE)'!L86=1,"Owner Occupied",'Loan Tape (BoE)'!L86=2,"BTL",'Loan Tape (BoE)'!L86=3,"Second Home",'Loan Tape (BoE)'!L86=4,"Investment"),"")</f>
        <v/>
      </c>
      <c r="M85" s="17">
        <f>IFERROR(IFS('Loan Tape (BoE)'!M86=1,"Purchase",'Loan Tape (BoE)'!M86=2,"Remortgage",OR('Loan Tape (BoE)'!M86=3,'Loan Tape (BoE)'!M86=4),"Cash-out"),"")</f>
        <v/>
      </c>
      <c r="N85" s="17">
        <f>IFERROR(INDEX('FF Adj Parameters'!$A$96:$B$99,MATCH('Loan Tape (BoE)'!R85,INDEX('FF Adj Parameters'!$A$96:$B$99,,1),0),2),"Unknown")</f>
        <v/>
      </c>
      <c r="O85" s="17">
        <f>IF('Loan Tape (BoE)'!O86=1,"Yes","No")</f>
        <v/>
      </c>
      <c r="P85" s="17">
        <f>IF('Loan Tape (BoE)'!P85=1,"Yes",IF('Loan Tape (BoE)'!P85=0,"No",""))</f>
        <v/>
      </c>
      <c r="Q85" s="17">
        <f>IF('Loan Tape (BoE)'!Q85=1,"Yes",IF('Loan Tape (BoE)'!Q85=0,"No",""))</f>
        <v/>
      </c>
      <c r="R85" s="18">
        <f>IF('Loan Tape (BoE)'!R85=1,"Yes",IF('Loan Tape (BoE)'!R85=0,"No",""))</f>
        <v/>
      </c>
      <c r="S85" s="18">
        <f>IF('Loan Tape (BoE)'!S85=1,"Yes",IF('Loan Tape (BoE)'!S85=0,"No",""))</f>
        <v/>
      </c>
      <c r="T85" s="17">
        <f>IF('Loan Tape (BoE)'!T85=1,"Yes",IF('Loan Tape (BoE)'!T85=0,"No",""))</f>
        <v/>
      </c>
      <c r="U85" s="18">
        <f>R85+S85</f>
        <v/>
      </c>
      <c r="V85" s="17">
        <f>IFERROR(IFS('Loan Tape (BoE)'!U86=1,"Employed",'Loan Tape (BoE)'!U86=2,"Self-Employed",'Loan Tape (BoE)'!U86=3,"Unemployed",'Loan Tape (BoE)'!U86=4,"Retired"),"")</f>
        <v/>
      </c>
      <c r="W85" s="17">
        <f>IFERROR(IFS('Loan Tape (BoE)'!V86=1,"Employed",'Loan Tape (BoE)'!V86=2,"Self-Employed",'Loan Tape (BoE)'!V86=3,"Unemployed",'Loan Tape (BoE)'!V86=4,"Retired"),"")</f>
        <v/>
      </c>
      <c r="X85" s="17">
        <f>IF(OR(V85="Self-Employed",W85="Self-Employed"),"Yes","No")</f>
        <v/>
      </c>
      <c r="Y85" s="17">
        <f>'Loan Tape (BoE)'!W86</f>
        <v/>
      </c>
      <c r="Z85" s="17">
        <f>'Loan Tape (BoE)'!X86</f>
        <v/>
      </c>
      <c r="AA85" s="17">
        <f>IF(T85=1,Y85,MIN(Y85,Z85))</f>
        <v/>
      </c>
      <c r="AB85" s="17">
        <f>'Loan Tape (BoE)'!Y86</f>
        <v/>
      </c>
      <c r="AC85" s="17">
        <f>'Loan Tape (BoE)'!Z86</f>
        <v/>
      </c>
      <c r="AD85" s="17">
        <f>AB85+AC85</f>
        <v/>
      </c>
      <c r="AE85" s="18">
        <f>'Loan Tape (BoE)'!AA86</f>
        <v/>
      </c>
      <c r="AF85" s="18">
        <f>'Loan Tape (BoE)'!AB86</f>
        <v/>
      </c>
      <c r="AG85" s="18">
        <f>AE85+AF85</f>
        <v/>
      </c>
      <c r="AH85" s="19">
        <f>MAX('Loan Tape (BoE)'!AC86,'Loan Tape (BoE)'!AD86)</f>
        <v/>
      </c>
      <c r="AI85" s="18">
        <f>'Loan Tape (BoE)'!AE86</f>
        <v/>
      </c>
      <c r="AJ85" s="18">
        <f>B85*H85/12</f>
        <v/>
      </c>
      <c r="AK85" s="21">
        <f>IF(AJ85&gt;0,AI85/AJ85,0)</f>
        <v/>
      </c>
      <c r="AL85" s="17">
        <f>IF('Loan Tape (BoE)'!AF86=1,"Yes","No")</f>
        <v/>
      </c>
      <c r="AM85" s="17">
        <f>IF('Loan Tape (BoE)'!AH86=1,"Yes","No")</f>
        <v/>
      </c>
      <c r="AN85" s="17">
        <f>IF('Loan Tape (BoE)'!AI86=1,"Yes","No")</f>
        <v/>
      </c>
      <c r="AO85" s="17">
        <f>IF('Loan Tape (BoE)'!AJ86=1,"Yes","No")</f>
        <v/>
      </c>
      <c r="AP85" s="17">
        <f>IF(OR('Loan Tape (BoE)'!AQ85=1,'Loan Tape (BoE)'!AQ85=2),"Yes",IF('Loan Tape (BoE)'!AQ85=0,"No",""))</f>
        <v/>
      </c>
      <c r="AQ85" s="17">
        <f>IF('Loan Tape (BoE)'!BV49_885&lt;&gt;"",'Loan Tape (BoE)'!BV49_85,"")</f>
        <v/>
      </c>
      <c r="AR85" s="17">
        <f>IF('Loan Tape (BoE)'!BV850_85&lt;&gt;"",'Loan Tape (BoE)'!BV50_85,"")</f>
        <v/>
      </c>
      <c r="AS85" s="17">
        <f>IFERROR(INDEX('FF Adj Parameters'!$A$103:$B$1085,MATCH('Loan Tape (BoE)'!P85,INDEX('FF Adj Parameters'!$A$103:$B$1085,,1),0),2),"Unknown")</f>
        <v/>
      </c>
      <c r="AT85" s="17">
        <f>IF(N85="Interest Only",M5*O5/12,IF(AND(O5&gt;0,ISNUMBER(O5),ISNUMBER(M5)),ABS(PMT(O5/12,AU5,-M5)),0))</f>
        <v/>
      </c>
      <c r="AU85" s="17">
        <f>IF(ISNUMBER(L85),MAX(0,(L5-'Control Panel'!$B$10)*12/365.25),0)</f>
        <v/>
      </c>
      <c r="AV85" s="17">
        <f>IF(ISNUMBER(L85),IF(L5&gt;'Control Panel'!$B$10,"Valid","Past Maturity"),"No Date")</f>
        <v/>
      </c>
      <c r="AW85" s="17">
        <f>IF(ISNUMBER(K85),MAX(0,('Control Panel'!$B$10-K5)*12/365.25),0)</f>
        <v/>
      </c>
    </row>
    <row r="86">
      <c r="A86" s="17">
        <f>'Loan Tape (BoE)'!A87</f>
        <v/>
      </c>
      <c r="B86" s="18">
        <f>IFERROR(INDEX('FF Adj Parameters'!$A$89:$B$92,MATCH('Loan Tape (BoE)'!C86,INDEX('FF Adj Parameters'!$A$89:$B$92,,1),0),2),"Unknown")</f>
        <v/>
      </c>
      <c r="C86" s="18">
        <f>'Loan Tape (BoE)'!C87</f>
        <v/>
      </c>
      <c r="D86" s="18">
        <f>'Loan Tape (BoE)'!D87</f>
        <v/>
      </c>
      <c r="E86" s="18">
        <f>'Loan Tape (BoE)'!E87</f>
        <v/>
      </c>
      <c r="F86" s="19">
        <f>'Loan Tape (BoE)'!F87</f>
        <v/>
      </c>
      <c r="G86" s="19">
        <f>'Loan Tape (BoE)'!G87</f>
        <v/>
      </c>
      <c r="H86" s="20">
        <f>'Loan Tape (BoE)'!H87/100</f>
        <v/>
      </c>
      <c r="I86" s="17">
        <f>IFERROR(IFS('Loan Tape (BoE)'!I87=1,"House",'Loan Tape (BoE)'!I87=2,"Flat",'Loan Tape (BoE)'!I87=3,"Bungalow",'Loan Tape (BoE)'!I87=4,"Maisonette"),"")</f>
        <v/>
      </c>
      <c r="J86" s="17">
        <f>'Loan Tape (BoE)'!J87</f>
        <v/>
      </c>
      <c r="K86" s="17">
        <f>'Loan Tape (BoE)'!K87</f>
        <v/>
      </c>
      <c r="L86" s="17">
        <f>IFERROR(IFS('Loan Tape (BoE)'!L87=1,"Owner Occupied",'Loan Tape (BoE)'!L87=2,"BTL",'Loan Tape (BoE)'!L87=3,"Second Home",'Loan Tape (BoE)'!L87=4,"Investment"),"")</f>
        <v/>
      </c>
      <c r="M86" s="17">
        <f>IFERROR(IFS('Loan Tape (BoE)'!M87=1,"Purchase",'Loan Tape (BoE)'!M87=2,"Remortgage",OR('Loan Tape (BoE)'!M87=3,'Loan Tape (BoE)'!M87=4),"Cash-out"),"")</f>
        <v/>
      </c>
      <c r="N86" s="17">
        <f>IFERROR(INDEX('FF Adj Parameters'!$A$96:$B$99,MATCH('Loan Tape (BoE)'!R86,INDEX('FF Adj Parameters'!$A$96:$B$99,,1),0),2),"Unknown")</f>
        <v/>
      </c>
      <c r="O86" s="17">
        <f>IF('Loan Tape (BoE)'!O87=1,"Yes","No")</f>
        <v/>
      </c>
      <c r="P86" s="17">
        <f>IF('Loan Tape (BoE)'!P86=1,"Yes",IF('Loan Tape (BoE)'!P86=0,"No",""))</f>
        <v/>
      </c>
      <c r="Q86" s="17">
        <f>IF('Loan Tape (BoE)'!Q86=1,"Yes",IF('Loan Tape (BoE)'!Q86=0,"No",""))</f>
        <v/>
      </c>
      <c r="R86" s="18">
        <f>IF('Loan Tape (BoE)'!R86=1,"Yes",IF('Loan Tape (BoE)'!R86=0,"No",""))</f>
        <v/>
      </c>
      <c r="S86" s="18">
        <f>IF('Loan Tape (BoE)'!S86=1,"Yes",IF('Loan Tape (BoE)'!S86=0,"No",""))</f>
        <v/>
      </c>
      <c r="T86" s="17">
        <f>IF('Loan Tape (BoE)'!T86=1,"Yes",IF('Loan Tape (BoE)'!T86=0,"No",""))</f>
        <v/>
      </c>
      <c r="U86" s="18">
        <f>R86+S86</f>
        <v/>
      </c>
      <c r="V86" s="17">
        <f>IFERROR(IFS('Loan Tape (BoE)'!U87=1,"Employed",'Loan Tape (BoE)'!U87=2,"Self-Employed",'Loan Tape (BoE)'!U87=3,"Unemployed",'Loan Tape (BoE)'!U87=4,"Retired"),"")</f>
        <v/>
      </c>
      <c r="W86" s="17">
        <f>IFERROR(IFS('Loan Tape (BoE)'!V87=1,"Employed",'Loan Tape (BoE)'!V87=2,"Self-Employed",'Loan Tape (BoE)'!V87=3,"Unemployed",'Loan Tape (BoE)'!V87=4,"Retired"),"")</f>
        <v/>
      </c>
      <c r="X86" s="17">
        <f>IF(OR(V86="Self-Employed",W86="Self-Employed"),"Yes","No")</f>
        <v/>
      </c>
      <c r="Y86" s="17">
        <f>'Loan Tape (BoE)'!W87</f>
        <v/>
      </c>
      <c r="Z86" s="17">
        <f>'Loan Tape (BoE)'!X87</f>
        <v/>
      </c>
      <c r="AA86" s="17">
        <f>IF(T86=1,Y86,MIN(Y86,Z86))</f>
        <v/>
      </c>
      <c r="AB86" s="17">
        <f>'Loan Tape (BoE)'!Y87</f>
        <v/>
      </c>
      <c r="AC86" s="17">
        <f>'Loan Tape (BoE)'!Z87</f>
        <v/>
      </c>
      <c r="AD86" s="17">
        <f>AB86+AC86</f>
        <v/>
      </c>
      <c r="AE86" s="18">
        <f>'Loan Tape (BoE)'!AA87</f>
        <v/>
      </c>
      <c r="AF86" s="18">
        <f>'Loan Tape (BoE)'!AB87</f>
        <v/>
      </c>
      <c r="AG86" s="18">
        <f>AE86+AF86</f>
        <v/>
      </c>
      <c r="AH86" s="19">
        <f>MAX('Loan Tape (BoE)'!AC87,'Loan Tape (BoE)'!AD87)</f>
        <v/>
      </c>
      <c r="AI86" s="18">
        <f>'Loan Tape (BoE)'!AE87</f>
        <v/>
      </c>
      <c r="AJ86" s="18">
        <f>B86*H86/12</f>
        <v/>
      </c>
      <c r="AK86" s="21">
        <f>IF(AJ86&gt;0,AI86/AJ86,0)</f>
        <v/>
      </c>
      <c r="AL86" s="17">
        <f>IF('Loan Tape (BoE)'!AF87=1,"Yes","No")</f>
        <v/>
      </c>
      <c r="AM86" s="17">
        <f>IF('Loan Tape (BoE)'!AH87=1,"Yes","No")</f>
        <v/>
      </c>
      <c r="AN86" s="17">
        <f>IF('Loan Tape (BoE)'!AI87=1,"Yes","No")</f>
        <v/>
      </c>
      <c r="AO86" s="17">
        <f>IF('Loan Tape (BoE)'!AJ87=1,"Yes","No")</f>
        <v/>
      </c>
      <c r="AP86" s="17">
        <f>IF(OR('Loan Tape (BoE)'!AQ86=1,'Loan Tape (BoE)'!AQ86=2),"Yes",IF('Loan Tape (BoE)'!AQ86=0,"No",""))</f>
        <v/>
      </c>
      <c r="AQ86" s="17">
        <f>IF('Loan Tape (BoE)'!BV49_86&lt;&gt;"",'Loan Tape (BoE)'!BV49_86,"")</f>
        <v/>
      </c>
      <c r="AR86" s="17">
        <f>IF('Loan Tape (BoE)'!BV860_86&lt;&gt;"",'Loan Tape (BoE)'!BV50_86,"")</f>
        <v/>
      </c>
      <c r="AS86" s="17">
        <f>IFERROR(INDEX('FF Adj Parameters'!$A$103:$B$1086,MATCH('Loan Tape (BoE)'!P86,INDEX('FF Adj Parameters'!$A$103:$B$1086,,1),0),2),"Unknown")</f>
        <v/>
      </c>
      <c r="AT86" s="17">
        <f>IF(N86="Interest Only",M5*O5/12,IF(AND(O5&gt;0,ISNUMBER(O5),ISNUMBER(M5)),ABS(PMT(O5/12,AU5,-M5)),0))</f>
        <v/>
      </c>
      <c r="AU86" s="17">
        <f>IF(ISNUMBER(L86),MAX(0,(L5-'Control Panel'!$B$10)*12/365.25),0)</f>
        <v/>
      </c>
      <c r="AV86" s="17">
        <f>IF(ISNUMBER(L86),IF(L5&gt;'Control Panel'!$B$10,"Valid","Past Maturity"),"No Date")</f>
        <v/>
      </c>
      <c r="AW86" s="17">
        <f>IF(ISNUMBER(K86),MAX(0,('Control Panel'!$B$10-K5)*12/365.25),0)</f>
        <v/>
      </c>
    </row>
    <row r="87">
      <c r="A87" s="17">
        <f>'Loan Tape (BoE)'!A88</f>
        <v/>
      </c>
      <c r="B87" s="18">
        <f>IFERROR(INDEX('FF Adj Parameters'!$A$89:$B$92,MATCH('Loan Tape (BoE)'!C87,INDEX('FF Adj Parameters'!$A$89:$B$92,,1),0),2),"Unknown")</f>
        <v/>
      </c>
      <c r="C87" s="18">
        <f>'Loan Tape (BoE)'!C88</f>
        <v/>
      </c>
      <c r="D87" s="18">
        <f>'Loan Tape (BoE)'!D88</f>
        <v/>
      </c>
      <c r="E87" s="18">
        <f>'Loan Tape (BoE)'!E88</f>
        <v/>
      </c>
      <c r="F87" s="19">
        <f>'Loan Tape (BoE)'!F88</f>
        <v/>
      </c>
      <c r="G87" s="19">
        <f>'Loan Tape (BoE)'!G88</f>
        <v/>
      </c>
      <c r="H87" s="20">
        <f>'Loan Tape (BoE)'!H88/100</f>
        <v/>
      </c>
      <c r="I87" s="17">
        <f>IFERROR(IFS('Loan Tape (BoE)'!I88=1,"House",'Loan Tape (BoE)'!I88=2,"Flat",'Loan Tape (BoE)'!I88=3,"Bungalow",'Loan Tape (BoE)'!I88=4,"Maisonette"),"")</f>
        <v/>
      </c>
      <c r="J87" s="17">
        <f>'Loan Tape (BoE)'!J88</f>
        <v/>
      </c>
      <c r="K87" s="17">
        <f>'Loan Tape (BoE)'!K88</f>
        <v/>
      </c>
      <c r="L87" s="17">
        <f>IFERROR(IFS('Loan Tape (BoE)'!L88=1,"Owner Occupied",'Loan Tape (BoE)'!L88=2,"BTL",'Loan Tape (BoE)'!L88=3,"Second Home",'Loan Tape (BoE)'!L88=4,"Investment"),"")</f>
        <v/>
      </c>
      <c r="M87" s="17">
        <f>IFERROR(IFS('Loan Tape (BoE)'!M88=1,"Purchase",'Loan Tape (BoE)'!M88=2,"Remortgage",OR('Loan Tape (BoE)'!M88=3,'Loan Tape (BoE)'!M88=4),"Cash-out"),"")</f>
        <v/>
      </c>
      <c r="N87" s="17">
        <f>IFERROR(INDEX('FF Adj Parameters'!$A$96:$B$99,MATCH('Loan Tape (BoE)'!R87,INDEX('FF Adj Parameters'!$A$96:$B$99,,1),0),2),"Unknown")</f>
        <v/>
      </c>
      <c r="O87" s="17">
        <f>IF('Loan Tape (BoE)'!O88=1,"Yes","No")</f>
        <v/>
      </c>
      <c r="P87" s="17">
        <f>IF('Loan Tape (BoE)'!P87=1,"Yes",IF('Loan Tape (BoE)'!P87=0,"No",""))</f>
        <v/>
      </c>
      <c r="Q87" s="17">
        <f>IF('Loan Tape (BoE)'!Q87=1,"Yes",IF('Loan Tape (BoE)'!Q87=0,"No",""))</f>
        <v/>
      </c>
      <c r="R87" s="18">
        <f>IF('Loan Tape (BoE)'!R87=1,"Yes",IF('Loan Tape (BoE)'!R87=0,"No",""))</f>
        <v/>
      </c>
      <c r="S87" s="18">
        <f>IF('Loan Tape (BoE)'!S87=1,"Yes",IF('Loan Tape (BoE)'!S87=0,"No",""))</f>
        <v/>
      </c>
      <c r="T87" s="17">
        <f>IF('Loan Tape (BoE)'!T87=1,"Yes",IF('Loan Tape (BoE)'!T87=0,"No",""))</f>
        <v/>
      </c>
      <c r="U87" s="18">
        <f>R87+S87</f>
        <v/>
      </c>
      <c r="V87" s="17">
        <f>IFERROR(IFS('Loan Tape (BoE)'!U88=1,"Employed",'Loan Tape (BoE)'!U88=2,"Self-Employed",'Loan Tape (BoE)'!U88=3,"Unemployed",'Loan Tape (BoE)'!U88=4,"Retired"),"")</f>
        <v/>
      </c>
      <c r="W87" s="17">
        <f>IFERROR(IFS('Loan Tape (BoE)'!V88=1,"Employed",'Loan Tape (BoE)'!V88=2,"Self-Employed",'Loan Tape (BoE)'!V88=3,"Unemployed",'Loan Tape (BoE)'!V88=4,"Retired"),"")</f>
        <v/>
      </c>
      <c r="X87" s="17">
        <f>IF(OR(V87="Self-Employed",W87="Self-Employed"),"Yes","No")</f>
        <v/>
      </c>
      <c r="Y87" s="17">
        <f>'Loan Tape (BoE)'!W88</f>
        <v/>
      </c>
      <c r="Z87" s="17">
        <f>'Loan Tape (BoE)'!X88</f>
        <v/>
      </c>
      <c r="AA87" s="17">
        <f>IF(T87=1,Y87,MIN(Y87,Z87))</f>
        <v/>
      </c>
      <c r="AB87" s="17">
        <f>'Loan Tape (BoE)'!Y88</f>
        <v/>
      </c>
      <c r="AC87" s="17">
        <f>'Loan Tape (BoE)'!Z88</f>
        <v/>
      </c>
      <c r="AD87" s="17">
        <f>AB87+AC87</f>
        <v/>
      </c>
      <c r="AE87" s="18">
        <f>'Loan Tape (BoE)'!AA88</f>
        <v/>
      </c>
      <c r="AF87" s="18">
        <f>'Loan Tape (BoE)'!AB88</f>
        <v/>
      </c>
      <c r="AG87" s="18">
        <f>AE87+AF87</f>
        <v/>
      </c>
      <c r="AH87" s="19">
        <f>MAX('Loan Tape (BoE)'!AC88,'Loan Tape (BoE)'!AD88)</f>
        <v/>
      </c>
      <c r="AI87" s="18">
        <f>'Loan Tape (BoE)'!AE88</f>
        <v/>
      </c>
      <c r="AJ87" s="18">
        <f>B87*H87/12</f>
        <v/>
      </c>
      <c r="AK87" s="21">
        <f>IF(AJ87&gt;0,AI87/AJ87,0)</f>
        <v/>
      </c>
      <c r="AL87" s="17">
        <f>IF('Loan Tape (BoE)'!AF88=1,"Yes","No")</f>
        <v/>
      </c>
      <c r="AM87" s="17">
        <f>IF('Loan Tape (BoE)'!AH88=1,"Yes","No")</f>
        <v/>
      </c>
      <c r="AN87" s="17">
        <f>IF('Loan Tape (BoE)'!AI88=1,"Yes","No")</f>
        <v/>
      </c>
      <c r="AO87" s="17">
        <f>IF('Loan Tape (BoE)'!AJ88=1,"Yes","No")</f>
        <v/>
      </c>
      <c r="AP87" s="17">
        <f>IF(OR('Loan Tape (BoE)'!AQ87=1,'Loan Tape (BoE)'!AQ87=2),"Yes",IF('Loan Tape (BoE)'!AQ87=0,"No",""))</f>
        <v/>
      </c>
      <c r="AQ87" s="17">
        <f>IF('Loan Tape (BoE)'!BV49_87&lt;&gt;"",'Loan Tape (BoE)'!BV49_87,"")</f>
        <v/>
      </c>
      <c r="AR87" s="17">
        <f>IF('Loan Tape (BoE)'!BV870_87&lt;&gt;"",'Loan Tape (BoE)'!BV50_87,"")</f>
        <v/>
      </c>
      <c r="AS87" s="17">
        <f>IFERROR(INDEX('FF Adj Parameters'!$A$103:$B$1087,MATCH('Loan Tape (BoE)'!P87,INDEX('FF Adj Parameters'!$A$103:$B$1087,,1),0),2),"Unknown")</f>
        <v/>
      </c>
      <c r="AT87" s="17">
        <f>IF(N87="Interest Only",M5*O5/12,IF(AND(O5&gt;0,ISNUMBER(O5),ISNUMBER(M5)),ABS(PMT(O5/12,AU5,-M5)),0))</f>
        <v/>
      </c>
      <c r="AU87" s="17">
        <f>IF(ISNUMBER(L87),MAX(0,(L5-'Control Panel'!$B$10)*12/365.25),0)</f>
        <v/>
      </c>
      <c r="AV87" s="17">
        <f>IF(ISNUMBER(L87),IF(L5&gt;'Control Panel'!$B$10,"Valid","Past Maturity"),"No Date")</f>
        <v/>
      </c>
      <c r="AW87" s="17">
        <f>IF(ISNUMBER(K87),MAX(0,('Control Panel'!$B$10-K5)*12/365.25),0)</f>
        <v/>
      </c>
    </row>
    <row r="88">
      <c r="A88" s="17">
        <f>'Loan Tape (BoE)'!A89</f>
        <v/>
      </c>
      <c r="B88" s="18">
        <f>IFERROR(INDEX('FF Adj Parameters'!$A$89:$B$92,MATCH('Loan Tape (BoE)'!C88,INDEX('FF Adj Parameters'!$A$89:$B$92,,1),0),2),"Unknown")</f>
        <v/>
      </c>
      <c r="C88" s="18">
        <f>'Loan Tape (BoE)'!C89</f>
        <v/>
      </c>
      <c r="D88" s="18">
        <f>'Loan Tape (BoE)'!D89</f>
        <v/>
      </c>
      <c r="E88" s="18">
        <f>'Loan Tape (BoE)'!E89</f>
        <v/>
      </c>
      <c r="F88" s="19">
        <f>'Loan Tape (BoE)'!F89</f>
        <v/>
      </c>
      <c r="G88" s="19">
        <f>'Loan Tape (BoE)'!G89</f>
        <v/>
      </c>
      <c r="H88" s="20">
        <f>'Loan Tape (BoE)'!H89/100</f>
        <v/>
      </c>
      <c r="I88" s="17">
        <f>IFERROR(IFS('Loan Tape (BoE)'!I89=1,"House",'Loan Tape (BoE)'!I89=2,"Flat",'Loan Tape (BoE)'!I89=3,"Bungalow",'Loan Tape (BoE)'!I89=4,"Maisonette"),"")</f>
        <v/>
      </c>
      <c r="J88" s="17">
        <f>'Loan Tape (BoE)'!J89</f>
        <v/>
      </c>
      <c r="K88" s="17">
        <f>'Loan Tape (BoE)'!K89</f>
        <v/>
      </c>
      <c r="L88" s="17">
        <f>IFERROR(IFS('Loan Tape (BoE)'!L89=1,"Owner Occupied",'Loan Tape (BoE)'!L89=2,"BTL",'Loan Tape (BoE)'!L89=3,"Second Home",'Loan Tape (BoE)'!L89=4,"Investment"),"")</f>
        <v/>
      </c>
      <c r="M88" s="17">
        <f>IFERROR(IFS('Loan Tape (BoE)'!M89=1,"Purchase",'Loan Tape (BoE)'!M89=2,"Remortgage",OR('Loan Tape (BoE)'!M89=3,'Loan Tape (BoE)'!M89=4),"Cash-out"),"")</f>
        <v/>
      </c>
      <c r="N88" s="17">
        <f>IFERROR(INDEX('FF Adj Parameters'!$A$96:$B$99,MATCH('Loan Tape (BoE)'!R88,INDEX('FF Adj Parameters'!$A$96:$B$99,,1),0),2),"Unknown")</f>
        <v/>
      </c>
      <c r="O88" s="17">
        <f>IF('Loan Tape (BoE)'!O89=1,"Yes","No")</f>
        <v/>
      </c>
      <c r="P88" s="17">
        <f>IF('Loan Tape (BoE)'!P88=1,"Yes",IF('Loan Tape (BoE)'!P88=0,"No",""))</f>
        <v/>
      </c>
      <c r="Q88" s="17">
        <f>IF('Loan Tape (BoE)'!Q88=1,"Yes",IF('Loan Tape (BoE)'!Q88=0,"No",""))</f>
        <v/>
      </c>
      <c r="R88" s="18">
        <f>IF('Loan Tape (BoE)'!R88=1,"Yes",IF('Loan Tape (BoE)'!R88=0,"No",""))</f>
        <v/>
      </c>
      <c r="S88" s="18">
        <f>IF('Loan Tape (BoE)'!S88=1,"Yes",IF('Loan Tape (BoE)'!S88=0,"No",""))</f>
        <v/>
      </c>
      <c r="T88" s="17">
        <f>IF('Loan Tape (BoE)'!T88=1,"Yes",IF('Loan Tape (BoE)'!T88=0,"No",""))</f>
        <v/>
      </c>
      <c r="U88" s="18">
        <f>R88+S88</f>
        <v/>
      </c>
      <c r="V88" s="17">
        <f>IFERROR(IFS('Loan Tape (BoE)'!U89=1,"Employed",'Loan Tape (BoE)'!U89=2,"Self-Employed",'Loan Tape (BoE)'!U89=3,"Unemployed",'Loan Tape (BoE)'!U89=4,"Retired"),"")</f>
        <v/>
      </c>
      <c r="W88" s="17">
        <f>IFERROR(IFS('Loan Tape (BoE)'!V89=1,"Employed",'Loan Tape (BoE)'!V89=2,"Self-Employed",'Loan Tape (BoE)'!V89=3,"Unemployed",'Loan Tape (BoE)'!V89=4,"Retired"),"")</f>
        <v/>
      </c>
      <c r="X88" s="17">
        <f>IF(OR(V88="Self-Employed",W88="Self-Employed"),"Yes","No")</f>
        <v/>
      </c>
      <c r="Y88" s="17">
        <f>'Loan Tape (BoE)'!W89</f>
        <v/>
      </c>
      <c r="Z88" s="17">
        <f>'Loan Tape (BoE)'!X89</f>
        <v/>
      </c>
      <c r="AA88" s="17">
        <f>IF(T88=1,Y88,MIN(Y88,Z88))</f>
        <v/>
      </c>
      <c r="AB88" s="17">
        <f>'Loan Tape (BoE)'!Y89</f>
        <v/>
      </c>
      <c r="AC88" s="17">
        <f>'Loan Tape (BoE)'!Z89</f>
        <v/>
      </c>
      <c r="AD88" s="17">
        <f>AB88+AC88</f>
        <v/>
      </c>
      <c r="AE88" s="18">
        <f>'Loan Tape (BoE)'!AA89</f>
        <v/>
      </c>
      <c r="AF88" s="18">
        <f>'Loan Tape (BoE)'!AB89</f>
        <v/>
      </c>
      <c r="AG88" s="18">
        <f>AE88+AF88</f>
        <v/>
      </c>
      <c r="AH88" s="19">
        <f>MAX('Loan Tape (BoE)'!AC89,'Loan Tape (BoE)'!AD89)</f>
        <v/>
      </c>
      <c r="AI88" s="18">
        <f>'Loan Tape (BoE)'!AE89</f>
        <v/>
      </c>
      <c r="AJ88" s="18">
        <f>B88*H88/12</f>
        <v/>
      </c>
      <c r="AK88" s="21">
        <f>IF(AJ88&gt;0,AI88/AJ88,0)</f>
        <v/>
      </c>
      <c r="AL88" s="17">
        <f>IF('Loan Tape (BoE)'!AF89=1,"Yes","No")</f>
        <v/>
      </c>
      <c r="AM88" s="17">
        <f>IF('Loan Tape (BoE)'!AH89=1,"Yes","No")</f>
        <v/>
      </c>
      <c r="AN88" s="17">
        <f>IF('Loan Tape (BoE)'!AI89=1,"Yes","No")</f>
        <v/>
      </c>
      <c r="AO88" s="17">
        <f>IF('Loan Tape (BoE)'!AJ89=1,"Yes","No")</f>
        <v/>
      </c>
      <c r="AP88" s="17">
        <f>IF(OR('Loan Tape (BoE)'!AQ88=1,'Loan Tape (BoE)'!AQ88=2),"Yes",IF('Loan Tape (BoE)'!AQ88=0,"No",""))</f>
        <v/>
      </c>
      <c r="AQ88" s="17">
        <f>IF('Loan Tape (BoE)'!BV49_88&lt;&gt;"",'Loan Tape (BoE)'!BV49_88,"")</f>
        <v/>
      </c>
      <c r="AR88" s="17">
        <f>IF('Loan Tape (BoE)'!BV880_88&lt;&gt;"",'Loan Tape (BoE)'!BV50_88,"")</f>
        <v/>
      </c>
      <c r="AS88" s="17">
        <f>IFERROR(INDEX('FF Adj Parameters'!$A$103:$B$1088,MATCH('Loan Tape (BoE)'!P88,INDEX('FF Adj Parameters'!$A$103:$B$1088,,1),0),2),"Unknown")</f>
        <v/>
      </c>
      <c r="AT88" s="17">
        <f>IF(N88="Interest Only",M5*O5/12,IF(AND(O5&gt;0,ISNUMBER(O5),ISNUMBER(M5)),ABS(PMT(O5/12,AU5,-M5)),0))</f>
        <v/>
      </c>
      <c r="AU88" s="17">
        <f>IF(ISNUMBER(L88),MAX(0,(L5-'Control Panel'!$B$10)*12/365.25),0)</f>
        <v/>
      </c>
      <c r="AV88" s="17">
        <f>IF(ISNUMBER(L88),IF(L5&gt;'Control Panel'!$B$10,"Valid","Past Maturity"),"No Date")</f>
        <v/>
      </c>
      <c r="AW88" s="17">
        <f>IF(ISNUMBER(K88),MAX(0,('Control Panel'!$B$10-K5)*12/365.25),0)</f>
        <v/>
      </c>
    </row>
    <row r="89">
      <c r="A89" s="17">
        <f>'Loan Tape (BoE)'!A90</f>
        <v/>
      </c>
      <c r="B89" s="18">
        <f>IFERROR(INDEX('FF Adj Parameters'!$A$89:$B$92,MATCH('Loan Tape (BoE)'!C89,INDEX('FF Adj Parameters'!$A$89:$B$92,,1),0),2),"Unknown")</f>
        <v/>
      </c>
      <c r="C89" s="18">
        <f>'Loan Tape (BoE)'!C90</f>
        <v/>
      </c>
      <c r="D89" s="18">
        <f>'Loan Tape (BoE)'!D90</f>
        <v/>
      </c>
      <c r="E89" s="18">
        <f>'Loan Tape (BoE)'!E90</f>
        <v/>
      </c>
      <c r="F89" s="19">
        <f>'Loan Tape (BoE)'!F90</f>
        <v/>
      </c>
      <c r="G89" s="19">
        <f>'Loan Tape (BoE)'!G90</f>
        <v/>
      </c>
      <c r="H89" s="20">
        <f>'Loan Tape (BoE)'!H90/100</f>
        <v/>
      </c>
      <c r="I89" s="17">
        <f>IFERROR(IFS('Loan Tape (BoE)'!I90=1,"House",'Loan Tape (BoE)'!I90=2,"Flat",'Loan Tape (BoE)'!I90=3,"Bungalow",'Loan Tape (BoE)'!I90=4,"Maisonette"),"")</f>
        <v/>
      </c>
      <c r="J89" s="17">
        <f>'Loan Tape (BoE)'!J90</f>
        <v/>
      </c>
      <c r="K89" s="17">
        <f>'Loan Tape (BoE)'!K90</f>
        <v/>
      </c>
      <c r="L89" s="17">
        <f>IFERROR(IFS('Loan Tape (BoE)'!L90=1,"Owner Occupied",'Loan Tape (BoE)'!L90=2,"BTL",'Loan Tape (BoE)'!L90=3,"Second Home",'Loan Tape (BoE)'!L90=4,"Investment"),"")</f>
        <v/>
      </c>
      <c r="M89" s="17">
        <f>IFERROR(IFS('Loan Tape (BoE)'!M90=1,"Purchase",'Loan Tape (BoE)'!M90=2,"Remortgage",OR('Loan Tape (BoE)'!M90=3,'Loan Tape (BoE)'!M90=4),"Cash-out"),"")</f>
        <v/>
      </c>
      <c r="N89" s="17">
        <f>IFERROR(INDEX('FF Adj Parameters'!$A$96:$B$99,MATCH('Loan Tape (BoE)'!R89,INDEX('FF Adj Parameters'!$A$96:$B$99,,1),0),2),"Unknown")</f>
        <v/>
      </c>
      <c r="O89" s="17">
        <f>IF('Loan Tape (BoE)'!O90=1,"Yes","No")</f>
        <v/>
      </c>
      <c r="P89" s="17">
        <f>IF('Loan Tape (BoE)'!P89=1,"Yes",IF('Loan Tape (BoE)'!P89=0,"No",""))</f>
        <v/>
      </c>
      <c r="Q89" s="17">
        <f>IF('Loan Tape (BoE)'!Q89=1,"Yes",IF('Loan Tape (BoE)'!Q89=0,"No",""))</f>
        <v/>
      </c>
      <c r="R89" s="18">
        <f>IF('Loan Tape (BoE)'!R89=1,"Yes",IF('Loan Tape (BoE)'!R89=0,"No",""))</f>
        <v/>
      </c>
      <c r="S89" s="18">
        <f>IF('Loan Tape (BoE)'!S89=1,"Yes",IF('Loan Tape (BoE)'!S89=0,"No",""))</f>
        <v/>
      </c>
      <c r="T89" s="17">
        <f>IF('Loan Tape (BoE)'!T89=1,"Yes",IF('Loan Tape (BoE)'!T89=0,"No",""))</f>
        <v/>
      </c>
      <c r="U89" s="18">
        <f>R89+S89</f>
        <v/>
      </c>
      <c r="V89" s="17">
        <f>IFERROR(IFS('Loan Tape (BoE)'!U90=1,"Employed",'Loan Tape (BoE)'!U90=2,"Self-Employed",'Loan Tape (BoE)'!U90=3,"Unemployed",'Loan Tape (BoE)'!U90=4,"Retired"),"")</f>
        <v/>
      </c>
      <c r="W89" s="17">
        <f>IFERROR(IFS('Loan Tape (BoE)'!V90=1,"Employed",'Loan Tape (BoE)'!V90=2,"Self-Employed",'Loan Tape (BoE)'!V90=3,"Unemployed",'Loan Tape (BoE)'!V90=4,"Retired"),"")</f>
        <v/>
      </c>
      <c r="X89" s="17">
        <f>IF(OR(V89="Self-Employed",W89="Self-Employed"),"Yes","No")</f>
        <v/>
      </c>
      <c r="Y89" s="17">
        <f>'Loan Tape (BoE)'!W90</f>
        <v/>
      </c>
      <c r="Z89" s="17">
        <f>'Loan Tape (BoE)'!X90</f>
        <v/>
      </c>
      <c r="AA89" s="17">
        <f>IF(T89=1,Y89,MIN(Y89,Z89))</f>
        <v/>
      </c>
      <c r="AB89" s="17">
        <f>'Loan Tape (BoE)'!Y90</f>
        <v/>
      </c>
      <c r="AC89" s="17">
        <f>'Loan Tape (BoE)'!Z90</f>
        <v/>
      </c>
      <c r="AD89" s="17">
        <f>AB89+AC89</f>
        <v/>
      </c>
      <c r="AE89" s="18">
        <f>'Loan Tape (BoE)'!AA90</f>
        <v/>
      </c>
      <c r="AF89" s="18">
        <f>'Loan Tape (BoE)'!AB90</f>
        <v/>
      </c>
      <c r="AG89" s="18">
        <f>AE89+AF89</f>
        <v/>
      </c>
      <c r="AH89" s="19">
        <f>MAX('Loan Tape (BoE)'!AC90,'Loan Tape (BoE)'!AD90)</f>
        <v/>
      </c>
      <c r="AI89" s="18">
        <f>'Loan Tape (BoE)'!AE90</f>
        <v/>
      </c>
      <c r="AJ89" s="18">
        <f>B89*H89/12</f>
        <v/>
      </c>
      <c r="AK89" s="21">
        <f>IF(AJ89&gt;0,AI89/AJ89,0)</f>
        <v/>
      </c>
      <c r="AL89" s="17">
        <f>IF('Loan Tape (BoE)'!AF90=1,"Yes","No")</f>
        <v/>
      </c>
      <c r="AM89" s="17">
        <f>IF('Loan Tape (BoE)'!AH90=1,"Yes","No")</f>
        <v/>
      </c>
      <c r="AN89" s="17">
        <f>IF('Loan Tape (BoE)'!AI90=1,"Yes","No")</f>
        <v/>
      </c>
      <c r="AO89" s="17">
        <f>IF('Loan Tape (BoE)'!AJ90=1,"Yes","No")</f>
        <v/>
      </c>
      <c r="AP89" s="17">
        <f>IF(OR('Loan Tape (BoE)'!AQ89=1,'Loan Tape (BoE)'!AQ89=2),"Yes",IF('Loan Tape (BoE)'!AQ89=0,"No",""))</f>
        <v/>
      </c>
      <c r="AQ89" s="17">
        <f>IF('Loan Tape (BoE)'!BV49_89&lt;&gt;"",'Loan Tape (BoE)'!BV49_89,"")</f>
        <v/>
      </c>
      <c r="AR89" s="17">
        <f>IF('Loan Tape (BoE)'!BV890_89&lt;&gt;"",'Loan Tape (BoE)'!BV50_89,"")</f>
        <v/>
      </c>
      <c r="AS89" s="17">
        <f>IFERROR(INDEX('FF Adj Parameters'!$A$103:$B$1089,MATCH('Loan Tape (BoE)'!P89,INDEX('FF Adj Parameters'!$A$103:$B$1089,,1),0),2),"Unknown")</f>
        <v/>
      </c>
      <c r="AT89" s="17">
        <f>IF(N89="Interest Only",M5*O5/12,IF(AND(O5&gt;0,ISNUMBER(O5),ISNUMBER(M5)),ABS(PMT(O5/12,AU5,-M5)),0))</f>
        <v/>
      </c>
      <c r="AU89" s="17">
        <f>IF(ISNUMBER(L89),MAX(0,(L5-'Control Panel'!$B$10)*12/365.25),0)</f>
        <v/>
      </c>
      <c r="AV89" s="17">
        <f>IF(ISNUMBER(L89),IF(L5&gt;'Control Panel'!$B$10,"Valid","Past Maturity"),"No Date")</f>
        <v/>
      </c>
      <c r="AW89" s="17">
        <f>IF(ISNUMBER(K89),MAX(0,('Control Panel'!$B$10-K5)*12/365.25),0)</f>
        <v/>
      </c>
    </row>
    <row r="90">
      <c r="A90" s="17">
        <f>'Loan Tape (BoE)'!A91</f>
        <v/>
      </c>
      <c r="B90" s="18">
        <f>IFERROR(INDEX('FF Adj Parameters'!$A$89:$B$92,MATCH('Loan Tape (BoE)'!C90,INDEX('FF Adj Parameters'!$A$89:$B$92,,1),0),2),"Unknown")</f>
        <v/>
      </c>
      <c r="C90" s="18">
        <f>'Loan Tape (BoE)'!C91</f>
        <v/>
      </c>
      <c r="D90" s="18">
        <f>'Loan Tape (BoE)'!D91</f>
        <v/>
      </c>
      <c r="E90" s="18">
        <f>'Loan Tape (BoE)'!E91</f>
        <v/>
      </c>
      <c r="F90" s="19">
        <f>'Loan Tape (BoE)'!F91</f>
        <v/>
      </c>
      <c r="G90" s="19">
        <f>'Loan Tape (BoE)'!G91</f>
        <v/>
      </c>
      <c r="H90" s="20">
        <f>'Loan Tape (BoE)'!H91/100</f>
        <v/>
      </c>
      <c r="I90" s="17">
        <f>IFERROR(IFS('Loan Tape (BoE)'!I91=1,"House",'Loan Tape (BoE)'!I91=2,"Flat",'Loan Tape (BoE)'!I91=3,"Bungalow",'Loan Tape (BoE)'!I91=4,"Maisonette"),"")</f>
        <v/>
      </c>
      <c r="J90" s="17">
        <f>'Loan Tape (BoE)'!J91</f>
        <v/>
      </c>
      <c r="K90" s="17">
        <f>'Loan Tape (BoE)'!K91</f>
        <v/>
      </c>
      <c r="L90" s="17">
        <f>IFERROR(IFS('Loan Tape (BoE)'!L91=1,"Owner Occupied",'Loan Tape (BoE)'!L91=2,"BTL",'Loan Tape (BoE)'!L91=3,"Second Home",'Loan Tape (BoE)'!L91=4,"Investment"),"")</f>
        <v/>
      </c>
      <c r="M90" s="17">
        <f>IFERROR(IFS('Loan Tape (BoE)'!M91=1,"Purchase",'Loan Tape (BoE)'!M91=2,"Remortgage",OR('Loan Tape (BoE)'!M91=3,'Loan Tape (BoE)'!M91=4),"Cash-out"),"")</f>
        <v/>
      </c>
      <c r="N90" s="17">
        <f>IFERROR(INDEX('FF Adj Parameters'!$A$96:$B$99,MATCH('Loan Tape (BoE)'!R90,INDEX('FF Adj Parameters'!$A$96:$B$99,,1),0),2),"Unknown")</f>
        <v/>
      </c>
      <c r="O90" s="17">
        <f>IF('Loan Tape (BoE)'!O91=1,"Yes","No")</f>
        <v/>
      </c>
      <c r="P90" s="17">
        <f>IF('Loan Tape (BoE)'!P90=1,"Yes",IF('Loan Tape (BoE)'!P90=0,"No",""))</f>
        <v/>
      </c>
      <c r="Q90" s="17">
        <f>IF('Loan Tape (BoE)'!Q90=1,"Yes",IF('Loan Tape (BoE)'!Q90=0,"No",""))</f>
        <v/>
      </c>
      <c r="R90" s="18">
        <f>IF('Loan Tape (BoE)'!R90=1,"Yes",IF('Loan Tape (BoE)'!R90=0,"No",""))</f>
        <v/>
      </c>
      <c r="S90" s="18">
        <f>IF('Loan Tape (BoE)'!S90=1,"Yes",IF('Loan Tape (BoE)'!S90=0,"No",""))</f>
        <v/>
      </c>
      <c r="T90" s="17">
        <f>IF('Loan Tape (BoE)'!T90=1,"Yes",IF('Loan Tape (BoE)'!T90=0,"No",""))</f>
        <v/>
      </c>
      <c r="U90" s="18">
        <f>R90+S90</f>
        <v/>
      </c>
      <c r="V90" s="17">
        <f>IFERROR(IFS('Loan Tape (BoE)'!U91=1,"Employed",'Loan Tape (BoE)'!U91=2,"Self-Employed",'Loan Tape (BoE)'!U91=3,"Unemployed",'Loan Tape (BoE)'!U91=4,"Retired"),"")</f>
        <v/>
      </c>
      <c r="W90" s="17">
        <f>IFERROR(IFS('Loan Tape (BoE)'!V91=1,"Employed",'Loan Tape (BoE)'!V91=2,"Self-Employed",'Loan Tape (BoE)'!V91=3,"Unemployed",'Loan Tape (BoE)'!V91=4,"Retired"),"")</f>
        <v/>
      </c>
      <c r="X90" s="17">
        <f>IF(OR(V90="Self-Employed",W90="Self-Employed"),"Yes","No")</f>
        <v/>
      </c>
      <c r="Y90" s="17">
        <f>'Loan Tape (BoE)'!W91</f>
        <v/>
      </c>
      <c r="Z90" s="17">
        <f>'Loan Tape (BoE)'!X91</f>
        <v/>
      </c>
      <c r="AA90" s="17">
        <f>IF(T90=1,Y90,MIN(Y90,Z90))</f>
        <v/>
      </c>
      <c r="AB90" s="17">
        <f>'Loan Tape (BoE)'!Y91</f>
        <v/>
      </c>
      <c r="AC90" s="17">
        <f>'Loan Tape (BoE)'!Z91</f>
        <v/>
      </c>
      <c r="AD90" s="17">
        <f>AB90+AC90</f>
        <v/>
      </c>
      <c r="AE90" s="18">
        <f>'Loan Tape (BoE)'!AA91</f>
        <v/>
      </c>
      <c r="AF90" s="18">
        <f>'Loan Tape (BoE)'!AB91</f>
        <v/>
      </c>
      <c r="AG90" s="18">
        <f>AE90+AF90</f>
        <v/>
      </c>
      <c r="AH90" s="19">
        <f>MAX('Loan Tape (BoE)'!AC91,'Loan Tape (BoE)'!AD91)</f>
        <v/>
      </c>
      <c r="AI90" s="18">
        <f>'Loan Tape (BoE)'!AE91</f>
        <v/>
      </c>
      <c r="AJ90" s="18">
        <f>B90*H90/12</f>
        <v/>
      </c>
      <c r="AK90" s="21">
        <f>IF(AJ90&gt;0,AI90/AJ90,0)</f>
        <v/>
      </c>
      <c r="AL90" s="17">
        <f>IF('Loan Tape (BoE)'!AF91=1,"Yes","No")</f>
        <v/>
      </c>
      <c r="AM90" s="17">
        <f>IF('Loan Tape (BoE)'!AH91=1,"Yes","No")</f>
        <v/>
      </c>
      <c r="AN90" s="17">
        <f>IF('Loan Tape (BoE)'!AI91=1,"Yes","No")</f>
        <v/>
      </c>
      <c r="AO90" s="17">
        <f>IF('Loan Tape (BoE)'!AJ91=1,"Yes","No")</f>
        <v/>
      </c>
      <c r="AP90" s="17">
        <f>IF(OR('Loan Tape (BoE)'!AQ90=1,'Loan Tape (BoE)'!AQ90=2),"Yes",IF('Loan Tape (BoE)'!AQ90=0,"No",""))</f>
        <v/>
      </c>
      <c r="AQ90" s="17">
        <f>IF('Loan Tape (BoE)'!BV49_90&lt;&gt;"",'Loan Tape (BoE)'!BV49_90,"")</f>
        <v/>
      </c>
      <c r="AR90" s="17">
        <f>IF('Loan Tape (BoE)'!BV900_90&lt;&gt;"",'Loan Tape (BoE)'!BV50_90,"")</f>
        <v/>
      </c>
      <c r="AS90" s="17">
        <f>IFERROR(INDEX('FF Adj Parameters'!$A$103:$B$1090,MATCH('Loan Tape (BoE)'!P90,INDEX('FF Adj Parameters'!$A$103:$B$1090,,1),0),2),"Unknown")</f>
        <v/>
      </c>
      <c r="AT90" s="17">
        <f>IF(N90="Interest Only",M5*O5/12,IF(AND(O5&gt;0,ISNUMBER(O5),ISNUMBER(M5)),ABS(PMT(O5/12,AU5,-M5)),0))</f>
        <v/>
      </c>
      <c r="AU90" s="17">
        <f>IF(ISNUMBER(L90),MAX(0,(L5-'Control Panel'!$B$10)*12/365.25),0)</f>
        <v/>
      </c>
      <c r="AV90" s="17">
        <f>IF(ISNUMBER(L90),IF(L5&gt;'Control Panel'!$B$10,"Valid","Past Maturity"),"No Date")</f>
        <v/>
      </c>
      <c r="AW90" s="17">
        <f>IF(ISNUMBER(K90),MAX(0,('Control Panel'!$B$10-K5)*12/365.25),0)</f>
        <v/>
      </c>
    </row>
    <row r="91">
      <c r="A91" s="17">
        <f>'Loan Tape (BoE)'!A92</f>
        <v/>
      </c>
      <c r="B91" s="18">
        <f>IFERROR(INDEX('FF Adj Parameters'!$A$89:$B$92,MATCH('Loan Tape (BoE)'!C91,INDEX('FF Adj Parameters'!$A$89:$B$92,,1),0),2),"Unknown")</f>
        <v/>
      </c>
      <c r="C91" s="18">
        <f>'Loan Tape (BoE)'!C92</f>
        <v/>
      </c>
      <c r="D91" s="18">
        <f>'Loan Tape (BoE)'!D92</f>
        <v/>
      </c>
      <c r="E91" s="18">
        <f>'Loan Tape (BoE)'!E92</f>
        <v/>
      </c>
      <c r="F91" s="19">
        <f>'Loan Tape (BoE)'!F92</f>
        <v/>
      </c>
      <c r="G91" s="19">
        <f>'Loan Tape (BoE)'!G92</f>
        <v/>
      </c>
      <c r="H91" s="20">
        <f>'Loan Tape (BoE)'!H92/100</f>
        <v/>
      </c>
      <c r="I91" s="17">
        <f>IFERROR(IFS('Loan Tape (BoE)'!I92=1,"House",'Loan Tape (BoE)'!I92=2,"Flat",'Loan Tape (BoE)'!I92=3,"Bungalow",'Loan Tape (BoE)'!I92=4,"Maisonette"),"")</f>
        <v/>
      </c>
      <c r="J91" s="17">
        <f>'Loan Tape (BoE)'!J92</f>
        <v/>
      </c>
      <c r="K91" s="17">
        <f>'Loan Tape (BoE)'!K92</f>
        <v/>
      </c>
      <c r="L91" s="17">
        <f>IFERROR(IFS('Loan Tape (BoE)'!L92=1,"Owner Occupied",'Loan Tape (BoE)'!L92=2,"BTL",'Loan Tape (BoE)'!L92=3,"Second Home",'Loan Tape (BoE)'!L92=4,"Investment"),"")</f>
        <v/>
      </c>
      <c r="M91" s="17">
        <f>IFERROR(IFS('Loan Tape (BoE)'!M92=1,"Purchase",'Loan Tape (BoE)'!M92=2,"Remortgage",OR('Loan Tape (BoE)'!M92=3,'Loan Tape (BoE)'!M92=4),"Cash-out"),"")</f>
        <v/>
      </c>
      <c r="N91" s="17">
        <f>IFERROR(INDEX('FF Adj Parameters'!$A$96:$B$99,MATCH('Loan Tape (BoE)'!R91,INDEX('FF Adj Parameters'!$A$96:$B$99,,1),0),2),"Unknown")</f>
        <v/>
      </c>
      <c r="O91" s="17">
        <f>IF('Loan Tape (BoE)'!O92=1,"Yes","No")</f>
        <v/>
      </c>
      <c r="P91" s="17">
        <f>IF('Loan Tape (BoE)'!P91=1,"Yes",IF('Loan Tape (BoE)'!P91=0,"No",""))</f>
        <v/>
      </c>
      <c r="Q91" s="17">
        <f>IF('Loan Tape (BoE)'!Q91=1,"Yes",IF('Loan Tape (BoE)'!Q91=0,"No",""))</f>
        <v/>
      </c>
      <c r="R91" s="18">
        <f>IF('Loan Tape (BoE)'!R91=1,"Yes",IF('Loan Tape (BoE)'!R91=0,"No",""))</f>
        <v/>
      </c>
      <c r="S91" s="18">
        <f>IF('Loan Tape (BoE)'!S91=1,"Yes",IF('Loan Tape (BoE)'!S91=0,"No",""))</f>
        <v/>
      </c>
      <c r="T91" s="17">
        <f>IF('Loan Tape (BoE)'!T91=1,"Yes",IF('Loan Tape (BoE)'!T91=0,"No",""))</f>
        <v/>
      </c>
      <c r="U91" s="18">
        <f>R91+S91</f>
        <v/>
      </c>
      <c r="V91" s="17">
        <f>IFERROR(IFS('Loan Tape (BoE)'!U92=1,"Employed",'Loan Tape (BoE)'!U92=2,"Self-Employed",'Loan Tape (BoE)'!U92=3,"Unemployed",'Loan Tape (BoE)'!U92=4,"Retired"),"")</f>
        <v/>
      </c>
      <c r="W91" s="17">
        <f>IFERROR(IFS('Loan Tape (BoE)'!V92=1,"Employed",'Loan Tape (BoE)'!V92=2,"Self-Employed",'Loan Tape (BoE)'!V92=3,"Unemployed",'Loan Tape (BoE)'!V92=4,"Retired"),"")</f>
        <v/>
      </c>
      <c r="X91" s="17">
        <f>IF(OR(V91="Self-Employed",W91="Self-Employed"),"Yes","No")</f>
        <v/>
      </c>
      <c r="Y91" s="17">
        <f>'Loan Tape (BoE)'!W92</f>
        <v/>
      </c>
      <c r="Z91" s="17">
        <f>'Loan Tape (BoE)'!X92</f>
        <v/>
      </c>
      <c r="AA91" s="17">
        <f>IF(T91=1,Y91,MIN(Y91,Z91))</f>
        <v/>
      </c>
      <c r="AB91" s="17">
        <f>'Loan Tape (BoE)'!Y92</f>
        <v/>
      </c>
      <c r="AC91" s="17">
        <f>'Loan Tape (BoE)'!Z92</f>
        <v/>
      </c>
      <c r="AD91" s="17">
        <f>AB91+AC91</f>
        <v/>
      </c>
      <c r="AE91" s="18">
        <f>'Loan Tape (BoE)'!AA92</f>
        <v/>
      </c>
      <c r="AF91" s="18">
        <f>'Loan Tape (BoE)'!AB92</f>
        <v/>
      </c>
      <c r="AG91" s="18">
        <f>AE91+AF91</f>
        <v/>
      </c>
      <c r="AH91" s="19">
        <f>MAX('Loan Tape (BoE)'!AC92,'Loan Tape (BoE)'!AD92)</f>
        <v/>
      </c>
      <c r="AI91" s="18">
        <f>'Loan Tape (BoE)'!AE92</f>
        <v/>
      </c>
      <c r="AJ91" s="18">
        <f>B91*H91/12</f>
        <v/>
      </c>
      <c r="AK91" s="21">
        <f>IF(AJ91&gt;0,AI91/AJ91,0)</f>
        <v/>
      </c>
      <c r="AL91" s="17">
        <f>IF('Loan Tape (BoE)'!AF92=1,"Yes","No")</f>
        <v/>
      </c>
      <c r="AM91" s="17">
        <f>IF('Loan Tape (BoE)'!AH92=1,"Yes","No")</f>
        <v/>
      </c>
      <c r="AN91" s="17">
        <f>IF('Loan Tape (BoE)'!AI92=1,"Yes","No")</f>
        <v/>
      </c>
      <c r="AO91" s="17">
        <f>IF('Loan Tape (BoE)'!AJ92=1,"Yes","No")</f>
        <v/>
      </c>
      <c r="AP91" s="17">
        <f>IF(OR('Loan Tape (BoE)'!AQ91=1,'Loan Tape (BoE)'!AQ91=2),"Yes",IF('Loan Tape (BoE)'!AQ91=0,"No",""))</f>
        <v/>
      </c>
      <c r="AQ91" s="17">
        <f>IF('Loan Tape (BoE)'!BV49_91&lt;&gt;"",'Loan Tape (BoE)'!BV49_91,"")</f>
        <v/>
      </c>
      <c r="AR91" s="17">
        <f>IF('Loan Tape (BoE)'!BV910_91&lt;&gt;"",'Loan Tape (BoE)'!BV50_91,"")</f>
        <v/>
      </c>
      <c r="AS91" s="17">
        <f>IFERROR(INDEX('FF Adj Parameters'!$A$103:$B$1091,MATCH('Loan Tape (BoE)'!P91,INDEX('FF Adj Parameters'!$A$103:$B$1091,,1),0),2),"Unknown")</f>
        <v/>
      </c>
      <c r="AT91" s="17">
        <f>IF(N91="Interest Only",M5*O5/12,IF(AND(O5&gt;0,ISNUMBER(O5),ISNUMBER(M5)),ABS(PMT(O5/12,AU5,-M5)),0))</f>
        <v/>
      </c>
      <c r="AU91" s="17">
        <f>IF(ISNUMBER(L91),MAX(0,(L5-'Control Panel'!$B$10)*12/365.25),0)</f>
        <v/>
      </c>
      <c r="AV91" s="17">
        <f>IF(ISNUMBER(L91),IF(L5&gt;'Control Panel'!$B$10,"Valid","Past Maturity"),"No Date")</f>
        <v/>
      </c>
      <c r="AW91" s="17">
        <f>IF(ISNUMBER(K91),MAX(0,('Control Panel'!$B$10-K5)*12/365.25),0)</f>
        <v/>
      </c>
    </row>
    <row r="92">
      <c r="A92" s="17">
        <f>'Loan Tape (BoE)'!A93</f>
        <v/>
      </c>
      <c r="B92" s="18">
        <f>IFERROR(INDEX('FF Adj Parameters'!$A$89:$B$92,MATCH('Loan Tape (BoE)'!C92,INDEX('FF Adj Parameters'!$A$89:$B$92,,1),0),2),"Unknown")</f>
        <v/>
      </c>
      <c r="C92" s="18">
        <f>'Loan Tape (BoE)'!C93</f>
        <v/>
      </c>
      <c r="D92" s="18">
        <f>'Loan Tape (BoE)'!D93</f>
        <v/>
      </c>
      <c r="E92" s="18">
        <f>'Loan Tape (BoE)'!E93</f>
        <v/>
      </c>
      <c r="F92" s="19">
        <f>'Loan Tape (BoE)'!F93</f>
        <v/>
      </c>
      <c r="G92" s="19">
        <f>'Loan Tape (BoE)'!G93</f>
        <v/>
      </c>
      <c r="H92" s="20">
        <f>'Loan Tape (BoE)'!H93/100</f>
        <v/>
      </c>
      <c r="I92" s="17">
        <f>IFERROR(IFS('Loan Tape (BoE)'!I93=1,"House",'Loan Tape (BoE)'!I93=2,"Flat",'Loan Tape (BoE)'!I93=3,"Bungalow",'Loan Tape (BoE)'!I93=4,"Maisonette"),"")</f>
        <v/>
      </c>
      <c r="J92" s="17">
        <f>'Loan Tape (BoE)'!J93</f>
        <v/>
      </c>
      <c r="K92" s="17">
        <f>'Loan Tape (BoE)'!K93</f>
        <v/>
      </c>
      <c r="L92" s="17">
        <f>IFERROR(IFS('Loan Tape (BoE)'!L93=1,"Owner Occupied",'Loan Tape (BoE)'!L93=2,"BTL",'Loan Tape (BoE)'!L93=3,"Second Home",'Loan Tape (BoE)'!L93=4,"Investment"),"")</f>
        <v/>
      </c>
      <c r="M92" s="17">
        <f>IFERROR(IFS('Loan Tape (BoE)'!M93=1,"Purchase",'Loan Tape (BoE)'!M93=2,"Remortgage",OR('Loan Tape (BoE)'!M93=3,'Loan Tape (BoE)'!M93=4),"Cash-out"),"")</f>
        <v/>
      </c>
      <c r="N92" s="17">
        <f>IFERROR(INDEX('FF Adj Parameters'!$A$96:$B$99,MATCH('Loan Tape (BoE)'!R92,INDEX('FF Adj Parameters'!$A$96:$B$99,,1),0),2),"Unknown")</f>
        <v/>
      </c>
      <c r="O92" s="17">
        <f>IF('Loan Tape (BoE)'!O93=1,"Yes","No")</f>
        <v/>
      </c>
      <c r="P92" s="17">
        <f>IF('Loan Tape (BoE)'!P92=1,"Yes",IF('Loan Tape (BoE)'!P92=0,"No",""))</f>
        <v/>
      </c>
      <c r="Q92" s="17">
        <f>IF('Loan Tape (BoE)'!Q92=1,"Yes",IF('Loan Tape (BoE)'!Q92=0,"No",""))</f>
        <v/>
      </c>
      <c r="R92" s="18">
        <f>IF('Loan Tape (BoE)'!R92=1,"Yes",IF('Loan Tape (BoE)'!R92=0,"No",""))</f>
        <v/>
      </c>
      <c r="S92" s="18">
        <f>IF('Loan Tape (BoE)'!S92=1,"Yes",IF('Loan Tape (BoE)'!S92=0,"No",""))</f>
        <v/>
      </c>
      <c r="T92" s="17">
        <f>IF('Loan Tape (BoE)'!T92=1,"Yes",IF('Loan Tape (BoE)'!T92=0,"No",""))</f>
        <v/>
      </c>
      <c r="U92" s="18">
        <f>R92+S92</f>
        <v/>
      </c>
      <c r="V92" s="17">
        <f>IFERROR(IFS('Loan Tape (BoE)'!U93=1,"Employed",'Loan Tape (BoE)'!U93=2,"Self-Employed",'Loan Tape (BoE)'!U93=3,"Unemployed",'Loan Tape (BoE)'!U93=4,"Retired"),"")</f>
        <v/>
      </c>
      <c r="W92" s="17">
        <f>IFERROR(IFS('Loan Tape (BoE)'!V93=1,"Employed",'Loan Tape (BoE)'!V93=2,"Self-Employed",'Loan Tape (BoE)'!V93=3,"Unemployed",'Loan Tape (BoE)'!V93=4,"Retired"),"")</f>
        <v/>
      </c>
      <c r="X92" s="17">
        <f>IF(OR(V92="Self-Employed",W92="Self-Employed"),"Yes","No")</f>
        <v/>
      </c>
      <c r="Y92" s="17">
        <f>'Loan Tape (BoE)'!W93</f>
        <v/>
      </c>
      <c r="Z92" s="17">
        <f>'Loan Tape (BoE)'!X93</f>
        <v/>
      </c>
      <c r="AA92" s="17">
        <f>IF(T92=1,Y92,MIN(Y92,Z92))</f>
        <v/>
      </c>
      <c r="AB92" s="17">
        <f>'Loan Tape (BoE)'!Y93</f>
        <v/>
      </c>
      <c r="AC92" s="17">
        <f>'Loan Tape (BoE)'!Z93</f>
        <v/>
      </c>
      <c r="AD92" s="17">
        <f>AB92+AC92</f>
        <v/>
      </c>
      <c r="AE92" s="18">
        <f>'Loan Tape (BoE)'!AA93</f>
        <v/>
      </c>
      <c r="AF92" s="18">
        <f>'Loan Tape (BoE)'!AB93</f>
        <v/>
      </c>
      <c r="AG92" s="18">
        <f>AE92+AF92</f>
        <v/>
      </c>
      <c r="AH92" s="19">
        <f>MAX('Loan Tape (BoE)'!AC93,'Loan Tape (BoE)'!AD93)</f>
        <v/>
      </c>
      <c r="AI92" s="18">
        <f>'Loan Tape (BoE)'!AE93</f>
        <v/>
      </c>
      <c r="AJ92" s="18">
        <f>B92*H92/12</f>
        <v/>
      </c>
      <c r="AK92" s="21">
        <f>IF(AJ92&gt;0,AI92/AJ92,0)</f>
        <v/>
      </c>
      <c r="AL92" s="17">
        <f>IF('Loan Tape (BoE)'!AF93=1,"Yes","No")</f>
        <v/>
      </c>
      <c r="AM92" s="17">
        <f>IF('Loan Tape (BoE)'!AH93=1,"Yes","No")</f>
        <v/>
      </c>
      <c r="AN92" s="17">
        <f>IF('Loan Tape (BoE)'!AI93=1,"Yes","No")</f>
        <v/>
      </c>
      <c r="AO92" s="17">
        <f>IF('Loan Tape (BoE)'!AJ93=1,"Yes","No")</f>
        <v/>
      </c>
      <c r="AP92" s="17">
        <f>IF(OR('Loan Tape (BoE)'!AQ92=1,'Loan Tape (BoE)'!AQ92=2),"Yes",IF('Loan Tape (BoE)'!AQ92=0,"No",""))</f>
        <v/>
      </c>
      <c r="AQ92" s="17">
        <f>IF('Loan Tape (BoE)'!BV49_92&lt;&gt;"",'Loan Tape (BoE)'!BV49_92,"")</f>
        <v/>
      </c>
      <c r="AR92" s="17">
        <f>IF('Loan Tape (BoE)'!BV920_92&lt;&gt;"",'Loan Tape (BoE)'!BV50_92,"")</f>
        <v/>
      </c>
      <c r="AS92" s="17">
        <f>IFERROR(INDEX('FF Adj Parameters'!$A$103:$B$1092,MATCH('Loan Tape (BoE)'!P92,INDEX('FF Adj Parameters'!$A$103:$B$1092,,1),0),2),"Unknown")</f>
        <v/>
      </c>
      <c r="AT92" s="17">
        <f>IF(N92="Interest Only",M5*O5/12,IF(AND(O5&gt;0,ISNUMBER(O5),ISNUMBER(M5)),ABS(PMT(O5/12,AU5,-M5)),0))</f>
        <v/>
      </c>
      <c r="AU92" s="17">
        <f>IF(ISNUMBER(L92),MAX(0,(L5-'Control Panel'!$B$10)*12/365.25),0)</f>
        <v/>
      </c>
      <c r="AV92" s="17">
        <f>IF(ISNUMBER(L92),IF(L5&gt;'Control Panel'!$B$10,"Valid","Past Maturity"),"No Date")</f>
        <v/>
      </c>
      <c r="AW92" s="17">
        <f>IF(ISNUMBER(K92),MAX(0,('Control Panel'!$B$10-K5)*12/365.25),0)</f>
        <v/>
      </c>
    </row>
    <row r="93">
      <c r="A93" s="17">
        <f>'Loan Tape (BoE)'!A94</f>
        <v/>
      </c>
      <c r="B93" s="18">
        <f>IFERROR(INDEX('FF Adj Parameters'!$A$89:$B$92,MATCH('Loan Tape (BoE)'!C93,INDEX('FF Adj Parameters'!$A$89:$B$92,,1),0),2),"Unknown")</f>
        <v/>
      </c>
      <c r="C93" s="18">
        <f>'Loan Tape (BoE)'!C94</f>
        <v/>
      </c>
      <c r="D93" s="18">
        <f>'Loan Tape (BoE)'!D94</f>
        <v/>
      </c>
      <c r="E93" s="18">
        <f>'Loan Tape (BoE)'!E94</f>
        <v/>
      </c>
      <c r="F93" s="19">
        <f>'Loan Tape (BoE)'!F94</f>
        <v/>
      </c>
      <c r="G93" s="19">
        <f>'Loan Tape (BoE)'!G94</f>
        <v/>
      </c>
      <c r="H93" s="20">
        <f>'Loan Tape (BoE)'!H94/100</f>
        <v/>
      </c>
      <c r="I93" s="17">
        <f>IFERROR(IFS('Loan Tape (BoE)'!I94=1,"House",'Loan Tape (BoE)'!I94=2,"Flat",'Loan Tape (BoE)'!I94=3,"Bungalow",'Loan Tape (BoE)'!I94=4,"Maisonette"),"")</f>
        <v/>
      </c>
      <c r="J93" s="17">
        <f>'Loan Tape (BoE)'!J94</f>
        <v/>
      </c>
      <c r="K93" s="17">
        <f>'Loan Tape (BoE)'!K94</f>
        <v/>
      </c>
      <c r="L93" s="17">
        <f>IFERROR(IFS('Loan Tape (BoE)'!L94=1,"Owner Occupied",'Loan Tape (BoE)'!L94=2,"BTL",'Loan Tape (BoE)'!L94=3,"Second Home",'Loan Tape (BoE)'!L94=4,"Investment"),"")</f>
        <v/>
      </c>
      <c r="M93" s="17">
        <f>IFERROR(IFS('Loan Tape (BoE)'!M94=1,"Purchase",'Loan Tape (BoE)'!M94=2,"Remortgage",OR('Loan Tape (BoE)'!M94=3,'Loan Tape (BoE)'!M94=4),"Cash-out"),"")</f>
        <v/>
      </c>
      <c r="N93" s="17">
        <f>IFERROR(INDEX('FF Adj Parameters'!$A$96:$B$99,MATCH('Loan Tape (BoE)'!R93,INDEX('FF Adj Parameters'!$A$96:$B$99,,1),0),2),"Unknown")</f>
        <v/>
      </c>
      <c r="O93" s="17">
        <f>IF('Loan Tape (BoE)'!O94=1,"Yes","No")</f>
        <v/>
      </c>
      <c r="P93" s="17">
        <f>IF('Loan Tape (BoE)'!P93=1,"Yes",IF('Loan Tape (BoE)'!P93=0,"No",""))</f>
        <v/>
      </c>
      <c r="Q93" s="17">
        <f>IF('Loan Tape (BoE)'!Q93=1,"Yes",IF('Loan Tape (BoE)'!Q93=0,"No",""))</f>
        <v/>
      </c>
      <c r="R93" s="18">
        <f>IF('Loan Tape (BoE)'!R93=1,"Yes",IF('Loan Tape (BoE)'!R93=0,"No",""))</f>
        <v/>
      </c>
      <c r="S93" s="18">
        <f>IF('Loan Tape (BoE)'!S93=1,"Yes",IF('Loan Tape (BoE)'!S93=0,"No",""))</f>
        <v/>
      </c>
      <c r="T93" s="17">
        <f>IF('Loan Tape (BoE)'!T93=1,"Yes",IF('Loan Tape (BoE)'!T93=0,"No",""))</f>
        <v/>
      </c>
      <c r="U93" s="18">
        <f>R93+S93</f>
        <v/>
      </c>
      <c r="V93" s="17">
        <f>IFERROR(IFS('Loan Tape (BoE)'!U94=1,"Employed",'Loan Tape (BoE)'!U94=2,"Self-Employed",'Loan Tape (BoE)'!U94=3,"Unemployed",'Loan Tape (BoE)'!U94=4,"Retired"),"")</f>
        <v/>
      </c>
      <c r="W93" s="17">
        <f>IFERROR(IFS('Loan Tape (BoE)'!V94=1,"Employed",'Loan Tape (BoE)'!V94=2,"Self-Employed",'Loan Tape (BoE)'!V94=3,"Unemployed",'Loan Tape (BoE)'!V94=4,"Retired"),"")</f>
        <v/>
      </c>
      <c r="X93" s="17">
        <f>IF(OR(V93="Self-Employed",W93="Self-Employed"),"Yes","No")</f>
        <v/>
      </c>
      <c r="Y93" s="17">
        <f>'Loan Tape (BoE)'!W94</f>
        <v/>
      </c>
      <c r="Z93" s="17">
        <f>'Loan Tape (BoE)'!X94</f>
        <v/>
      </c>
      <c r="AA93" s="17">
        <f>IF(T93=1,Y93,MIN(Y93,Z93))</f>
        <v/>
      </c>
      <c r="AB93" s="17">
        <f>'Loan Tape (BoE)'!Y94</f>
        <v/>
      </c>
      <c r="AC93" s="17">
        <f>'Loan Tape (BoE)'!Z94</f>
        <v/>
      </c>
      <c r="AD93" s="17">
        <f>AB93+AC93</f>
        <v/>
      </c>
      <c r="AE93" s="18">
        <f>'Loan Tape (BoE)'!AA94</f>
        <v/>
      </c>
      <c r="AF93" s="18">
        <f>'Loan Tape (BoE)'!AB94</f>
        <v/>
      </c>
      <c r="AG93" s="18">
        <f>AE93+AF93</f>
        <v/>
      </c>
      <c r="AH93" s="19">
        <f>MAX('Loan Tape (BoE)'!AC94,'Loan Tape (BoE)'!AD94)</f>
        <v/>
      </c>
      <c r="AI93" s="18">
        <f>'Loan Tape (BoE)'!AE94</f>
        <v/>
      </c>
      <c r="AJ93" s="18">
        <f>B93*H93/12</f>
        <v/>
      </c>
      <c r="AK93" s="21">
        <f>IF(AJ93&gt;0,AI93/AJ93,0)</f>
        <v/>
      </c>
      <c r="AL93" s="17">
        <f>IF('Loan Tape (BoE)'!AF94=1,"Yes","No")</f>
        <v/>
      </c>
      <c r="AM93" s="17">
        <f>IF('Loan Tape (BoE)'!AH94=1,"Yes","No")</f>
        <v/>
      </c>
      <c r="AN93" s="17">
        <f>IF('Loan Tape (BoE)'!AI94=1,"Yes","No")</f>
        <v/>
      </c>
      <c r="AO93" s="17">
        <f>IF('Loan Tape (BoE)'!AJ94=1,"Yes","No")</f>
        <v/>
      </c>
      <c r="AP93" s="17">
        <f>IF(OR('Loan Tape (BoE)'!AQ93=1,'Loan Tape (BoE)'!AQ93=2),"Yes",IF('Loan Tape (BoE)'!AQ93=0,"No",""))</f>
        <v/>
      </c>
      <c r="AQ93" s="17">
        <f>IF('Loan Tape (BoE)'!BV49_93&lt;&gt;"",'Loan Tape (BoE)'!BV49_93,"")</f>
        <v/>
      </c>
      <c r="AR93" s="17">
        <f>IF('Loan Tape (BoE)'!BV930_93&lt;&gt;"",'Loan Tape (BoE)'!BV50_93,"")</f>
        <v/>
      </c>
      <c r="AS93" s="17">
        <f>IFERROR(INDEX('FF Adj Parameters'!$A$103:$B$1093,MATCH('Loan Tape (BoE)'!P93,INDEX('FF Adj Parameters'!$A$103:$B$1093,,1),0),2),"Unknown")</f>
        <v/>
      </c>
      <c r="AT93" s="17">
        <f>IF(N93="Interest Only",M5*O5/12,IF(AND(O5&gt;0,ISNUMBER(O5),ISNUMBER(M5)),ABS(PMT(O5/12,AU5,-M5)),0))</f>
        <v/>
      </c>
      <c r="AU93" s="17">
        <f>IF(ISNUMBER(L93),MAX(0,(L5-'Control Panel'!$B$10)*12/365.25),0)</f>
        <v/>
      </c>
      <c r="AV93" s="17">
        <f>IF(ISNUMBER(L93),IF(L5&gt;'Control Panel'!$B$10,"Valid","Past Maturity"),"No Date")</f>
        <v/>
      </c>
      <c r="AW93" s="17">
        <f>IF(ISNUMBER(K93),MAX(0,('Control Panel'!$B$10-K5)*12/365.25),0)</f>
        <v/>
      </c>
    </row>
    <row r="94">
      <c r="A94" s="17">
        <f>'Loan Tape (BoE)'!A95</f>
        <v/>
      </c>
      <c r="B94" s="18">
        <f>IFERROR(INDEX('FF Adj Parameters'!$A$89:$B$92,MATCH('Loan Tape (BoE)'!C94,INDEX('FF Adj Parameters'!$A$89:$B$92,,1),0),2),"Unknown")</f>
        <v/>
      </c>
      <c r="C94" s="18">
        <f>'Loan Tape (BoE)'!C95</f>
        <v/>
      </c>
      <c r="D94" s="18">
        <f>'Loan Tape (BoE)'!D95</f>
        <v/>
      </c>
      <c r="E94" s="18">
        <f>'Loan Tape (BoE)'!E95</f>
        <v/>
      </c>
      <c r="F94" s="19">
        <f>'Loan Tape (BoE)'!F95</f>
        <v/>
      </c>
      <c r="G94" s="19">
        <f>'Loan Tape (BoE)'!G95</f>
        <v/>
      </c>
      <c r="H94" s="20">
        <f>'Loan Tape (BoE)'!H95/100</f>
        <v/>
      </c>
      <c r="I94" s="17">
        <f>IFERROR(IFS('Loan Tape (BoE)'!I95=1,"House",'Loan Tape (BoE)'!I95=2,"Flat",'Loan Tape (BoE)'!I95=3,"Bungalow",'Loan Tape (BoE)'!I95=4,"Maisonette"),"")</f>
        <v/>
      </c>
      <c r="J94" s="17">
        <f>'Loan Tape (BoE)'!J95</f>
        <v/>
      </c>
      <c r="K94" s="17">
        <f>'Loan Tape (BoE)'!K95</f>
        <v/>
      </c>
      <c r="L94" s="17">
        <f>IFERROR(IFS('Loan Tape (BoE)'!L95=1,"Owner Occupied",'Loan Tape (BoE)'!L95=2,"BTL",'Loan Tape (BoE)'!L95=3,"Second Home",'Loan Tape (BoE)'!L95=4,"Investment"),"")</f>
        <v/>
      </c>
      <c r="M94" s="17">
        <f>IFERROR(IFS('Loan Tape (BoE)'!M95=1,"Purchase",'Loan Tape (BoE)'!M95=2,"Remortgage",OR('Loan Tape (BoE)'!M95=3,'Loan Tape (BoE)'!M95=4),"Cash-out"),"")</f>
        <v/>
      </c>
      <c r="N94" s="17">
        <f>IFERROR(INDEX('FF Adj Parameters'!$A$96:$B$99,MATCH('Loan Tape (BoE)'!R94,INDEX('FF Adj Parameters'!$A$96:$B$99,,1),0),2),"Unknown")</f>
        <v/>
      </c>
      <c r="O94" s="17">
        <f>IF('Loan Tape (BoE)'!O95=1,"Yes","No")</f>
        <v/>
      </c>
      <c r="P94" s="17">
        <f>IF('Loan Tape (BoE)'!P94=1,"Yes",IF('Loan Tape (BoE)'!P94=0,"No",""))</f>
        <v/>
      </c>
      <c r="Q94" s="17">
        <f>IF('Loan Tape (BoE)'!Q94=1,"Yes",IF('Loan Tape (BoE)'!Q94=0,"No",""))</f>
        <v/>
      </c>
      <c r="R94" s="18">
        <f>IF('Loan Tape (BoE)'!R94=1,"Yes",IF('Loan Tape (BoE)'!R94=0,"No",""))</f>
        <v/>
      </c>
      <c r="S94" s="18">
        <f>IF('Loan Tape (BoE)'!S94=1,"Yes",IF('Loan Tape (BoE)'!S94=0,"No",""))</f>
        <v/>
      </c>
      <c r="T94" s="17">
        <f>IF('Loan Tape (BoE)'!T94=1,"Yes",IF('Loan Tape (BoE)'!T94=0,"No",""))</f>
        <v/>
      </c>
      <c r="U94" s="18">
        <f>R94+S94</f>
        <v/>
      </c>
      <c r="V94" s="17">
        <f>IFERROR(IFS('Loan Tape (BoE)'!U95=1,"Employed",'Loan Tape (BoE)'!U95=2,"Self-Employed",'Loan Tape (BoE)'!U95=3,"Unemployed",'Loan Tape (BoE)'!U95=4,"Retired"),"")</f>
        <v/>
      </c>
      <c r="W94" s="17">
        <f>IFERROR(IFS('Loan Tape (BoE)'!V95=1,"Employed",'Loan Tape (BoE)'!V95=2,"Self-Employed",'Loan Tape (BoE)'!V95=3,"Unemployed",'Loan Tape (BoE)'!V95=4,"Retired"),"")</f>
        <v/>
      </c>
      <c r="X94" s="17">
        <f>IF(OR(V94="Self-Employed",W94="Self-Employed"),"Yes","No")</f>
        <v/>
      </c>
      <c r="Y94" s="17">
        <f>'Loan Tape (BoE)'!W95</f>
        <v/>
      </c>
      <c r="Z94" s="17">
        <f>'Loan Tape (BoE)'!X95</f>
        <v/>
      </c>
      <c r="AA94" s="17">
        <f>IF(T94=1,Y94,MIN(Y94,Z94))</f>
        <v/>
      </c>
      <c r="AB94" s="17">
        <f>'Loan Tape (BoE)'!Y95</f>
        <v/>
      </c>
      <c r="AC94" s="17">
        <f>'Loan Tape (BoE)'!Z95</f>
        <v/>
      </c>
      <c r="AD94" s="17">
        <f>AB94+AC94</f>
        <v/>
      </c>
      <c r="AE94" s="18">
        <f>'Loan Tape (BoE)'!AA95</f>
        <v/>
      </c>
      <c r="AF94" s="18">
        <f>'Loan Tape (BoE)'!AB95</f>
        <v/>
      </c>
      <c r="AG94" s="18">
        <f>AE94+AF94</f>
        <v/>
      </c>
      <c r="AH94" s="19">
        <f>MAX('Loan Tape (BoE)'!AC95,'Loan Tape (BoE)'!AD95)</f>
        <v/>
      </c>
      <c r="AI94" s="18">
        <f>'Loan Tape (BoE)'!AE95</f>
        <v/>
      </c>
      <c r="AJ94" s="18">
        <f>B94*H94/12</f>
        <v/>
      </c>
      <c r="AK94" s="21">
        <f>IF(AJ94&gt;0,AI94/AJ94,0)</f>
        <v/>
      </c>
      <c r="AL94" s="17">
        <f>IF('Loan Tape (BoE)'!AF95=1,"Yes","No")</f>
        <v/>
      </c>
      <c r="AM94" s="17">
        <f>IF('Loan Tape (BoE)'!AH95=1,"Yes","No")</f>
        <v/>
      </c>
      <c r="AN94" s="17">
        <f>IF('Loan Tape (BoE)'!AI95=1,"Yes","No")</f>
        <v/>
      </c>
      <c r="AO94" s="17">
        <f>IF('Loan Tape (BoE)'!AJ95=1,"Yes","No")</f>
        <v/>
      </c>
      <c r="AP94" s="17">
        <f>IF(OR('Loan Tape (BoE)'!AQ94=1,'Loan Tape (BoE)'!AQ94=2),"Yes",IF('Loan Tape (BoE)'!AQ94=0,"No",""))</f>
        <v/>
      </c>
      <c r="AQ94" s="17">
        <f>IF('Loan Tape (BoE)'!BV49_94&lt;&gt;"",'Loan Tape (BoE)'!BV49_94,"")</f>
        <v/>
      </c>
      <c r="AR94" s="17">
        <f>IF('Loan Tape (BoE)'!BV940_94&lt;&gt;"",'Loan Tape (BoE)'!BV50_94,"")</f>
        <v/>
      </c>
      <c r="AS94" s="17">
        <f>IFERROR(INDEX('FF Adj Parameters'!$A$103:$B$1094,MATCH('Loan Tape (BoE)'!P94,INDEX('FF Adj Parameters'!$A$103:$B$1094,,1),0),2),"Unknown")</f>
        <v/>
      </c>
      <c r="AT94" s="17">
        <f>IF(N94="Interest Only",M5*O5/12,IF(AND(O5&gt;0,ISNUMBER(O5),ISNUMBER(M5)),ABS(PMT(O5/12,AU5,-M5)),0))</f>
        <v/>
      </c>
      <c r="AU94" s="17">
        <f>IF(ISNUMBER(L94),MAX(0,(L5-'Control Panel'!$B$10)*12/365.25),0)</f>
        <v/>
      </c>
      <c r="AV94" s="17">
        <f>IF(ISNUMBER(L94),IF(L5&gt;'Control Panel'!$B$10,"Valid","Past Maturity"),"No Date")</f>
        <v/>
      </c>
      <c r="AW94" s="17">
        <f>IF(ISNUMBER(K94),MAX(0,('Control Panel'!$B$10-K5)*12/365.25),0)</f>
        <v/>
      </c>
    </row>
    <row r="95">
      <c r="A95" s="17">
        <f>'Loan Tape (BoE)'!A96</f>
        <v/>
      </c>
      <c r="B95" s="18">
        <f>IFERROR(INDEX('FF Adj Parameters'!$A$89:$B$92,MATCH('Loan Tape (BoE)'!C95,INDEX('FF Adj Parameters'!$A$89:$B$92,,1),0),2),"Unknown")</f>
        <v/>
      </c>
      <c r="C95" s="18">
        <f>'Loan Tape (BoE)'!C96</f>
        <v/>
      </c>
      <c r="D95" s="18">
        <f>'Loan Tape (BoE)'!D96</f>
        <v/>
      </c>
      <c r="E95" s="18">
        <f>'Loan Tape (BoE)'!E96</f>
        <v/>
      </c>
      <c r="F95" s="19">
        <f>'Loan Tape (BoE)'!F96</f>
        <v/>
      </c>
      <c r="G95" s="19">
        <f>'Loan Tape (BoE)'!G96</f>
        <v/>
      </c>
      <c r="H95" s="20">
        <f>'Loan Tape (BoE)'!H96/100</f>
        <v/>
      </c>
      <c r="I95" s="17">
        <f>IFERROR(IFS('Loan Tape (BoE)'!I96=1,"House",'Loan Tape (BoE)'!I96=2,"Flat",'Loan Tape (BoE)'!I96=3,"Bungalow",'Loan Tape (BoE)'!I96=4,"Maisonette"),"")</f>
        <v/>
      </c>
      <c r="J95" s="17">
        <f>'Loan Tape (BoE)'!J96</f>
        <v/>
      </c>
      <c r="K95" s="17">
        <f>'Loan Tape (BoE)'!K96</f>
        <v/>
      </c>
      <c r="L95" s="17">
        <f>IFERROR(IFS('Loan Tape (BoE)'!L96=1,"Owner Occupied",'Loan Tape (BoE)'!L96=2,"BTL",'Loan Tape (BoE)'!L96=3,"Second Home",'Loan Tape (BoE)'!L96=4,"Investment"),"")</f>
        <v/>
      </c>
      <c r="M95" s="17">
        <f>IFERROR(IFS('Loan Tape (BoE)'!M96=1,"Purchase",'Loan Tape (BoE)'!M96=2,"Remortgage",OR('Loan Tape (BoE)'!M96=3,'Loan Tape (BoE)'!M96=4),"Cash-out"),"")</f>
        <v/>
      </c>
      <c r="N95" s="17">
        <f>IFERROR(INDEX('FF Adj Parameters'!$A$96:$B$99,MATCH('Loan Tape (BoE)'!R95,INDEX('FF Adj Parameters'!$A$96:$B$99,,1),0),2),"Unknown")</f>
        <v/>
      </c>
      <c r="O95" s="17">
        <f>IF('Loan Tape (BoE)'!O96=1,"Yes","No")</f>
        <v/>
      </c>
      <c r="P95" s="17">
        <f>IF('Loan Tape (BoE)'!P95=1,"Yes",IF('Loan Tape (BoE)'!P95=0,"No",""))</f>
        <v/>
      </c>
      <c r="Q95" s="17">
        <f>IF('Loan Tape (BoE)'!Q95=1,"Yes",IF('Loan Tape (BoE)'!Q95=0,"No",""))</f>
        <v/>
      </c>
      <c r="R95" s="18">
        <f>IF('Loan Tape (BoE)'!R95=1,"Yes",IF('Loan Tape (BoE)'!R95=0,"No",""))</f>
        <v/>
      </c>
      <c r="S95" s="18">
        <f>IF('Loan Tape (BoE)'!S95=1,"Yes",IF('Loan Tape (BoE)'!S95=0,"No",""))</f>
        <v/>
      </c>
      <c r="T95" s="17">
        <f>IF('Loan Tape (BoE)'!T95=1,"Yes",IF('Loan Tape (BoE)'!T95=0,"No",""))</f>
        <v/>
      </c>
      <c r="U95" s="18">
        <f>R95+S95</f>
        <v/>
      </c>
      <c r="V95" s="17">
        <f>IFERROR(IFS('Loan Tape (BoE)'!U96=1,"Employed",'Loan Tape (BoE)'!U96=2,"Self-Employed",'Loan Tape (BoE)'!U96=3,"Unemployed",'Loan Tape (BoE)'!U96=4,"Retired"),"")</f>
        <v/>
      </c>
      <c r="W95" s="17">
        <f>IFERROR(IFS('Loan Tape (BoE)'!V96=1,"Employed",'Loan Tape (BoE)'!V96=2,"Self-Employed",'Loan Tape (BoE)'!V96=3,"Unemployed",'Loan Tape (BoE)'!V96=4,"Retired"),"")</f>
        <v/>
      </c>
      <c r="X95" s="17">
        <f>IF(OR(V95="Self-Employed",W95="Self-Employed"),"Yes","No")</f>
        <v/>
      </c>
      <c r="Y95" s="17">
        <f>'Loan Tape (BoE)'!W96</f>
        <v/>
      </c>
      <c r="Z95" s="17">
        <f>'Loan Tape (BoE)'!X96</f>
        <v/>
      </c>
      <c r="AA95" s="17">
        <f>IF(T95=1,Y95,MIN(Y95,Z95))</f>
        <v/>
      </c>
      <c r="AB95" s="17">
        <f>'Loan Tape (BoE)'!Y96</f>
        <v/>
      </c>
      <c r="AC95" s="17">
        <f>'Loan Tape (BoE)'!Z96</f>
        <v/>
      </c>
      <c r="AD95" s="17">
        <f>AB95+AC95</f>
        <v/>
      </c>
      <c r="AE95" s="18">
        <f>'Loan Tape (BoE)'!AA96</f>
        <v/>
      </c>
      <c r="AF95" s="18">
        <f>'Loan Tape (BoE)'!AB96</f>
        <v/>
      </c>
      <c r="AG95" s="18">
        <f>AE95+AF95</f>
        <v/>
      </c>
      <c r="AH95" s="19">
        <f>MAX('Loan Tape (BoE)'!AC96,'Loan Tape (BoE)'!AD96)</f>
        <v/>
      </c>
      <c r="AI95" s="18">
        <f>'Loan Tape (BoE)'!AE96</f>
        <v/>
      </c>
      <c r="AJ95" s="18">
        <f>B95*H95/12</f>
        <v/>
      </c>
      <c r="AK95" s="21">
        <f>IF(AJ95&gt;0,AI95/AJ95,0)</f>
        <v/>
      </c>
      <c r="AL95" s="17">
        <f>IF('Loan Tape (BoE)'!AF96=1,"Yes","No")</f>
        <v/>
      </c>
      <c r="AM95" s="17">
        <f>IF('Loan Tape (BoE)'!AH96=1,"Yes","No")</f>
        <v/>
      </c>
      <c r="AN95" s="17">
        <f>IF('Loan Tape (BoE)'!AI96=1,"Yes","No")</f>
        <v/>
      </c>
      <c r="AO95" s="17">
        <f>IF('Loan Tape (BoE)'!AJ96=1,"Yes","No")</f>
        <v/>
      </c>
      <c r="AP95" s="17">
        <f>IF(OR('Loan Tape (BoE)'!AQ95=1,'Loan Tape (BoE)'!AQ95=2),"Yes",IF('Loan Tape (BoE)'!AQ95=0,"No",""))</f>
        <v/>
      </c>
      <c r="AQ95" s="17">
        <f>IF('Loan Tape (BoE)'!BV49_995&lt;&gt;"",'Loan Tape (BoE)'!BV49_95,"")</f>
        <v/>
      </c>
      <c r="AR95" s="17">
        <f>IF('Loan Tape (BoE)'!BV950_95&lt;&gt;"",'Loan Tape (BoE)'!BV50_95,"")</f>
        <v/>
      </c>
      <c r="AS95" s="17">
        <f>IFERROR(INDEX('FF Adj Parameters'!$A$103:$B$1095,MATCH('Loan Tape (BoE)'!P95,INDEX('FF Adj Parameters'!$A$103:$B$1095,,1),0),2),"Unknown")</f>
        <v/>
      </c>
      <c r="AT95" s="17">
        <f>IF(N95="Interest Only",M5*O5/12,IF(AND(O5&gt;0,ISNUMBER(O5),ISNUMBER(M5)),ABS(PMT(O5/12,AU5,-M5)),0))</f>
        <v/>
      </c>
      <c r="AU95" s="17">
        <f>IF(ISNUMBER(L95),MAX(0,(L5-'Control Panel'!$B$10)*12/365.25),0)</f>
        <v/>
      </c>
      <c r="AV95" s="17">
        <f>IF(ISNUMBER(L95),IF(L5&gt;'Control Panel'!$B$10,"Valid","Past Maturity"),"No Date")</f>
        <v/>
      </c>
      <c r="AW95" s="17">
        <f>IF(ISNUMBER(K95),MAX(0,('Control Panel'!$B$10-K5)*12/365.25),0)</f>
        <v/>
      </c>
    </row>
    <row r="96">
      <c r="A96" s="17">
        <f>'Loan Tape (BoE)'!A97</f>
        <v/>
      </c>
      <c r="B96" s="18">
        <f>IFERROR(INDEX('FF Adj Parameters'!$A$89:$B$92,MATCH('Loan Tape (BoE)'!C96,INDEX('FF Adj Parameters'!$A$89:$B$92,,1),0),2),"Unknown")</f>
        <v/>
      </c>
      <c r="C96" s="18">
        <f>'Loan Tape (BoE)'!C97</f>
        <v/>
      </c>
      <c r="D96" s="18">
        <f>'Loan Tape (BoE)'!D97</f>
        <v/>
      </c>
      <c r="E96" s="18">
        <f>'Loan Tape (BoE)'!E97</f>
        <v/>
      </c>
      <c r="F96" s="19">
        <f>'Loan Tape (BoE)'!F97</f>
        <v/>
      </c>
      <c r="G96" s="19">
        <f>'Loan Tape (BoE)'!G97</f>
        <v/>
      </c>
      <c r="H96" s="20">
        <f>'Loan Tape (BoE)'!H97/100</f>
        <v/>
      </c>
      <c r="I96" s="17">
        <f>IFERROR(IFS('Loan Tape (BoE)'!I97=1,"House",'Loan Tape (BoE)'!I97=2,"Flat",'Loan Tape (BoE)'!I97=3,"Bungalow",'Loan Tape (BoE)'!I97=4,"Maisonette"),"")</f>
        <v/>
      </c>
      <c r="J96" s="17">
        <f>'Loan Tape (BoE)'!J97</f>
        <v/>
      </c>
      <c r="K96" s="17">
        <f>'Loan Tape (BoE)'!K97</f>
        <v/>
      </c>
      <c r="L96" s="17">
        <f>IFERROR(IFS('Loan Tape (BoE)'!L97=1,"Owner Occupied",'Loan Tape (BoE)'!L97=2,"BTL",'Loan Tape (BoE)'!L97=3,"Second Home",'Loan Tape (BoE)'!L97=4,"Investment"),"")</f>
        <v/>
      </c>
      <c r="M96" s="17">
        <f>IFERROR(IFS('Loan Tape (BoE)'!M97=1,"Purchase",'Loan Tape (BoE)'!M97=2,"Remortgage",OR('Loan Tape (BoE)'!M97=3,'Loan Tape (BoE)'!M97=4),"Cash-out"),"")</f>
        <v/>
      </c>
      <c r="N96" s="17">
        <f>IFERROR(INDEX('FF Adj Parameters'!$A$96:$B$99,MATCH('Loan Tape (BoE)'!R96,INDEX('FF Adj Parameters'!$A$96:$B$99,,1),0),2),"Unknown")</f>
        <v/>
      </c>
      <c r="O96" s="17">
        <f>IF('Loan Tape (BoE)'!O97=1,"Yes","No")</f>
        <v/>
      </c>
      <c r="P96" s="17">
        <f>IF('Loan Tape (BoE)'!P96=1,"Yes",IF('Loan Tape (BoE)'!P96=0,"No",""))</f>
        <v/>
      </c>
      <c r="Q96" s="17">
        <f>IF('Loan Tape (BoE)'!Q96=1,"Yes",IF('Loan Tape (BoE)'!Q96=0,"No",""))</f>
        <v/>
      </c>
      <c r="R96" s="18">
        <f>IF('Loan Tape (BoE)'!R96=1,"Yes",IF('Loan Tape (BoE)'!R96=0,"No",""))</f>
        <v/>
      </c>
      <c r="S96" s="18">
        <f>IF('Loan Tape (BoE)'!S96=1,"Yes",IF('Loan Tape (BoE)'!S96=0,"No",""))</f>
        <v/>
      </c>
      <c r="T96" s="17">
        <f>IF('Loan Tape (BoE)'!T96=1,"Yes",IF('Loan Tape (BoE)'!T96=0,"No",""))</f>
        <v/>
      </c>
      <c r="U96" s="18">
        <f>R96+S96</f>
        <v/>
      </c>
      <c r="V96" s="17">
        <f>IFERROR(IFS('Loan Tape (BoE)'!U97=1,"Employed",'Loan Tape (BoE)'!U97=2,"Self-Employed",'Loan Tape (BoE)'!U97=3,"Unemployed",'Loan Tape (BoE)'!U97=4,"Retired"),"")</f>
        <v/>
      </c>
      <c r="W96" s="17">
        <f>IFERROR(IFS('Loan Tape (BoE)'!V97=1,"Employed",'Loan Tape (BoE)'!V97=2,"Self-Employed",'Loan Tape (BoE)'!V97=3,"Unemployed",'Loan Tape (BoE)'!V97=4,"Retired"),"")</f>
        <v/>
      </c>
      <c r="X96" s="17">
        <f>IF(OR(V96="Self-Employed",W96="Self-Employed"),"Yes","No")</f>
        <v/>
      </c>
      <c r="Y96" s="17">
        <f>'Loan Tape (BoE)'!W97</f>
        <v/>
      </c>
      <c r="Z96" s="17">
        <f>'Loan Tape (BoE)'!X97</f>
        <v/>
      </c>
      <c r="AA96" s="17">
        <f>IF(T96=1,Y96,MIN(Y96,Z96))</f>
        <v/>
      </c>
      <c r="AB96" s="17">
        <f>'Loan Tape (BoE)'!Y97</f>
        <v/>
      </c>
      <c r="AC96" s="17">
        <f>'Loan Tape (BoE)'!Z97</f>
        <v/>
      </c>
      <c r="AD96" s="17">
        <f>AB96+AC96</f>
        <v/>
      </c>
      <c r="AE96" s="18">
        <f>'Loan Tape (BoE)'!AA97</f>
        <v/>
      </c>
      <c r="AF96" s="18">
        <f>'Loan Tape (BoE)'!AB97</f>
        <v/>
      </c>
      <c r="AG96" s="18">
        <f>AE96+AF96</f>
        <v/>
      </c>
      <c r="AH96" s="19">
        <f>MAX('Loan Tape (BoE)'!AC97,'Loan Tape (BoE)'!AD97)</f>
        <v/>
      </c>
      <c r="AI96" s="18">
        <f>'Loan Tape (BoE)'!AE97</f>
        <v/>
      </c>
      <c r="AJ96" s="18">
        <f>B96*H96/12</f>
        <v/>
      </c>
      <c r="AK96" s="21">
        <f>IF(AJ96&gt;0,AI96/AJ96,0)</f>
        <v/>
      </c>
      <c r="AL96" s="17">
        <f>IF('Loan Tape (BoE)'!AF97=1,"Yes","No")</f>
        <v/>
      </c>
      <c r="AM96" s="17">
        <f>IF('Loan Tape (BoE)'!AH97=1,"Yes","No")</f>
        <v/>
      </c>
      <c r="AN96" s="17">
        <f>IF('Loan Tape (BoE)'!AI97=1,"Yes","No")</f>
        <v/>
      </c>
      <c r="AO96" s="17">
        <f>IF('Loan Tape (BoE)'!AJ97=1,"Yes","No")</f>
        <v/>
      </c>
      <c r="AP96" s="17">
        <f>IF(OR('Loan Tape (BoE)'!AQ96=1,'Loan Tape (BoE)'!AQ96=2),"Yes",IF('Loan Tape (BoE)'!AQ96=0,"No",""))</f>
        <v/>
      </c>
      <c r="AQ96" s="17">
        <f>IF('Loan Tape (BoE)'!BV49_96&lt;&gt;"",'Loan Tape (BoE)'!BV49_96,"")</f>
        <v/>
      </c>
      <c r="AR96" s="17">
        <f>IF('Loan Tape (BoE)'!BV960_96&lt;&gt;"",'Loan Tape (BoE)'!BV50_96,"")</f>
        <v/>
      </c>
      <c r="AS96" s="17">
        <f>IFERROR(INDEX('FF Adj Parameters'!$A$103:$B$1096,MATCH('Loan Tape (BoE)'!P96,INDEX('FF Adj Parameters'!$A$103:$B$1096,,1),0),2),"Unknown")</f>
        <v/>
      </c>
      <c r="AT96" s="17">
        <f>IF(N96="Interest Only",M5*O5/12,IF(AND(O5&gt;0,ISNUMBER(O5),ISNUMBER(M5)),ABS(PMT(O5/12,AU5,-M5)),0))</f>
        <v/>
      </c>
      <c r="AU96" s="17">
        <f>IF(ISNUMBER(L96),MAX(0,(L5-'Control Panel'!$B$10)*12/365.25),0)</f>
        <v/>
      </c>
      <c r="AV96" s="17">
        <f>IF(ISNUMBER(L96),IF(L5&gt;'Control Panel'!$B$10,"Valid","Past Maturity"),"No Date")</f>
        <v/>
      </c>
      <c r="AW96" s="17">
        <f>IF(ISNUMBER(K96),MAX(0,('Control Panel'!$B$10-K5)*12/365.25),0)</f>
        <v/>
      </c>
    </row>
    <row r="97">
      <c r="A97" s="17">
        <f>'Loan Tape (BoE)'!A98</f>
        <v/>
      </c>
      <c r="B97" s="18">
        <f>IFERROR(INDEX('FF Adj Parameters'!$A$89:$B$92,MATCH('Loan Tape (BoE)'!C97,INDEX('FF Adj Parameters'!$A$89:$B$92,,1),0),2),"Unknown")</f>
        <v/>
      </c>
      <c r="C97" s="18">
        <f>'Loan Tape (BoE)'!C98</f>
        <v/>
      </c>
      <c r="D97" s="18">
        <f>'Loan Tape (BoE)'!D98</f>
        <v/>
      </c>
      <c r="E97" s="18">
        <f>'Loan Tape (BoE)'!E98</f>
        <v/>
      </c>
      <c r="F97" s="19">
        <f>'Loan Tape (BoE)'!F98</f>
        <v/>
      </c>
      <c r="G97" s="19">
        <f>'Loan Tape (BoE)'!G98</f>
        <v/>
      </c>
      <c r="H97" s="20">
        <f>'Loan Tape (BoE)'!H98/100</f>
        <v/>
      </c>
      <c r="I97" s="17">
        <f>IFERROR(IFS('Loan Tape (BoE)'!I98=1,"House",'Loan Tape (BoE)'!I98=2,"Flat",'Loan Tape (BoE)'!I98=3,"Bungalow",'Loan Tape (BoE)'!I98=4,"Maisonette"),"")</f>
        <v/>
      </c>
      <c r="J97" s="17">
        <f>'Loan Tape (BoE)'!J98</f>
        <v/>
      </c>
      <c r="K97" s="17">
        <f>'Loan Tape (BoE)'!K98</f>
        <v/>
      </c>
      <c r="L97" s="17">
        <f>IFERROR(IFS('Loan Tape (BoE)'!L98=1,"Owner Occupied",'Loan Tape (BoE)'!L98=2,"BTL",'Loan Tape (BoE)'!L98=3,"Second Home",'Loan Tape (BoE)'!L98=4,"Investment"),"")</f>
        <v/>
      </c>
      <c r="M97" s="17">
        <f>IFERROR(IFS('Loan Tape (BoE)'!M98=1,"Purchase",'Loan Tape (BoE)'!M98=2,"Remortgage",OR('Loan Tape (BoE)'!M98=3,'Loan Tape (BoE)'!M98=4),"Cash-out"),"")</f>
        <v/>
      </c>
      <c r="N97" s="17">
        <f>IFERROR(INDEX('FF Adj Parameters'!$A$96:$B$99,MATCH('Loan Tape (BoE)'!R97,INDEX('FF Adj Parameters'!$A$96:$B$99,,1),0),2),"Unknown")</f>
        <v/>
      </c>
      <c r="O97" s="17">
        <f>IF('Loan Tape (BoE)'!O98=1,"Yes","No")</f>
        <v/>
      </c>
      <c r="P97" s="17">
        <f>IF('Loan Tape (BoE)'!P97=1,"Yes",IF('Loan Tape (BoE)'!P97=0,"No",""))</f>
        <v/>
      </c>
      <c r="Q97" s="17">
        <f>IF('Loan Tape (BoE)'!Q97=1,"Yes",IF('Loan Tape (BoE)'!Q97=0,"No",""))</f>
        <v/>
      </c>
      <c r="R97" s="18">
        <f>IF('Loan Tape (BoE)'!R97=1,"Yes",IF('Loan Tape (BoE)'!R97=0,"No",""))</f>
        <v/>
      </c>
      <c r="S97" s="18">
        <f>IF('Loan Tape (BoE)'!S97=1,"Yes",IF('Loan Tape (BoE)'!S97=0,"No",""))</f>
        <v/>
      </c>
      <c r="T97" s="17">
        <f>IF('Loan Tape (BoE)'!T97=1,"Yes",IF('Loan Tape (BoE)'!T97=0,"No",""))</f>
        <v/>
      </c>
      <c r="U97" s="18">
        <f>R97+S97</f>
        <v/>
      </c>
      <c r="V97" s="17">
        <f>IFERROR(IFS('Loan Tape (BoE)'!U98=1,"Employed",'Loan Tape (BoE)'!U98=2,"Self-Employed",'Loan Tape (BoE)'!U98=3,"Unemployed",'Loan Tape (BoE)'!U98=4,"Retired"),"")</f>
        <v/>
      </c>
      <c r="W97" s="17">
        <f>IFERROR(IFS('Loan Tape (BoE)'!V98=1,"Employed",'Loan Tape (BoE)'!V98=2,"Self-Employed",'Loan Tape (BoE)'!V98=3,"Unemployed",'Loan Tape (BoE)'!V98=4,"Retired"),"")</f>
        <v/>
      </c>
      <c r="X97" s="17">
        <f>IF(OR(V97="Self-Employed",W97="Self-Employed"),"Yes","No")</f>
        <v/>
      </c>
      <c r="Y97" s="17">
        <f>'Loan Tape (BoE)'!W98</f>
        <v/>
      </c>
      <c r="Z97" s="17">
        <f>'Loan Tape (BoE)'!X98</f>
        <v/>
      </c>
      <c r="AA97" s="17">
        <f>IF(T97=1,Y97,MIN(Y97,Z97))</f>
        <v/>
      </c>
      <c r="AB97" s="17">
        <f>'Loan Tape (BoE)'!Y98</f>
        <v/>
      </c>
      <c r="AC97" s="17">
        <f>'Loan Tape (BoE)'!Z98</f>
        <v/>
      </c>
      <c r="AD97" s="17">
        <f>AB97+AC97</f>
        <v/>
      </c>
      <c r="AE97" s="18">
        <f>'Loan Tape (BoE)'!AA98</f>
        <v/>
      </c>
      <c r="AF97" s="18">
        <f>'Loan Tape (BoE)'!AB98</f>
        <v/>
      </c>
      <c r="AG97" s="18">
        <f>AE97+AF97</f>
        <v/>
      </c>
      <c r="AH97" s="19">
        <f>MAX('Loan Tape (BoE)'!AC98,'Loan Tape (BoE)'!AD98)</f>
        <v/>
      </c>
      <c r="AI97" s="18">
        <f>'Loan Tape (BoE)'!AE98</f>
        <v/>
      </c>
      <c r="AJ97" s="18">
        <f>B97*H97/12</f>
        <v/>
      </c>
      <c r="AK97" s="21">
        <f>IF(AJ97&gt;0,AI97/AJ97,0)</f>
        <v/>
      </c>
      <c r="AL97" s="17">
        <f>IF('Loan Tape (BoE)'!AF98=1,"Yes","No")</f>
        <v/>
      </c>
      <c r="AM97" s="17">
        <f>IF('Loan Tape (BoE)'!AH98=1,"Yes","No")</f>
        <v/>
      </c>
      <c r="AN97" s="17">
        <f>IF('Loan Tape (BoE)'!AI98=1,"Yes","No")</f>
        <v/>
      </c>
      <c r="AO97" s="17">
        <f>IF('Loan Tape (BoE)'!AJ98=1,"Yes","No")</f>
        <v/>
      </c>
      <c r="AP97" s="17">
        <f>IF(OR('Loan Tape (BoE)'!AQ97=1,'Loan Tape (BoE)'!AQ97=2),"Yes",IF('Loan Tape (BoE)'!AQ97=0,"No",""))</f>
        <v/>
      </c>
      <c r="AQ97" s="17">
        <f>IF('Loan Tape (BoE)'!BV49_97&lt;&gt;"",'Loan Tape (BoE)'!BV49_97,"")</f>
        <v/>
      </c>
      <c r="AR97" s="17">
        <f>IF('Loan Tape (BoE)'!BV970_97&lt;&gt;"",'Loan Tape (BoE)'!BV50_97,"")</f>
        <v/>
      </c>
      <c r="AS97" s="17">
        <f>IFERROR(INDEX('FF Adj Parameters'!$A$103:$B$1097,MATCH('Loan Tape (BoE)'!P97,INDEX('FF Adj Parameters'!$A$103:$B$1097,,1),0),2),"Unknown")</f>
        <v/>
      </c>
      <c r="AT97" s="17">
        <f>IF(N97="Interest Only",M5*O5/12,IF(AND(O5&gt;0,ISNUMBER(O5),ISNUMBER(M5)),ABS(PMT(O5/12,AU5,-M5)),0))</f>
        <v/>
      </c>
      <c r="AU97" s="17">
        <f>IF(ISNUMBER(L97),MAX(0,(L5-'Control Panel'!$B$10)*12/365.25),0)</f>
        <v/>
      </c>
      <c r="AV97" s="17">
        <f>IF(ISNUMBER(L97),IF(L5&gt;'Control Panel'!$B$10,"Valid","Past Maturity"),"No Date")</f>
        <v/>
      </c>
      <c r="AW97" s="17">
        <f>IF(ISNUMBER(K97),MAX(0,('Control Panel'!$B$10-K5)*12/365.25),0)</f>
        <v/>
      </c>
    </row>
    <row r="98">
      <c r="A98" s="17">
        <f>'Loan Tape (BoE)'!A99</f>
        <v/>
      </c>
      <c r="B98" s="18">
        <f>IFERROR(INDEX('FF Adj Parameters'!$A$89:$B$92,MATCH('Loan Tape (BoE)'!C98,INDEX('FF Adj Parameters'!$A$89:$B$92,,1),0),2),"Unknown")</f>
        <v/>
      </c>
      <c r="C98" s="18">
        <f>'Loan Tape (BoE)'!C99</f>
        <v/>
      </c>
      <c r="D98" s="18">
        <f>'Loan Tape (BoE)'!D99</f>
        <v/>
      </c>
      <c r="E98" s="18">
        <f>'Loan Tape (BoE)'!E99</f>
        <v/>
      </c>
      <c r="F98" s="19">
        <f>'Loan Tape (BoE)'!F99</f>
        <v/>
      </c>
      <c r="G98" s="19">
        <f>'Loan Tape (BoE)'!G99</f>
        <v/>
      </c>
      <c r="H98" s="20">
        <f>'Loan Tape (BoE)'!H99/100</f>
        <v/>
      </c>
      <c r="I98" s="17">
        <f>IFERROR(IFS('Loan Tape (BoE)'!I99=1,"House",'Loan Tape (BoE)'!I99=2,"Flat",'Loan Tape (BoE)'!I99=3,"Bungalow",'Loan Tape (BoE)'!I99=4,"Maisonette"),"")</f>
        <v/>
      </c>
      <c r="J98" s="17">
        <f>'Loan Tape (BoE)'!J99</f>
        <v/>
      </c>
      <c r="K98" s="17">
        <f>'Loan Tape (BoE)'!K99</f>
        <v/>
      </c>
      <c r="L98" s="17">
        <f>IFERROR(IFS('Loan Tape (BoE)'!L99=1,"Owner Occupied",'Loan Tape (BoE)'!L99=2,"BTL",'Loan Tape (BoE)'!L99=3,"Second Home",'Loan Tape (BoE)'!L99=4,"Investment"),"")</f>
        <v/>
      </c>
      <c r="M98" s="17">
        <f>IFERROR(IFS('Loan Tape (BoE)'!M99=1,"Purchase",'Loan Tape (BoE)'!M99=2,"Remortgage",OR('Loan Tape (BoE)'!M99=3,'Loan Tape (BoE)'!M99=4),"Cash-out"),"")</f>
        <v/>
      </c>
      <c r="N98" s="17">
        <f>IFERROR(INDEX('FF Adj Parameters'!$A$96:$B$99,MATCH('Loan Tape (BoE)'!R98,INDEX('FF Adj Parameters'!$A$96:$B$99,,1),0),2),"Unknown")</f>
        <v/>
      </c>
      <c r="O98" s="17">
        <f>IF('Loan Tape (BoE)'!O99=1,"Yes","No")</f>
        <v/>
      </c>
      <c r="P98" s="17">
        <f>IF('Loan Tape (BoE)'!P98=1,"Yes",IF('Loan Tape (BoE)'!P98=0,"No",""))</f>
        <v/>
      </c>
      <c r="Q98" s="17">
        <f>IF('Loan Tape (BoE)'!Q98=1,"Yes",IF('Loan Tape (BoE)'!Q98=0,"No",""))</f>
        <v/>
      </c>
      <c r="R98" s="18">
        <f>IF('Loan Tape (BoE)'!R98=1,"Yes",IF('Loan Tape (BoE)'!R98=0,"No",""))</f>
        <v/>
      </c>
      <c r="S98" s="18">
        <f>IF('Loan Tape (BoE)'!S98=1,"Yes",IF('Loan Tape (BoE)'!S98=0,"No",""))</f>
        <v/>
      </c>
      <c r="T98" s="17">
        <f>IF('Loan Tape (BoE)'!T98=1,"Yes",IF('Loan Tape (BoE)'!T98=0,"No",""))</f>
        <v/>
      </c>
      <c r="U98" s="18">
        <f>R98+S98</f>
        <v/>
      </c>
      <c r="V98" s="17">
        <f>IFERROR(IFS('Loan Tape (BoE)'!U99=1,"Employed",'Loan Tape (BoE)'!U99=2,"Self-Employed",'Loan Tape (BoE)'!U99=3,"Unemployed",'Loan Tape (BoE)'!U99=4,"Retired"),"")</f>
        <v/>
      </c>
      <c r="W98" s="17">
        <f>IFERROR(IFS('Loan Tape (BoE)'!V99=1,"Employed",'Loan Tape (BoE)'!V99=2,"Self-Employed",'Loan Tape (BoE)'!V99=3,"Unemployed",'Loan Tape (BoE)'!V99=4,"Retired"),"")</f>
        <v/>
      </c>
      <c r="X98" s="17">
        <f>IF(OR(V98="Self-Employed",W98="Self-Employed"),"Yes","No")</f>
        <v/>
      </c>
      <c r="Y98" s="17">
        <f>'Loan Tape (BoE)'!W99</f>
        <v/>
      </c>
      <c r="Z98" s="17">
        <f>'Loan Tape (BoE)'!X99</f>
        <v/>
      </c>
      <c r="AA98" s="17">
        <f>IF(T98=1,Y98,MIN(Y98,Z98))</f>
        <v/>
      </c>
      <c r="AB98" s="17">
        <f>'Loan Tape (BoE)'!Y99</f>
        <v/>
      </c>
      <c r="AC98" s="17">
        <f>'Loan Tape (BoE)'!Z99</f>
        <v/>
      </c>
      <c r="AD98" s="17">
        <f>AB98+AC98</f>
        <v/>
      </c>
      <c r="AE98" s="18">
        <f>'Loan Tape (BoE)'!AA99</f>
        <v/>
      </c>
      <c r="AF98" s="18">
        <f>'Loan Tape (BoE)'!AB99</f>
        <v/>
      </c>
      <c r="AG98" s="18">
        <f>AE98+AF98</f>
        <v/>
      </c>
      <c r="AH98" s="19">
        <f>MAX('Loan Tape (BoE)'!AC99,'Loan Tape (BoE)'!AD99)</f>
        <v/>
      </c>
      <c r="AI98" s="18">
        <f>'Loan Tape (BoE)'!AE99</f>
        <v/>
      </c>
      <c r="AJ98" s="18">
        <f>B98*H98/12</f>
        <v/>
      </c>
      <c r="AK98" s="21">
        <f>IF(AJ98&gt;0,AI98/AJ98,0)</f>
        <v/>
      </c>
      <c r="AL98" s="17">
        <f>IF('Loan Tape (BoE)'!AF99=1,"Yes","No")</f>
        <v/>
      </c>
      <c r="AM98" s="17">
        <f>IF('Loan Tape (BoE)'!AH99=1,"Yes","No")</f>
        <v/>
      </c>
      <c r="AN98" s="17">
        <f>IF('Loan Tape (BoE)'!AI99=1,"Yes","No")</f>
        <v/>
      </c>
      <c r="AO98" s="17">
        <f>IF('Loan Tape (BoE)'!AJ99=1,"Yes","No")</f>
        <v/>
      </c>
      <c r="AP98" s="17">
        <f>IF(OR('Loan Tape (BoE)'!AQ98=1,'Loan Tape (BoE)'!AQ98=2),"Yes",IF('Loan Tape (BoE)'!AQ98=0,"No",""))</f>
        <v/>
      </c>
      <c r="AQ98" s="17">
        <f>IF('Loan Tape (BoE)'!BV49_98&lt;&gt;"",'Loan Tape (BoE)'!BV49_98,"")</f>
        <v/>
      </c>
      <c r="AR98" s="17">
        <f>IF('Loan Tape (BoE)'!BV980_98&lt;&gt;"",'Loan Tape (BoE)'!BV50_98,"")</f>
        <v/>
      </c>
      <c r="AS98" s="17">
        <f>IFERROR(INDEX('FF Adj Parameters'!$A$103:$B$1098,MATCH('Loan Tape (BoE)'!P98,INDEX('FF Adj Parameters'!$A$103:$B$1098,,1),0),2),"Unknown")</f>
        <v/>
      </c>
      <c r="AT98" s="17">
        <f>IF(N98="Interest Only",M5*O5/12,IF(AND(O5&gt;0,ISNUMBER(O5),ISNUMBER(M5)),ABS(PMT(O5/12,AU5,-M5)),0))</f>
        <v/>
      </c>
      <c r="AU98" s="17">
        <f>IF(ISNUMBER(L98),MAX(0,(L5-'Control Panel'!$B$10)*12/365.25),0)</f>
        <v/>
      </c>
      <c r="AV98" s="17">
        <f>IF(ISNUMBER(L98),IF(L5&gt;'Control Panel'!$B$10,"Valid","Past Maturity"),"No Date")</f>
        <v/>
      </c>
      <c r="AW98" s="17">
        <f>IF(ISNUMBER(K98),MAX(0,('Control Panel'!$B$10-K5)*12/365.25),0)</f>
        <v/>
      </c>
    </row>
    <row r="99">
      <c r="A99" s="17">
        <f>'Loan Tape (BoE)'!A100</f>
        <v/>
      </c>
      <c r="B99" s="18">
        <f>IFERROR(INDEX('FF Adj Parameters'!$A$89:$B$92,MATCH('Loan Tape (BoE)'!C99,INDEX('FF Adj Parameters'!$A$89:$B$92,,1),0),2),"Unknown")</f>
        <v/>
      </c>
      <c r="C99" s="18">
        <f>'Loan Tape (BoE)'!C100</f>
        <v/>
      </c>
      <c r="D99" s="18">
        <f>'Loan Tape (BoE)'!D100</f>
        <v/>
      </c>
      <c r="E99" s="18">
        <f>'Loan Tape (BoE)'!E100</f>
        <v/>
      </c>
      <c r="F99" s="19">
        <f>'Loan Tape (BoE)'!F100</f>
        <v/>
      </c>
      <c r="G99" s="19">
        <f>'Loan Tape (BoE)'!G100</f>
        <v/>
      </c>
      <c r="H99" s="20">
        <f>'Loan Tape (BoE)'!H100/100</f>
        <v/>
      </c>
      <c r="I99" s="17">
        <f>IFERROR(IFS('Loan Tape (BoE)'!I100=1,"House",'Loan Tape (BoE)'!I100=2,"Flat",'Loan Tape (BoE)'!I100=3,"Bungalow",'Loan Tape (BoE)'!I100=4,"Maisonette"),"")</f>
        <v/>
      </c>
      <c r="J99" s="17">
        <f>'Loan Tape (BoE)'!J100</f>
        <v/>
      </c>
      <c r="K99" s="17">
        <f>'Loan Tape (BoE)'!K100</f>
        <v/>
      </c>
      <c r="L99" s="17">
        <f>IFERROR(IFS('Loan Tape (BoE)'!L100=1,"Owner Occupied",'Loan Tape (BoE)'!L100=2,"BTL",'Loan Tape (BoE)'!L100=3,"Second Home",'Loan Tape (BoE)'!L100=4,"Investment"),"")</f>
        <v/>
      </c>
      <c r="M99" s="17">
        <f>IFERROR(IFS('Loan Tape (BoE)'!M100=1,"Purchase",'Loan Tape (BoE)'!M100=2,"Remortgage",OR('Loan Tape (BoE)'!M100=3,'Loan Tape (BoE)'!M100=4),"Cash-out"),"")</f>
        <v/>
      </c>
      <c r="N99" s="17">
        <f>IFERROR(INDEX('FF Adj Parameters'!$A$96:$B$99,MATCH('Loan Tape (BoE)'!R99,INDEX('FF Adj Parameters'!$A$96:$B$99,,1),0),2),"Unknown")</f>
        <v/>
      </c>
      <c r="O99" s="17">
        <f>IF('Loan Tape (BoE)'!O100=1,"Yes","No")</f>
        <v/>
      </c>
      <c r="P99" s="17">
        <f>IF('Loan Tape (BoE)'!P99=1,"Yes",IF('Loan Tape (BoE)'!P99=0,"No",""))</f>
        <v/>
      </c>
      <c r="Q99" s="17">
        <f>IF('Loan Tape (BoE)'!Q99=1,"Yes",IF('Loan Tape (BoE)'!Q99=0,"No",""))</f>
        <v/>
      </c>
      <c r="R99" s="18">
        <f>IF('Loan Tape (BoE)'!R99=1,"Yes",IF('Loan Tape (BoE)'!R99=0,"No",""))</f>
        <v/>
      </c>
      <c r="S99" s="18">
        <f>IF('Loan Tape (BoE)'!S99=1,"Yes",IF('Loan Tape (BoE)'!S99=0,"No",""))</f>
        <v/>
      </c>
      <c r="T99" s="17">
        <f>IF('Loan Tape (BoE)'!T99=1,"Yes",IF('Loan Tape (BoE)'!T99=0,"No",""))</f>
        <v/>
      </c>
      <c r="U99" s="18">
        <f>R99+S99</f>
        <v/>
      </c>
      <c r="V99" s="17">
        <f>IFERROR(IFS('Loan Tape (BoE)'!U100=1,"Employed",'Loan Tape (BoE)'!U100=2,"Self-Employed",'Loan Tape (BoE)'!U100=3,"Unemployed",'Loan Tape (BoE)'!U100=4,"Retired"),"")</f>
        <v/>
      </c>
      <c r="W99" s="17">
        <f>IFERROR(IFS('Loan Tape (BoE)'!V100=1,"Employed",'Loan Tape (BoE)'!V100=2,"Self-Employed",'Loan Tape (BoE)'!V100=3,"Unemployed",'Loan Tape (BoE)'!V100=4,"Retired"),"")</f>
        <v/>
      </c>
      <c r="X99" s="17">
        <f>IF(OR(V99="Self-Employed",W99="Self-Employed"),"Yes","No")</f>
        <v/>
      </c>
      <c r="Y99" s="17">
        <f>'Loan Tape (BoE)'!W100</f>
        <v/>
      </c>
      <c r="Z99" s="17">
        <f>'Loan Tape (BoE)'!X100</f>
        <v/>
      </c>
      <c r="AA99" s="17">
        <f>IF(T99=1,Y99,MIN(Y99,Z99))</f>
        <v/>
      </c>
      <c r="AB99" s="17">
        <f>'Loan Tape (BoE)'!Y100</f>
        <v/>
      </c>
      <c r="AC99" s="17">
        <f>'Loan Tape (BoE)'!Z100</f>
        <v/>
      </c>
      <c r="AD99" s="17">
        <f>AB99+AC99</f>
        <v/>
      </c>
      <c r="AE99" s="18">
        <f>'Loan Tape (BoE)'!AA100</f>
        <v/>
      </c>
      <c r="AF99" s="18">
        <f>'Loan Tape (BoE)'!AB100</f>
        <v/>
      </c>
      <c r="AG99" s="18">
        <f>AE99+AF99</f>
        <v/>
      </c>
      <c r="AH99" s="19">
        <f>MAX('Loan Tape (BoE)'!AC100,'Loan Tape (BoE)'!AD100)</f>
        <v/>
      </c>
      <c r="AI99" s="18">
        <f>'Loan Tape (BoE)'!AE100</f>
        <v/>
      </c>
      <c r="AJ99" s="18">
        <f>B99*H99/12</f>
        <v/>
      </c>
      <c r="AK99" s="21">
        <f>IF(AJ99&gt;0,AI99/AJ99,0)</f>
        <v/>
      </c>
      <c r="AL99" s="17">
        <f>IF('Loan Tape (BoE)'!AF100=1,"Yes","No")</f>
        <v/>
      </c>
      <c r="AM99" s="17">
        <f>IF('Loan Tape (BoE)'!AH100=1,"Yes","No")</f>
        <v/>
      </c>
      <c r="AN99" s="17">
        <f>IF('Loan Tape (BoE)'!AI100=1,"Yes","No")</f>
        <v/>
      </c>
      <c r="AO99" s="17">
        <f>IF('Loan Tape (BoE)'!AJ100=1,"Yes","No")</f>
        <v/>
      </c>
      <c r="AP99" s="17">
        <f>IF(OR('Loan Tape (BoE)'!AQ99=1,'Loan Tape (BoE)'!AQ99=2),"Yes",IF('Loan Tape (BoE)'!AQ99=0,"No",""))</f>
        <v/>
      </c>
      <c r="AQ99" s="17">
        <f>IF('Loan Tape (BoE)'!BV49_99&lt;&gt;"",'Loan Tape (BoE)'!BV49_99,"")</f>
        <v/>
      </c>
      <c r="AR99" s="17">
        <f>IF('Loan Tape (BoE)'!BV990_99&lt;&gt;"",'Loan Tape (BoE)'!BV50_99,"")</f>
        <v/>
      </c>
      <c r="AS99" s="17">
        <f>IFERROR(INDEX('FF Adj Parameters'!$A$103:$B$1099,MATCH('Loan Tape (BoE)'!P99,INDEX('FF Adj Parameters'!$A$103:$B$1099,,1),0),2),"Unknown")</f>
        <v/>
      </c>
      <c r="AT99" s="17">
        <f>IF(N99="Interest Only",M5*O5/12,IF(AND(O5&gt;0,ISNUMBER(O5),ISNUMBER(M5)),ABS(PMT(O5/12,AU5,-M5)),0))</f>
        <v/>
      </c>
      <c r="AU99" s="17">
        <f>IF(ISNUMBER(L99),MAX(0,(L5-'Control Panel'!$B$10)*12/365.25),0)</f>
        <v/>
      </c>
      <c r="AV99" s="17">
        <f>IF(ISNUMBER(L99),IF(L5&gt;'Control Panel'!$B$10,"Valid","Past Maturity"),"No Date")</f>
        <v/>
      </c>
      <c r="AW99" s="17">
        <f>IF(ISNUMBER(K99),MAX(0,('Control Panel'!$B$10-K5)*12/365.25),0)</f>
        <v/>
      </c>
    </row>
    <row r="100">
      <c r="A100" s="17">
        <f>'Loan Tape (BoE)'!A101</f>
        <v/>
      </c>
      <c r="B100" s="18">
        <f>IFERROR(INDEX('FF Adj Parameters'!$A$89:$B$92,MATCH('Loan Tape (BoE)'!C100,INDEX('FF Adj Parameters'!$A$89:$B$92,,1),0),2),"Unknown")</f>
        <v/>
      </c>
      <c r="C100" s="18">
        <f>'Loan Tape (BoE)'!C101</f>
        <v/>
      </c>
      <c r="D100" s="18">
        <f>'Loan Tape (BoE)'!D101</f>
        <v/>
      </c>
      <c r="E100" s="18">
        <f>'Loan Tape (BoE)'!E101</f>
        <v/>
      </c>
      <c r="F100" s="19">
        <f>'Loan Tape (BoE)'!F101</f>
        <v/>
      </c>
      <c r="G100" s="19">
        <f>'Loan Tape (BoE)'!G101</f>
        <v/>
      </c>
      <c r="H100" s="20">
        <f>'Loan Tape (BoE)'!H101/100</f>
        <v/>
      </c>
      <c r="I100" s="17">
        <f>IFERROR(IFS('Loan Tape (BoE)'!I101=1,"House",'Loan Tape (BoE)'!I101=2,"Flat",'Loan Tape (BoE)'!I101=3,"Bungalow",'Loan Tape (BoE)'!I101=4,"Maisonette"),"")</f>
        <v/>
      </c>
      <c r="J100" s="17">
        <f>'Loan Tape (BoE)'!J101</f>
        <v/>
      </c>
      <c r="K100" s="17">
        <f>'Loan Tape (BoE)'!K101</f>
        <v/>
      </c>
      <c r="L100" s="17">
        <f>IFERROR(IFS('Loan Tape (BoE)'!L101=1,"Owner Occupied",'Loan Tape (BoE)'!L101=2,"BTL",'Loan Tape (BoE)'!L101=3,"Second Home",'Loan Tape (BoE)'!L101=4,"Investment"),"")</f>
        <v/>
      </c>
      <c r="M100" s="17">
        <f>IFERROR(IFS('Loan Tape (BoE)'!M101=1,"Purchase",'Loan Tape (BoE)'!M101=2,"Remortgage",OR('Loan Tape (BoE)'!M101=3,'Loan Tape (BoE)'!M101=4),"Cash-out"),"")</f>
        <v/>
      </c>
      <c r="N100" s="17">
        <f>IFERROR(INDEX('FF Adj Parameters'!$A$96:$B$99,MATCH('Loan Tape (BoE)'!R100,INDEX('FF Adj Parameters'!$A$96:$B$99,,1),0),2),"Unknown")</f>
        <v/>
      </c>
      <c r="O100" s="17">
        <f>IF('Loan Tape (BoE)'!O101=1,"Yes","No")</f>
        <v/>
      </c>
      <c r="P100" s="17">
        <f>IF('Loan Tape (BoE)'!P100=1,"Yes",IF('Loan Tape (BoE)'!P100=0,"No",""))</f>
        <v/>
      </c>
      <c r="Q100" s="17">
        <f>IF('Loan Tape (BoE)'!Q100=1,"Yes",IF('Loan Tape (BoE)'!Q100=0,"No",""))</f>
        <v/>
      </c>
      <c r="R100" s="18">
        <f>IF('Loan Tape (BoE)'!R100=1,"Yes",IF('Loan Tape (BoE)'!R100=0,"No",""))</f>
        <v/>
      </c>
      <c r="S100" s="18">
        <f>IF('Loan Tape (BoE)'!S100=1,"Yes",IF('Loan Tape (BoE)'!S100=0,"No",""))</f>
        <v/>
      </c>
      <c r="T100" s="17">
        <f>IF('Loan Tape (BoE)'!T100=1,"Yes",IF('Loan Tape (BoE)'!T100=0,"No",""))</f>
        <v/>
      </c>
      <c r="U100" s="18">
        <f>R100+S100</f>
        <v/>
      </c>
      <c r="V100" s="17">
        <f>IFERROR(IFS('Loan Tape (BoE)'!U101=1,"Employed",'Loan Tape (BoE)'!U101=2,"Self-Employed",'Loan Tape (BoE)'!U101=3,"Unemployed",'Loan Tape (BoE)'!U101=4,"Retired"),"")</f>
        <v/>
      </c>
      <c r="W100" s="17">
        <f>IFERROR(IFS('Loan Tape (BoE)'!V101=1,"Employed",'Loan Tape (BoE)'!V101=2,"Self-Employed",'Loan Tape (BoE)'!V101=3,"Unemployed",'Loan Tape (BoE)'!V101=4,"Retired"),"")</f>
        <v/>
      </c>
      <c r="X100" s="17">
        <f>IF(OR(V100="Self-Employed",W100="Self-Employed"),"Yes","No")</f>
        <v/>
      </c>
      <c r="Y100" s="17">
        <f>'Loan Tape (BoE)'!W101</f>
        <v/>
      </c>
      <c r="Z100" s="17">
        <f>'Loan Tape (BoE)'!X101</f>
        <v/>
      </c>
      <c r="AA100" s="17">
        <f>IF(T100=1,Y100,MIN(Y100,Z100))</f>
        <v/>
      </c>
      <c r="AB100" s="17">
        <f>'Loan Tape (BoE)'!Y101</f>
        <v/>
      </c>
      <c r="AC100" s="17">
        <f>'Loan Tape (BoE)'!Z101</f>
        <v/>
      </c>
      <c r="AD100" s="17">
        <f>AB100+AC100</f>
        <v/>
      </c>
      <c r="AE100" s="18">
        <f>'Loan Tape (BoE)'!AA101</f>
        <v/>
      </c>
      <c r="AF100" s="18">
        <f>'Loan Tape (BoE)'!AB101</f>
        <v/>
      </c>
      <c r="AG100" s="18">
        <f>AE100+AF100</f>
        <v/>
      </c>
      <c r="AH100" s="19">
        <f>MAX('Loan Tape (BoE)'!AC101,'Loan Tape (BoE)'!AD101)</f>
        <v/>
      </c>
      <c r="AI100" s="18">
        <f>'Loan Tape (BoE)'!AE101</f>
        <v/>
      </c>
      <c r="AJ100" s="18">
        <f>B100*H100/12</f>
        <v/>
      </c>
      <c r="AK100" s="21">
        <f>IF(AJ100&gt;0,AI100/AJ100,0)</f>
        <v/>
      </c>
      <c r="AL100" s="17">
        <f>IF('Loan Tape (BoE)'!AF101=1,"Yes","No")</f>
        <v/>
      </c>
      <c r="AM100" s="17">
        <f>IF('Loan Tape (BoE)'!AH101=1,"Yes","No")</f>
        <v/>
      </c>
      <c r="AN100" s="17">
        <f>IF('Loan Tape (BoE)'!AI101=1,"Yes","No")</f>
        <v/>
      </c>
      <c r="AO100" s="17">
        <f>IF('Loan Tape (BoE)'!AJ101=1,"Yes","No")</f>
        <v/>
      </c>
      <c r="AP100" s="17">
        <f>IF(OR('Loan Tape (BoE)'!AQ100=1,'Loan Tape (BoE)'!AQ100=2),"Yes",IF('Loan Tape (BoE)'!AQ100=0,"No",""))</f>
        <v/>
      </c>
      <c r="AQ100" s="17">
        <f>IF('Loan Tape (BoE)'!BV49_100&lt;&gt;"",'Loan Tape (BoE)'!BV49_100,"")</f>
        <v/>
      </c>
      <c r="AR100" s="17">
        <f>IF('Loan Tape (BoE)'!BV1000_100&lt;&gt;"",'Loan Tape (BoE)'!BV50_100,"")</f>
        <v/>
      </c>
      <c r="AS100" s="17">
        <f>IFERROR(INDEX('FF Adj Parameters'!$A$103:$B$10100,MATCH('Loan Tape (BoE)'!P100,INDEX('FF Adj Parameters'!$A$103:$B$10100,,1),0),2),"Unknown")</f>
        <v/>
      </c>
      <c r="AT100" s="17">
        <f>IF(N100="Interest Only",M5*O5/12,IF(AND(O5&gt;0,ISNUMBER(O5),ISNUMBER(M5)),ABS(PMT(O5/12,AU5,-M5)),0))</f>
        <v/>
      </c>
      <c r="AU100" s="17">
        <f>IF(ISNUMBER(L100),MAX(0,(L5-'Control Panel'!$B$10)*12/365.25),0)</f>
        <v/>
      </c>
      <c r="AV100" s="17">
        <f>IF(ISNUMBER(L100),IF(L5&gt;'Control Panel'!$B$10,"Valid","Past Maturity"),"No Date")</f>
        <v/>
      </c>
      <c r="AW100" s="17">
        <f>IF(ISNUMBER(K100),MAX(0,('Control Panel'!$B$10-K5)*12/365.25),0)</f>
        <v/>
      </c>
    </row>
    <row r="101">
      <c r="A101" s="17">
        <f>'Loan Tape (BoE)'!A102</f>
        <v/>
      </c>
      <c r="B101" s="18">
        <f>IFERROR(INDEX('FF Adj Parameters'!$A$89:$B$92,MATCH('Loan Tape (BoE)'!C101,INDEX('FF Adj Parameters'!$A$89:$B$92,,1),0),2),"Unknown")</f>
        <v/>
      </c>
      <c r="C101" s="18">
        <f>'Loan Tape (BoE)'!C102</f>
        <v/>
      </c>
      <c r="D101" s="18">
        <f>'Loan Tape (BoE)'!D102</f>
        <v/>
      </c>
      <c r="E101" s="18">
        <f>'Loan Tape (BoE)'!E102</f>
        <v/>
      </c>
      <c r="F101" s="19">
        <f>'Loan Tape (BoE)'!F102</f>
        <v/>
      </c>
      <c r="G101" s="19">
        <f>'Loan Tape (BoE)'!G102</f>
        <v/>
      </c>
      <c r="H101" s="20">
        <f>'Loan Tape (BoE)'!H102/100</f>
        <v/>
      </c>
      <c r="I101" s="17">
        <f>IFERROR(IFS('Loan Tape (BoE)'!I102=1,"House",'Loan Tape (BoE)'!I102=2,"Flat",'Loan Tape (BoE)'!I102=3,"Bungalow",'Loan Tape (BoE)'!I102=4,"Maisonette"),"")</f>
        <v/>
      </c>
      <c r="J101" s="17">
        <f>'Loan Tape (BoE)'!J102</f>
        <v/>
      </c>
      <c r="K101" s="17">
        <f>'Loan Tape (BoE)'!K102</f>
        <v/>
      </c>
      <c r="L101" s="17">
        <f>IFERROR(IFS('Loan Tape (BoE)'!L102=1,"Owner Occupied",'Loan Tape (BoE)'!L102=2,"BTL",'Loan Tape (BoE)'!L102=3,"Second Home",'Loan Tape (BoE)'!L102=4,"Investment"),"")</f>
        <v/>
      </c>
      <c r="M101" s="17">
        <f>IFERROR(IFS('Loan Tape (BoE)'!M102=1,"Purchase",'Loan Tape (BoE)'!M102=2,"Remortgage",OR('Loan Tape (BoE)'!M102=3,'Loan Tape (BoE)'!M102=4),"Cash-out"),"")</f>
        <v/>
      </c>
      <c r="N101" s="17">
        <f>IFERROR(INDEX('FF Adj Parameters'!$A$96:$B$99,MATCH('Loan Tape (BoE)'!R101,INDEX('FF Adj Parameters'!$A$96:$B$99,,1),0),2),"Unknown")</f>
        <v/>
      </c>
      <c r="O101" s="17">
        <f>IF('Loan Tape (BoE)'!O102=1,"Yes","No")</f>
        <v/>
      </c>
      <c r="P101" s="17">
        <f>IF('Loan Tape (BoE)'!P101=1,"Yes",IF('Loan Tape (BoE)'!P101=0,"No",""))</f>
        <v/>
      </c>
      <c r="Q101" s="17">
        <f>IF('Loan Tape (BoE)'!Q101=1,"Yes",IF('Loan Tape (BoE)'!Q101=0,"No",""))</f>
        <v/>
      </c>
      <c r="R101" s="18">
        <f>IF('Loan Tape (BoE)'!R101=1,"Yes",IF('Loan Tape (BoE)'!R101=0,"No",""))</f>
        <v/>
      </c>
      <c r="S101" s="18">
        <f>IF('Loan Tape (BoE)'!S101=1,"Yes",IF('Loan Tape (BoE)'!S101=0,"No",""))</f>
        <v/>
      </c>
      <c r="T101" s="17">
        <f>IF('Loan Tape (BoE)'!T101=1,"Yes",IF('Loan Tape (BoE)'!T101=0,"No",""))</f>
        <v/>
      </c>
      <c r="U101" s="18">
        <f>R101+S101</f>
        <v/>
      </c>
      <c r="V101" s="17">
        <f>IFERROR(IFS('Loan Tape (BoE)'!U102=1,"Employed",'Loan Tape (BoE)'!U102=2,"Self-Employed",'Loan Tape (BoE)'!U102=3,"Unemployed",'Loan Tape (BoE)'!U102=4,"Retired"),"")</f>
        <v/>
      </c>
      <c r="W101" s="17">
        <f>IFERROR(IFS('Loan Tape (BoE)'!V102=1,"Employed",'Loan Tape (BoE)'!V102=2,"Self-Employed",'Loan Tape (BoE)'!V102=3,"Unemployed",'Loan Tape (BoE)'!V102=4,"Retired"),"")</f>
        <v/>
      </c>
      <c r="X101" s="17">
        <f>IF(OR(V101="Self-Employed",W101="Self-Employed"),"Yes","No")</f>
        <v/>
      </c>
      <c r="Y101" s="17">
        <f>'Loan Tape (BoE)'!W102</f>
        <v/>
      </c>
      <c r="Z101" s="17">
        <f>'Loan Tape (BoE)'!X102</f>
        <v/>
      </c>
      <c r="AA101" s="17">
        <f>IF(T101=1,Y101,MIN(Y101,Z101))</f>
        <v/>
      </c>
      <c r="AB101" s="17">
        <f>'Loan Tape (BoE)'!Y102</f>
        <v/>
      </c>
      <c r="AC101" s="17">
        <f>'Loan Tape (BoE)'!Z102</f>
        <v/>
      </c>
      <c r="AD101" s="17">
        <f>AB101+AC101</f>
        <v/>
      </c>
      <c r="AE101" s="18">
        <f>'Loan Tape (BoE)'!AA102</f>
        <v/>
      </c>
      <c r="AF101" s="18">
        <f>'Loan Tape (BoE)'!AB102</f>
        <v/>
      </c>
      <c r="AG101" s="18">
        <f>AE101+AF101</f>
        <v/>
      </c>
      <c r="AH101" s="19">
        <f>MAX('Loan Tape (BoE)'!AC102,'Loan Tape (BoE)'!AD102)</f>
        <v/>
      </c>
      <c r="AI101" s="18">
        <f>'Loan Tape (BoE)'!AE102</f>
        <v/>
      </c>
      <c r="AJ101" s="18">
        <f>B101*H101/12</f>
        <v/>
      </c>
      <c r="AK101" s="21">
        <f>IF(AJ101&gt;0,AI101/AJ101,0)</f>
        <v/>
      </c>
      <c r="AL101" s="17">
        <f>IF('Loan Tape (BoE)'!AF102=1,"Yes","No")</f>
        <v/>
      </c>
      <c r="AM101" s="17">
        <f>IF('Loan Tape (BoE)'!AH102=1,"Yes","No")</f>
        <v/>
      </c>
      <c r="AN101" s="17">
        <f>IF('Loan Tape (BoE)'!AI102=1,"Yes","No")</f>
        <v/>
      </c>
      <c r="AO101" s="17">
        <f>IF('Loan Tape (BoE)'!AJ102=1,"Yes","No")</f>
        <v/>
      </c>
      <c r="AP101" s="17">
        <f>IF(OR('Loan Tape (BoE)'!AQ101=1,'Loan Tape (BoE)'!AQ101=2),"Yes",IF('Loan Tape (BoE)'!AQ101=0,"No",""))</f>
        <v/>
      </c>
      <c r="AQ101" s="17">
        <f>IF('Loan Tape (BoE)'!BV49_101&lt;&gt;"",'Loan Tape (BoE)'!BV49_101,"")</f>
        <v/>
      </c>
      <c r="AR101" s="17">
        <f>IF('Loan Tape (BoE)'!BV1010_101&lt;&gt;"",'Loan Tape (BoE)'!BV50_101,"")</f>
        <v/>
      </c>
      <c r="AS101" s="17">
        <f>IFERROR(INDEX('FF Adj Parameters'!$A$103:$B$10101,MATCH('Loan Tape (BoE)'!P101,INDEX('FF Adj Parameters'!$A$103:$B$10101,,1),0),2),"Unknown")</f>
        <v/>
      </c>
      <c r="AT101" s="17">
        <f>IF(N101="Interest Only",M5*O5/12,IF(AND(O5&gt;0,ISNUMBER(O5),ISNUMBER(M5)),ABS(PMT(O5/12,AU5,-M5)),0))</f>
        <v/>
      </c>
      <c r="AU101" s="17">
        <f>IF(ISNUMBER(L101),MAX(0,(L5-'Control Panel'!$B$10)*12/365.25),0)</f>
        <v/>
      </c>
      <c r="AV101" s="17">
        <f>IF(ISNUMBER(L101),IF(L5&gt;'Control Panel'!$B$10,"Valid","Past Maturity"),"No Date")</f>
        <v/>
      </c>
      <c r="AW101" s="17">
        <f>IF(ISNUMBER(K101),MAX(0,('Control Panel'!$B$10-K5)*12/365.25),0)</f>
        <v/>
      </c>
    </row>
    <row r="102">
      <c r="A102" s="17">
        <f>'Loan Tape (BoE)'!A103</f>
        <v/>
      </c>
      <c r="B102" s="18">
        <f>IFERROR(INDEX('FF Adj Parameters'!$A$89:$B$92,MATCH('Loan Tape (BoE)'!C102,INDEX('FF Adj Parameters'!$A$89:$B$92,,1),0),2),"Unknown")</f>
        <v/>
      </c>
      <c r="C102" s="18">
        <f>'Loan Tape (BoE)'!C103</f>
        <v/>
      </c>
      <c r="D102" s="18">
        <f>'Loan Tape (BoE)'!D103</f>
        <v/>
      </c>
      <c r="E102" s="18">
        <f>'Loan Tape (BoE)'!E103</f>
        <v/>
      </c>
      <c r="F102" s="19">
        <f>'Loan Tape (BoE)'!F103</f>
        <v/>
      </c>
      <c r="G102" s="19">
        <f>'Loan Tape (BoE)'!G103</f>
        <v/>
      </c>
      <c r="H102" s="20">
        <f>'Loan Tape (BoE)'!H103/100</f>
        <v/>
      </c>
      <c r="I102" s="17">
        <f>IFERROR(IFS('Loan Tape (BoE)'!I103=1,"House",'Loan Tape (BoE)'!I103=2,"Flat",'Loan Tape (BoE)'!I103=3,"Bungalow",'Loan Tape (BoE)'!I103=4,"Maisonette"),"")</f>
        <v/>
      </c>
      <c r="J102" s="17">
        <f>'Loan Tape (BoE)'!J103</f>
        <v/>
      </c>
      <c r="K102" s="17">
        <f>'Loan Tape (BoE)'!K103</f>
        <v/>
      </c>
      <c r="L102" s="17">
        <f>IFERROR(IFS('Loan Tape (BoE)'!L103=1,"Owner Occupied",'Loan Tape (BoE)'!L103=2,"BTL",'Loan Tape (BoE)'!L103=3,"Second Home",'Loan Tape (BoE)'!L103=4,"Investment"),"")</f>
        <v/>
      </c>
      <c r="M102" s="17">
        <f>IFERROR(IFS('Loan Tape (BoE)'!M103=1,"Purchase",'Loan Tape (BoE)'!M103=2,"Remortgage",OR('Loan Tape (BoE)'!M103=3,'Loan Tape (BoE)'!M103=4),"Cash-out"),"")</f>
        <v/>
      </c>
      <c r="N102" s="17">
        <f>IFERROR(INDEX('FF Adj Parameters'!$A$96:$B$99,MATCH('Loan Tape (BoE)'!R102,INDEX('FF Adj Parameters'!$A$96:$B$99,,1),0),2),"Unknown")</f>
        <v/>
      </c>
      <c r="O102" s="17">
        <f>IF('Loan Tape (BoE)'!O103=1,"Yes","No")</f>
        <v/>
      </c>
      <c r="P102" s="17">
        <f>IF('Loan Tape (BoE)'!P102=1,"Yes",IF('Loan Tape (BoE)'!P102=0,"No",""))</f>
        <v/>
      </c>
      <c r="Q102" s="17">
        <f>IF('Loan Tape (BoE)'!Q102=1,"Yes",IF('Loan Tape (BoE)'!Q102=0,"No",""))</f>
        <v/>
      </c>
      <c r="R102" s="18">
        <f>IF('Loan Tape (BoE)'!R102=1,"Yes",IF('Loan Tape (BoE)'!R102=0,"No",""))</f>
        <v/>
      </c>
      <c r="S102" s="18">
        <f>IF('Loan Tape (BoE)'!S102=1,"Yes",IF('Loan Tape (BoE)'!S102=0,"No",""))</f>
        <v/>
      </c>
      <c r="T102" s="17">
        <f>IF('Loan Tape (BoE)'!T102=1,"Yes",IF('Loan Tape (BoE)'!T102=0,"No",""))</f>
        <v/>
      </c>
      <c r="U102" s="18">
        <f>R102+S102</f>
        <v/>
      </c>
      <c r="V102" s="17">
        <f>IFERROR(IFS('Loan Tape (BoE)'!U103=1,"Employed",'Loan Tape (BoE)'!U103=2,"Self-Employed",'Loan Tape (BoE)'!U103=3,"Unemployed",'Loan Tape (BoE)'!U103=4,"Retired"),"")</f>
        <v/>
      </c>
      <c r="W102" s="17">
        <f>IFERROR(IFS('Loan Tape (BoE)'!V103=1,"Employed",'Loan Tape (BoE)'!V103=2,"Self-Employed",'Loan Tape (BoE)'!V103=3,"Unemployed",'Loan Tape (BoE)'!V103=4,"Retired"),"")</f>
        <v/>
      </c>
      <c r="X102" s="17">
        <f>IF(OR(V102="Self-Employed",W102="Self-Employed"),"Yes","No")</f>
        <v/>
      </c>
      <c r="Y102" s="17">
        <f>'Loan Tape (BoE)'!W103</f>
        <v/>
      </c>
      <c r="Z102" s="17">
        <f>'Loan Tape (BoE)'!X103</f>
        <v/>
      </c>
      <c r="AA102" s="17">
        <f>IF(T102=1,Y102,MIN(Y102,Z102))</f>
        <v/>
      </c>
      <c r="AB102" s="17">
        <f>'Loan Tape (BoE)'!Y103</f>
        <v/>
      </c>
      <c r="AC102" s="17">
        <f>'Loan Tape (BoE)'!Z103</f>
        <v/>
      </c>
      <c r="AD102" s="17">
        <f>AB102+AC102</f>
        <v/>
      </c>
      <c r="AE102" s="18">
        <f>'Loan Tape (BoE)'!AA103</f>
        <v/>
      </c>
      <c r="AF102" s="18">
        <f>'Loan Tape (BoE)'!AB103</f>
        <v/>
      </c>
      <c r="AG102" s="18">
        <f>AE102+AF102</f>
        <v/>
      </c>
      <c r="AH102" s="19">
        <f>MAX('Loan Tape (BoE)'!AC103,'Loan Tape (BoE)'!AD103)</f>
        <v/>
      </c>
      <c r="AI102" s="18">
        <f>'Loan Tape (BoE)'!AE103</f>
        <v/>
      </c>
      <c r="AJ102" s="18">
        <f>B102*H102/12</f>
        <v/>
      </c>
      <c r="AK102" s="21">
        <f>IF(AJ102&gt;0,AI102/AJ102,0)</f>
        <v/>
      </c>
      <c r="AL102" s="17">
        <f>IF('Loan Tape (BoE)'!AF103=1,"Yes","No")</f>
        <v/>
      </c>
      <c r="AM102" s="17">
        <f>IF('Loan Tape (BoE)'!AH103=1,"Yes","No")</f>
        <v/>
      </c>
      <c r="AN102" s="17">
        <f>IF('Loan Tape (BoE)'!AI103=1,"Yes","No")</f>
        <v/>
      </c>
      <c r="AO102" s="17">
        <f>IF('Loan Tape (BoE)'!AJ103=1,"Yes","No")</f>
        <v/>
      </c>
      <c r="AP102" s="17">
        <f>IF(OR('Loan Tape (BoE)'!AQ102=1,'Loan Tape (BoE)'!AQ102=2),"Yes",IF('Loan Tape (BoE)'!AQ102=0,"No",""))</f>
        <v/>
      </c>
      <c r="AQ102" s="17">
        <f>IF('Loan Tape (BoE)'!BV49_102&lt;&gt;"",'Loan Tape (BoE)'!BV49_102,"")</f>
        <v/>
      </c>
      <c r="AR102" s="17">
        <f>IF('Loan Tape (BoE)'!BV1020_102&lt;&gt;"",'Loan Tape (BoE)'!BV50_102,"")</f>
        <v/>
      </c>
      <c r="AS102" s="17">
        <f>IFERROR(INDEX('FF Adj Parameters'!$A$103:$B$10102,MATCH('Loan Tape (BoE)'!P102,INDEX('FF Adj Parameters'!$A$103:$B$10102,,1),0),2),"Unknown")</f>
        <v/>
      </c>
      <c r="AT102" s="17">
        <f>IF(N102="Interest Only",M5*O5/12,IF(AND(O5&gt;0,ISNUMBER(O5),ISNUMBER(M5)),ABS(PMT(O5/12,AU5,-M5)),0))</f>
        <v/>
      </c>
      <c r="AU102" s="17">
        <f>IF(ISNUMBER(L102),MAX(0,(L5-'Control Panel'!$B$10)*12/365.25),0)</f>
        <v/>
      </c>
      <c r="AV102" s="17">
        <f>IF(ISNUMBER(L102),IF(L5&gt;'Control Panel'!$B$10,"Valid","Past Maturity"),"No Date")</f>
        <v/>
      </c>
      <c r="AW102" s="17">
        <f>IF(ISNUMBER(K102),MAX(0,('Control Panel'!$B$10-K5)*12/365.25),0)</f>
        <v/>
      </c>
    </row>
    <row r="103">
      <c r="A103" s="17">
        <f>'Loan Tape (BoE)'!A104</f>
        <v/>
      </c>
      <c r="B103" s="18">
        <f>IFERROR(INDEX('FF Adj Parameters'!$A$89:$B$92,MATCH('Loan Tape (BoE)'!C103,INDEX('FF Adj Parameters'!$A$89:$B$92,,1),0),2),"Unknown")</f>
        <v/>
      </c>
      <c r="C103" s="18">
        <f>'Loan Tape (BoE)'!C104</f>
        <v/>
      </c>
      <c r="D103" s="18">
        <f>'Loan Tape (BoE)'!D104</f>
        <v/>
      </c>
      <c r="E103" s="18">
        <f>'Loan Tape (BoE)'!E104</f>
        <v/>
      </c>
      <c r="F103" s="19">
        <f>'Loan Tape (BoE)'!F104</f>
        <v/>
      </c>
      <c r="G103" s="19">
        <f>'Loan Tape (BoE)'!G104</f>
        <v/>
      </c>
      <c r="H103" s="20">
        <f>'Loan Tape (BoE)'!H104/100</f>
        <v/>
      </c>
      <c r="I103" s="17">
        <f>IFERROR(IFS('Loan Tape (BoE)'!I104=1,"House",'Loan Tape (BoE)'!I104=2,"Flat",'Loan Tape (BoE)'!I104=3,"Bungalow",'Loan Tape (BoE)'!I104=4,"Maisonette"),"")</f>
        <v/>
      </c>
      <c r="J103" s="17">
        <f>'Loan Tape (BoE)'!J104</f>
        <v/>
      </c>
      <c r="K103" s="17">
        <f>'Loan Tape (BoE)'!K104</f>
        <v/>
      </c>
      <c r="L103" s="17">
        <f>IFERROR(IFS('Loan Tape (BoE)'!L104=1,"Owner Occupied",'Loan Tape (BoE)'!L104=2,"BTL",'Loan Tape (BoE)'!L104=3,"Second Home",'Loan Tape (BoE)'!L104=4,"Investment"),"")</f>
        <v/>
      </c>
      <c r="M103" s="17">
        <f>IFERROR(IFS('Loan Tape (BoE)'!M104=1,"Purchase",'Loan Tape (BoE)'!M104=2,"Remortgage",OR('Loan Tape (BoE)'!M104=3,'Loan Tape (BoE)'!M104=4),"Cash-out"),"")</f>
        <v/>
      </c>
      <c r="N103" s="17">
        <f>IFERROR(INDEX('FF Adj Parameters'!$A$96:$B$99,MATCH('Loan Tape (BoE)'!R103,INDEX('FF Adj Parameters'!$A$96:$B$99,,1),0),2),"Unknown")</f>
        <v/>
      </c>
      <c r="O103" s="17">
        <f>IF('Loan Tape (BoE)'!O104=1,"Yes","No")</f>
        <v/>
      </c>
      <c r="P103" s="17">
        <f>IF('Loan Tape (BoE)'!P103=1,"Yes",IF('Loan Tape (BoE)'!P103=0,"No",""))</f>
        <v/>
      </c>
      <c r="Q103" s="17">
        <f>IF('Loan Tape (BoE)'!Q103=1,"Yes",IF('Loan Tape (BoE)'!Q103=0,"No",""))</f>
        <v/>
      </c>
      <c r="R103" s="18">
        <f>IF('Loan Tape (BoE)'!R103=1,"Yes",IF('Loan Tape (BoE)'!R103=0,"No",""))</f>
        <v/>
      </c>
      <c r="S103" s="18">
        <f>IF('Loan Tape (BoE)'!S103=1,"Yes",IF('Loan Tape (BoE)'!S103=0,"No",""))</f>
        <v/>
      </c>
      <c r="T103" s="17">
        <f>IF('Loan Tape (BoE)'!T103=1,"Yes",IF('Loan Tape (BoE)'!T103=0,"No",""))</f>
        <v/>
      </c>
      <c r="U103" s="18">
        <f>R103+S103</f>
        <v/>
      </c>
      <c r="V103" s="17">
        <f>IFERROR(IFS('Loan Tape (BoE)'!U104=1,"Employed",'Loan Tape (BoE)'!U104=2,"Self-Employed",'Loan Tape (BoE)'!U104=3,"Unemployed",'Loan Tape (BoE)'!U104=4,"Retired"),"")</f>
        <v/>
      </c>
      <c r="W103" s="17">
        <f>IFERROR(IFS('Loan Tape (BoE)'!V104=1,"Employed",'Loan Tape (BoE)'!V104=2,"Self-Employed",'Loan Tape (BoE)'!V104=3,"Unemployed",'Loan Tape (BoE)'!V104=4,"Retired"),"")</f>
        <v/>
      </c>
      <c r="X103" s="17">
        <f>IF(OR(V103="Self-Employed",W103="Self-Employed"),"Yes","No")</f>
        <v/>
      </c>
      <c r="Y103" s="17">
        <f>'Loan Tape (BoE)'!W104</f>
        <v/>
      </c>
      <c r="Z103" s="17">
        <f>'Loan Tape (BoE)'!X104</f>
        <v/>
      </c>
      <c r="AA103" s="17">
        <f>IF(T103=1,Y103,MIN(Y103,Z103))</f>
        <v/>
      </c>
      <c r="AB103" s="17">
        <f>'Loan Tape (BoE)'!Y104</f>
        <v/>
      </c>
      <c r="AC103" s="17">
        <f>'Loan Tape (BoE)'!Z104</f>
        <v/>
      </c>
      <c r="AD103" s="17">
        <f>AB103+AC103</f>
        <v/>
      </c>
      <c r="AE103" s="18">
        <f>'Loan Tape (BoE)'!AA104</f>
        <v/>
      </c>
      <c r="AF103" s="18">
        <f>'Loan Tape (BoE)'!AB104</f>
        <v/>
      </c>
      <c r="AG103" s="18">
        <f>AE103+AF103</f>
        <v/>
      </c>
      <c r="AH103" s="19">
        <f>MAX('Loan Tape (BoE)'!AC104,'Loan Tape (BoE)'!AD104)</f>
        <v/>
      </c>
      <c r="AI103" s="18">
        <f>'Loan Tape (BoE)'!AE104</f>
        <v/>
      </c>
      <c r="AJ103" s="18">
        <f>B103*H103/12</f>
        <v/>
      </c>
      <c r="AK103" s="21">
        <f>IF(AJ103&gt;0,AI103/AJ103,0)</f>
        <v/>
      </c>
      <c r="AL103" s="17">
        <f>IF('Loan Tape (BoE)'!AF104=1,"Yes","No")</f>
        <v/>
      </c>
      <c r="AM103" s="17">
        <f>IF('Loan Tape (BoE)'!AH104=1,"Yes","No")</f>
        <v/>
      </c>
      <c r="AN103" s="17">
        <f>IF('Loan Tape (BoE)'!AI104=1,"Yes","No")</f>
        <v/>
      </c>
      <c r="AO103" s="17">
        <f>IF('Loan Tape (BoE)'!AJ104=1,"Yes","No")</f>
        <v/>
      </c>
      <c r="AP103" s="17">
        <f>IF(OR('Loan Tape (BoE)'!AQ103=1,'Loan Tape (BoE)'!AQ103=2),"Yes",IF('Loan Tape (BoE)'!AQ103=0,"No",""))</f>
        <v/>
      </c>
      <c r="AQ103" s="17">
        <f>IF('Loan Tape (BoE)'!BV49_103&lt;&gt;"",'Loan Tape (BoE)'!BV49_103,"")</f>
        <v/>
      </c>
      <c r="AR103" s="17">
        <f>IF('Loan Tape (BoE)'!BV1030_103&lt;&gt;"",'Loan Tape (BoE)'!BV50_103,"")</f>
        <v/>
      </c>
      <c r="AS103" s="17">
        <f>IFERROR(INDEX('FF Adj Parameters'!$A$103:$B$10103,MATCH('Loan Tape (BoE)'!P103,INDEX('FF Adj Parameters'!$A$103:$B$10103,,1),0),2),"Unknown")</f>
        <v/>
      </c>
      <c r="AT103" s="17">
        <f>IF(N103="Interest Only",M5*O5/12,IF(AND(O5&gt;0,ISNUMBER(O5),ISNUMBER(M5)),ABS(PMT(O5/12,AU5,-M5)),0))</f>
        <v/>
      </c>
      <c r="AU103" s="17">
        <f>IF(ISNUMBER(L103),MAX(0,(L5-'Control Panel'!$B$10)*12/365.25),0)</f>
        <v/>
      </c>
      <c r="AV103" s="17">
        <f>IF(ISNUMBER(L103),IF(L5&gt;'Control Panel'!$B$10,"Valid","Past Maturity"),"No Date")</f>
        <v/>
      </c>
      <c r="AW103" s="17">
        <f>IF(ISNUMBER(K103),MAX(0,('Control Panel'!$B$10-K5)*12/365.25),0)</f>
        <v/>
      </c>
    </row>
    <row r="104">
      <c r="A104" s="17">
        <f>'Loan Tape (BoE)'!A105</f>
        <v/>
      </c>
      <c r="B104" s="18">
        <f>IFERROR(INDEX('FF Adj Parameters'!$A$89:$B$92,MATCH('Loan Tape (BoE)'!C104,INDEX('FF Adj Parameters'!$A$89:$B$92,,1),0),2),"Unknown")</f>
        <v/>
      </c>
      <c r="C104" s="18">
        <f>'Loan Tape (BoE)'!C105</f>
        <v/>
      </c>
      <c r="D104" s="18">
        <f>'Loan Tape (BoE)'!D105</f>
        <v/>
      </c>
      <c r="E104" s="18">
        <f>'Loan Tape (BoE)'!E105</f>
        <v/>
      </c>
      <c r="F104" s="19">
        <f>'Loan Tape (BoE)'!F105</f>
        <v/>
      </c>
      <c r="G104" s="19">
        <f>'Loan Tape (BoE)'!G105</f>
        <v/>
      </c>
      <c r="H104" s="20">
        <f>'Loan Tape (BoE)'!H105/100</f>
        <v/>
      </c>
      <c r="I104" s="17">
        <f>IFERROR(IFS('Loan Tape (BoE)'!I105=1,"House",'Loan Tape (BoE)'!I105=2,"Flat",'Loan Tape (BoE)'!I105=3,"Bungalow",'Loan Tape (BoE)'!I105=4,"Maisonette"),"")</f>
        <v/>
      </c>
      <c r="J104" s="17">
        <f>'Loan Tape (BoE)'!J105</f>
        <v/>
      </c>
      <c r="K104" s="17">
        <f>'Loan Tape (BoE)'!K105</f>
        <v/>
      </c>
      <c r="L104" s="17">
        <f>IFERROR(IFS('Loan Tape (BoE)'!L105=1,"Owner Occupied",'Loan Tape (BoE)'!L105=2,"BTL",'Loan Tape (BoE)'!L105=3,"Second Home",'Loan Tape (BoE)'!L105=4,"Investment"),"")</f>
        <v/>
      </c>
      <c r="M104" s="17">
        <f>IFERROR(IFS('Loan Tape (BoE)'!M105=1,"Purchase",'Loan Tape (BoE)'!M105=2,"Remortgage",OR('Loan Tape (BoE)'!M105=3,'Loan Tape (BoE)'!M105=4),"Cash-out"),"")</f>
        <v/>
      </c>
      <c r="N104" s="17">
        <f>IFERROR(INDEX('FF Adj Parameters'!$A$96:$B$99,MATCH('Loan Tape (BoE)'!R104,INDEX('FF Adj Parameters'!$A$96:$B$99,,1),0),2),"Unknown")</f>
        <v/>
      </c>
      <c r="O104" s="17">
        <f>IF('Loan Tape (BoE)'!O105=1,"Yes","No")</f>
        <v/>
      </c>
      <c r="P104" s="17">
        <f>IF('Loan Tape (BoE)'!P104=1,"Yes",IF('Loan Tape (BoE)'!P104=0,"No",""))</f>
        <v/>
      </c>
      <c r="Q104" s="17">
        <f>IF('Loan Tape (BoE)'!Q104=1,"Yes",IF('Loan Tape (BoE)'!Q104=0,"No",""))</f>
        <v/>
      </c>
      <c r="R104" s="18">
        <f>IF('Loan Tape (BoE)'!R104=1,"Yes",IF('Loan Tape (BoE)'!R104=0,"No",""))</f>
        <v/>
      </c>
      <c r="S104" s="18">
        <f>IF('Loan Tape (BoE)'!S104=1,"Yes",IF('Loan Tape (BoE)'!S104=0,"No",""))</f>
        <v/>
      </c>
      <c r="T104" s="17">
        <f>IF('Loan Tape (BoE)'!T104=1,"Yes",IF('Loan Tape (BoE)'!T104=0,"No",""))</f>
        <v/>
      </c>
      <c r="U104" s="18">
        <f>R104+S104</f>
        <v/>
      </c>
      <c r="V104" s="17">
        <f>IFERROR(IFS('Loan Tape (BoE)'!U105=1,"Employed",'Loan Tape (BoE)'!U105=2,"Self-Employed",'Loan Tape (BoE)'!U105=3,"Unemployed",'Loan Tape (BoE)'!U105=4,"Retired"),"")</f>
        <v/>
      </c>
      <c r="W104" s="17">
        <f>IFERROR(IFS('Loan Tape (BoE)'!V105=1,"Employed",'Loan Tape (BoE)'!V105=2,"Self-Employed",'Loan Tape (BoE)'!V105=3,"Unemployed",'Loan Tape (BoE)'!V105=4,"Retired"),"")</f>
        <v/>
      </c>
      <c r="X104" s="17">
        <f>IF(OR(V104="Self-Employed",W104="Self-Employed"),"Yes","No")</f>
        <v/>
      </c>
      <c r="Y104" s="17">
        <f>'Loan Tape (BoE)'!W105</f>
        <v/>
      </c>
      <c r="Z104" s="17">
        <f>'Loan Tape (BoE)'!X105</f>
        <v/>
      </c>
      <c r="AA104" s="17">
        <f>IF(T104=1,Y104,MIN(Y104,Z104))</f>
        <v/>
      </c>
      <c r="AB104" s="17">
        <f>'Loan Tape (BoE)'!Y105</f>
        <v/>
      </c>
      <c r="AC104" s="17">
        <f>'Loan Tape (BoE)'!Z105</f>
        <v/>
      </c>
      <c r="AD104" s="17">
        <f>AB104+AC104</f>
        <v/>
      </c>
      <c r="AE104" s="18">
        <f>'Loan Tape (BoE)'!AA105</f>
        <v/>
      </c>
      <c r="AF104" s="18">
        <f>'Loan Tape (BoE)'!AB105</f>
        <v/>
      </c>
      <c r="AG104" s="18">
        <f>AE104+AF104</f>
        <v/>
      </c>
      <c r="AH104" s="19">
        <f>MAX('Loan Tape (BoE)'!AC105,'Loan Tape (BoE)'!AD105)</f>
        <v/>
      </c>
      <c r="AI104" s="18">
        <f>'Loan Tape (BoE)'!AE105</f>
        <v/>
      </c>
      <c r="AJ104" s="18">
        <f>B104*H104/12</f>
        <v/>
      </c>
      <c r="AK104" s="21">
        <f>IF(AJ104&gt;0,AI104/AJ104,0)</f>
        <v/>
      </c>
      <c r="AL104" s="17">
        <f>IF('Loan Tape (BoE)'!AF105=1,"Yes","No")</f>
        <v/>
      </c>
      <c r="AM104" s="17">
        <f>IF('Loan Tape (BoE)'!AH105=1,"Yes","No")</f>
        <v/>
      </c>
      <c r="AN104" s="17">
        <f>IF('Loan Tape (BoE)'!AI105=1,"Yes","No")</f>
        <v/>
      </c>
      <c r="AO104" s="17">
        <f>IF('Loan Tape (BoE)'!AJ105=1,"Yes","No")</f>
        <v/>
      </c>
      <c r="AP104" s="17">
        <f>IF(OR('Loan Tape (BoE)'!AQ104=1,'Loan Tape (BoE)'!AQ104=2),"Yes",IF('Loan Tape (BoE)'!AQ104=0,"No",""))</f>
        <v/>
      </c>
      <c r="AQ104" s="17">
        <f>IF('Loan Tape (BoE)'!BV49_104&lt;&gt;"",'Loan Tape (BoE)'!BV49_104,"")</f>
        <v/>
      </c>
      <c r="AR104" s="17">
        <f>IF('Loan Tape (BoE)'!BV1040_104&lt;&gt;"",'Loan Tape (BoE)'!BV50_104,"")</f>
        <v/>
      </c>
      <c r="AS104" s="17">
        <f>IFERROR(INDEX('FF Adj Parameters'!$A$103:$B$10104,MATCH('Loan Tape (BoE)'!P104,INDEX('FF Adj Parameters'!$A$103:$B$10104,,1),0),2),"Unknown")</f>
        <v/>
      </c>
      <c r="AT104" s="17">
        <f>IF(N104="Interest Only",M5*O5/12,IF(AND(O5&gt;0,ISNUMBER(O5),ISNUMBER(M5)),ABS(PMT(O5/12,AU5,-M5)),0))</f>
        <v/>
      </c>
      <c r="AU104" s="17">
        <f>IF(ISNUMBER(L104),MAX(0,(L5-'Control Panel'!$B$10)*12/365.25),0)</f>
        <v/>
      </c>
      <c r="AV104" s="17">
        <f>IF(ISNUMBER(L104),IF(L5&gt;'Control Panel'!$B$10,"Valid","Past Maturity"),"No Date")</f>
        <v/>
      </c>
      <c r="AW104" s="17">
        <f>IF(ISNUMBER(K104),MAX(0,('Control Panel'!$B$10-K5)*12/365.25),0)</f>
        <v/>
      </c>
    </row>
  </sheetData>
  <mergeCells count="2">
    <mergeCell ref="A2:AO2"/>
    <mergeCell ref="A1:A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FORECLOSURE FREQUENCY CALCULATIONS - FULL S&amp;P METHODOLOGY</t>
        </is>
      </c>
    </row>
    <row r="2">
      <c r="A2" s="11" t="inlineStr">
        <is>
          <t>Complete adjustment sequence with all S&amp;P exclusion rules applied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OLTV %</t>
        </is>
      </c>
      <c r="D4" s="13" t="inlineStr">
        <is>
          <t>CLTV %</t>
        </is>
      </c>
      <c r="E4" s="13" t="inlineStr">
        <is>
          <t>S&amp;P LTV %</t>
        </is>
      </c>
      <c r="F4" s="13" t="inlineStr">
        <is>
          <t>LTV Mult</t>
        </is>
      </c>
      <c r="G4" s="13" t="inlineStr">
        <is>
          <t>Orig Adj</t>
        </is>
      </c>
      <c r="H4" s="13" t="inlineStr">
        <is>
          <t>Income Mult Adj</t>
        </is>
      </c>
      <c r="I4" s="13" t="inlineStr">
        <is>
          <t>BTL/DSCR Adj</t>
        </is>
      </c>
      <c r="J4" s="13" t="inlineStr">
        <is>
          <t>Lien Adj</t>
        </is>
      </c>
      <c r="K4" s="13" t="inlineStr">
        <is>
          <t>Purpose Adj</t>
        </is>
      </c>
      <c r="L4" s="13" t="inlineStr">
        <is>
          <t>Arrears Adj</t>
        </is>
      </c>
      <c r="M4" s="13" t="inlineStr">
        <is>
          <t>Seasoning Adj</t>
        </is>
      </c>
      <c r="N4" s="13" t="inlineStr">
        <is>
          <t>FTB Adj</t>
        </is>
      </c>
      <c r="O4" s="13" t="inlineStr">
        <is>
          <t>HTB Adj</t>
        </is>
      </c>
      <c r="P4" s="13" t="inlineStr">
        <is>
          <t>Shared Own Adj</t>
        </is>
      </c>
      <c r="Q4" s="13" t="inlineStr">
        <is>
          <t>RTB Adj</t>
        </is>
      </c>
      <c r="R4" s="13" t="inlineStr">
        <is>
          <t>Self-Cert Adj</t>
        </is>
      </c>
      <c r="S4" s="13" t="inlineStr">
        <is>
          <t>Payment Shock Adj</t>
        </is>
      </c>
      <c r="T4" s="13" t="inlineStr">
        <is>
          <t>IO Adj</t>
        </is>
      </c>
      <c r="U4" s="13" t="inlineStr">
        <is>
          <t>Self-Emp Adj</t>
        </is>
      </c>
      <c r="V4" s="13" t="inlineStr">
        <is>
          <t>Commercial Adj</t>
        </is>
      </c>
      <c r="W4" s="13" t="inlineStr">
        <is>
          <t>CCJ Adj</t>
        </is>
      </c>
      <c r="X4" s="13" t="inlineStr">
        <is>
          <t>Bankruptcy Adj</t>
        </is>
      </c>
      <c r="Y4" s="13" t="inlineStr">
        <is>
          <t>Reperform Adj</t>
        </is>
      </c>
      <c r="Z4" s="13" t="inlineStr">
        <is>
          <t>Adjusted FF %</t>
        </is>
      </c>
    </row>
    <row r="5">
      <c r="A5" s="17">
        <f>'Loan Tape (S&amp;P)'!A5</f>
        <v/>
      </c>
      <c r="B5" s="18">
        <f>'Loan Tape (S&amp;P)'!B5</f>
        <v/>
      </c>
      <c r="C5" s="20">
        <f>IFERROR('Loan Tape (S&amp;P)'!C5/'Loan Tape (S&amp;P)'!E5,0)</f>
        <v/>
      </c>
      <c r="D5" s="20">
        <f>IFERROR(
        'Loan Tape (S&amp;P)'!B5/
        ('Loan Tape (S&amp;P)'!D5*
        (1-IF('Loan Tape (S&amp;P)'!AT5&lt;&gt;"Full",
            VLOOKUP('Control Panel'!$B$6,'Jurisdiction Parameters'!$A:$D,4,FALSE),
        0))),
    0)</f>
        <v/>
      </c>
      <c r="E5" s="20">
        <f>('Control Panel'!$B$12*C5)+('Control Panel'!$B$13*D5)</f>
        <v/>
      </c>
      <c r="F5" s="22">
        <f>IFERROR(
        LET(
            juris,'Control Panel'!$B$6,
            ltv_val,E5,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" s="21">
        <f>'Control Panel'!$B$14</f>
        <v/>
      </c>
      <c r="H5" s="21">
        <f>LET(
    income_mult,'Loan Tape (S&amp;P)'!Z5,
    IF(income_mult=0,1.00,
        IFERROR(
            INDEX('FF Adj Parameters'!$A$15:$B$17,
                MATCH(income_mult,INDEX('FF Adj Parameters'!$A$15:$B$17,,1),1),2),
            1.50))
)</f>
        <v/>
      </c>
      <c r="I5" s="21">
        <f>IF('Loan Tape (S&amp;P)'!N5&lt;&gt;"Buy to Let",1.00,
    LET(
        dscr,'Loan Tape (S&amp;P)'!AA5,
        IF(dscr=0,INDEX('FF Adj Parameters'!$A$21:$B$25,1,2),
            IFERROR(
                INDEX('FF Adj Parameters'!$A$21:$B$25,
                    MATCH(dscr,INDEX('FF Adj Parameters'!$A$21:$B$25,,1),1),2),
                'FF Adj Parameters'!$B$21)))
)</f>
        <v/>
      </c>
      <c r="J5" s="21">
        <f>LET(
    lien,'Loan Tape (S&amp;P)'!AT5,
    IF(lien="First",'FF Adj Parameters'!$B$48,
        IF(lien="Second",'FF Adj Parameters'!$B$49,
            'FF Adj Parameters'!$B$50))
)</f>
        <v/>
      </c>
      <c r="K5" s="21">
        <f>LET(
    purpose,'Loan Tape (S&amp;P)'!U5,
    IF(purpose="Purchase",'FF Adj Parameters'!$B$51,
        IF(purpose="Remortgage",'FF Adj Parameters'!$B$52,
            IF(purpose="Cash-out Remortgage",'FF Adj Parameters'!$B$53,
                1.00)))
)</f>
        <v/>
      </c>
      <c r="L5" s="21">
        <f>LET(
    arrears_months,'Loan Tape (S&amp;P)'!X5,
    IF(arrears_months=0,'FF Adj Parameters'!$B$54,
        IF(arrears_months&lt;=2,'FF Adj Parameters'!$B$55,
            'FF Adj Parameters'!$B$56))
)</f>
        <v/>
      </c>
      <c r="M5" s="21">
        <f>LET(
    years_seasoned,'Loan Tape (S&amp;P)'!AW5/12,
    arrears_months,'Loan Tape (S&amp;P)'!X5,
    IF(arrears_months&gt;0,1.00,
        IFERROR(
            INDEX('FF Adj Parameters'!$A$5:$B$11,
                MATCH(years_seasoned,INDEX('FF Adj Parameters'!$A$5:$B$11,,1),1),2),
            0.50))
)</f>
        <v/>
      </c>
      <c r="N5" s="21">
        <f>IF(AND('Loan Tape (S&amp;P)'!P5="Yes",'Loan Tape (S&amp;P)'!AW5&lt;'FF Adj Parameters'!$B$124),
    'FF Adj Parameters'!$B$33,
    1.00)</f>
        <v/>
      </c>
      <c r="O5" s="21">
        <f>IF('Loan Tape (S&amp;P)'!Q5="Yes",
    'FF Adj Parameters'!$B$37,
    1.00)</f>
        <v/>
      </c>
      <c r="P5" s="21">
        <f>IF('Loan Tape (S&amp;P)'!R5="Yes",
    'FF Adj Parameters'!$B$38,
    1.00)</f>
        <v/>
      </c>
      <c r="Q5" s="21">
        <f>IF('Loan Tape (S&amp;P)'!S5="Yes",
    'FF Adj Parameters'!$B$39,
    1.00)</f>
        <v/>
      </c>
      <c r="R5" s="21">
        <f>IF('Loan Tape (S&amp;P)'!T5="Yes",
    'FF Adj Parameters'!$B$40,
    1.00)</f>
        <v/>
      </c>
      <c r="S5" s="21">
        <f>LET(
    is_htb,'Loan Tape (S&amp;P)'!Q5="Yes",
    rate_type,'Loan Tape (S&amp;P)'!AS5,
    months_to_mat,'Loan Tape (S&amp;P)'!AU5,
    threshold,'FF Adj Parameters'!$B$125,
    has_shock,AND(rate_type="Fixed",months_to_mat&lt;=threshold),
    IF(is_htb,1.00,IF(has_shock,'FF Adj Parameters'!$B$41,1.00))
)</f>
        <v/>
      </c>
      <c r="T5" s="21">
        <f>IFERROR(
    IF('Loan Tape (S&amp;P)'!N5&lt;&gt;"Interest Only",1.00,
        IF('Loan Tape (S&amp;P)'!N5="Buy to Let",1.00,
            LET(
                mat_check,'Loan Tape (S&amp;P)'!AV5,
                years_to_mat,'Loan Tape (S&amp;P)'!AU5/12,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" s="21">
        <f>IF(AND('Loan Tape (S&amp;P)'!V5="Yes",'Loan Tape (S&amp;P)'!N5&lt;&gt;"Buy to Let"),
    'FF Adj Parameters'!$B$42,
    1.00)</f>
        <v/>
      </c>
      <c r="V5" s="21">
        <f>IF('Loan Tape (S&amp;P)'!AV5="Yes",
    'FF Adj Parameters'!$B$43,
    1.00)</f>
        <v/>
      </c>
      <c r="W5" s="23">
        <f>IF('Loan Tape (S&amp;P)'!AC5&gt;0,
    'FF Adj Parameters'!$B$44,
    1.00)</f>
        <v/>
      </c>
      <c r="X5" s="21">
        <f>LET(
    has_bankruptcy,'Loan Tape (S&amp;P)'!AE5="Yes",
    has_iva,'Loan Tape (S&amp;P)'!AF5="Yes",
    has_repo,'Loan Tape (S&amp;P)'!AI5="Yes",
    mult,IF(has_repo,'FF Adj Parameters'!$B$47,
            IF(has_bankruptcy,'FF Adj Parameters'!$B$45,
                IF(has_iva,'FF Adj Parameters'!$B$46,
                    1.00))),
    MAX(mult,0.50)
)</f>
        <v/>
      </c>
      <c r="Y5" s="21">
        <f>LET(
    has_perf_arr,'Loan Tape (S&amp;P)'!AP5="Yes",
    perf_arr_date,'Loan Tape (S&amp;P)'!AQ5,
    last_90_date,'Loan Tape (S&amp;P)'!AR5,
    threshold_years,VLOOKUP('Control Panel'!$B$6,'Jurisdiction Parameters'!$A:$Q,17,FALSE),
    relevant_date,MAX(perf_arr_date,last_90_date),
    years_since,('Control Panel'!$B$10-relevant_date)/365.25,
    IF(NOT(has_perf_arr),1.00,
        IF(years_since&gt;threshold_years,1.00,
            IF(years_since&lt;=1,INDEX('FF Adj Parameters'!$C$47:$C$50,1),
                IF(years_since&lt;=2,INDEX('FF Adj Parameters'!$C$47:$C$50,2),
                    IF(years_since&lt;=3,INDEX('FF Adj Parameters'!$C$47:$C$50,3),
                        INDEX('FF Adj Parameters'!$C$47:$C$50,4))))))
)</f>
        <v/>
      </c>
      <c r="Z5" s="24">
        <f>IFERROR(
        IF(L5&gt;=100,1.00,
            'Control Panel'!$B$18*F5*G5*MAX(H5,R5)*I5*J5*K5*L5*M5*N5*O5*P5*Q5*S5*T5*U5*V5*W5*X5*Y5
        ),
    0)</f>
        <v/>
      </c>
    </row>
    <row r="6">
      <c r="A6" s="17">
        <f>'Loan Tape (S&amp;P)'!A6</f>
        <v/>
      </c>
      <c r="B6" s="18">
        <f>'Loan Tape (S&amp;P)'!B6</f>
        <v/>
      </c>
      <c r="C6" s="20">
        <f>IFERROR('Loan Tape (S&amp;P)'!C6/'Loan Tape (S&amp;P)'!E6,0)</f>
        <v/>
      </c>
      <c r="D6" s="20">
        <f>IFERROR(
        'Loan Tape (S&amp;P)'!B6/
        ('Loan Tape (S&amp;P)'!D6*
        (1-IF('Loan Tape (S&amp;P)'!AT6&lt;&gt;"Full",
            VLOOKUP('Control Panel'!$B$6,'Jurisdiction Parameters'!$A:$D,4,FALSE),
        0))),
    0)</f>
        <v/>
      </c>
      <c r="E6" s="20">
        <f>('Control Panel'!$B$12*C6)+('Control Panel'!$B$13*D6)</f>
        <v/>
      </c>
      <c r="F6" s="22">
        <f>IFERROR(
        LET(
            juris,'Control Panel'!$B$6,
            ltv_val,E6,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" s="21">
        <f>'Control Panel'!$B$14</f>
        <v/>
      </c>
      <c r="H6" s="21">
        <f>LET(
    income_mult,'Loan Tape (S&amp;P)'!Z6,
    IF(income_mult=0,1.00,
        IFERROR(
            INDEX('FF Adj Parameters'!$A$16:$B$17,
                MATCH(income_mult,INDEX('FF Adj Parameters'!$A$16:$B$17,,1),1),2),
            1.60))
)</f>
        <v/>
      </c>
      <c r="I6" s="21">
        <f>IF('Loan Tape (S&amp;P)'!N6&lt;&gt;"Buy to Let",1.00,
    LET(
        dscr,'Loan Tape (S&amp;P)'!AA6,
        IF(dscr=0,INDEX('FF Adj Parameters'!$A$21:$B$26,1,2),
            IFERROR(
                INDEX('FF Adj Parameters'!$A$21:$B$26,
                    MATCH(dscr,INDEX('FF Adj Parameters'!$A$21:$B$26,,1),1),2),
                'FF Adj Parameters'!$B$21)))
)</f>
        <v/>
      </c>
      <c r="J6" s="21">
        <f>LET(
    lien,'Loan Tape (S&amp;P)'!AT6,
    IF(lien="First",'FF Adj Parameters'!$B$48,
        IF(lien="Second",'FF Adj Parameters'!$B$49,
            'FF Adj Parameters'!$B$60))
)</f>
        <v/>
      </c>
      <c r="K6" s="21">
        <f>LET(
    purpose,'Loan Tape (S&amp;P)'!U6,
    IF(purpose="Purchase",'FF Adj Parameters'!$B$61,
        IF(purpose="Remortgage",'FF Adj Parameters'!$B$62,
            IF(purpose="Cash-out Remortgage",'FF Adj Parameters'!$B$63,
                1.00)))
)</f>
        <v/>
      </c>
      <c r="L6" s="21">
        <f>LET(
    arrears_months,'Loan Tape (S&amp;P)'!X6,
    IF(arrears_months=0,'FF Adj Parameters'!$B$64,
        IF(arrears_months&lt;=2,'FF Adj Parameters'!$B$66,
            'FF Adj Parameters'!$B$66))
)</f>
        <v/>
      </c>
      <c r="M6" s="21">
        <f>LET(
    years_seasoned,'Loan Tape (S&amp;P)'!AW6/12,
    arrears_months,'Loan Tape (S&amp;P)'!X6,
    IF(arrears_months&gt;0,1.00,
        IFERROR(
            INDEX('FF Adj Parameters'!$A$6:$B$11,
                MATCH(years_seasoned,INDEX('FF Adj Parameters'!$A$6:$B$11,,1),1),2),
            0.60))
)</f>
        <v/>
      </c>
      <c r="N6" s="21">
        <f>IF(AND('Loan Tape (S&amp;P)'!P6="Yes",'Loan Tape (S&amp;P)'!AW6&lt;'FF Adj Parameters'!$B$124),
    'FF Adj Parameters'!$B$33,
    1.00)</f>
        <v/>
      </c>
      <c r="O6" s="21">
        <f>IF('Loan Tape (S&amp;P)'!Q6="Yes",
    'FF Adj Parameters'!$B$37,
    1.00)</f>
        <v/>
      </c>
      <c r="P6" s="21">
        <f>IF('Loan Tape (S&amp;P)'!R6="Yes",
    'FF Adj Parameters'!$B$38,
    1.00)</f>
        <v/>
      </c>
      <c r="Q6" s="21">
        <f>IF('Loan Tape (S&amp;P)'!S6="Yes",
    'FF Adj Parameters'!$B$39,
    1.00)</f>
        <v/>
      </c>
      <c r="R6" s="21">
        <f>IF('Loan Tape (S&amp;P)'!T6="Yes",
    'FF Adj Parameters'!$B$40,
    1.00)</f>
        <v/>
      </c>
      <c r="S6" s="21">
        <f>LET(
    is_htb,'Loan Tape (S&amp;P)'!Q6="Yes",
    rate_type,'Loan Tape (S&amp;P)'!AS6,
    months_to_mat,'Loan Tape (S&amp;P)'!AU6,
    threshold,'FF Adj Parameters'!$B$126,
    has_shock,AND(rate_type="Fixed",months_to_mat&lt;=threshold),
    IF(is_htb,1.00,IF(has_shock,'FF Adj Parameters'!$B$41,1.00))
)</f>
        <v/>
      </c>
      <c r="T6" s="21">
        <f>IFERROR(
    IF('Loan Tape (S&amp;P)'!N6&lt;&gt;"Interest Only",1.00,
        IF('Loan Tape (S&amp;P)'!N6="Buy to Let",1.00,
            LET(
                mat_check,'Loan Tape (S&amp;P)'!AV6,
                years_to_mat,'Loan Tape (S&amp;P)'!AU6/12,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" s="21">
        <f>IF(AND('Loan Tape (S&amp;P)'!V6="Yes",'Loan Tape (S&amp;P)'!N6&lt;&gt;"Buy to Let"),
    'FF Adj Parameters'!$B$42,
    1.00)</f>
        <v/>
      </c>
      <c r="V6" s="21">
        <f>IF('Loan Tape (S&amp;P)'!AV6="Yes",
    'FF Adj Parameters'!$B$43,
    1.00)</f>
        <v/>
      </c>
      <c r="W6" s="23">
        <f>IF('Loan Tape (S&amp;P)'!AC6&gt;0,
    'FF Adj Parameters'!$B$44,
    1.00)</f>
        <v/>
      </c>
      <c r="X6" s="21">
        <f>LET(
    has_bankruptcy,'Loan Tape (S&amp;P)'!AE6="Yes",
    has_iva,'Loan Tape (S&amp;P)'!AF6="Yes",
    has_repo,'Loan Tape (S&amp;P)'!AI6="Yes",
    mult,IF(has_repo,'FF Adj Parameters'!$B$47,
            IF(has_bankruptcy,'FF Adj Parameters'!$B$46,
                IF(has_iva,'FF Adj Parameters'!$B$46,
                    1.00))),
    MAX(mult,0.60)
)</f>
        <v/>
      </c>
      <c r="Y6" s="21">
        <f>LET(
    has_perf_arr,'Loan Tape (S&amp;P)'!AP6="Yes",
    perf_arr_date,'Loan Tape (S&amp;P)'!AQ6,
    last_90_date,'Loan Tape (S&amp;P)'!AR6,
    threshold_years,VLOOKUP('Control Panel'!$B$6,'Jurisdiction Parameters'!$A:$Q,17,FALSE),
    relevant_date,MAX(perf_arr_date,last_90_date),
    years_since,('Control Panel'!$B$10-relevant_date)/366.26,
    IF(NOT(has_perf_arr),1.00,
        IF(years_since&gt;threshold_years,1.00,
            IF(years_since&lt;=1,INDEX('FF Adj Parameters'!$C$47:$C$60,1),
                IF(years_since&lt;=2,INDEX('FF Adj Parameters'!$C$47:$C$60,2),
                    IF(years_since&lt;=3,INDEX('FF Adj Parameters'!$C$47:$C$60,3),
                        INDEX('FF Adj Parameters'!$C$47:$C$60,4))))))
)</f>
        <v/>
      </c>
      <c r="Z6" s="24">
        <f>IFERROR(
        IF(L6&gt;=100,1.00,
            'Control Panel'!$B$18*F6*G6*MAX(H6,R6)*I6*J6*K6*L6*M6*N6*O6*P6*Q6*S6*T6*U6*V6*W6*X6*Y6
        ),
    0)</f>
        <v/>
      </c>
    </row>
    <row r="7">
      <c r="A7" s="17">
        <f>'Loan Tape (S&amp;P)'!A7</f>
        <v/>
      </c>
      <c r="B7" s="18">
        <f>'Loan Tape (S&amp;P)'!B7</f>
        <v/>
      </c>
      <c r="C7" s="20">
        <f>IFERROR('Loan Tape (S&amp;P)'!C7/'Loan Tape (S&amp;P)'!E7,0)</f>
        <v/>
      </c>
      <c r="D7" s="20">
        <f>IFERROR(
        'Loan Tape (S&amp;P)'!B7/
        ('Loan Tape (S&amp;P)'!D7*
        (1-IF('Loan Tape (S&amp;P)'!AT7&lt;&gt;"Full",
            VLOOKUP('Control Panel'!$B$6,'Jurisdiction Parameters'!$A:$D,4,FALSE),
        0))),
    0)</f>
        <v/>
      </c>
      <c r="E7" s="20">
        <f>('Control Panel'!$B$12*C7)+('Control Panel'!$B$13*D7)</f>
        <v/>
      </c>
      <c r="F7" s="22">
        <f>IFERROR(
        LET(
            juris,'Control Panel'!$B$6,
            ltv_val,E7,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" s="21">
        <f>'Control Panel'!$B$14</f>
        <v/>
      </c>
      <c r="H7" s="21">
        <f>LET(
    income_mult,'Loan Tape (S&amp;P)'!Z7,
    IF(income_mult=0,1.00,
        IFERROR(
            INDEX('FF Adj Parameters'!$A$17:$B$17,
                MATCH(income_mult,INDEX('FF Adj Parameters'!$A$17:$B$17,,1),1),2),
            1.70))
)</f>
        <v/>
      </c>
      <c r="I7" s="21">
        <f>IF('Loan Tape (S&amp;P)'!N7&lt;&gt;"Buy to Let",1.00,
    LET(
        dscr,'Loan Tape (S&amp;P)'!AA7,
        IF(dscr=0,INDEX('FF Adj Parameters'!$A$21:$B$27,1,2),
            IFERROR(
                INDEX('FF Adj Parameters'!$A$21:$B$27,
                    MATCH(dscr,INDEX('FF Adj Parameters'!$A$21:$B$27,,1),1),2),
                'FF Adj Parameters'!$B$21)))
)</f>
        <v/>
      </c>
      <c r="J7" s="21">
        <f>LET(
    lien,'Loan Tape (S&amp;P)'!AT7,
    IF(lien="First",'FF Adj Parameters'!$B$48,
        IF(lien="Second",'FF Adj Parameters'!$B$49,
            'FF Adj Parameters'!$B$70))
)</f>
        <v/>
      </c>
      <c r="K7" s="21">
        <f>LET(
    purpose,'Loan Tape (S&amp;P)'!U7,
    IF(purpose="Purchase",'FF Adj Parameters'!$B$71,
        IF(purpose="Remortgage",'FF Adj Parameters'!$B$72,
            IF(purpose="Cash-out Remortgage",'FF Adj Parameters'!$B$73,
                1.00)))
)</f>
        <v/>
      </c>
      <c r="L7" s="21">
        <f>LET(
    arrears_months,'Loan Tape (S&amp;P)'!X7,
    IF(arrears_months=0,'FF Adj Parameters'!$B$74,
        IF(arrears_months&lt;=2,'FF Adj Parameters'!$B$77,
            'FF Adj Parameters'!$B$76))
)</f>
        <v/>
      </c>
      <c r="M7" s="21">
        <f>LET(
    years_seasoned,'Loan Tape (S&amp;P)'!AW7/12,
    arrears_months,'Loan Tape (S&amp;P)'!X7,
    IF(arrears_months&gt;0,1.00,
        IFERROR(
            INDEX('FF Adj Parameters'!$A$7:$B$11,
                MATCH(years_seasoned,INDEX('FF Adj Parameters'!$A$7:$B$11,,1),1),2),
            0.70))
)</f>
        <v/>
      </c>
      <c r="N7" s="21">
        <f>IF(AND('Loan Tape (S&amp;P)'!P7="Yes",'Loan Tape (S&amp;P)'!AW7&lt;'FF Adj Parameters'!$B$124),
    'FF Adj Parameters'!$B$33,
    1.00)</f>
        <v/>
      </c>
      <c r="O7" s="21">
        <f>IF('Loan Tape (S&amp;P)'!Q7="Yes",
    'FF Adj Parameters'!$B$37,
    1.00)</f>
        <v/>
      </c>
      <c r="P7" s="21">
        <f>IF('Loan Tape (S&amp;P)'!R7="Yes",
    'FF Adj Parameters'!$B$38,
    1.00)</f>
        <v/>
      </c>
      <c r="Q7" s="21">
        <f>IF('Loan Tape (S&amp;P)'!S7="Yes",
    'FF Adj Parameters'!$B$39,
    1.00)</f>
        <v/>
      </c>
      <c r="R7" s="21">
        <f>IF('Loan Tape (S&amp;P)'!T7="Yes",
    'FF Adj Parameters'!$B$40,
    1.00)</f>
        <v/>
      </c>
      <c r="S7" s="21">
        <f>LET(
    is_htb,'Loan Tape (S&amp;P)'!Q7="Yes",
    rate_type,'Loan Tape (S&amp;P)'!AS7,
    months_to_mat,'Loan Tape (S&amp;P)'!AU7,
    threshold,'FF Adj Parameters'!$B$127,
    has_shock,AND(rate_type="Fixed",months_to_mat&lt;=threshold),
    IF(is_htb,1.00,IF(has_shock,'FF Adj Parameters'!$B$41,1.00))
)</f>
        <v/>
      </c>
      <c r="T7" s="21">
        <f>IFERROR(
    IF('Loan Tape (S&amp;P)'!N7&lt;&gt;"Interest Only",1.00,
        IF('Loan Tape (S&amp;P)'!N7="Buy to Let",1.00,
            LET(
                mat_check,'Loan Tape (S&amp;P)'!AV7,
                years_to_mat,'Loan Tape (S&amp;P)'!AU7/12,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" s="21">
        <f>IF(AND('Loan Tape (S&amp;P)'!V7="Yes",'Loan Tape (S&amp;P)'!N7&lt;&gt;"Buy to Let"),
    'FF Adj Parameters'!$B$42,
    1.00)</f>
        <v/>
      </c>
      <c r="V7" s="21">
        <f>IF('Loan Tape (S&amp;P)'!AV7="Yes",
    'FF Adj Parameters'!$B$43,
    1.00)</f>
        <v/>
      </c>
      <c r="W7" s="23">
        <f>IF('Loan Tape (S&amp;P)'!AC7&gt;0,
    'FF Adj Parameters'!$B$44,
    1.00)</f>
        <v/>
      </c>
      <c r="X7" s="21">
        <f>LET(
    has_bankruptcy,'Loan Tape (S&amp;P)'!AE7="Yes",
    has_iva,'Loan Tape (S&amp;P)'!AF7="Yes",
    has_repo,'Loan Tape (S&amp;P)'!AI7="Yes",
    mult,IF(has_repo,'FF Adj Parameters'!$B$47,
            IF(has_bankruptcy,'FF Adj Parameters'!$B$47,
                IF(has_iva,'FF Adj Parameters'!$B$46,
                    1.00))),
    MAX(mult,0.70)
)</f>
        <v/>
      </c>
      <c r="Y7" s="21">
        <f>LET(
    has_perf_arr,'Loan Tape (S&amp;P)'!AP7="Yes",
    perf_arr_date,'Loan Tape (S&amp;P)'!AQ7,
    last_90_date,'Loan Tape (S&amp;P)'!AR7,
    threshold_years,VLOOKUP('Control Panel'!$B$6,'Jurisdiction Parameters'!$A:$Q,17,FALSE),
    relevant_date,MAX(perf_arr_date,last_90_date),
    years_since,('Control Panel'!$B$10-relevant_date)/367.27,
    IF(NOT(has_perf_arr),1.00,
        IF(years_since&gt;threshold_years,1.00,
            IF(years_since&lt;=1,INDEX('FF Adj Parameters'!$C$47:$C$70,1),
                IF(years_since&lt;=2,INDEX('FF Adj Parameters'!$C$47:$C$70,2),
                    IF(years_since&lt;=3,INDEX('FF Adj Parameters'!$C$47:$C$70,3),
                        INDEX('FF Adj Parameters'!$C$47:$C$70,4))))))
)</f>
        <v/>
      </c>
      <c r="Z7" s="24">
        <f>IFERROR(
        IF(L7&gt;=100,1.00,
            'Control Panel'!$B$18*F7*G7*MAX(H7,R7)*I7*J7*K7*L7*M7*N7*O7*P7*Q7*S7*T7*U7*V7*W7*X7*Y7
        ),
    0)</f>
        <v/>
      </c>
    </row>
    <row r="8">
      <c r="A8" s="17">
        <f>'Loan Tape (S&amp;P)'!A8</f>
        <v/>
      </c>
      <c r="B8" s="18">
        <f>'Loan Tape (S&amp;P)'!B8</f>
        <v/>
      </c>
      <c r="C8" s="20">
        <f>IFERROR('Loan Tape (S&amp;P)'!C8/'Loan Tape (S&amp;P)'!E8,0)</f>
        <v/>
      </c>
      <c r="D8" s="20">
        <f>IFERROR(
        'Loan Tape (S&amp;P)'!B8/
        ('Loan Tape (S&amp;P)'!D8*
        (1-IF('Loan Tape (S&amp;P)'!AT8&lt;&gt;"Full",
            VLOOKUP('Control Panel'!$B$6,'Jurisdiction Parameters'!$A:$D,4,FALSE),
        0))),
    0)</f>
        <v/>
      </c>
      <c r="E8" s="20">
        <f>('Control Panel'!$B$12*C8)+('Control Panel'!$B$13*D8)</f>
        <v/>
      </c>
      <c r="F8" s="22">
        <f>IFERROR(
        LET(
            juris,'Control Panel'!$B$6,
            ltv_val,E8,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" s="21">
        <f>'Control Panel'!$B$14</f>
        <v/>
      </c>
      <c r="H8" s="21">
        <f>LET(
    income_mult,'Loan Tape (S&amp;P)'!Z8,
    IF(income_mult=0,1.00,
        IFERROR(
            INDEX('FF Adj Parameters'!$A$18:$B$17,
                MATCH(income_mult,INDEX('FF Adj Parameters'!$A$18:$B$17,,1),1),2),
            1.80))
)</f>
        <v/>
      </c>
      <c r="I8" s="21">
        <f>IF('Loan Tape (S&amp;P)'!N8&lt;&gt;"Buy to Let",1.00,
    LET(
        dscr,'Loan Tape (S&amp;P)'!AA8,
        IF(dscr=0,INDEX('FF Adj Parameters'!$A$21:$B$28,1,2),
            IFERROR(
                INDEX('FF Adj Parameters'!$A$21:$B$28,
                    MATCH(dscr,INDEX('FF Adj Parameters'!$A$21:$B$28,,1),1),2),
                'FF Adj Parameters'!$B$21)))
)</f>
        <v/>
      </c>
      <c r="J8" s="21">
        <f>LET(
    lien,'Loan Tape (S&amp;P)'!AT8,
    IF(lien="First",'FF Adj Parameters'!$B$48,
        IF(lien="Second",'FF Adj Parameters'!$B$49,
            'FF Adj Parameters'!$B$80))
)</f>
        <v/>
      </c>
      <c r="K8" s="21">
        <f>LET(
    purpose,'Loan Tape (S&amp;P)'!U8,
    IF(purpose="Purchase",'FF Adj Parameters'!$B$81,
        IF(purpose="Remortgage",'FF Adj Parameters'!$B$82,
            IF(purpose="Cash-out Remortgage",'FF Adj Parameters'!$B$83,
                1.00)))
)</f>
        <v/>
      </c>
      <c r="L8" s="21">
        <f>LET(
    arrears_months,'Loan Tape (S&amp;P)'!X8,
    IF(arrears_months=0,'FF Adj Parameters'!$B$84,
        IF(arrears_months&lt;=2,'FF Adj Parameters'!$B$88,
            'FF Adj Parameters'!$B$86))
)</f>
        <v/>
      </c>
      <c r="M8" s="21">
        <f>LET(
    years_seasoned,'Loan Tape (S&amp;P)'!AW8/12,
    arrears_months,'Loan Tape (S&amp;P)'!X8,
    IF(arrears_months&gt;0,1.00,
        IFERROR(
            INDEX('FF Adj Parameters'!$A$8:$B$11,
                MATCH(years_seasoned,INDEX('FF Adj Parameters'!$A$8:$B$11,,1),1),2),
            0.80))
)</f>
        <v/>
      </c>
      <c r="N8" s="21">
        <f>IF(AND('Loan Tape (S&amp;P)'!P8="Yes",'Loan Tape (S&amp;P)'!AW8&lt;'FF Adj Parameters'!$B$124),
    'FF Adj Parameters'!$B$33,
    1.00)</f>
        <v/>
      </c>
      <c r="O8" s="21">
        <f>IF('Loan Tape (S&amp;P)'!Q8="Yes",
    'FF Adj Parameters'!$B$37,
    1.00)</f>
        <v/>
      </c>
      <c r="P8" s="21">
        <f>IF('Loan Tape (S&amp;P)'!R8="Yes",
    'FF Adj Parameters'!$B$38,
    1.00)</f>
        <v/>
      </c>
      <c r="Q8" s="21">
        <f>IF('Loan Tape (S&amp;P)'!S8="Yes",
    'FF Adj Parameters'!$B$39,
    1.00)</f>
        <v/>
      </c>
      <c r="R8" s="21">
        <f>IF('Loan Tape (S&amp;P)'!T8="Yes",
    'FF Adj Parameters'!$B$40,
    1.00)</f>
        <v/>
      </c>
      <c r="S8" s="21">
        <f>LET(
    is_htb,'Loan Tape (S&amp;P)'!Q8="Yes",
    rate_type,'Loan Tape (S&amp;P)'!AS8,
    months_to_mat,'Loan Tape (S&amp;P)'!AU8,
    threshold,'FF Adj Parameters'!$B$128,
    has_shock,AND(rate_type="Fixed",months_to_mat&lt;=threshold),
    IF(is_htb,1.00,IF(has_shock,'FF Adj Parameters'!$B$41,1.00))
)</f>
        <v/>
      </c>
      <c r="T8" s="21">
        <f>IFERROR(
    IF('Loan Tape (S&amp;P)'!N8&lt;&gt;"Interest Only",1.00,
        IF('Loan Tape (S&amp;P)'!N8="Buy to Let",1.00,
            LET(
                mat_check,'Loan Tape (S&amp;P)'!AV8,
                years_to_mat,'Loan Tape (S&amp;P)'!AU8/12,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" s="21">
        <f>IF(AND('Loan Tape (S&amp;P)'!V8="Yes",'Loan Tape (S&amp;P)'!N8&lt;&gt;"Buy to Let"),
    'FF Adj Parameters'!$B$42,
    1.00)</f>
        <v/>
      </c>
      <c r="V8" s="21">
        <f>IF('Loan Tape (S&amp;P)'!AV8="Yes",
    'FF Adj Parameters'!$B$43,
    1.00)</f>
        <v/>
      </c>
      <c r="W8" s="23">
        <f>IF('Loan Tape (S&amp;P)'!AC8&gt;0,
    'FF Adj Parameters'!$B$44,
    1.00)</f>
        <v/>
      </c>
      <c r="X8" s="21">
        <f>LET(
    has_bankruptcy,'Loan Tape (S&amp;P)'!AE8="Yes",
    has_iva,'Loan Tape (S&amp;P)'!AF8="Yes",
    has_repo,'Loan Tape (S&amp;P)'!AI8="Yes",
    mult,IF(has_repo,'FF Adj Parameters'!$B$47,
            IF(has_bankruptcy,'FF Adj Parameters'!$B$48,
                IF(has_iva,'FF Adj Parameters'!$B$46,
                    1.00))),
    MAX(mult,0.80)
)</f>
        <v/>
      </c>
      <c r="Y8" s="21">
        <f>LET(
    has_perf_arr,'Loan Tape (S&amp;P)'!AP8="Yes",
    perf_arr_date,'Loan Tape (S&amp;P)'!AQ8,
    last_90_date,'Loan Tape (S&amp;P)'!AR8,
    threshold_years,VLOOKUP('Control Panel'!$B$6,'Jurisdiction Parameters'!$A:$Q,17,FALSE),
    relevant_date,MAX(perf_arr_date,last_90_date),
    years_since,('Control Panel'!$B$10-relevant_date)/368.28,
    IF(NOT(has_perf_arr),1.00,
        IF(years_since&gt;threshold_years,1.00,
            IF(years_since&lt;=1,INDEX('FF Adj Parameters'!$C$47:$C$80,1),
                IF(years_since&lt;=2,INDEX('FF Adj Parameters'!$C$47:$C$80,2),
                    IF(years_since&lt;=3,INDEX('FF Adj Parameters'!$C$47:$C$80,3),
                        INDEX('FF Adj Parameters'!$C$47:$C$80,4))))))
)</f>
        <v/>
      </c>
      <c r="Z8" s="24">
        <f>IFERROR(
        IF(L8&gt;=100,1.00,
            'Control Panel'!$B$18*F8*G8*MAX(H8,R8)*I8*J8*K8*L8*M8*N8*O8*P8*Q8*S8*T8*U8*V8*W8*X8*Y8
        ),
    0)</f>
        <v/>
      </c>
    </row>
    <row r="9">
      <c r="A9" s="17">
        <f>'Loan Tape (S&amp;P)'!A9</f>
        <v/>
      </c>
      <c r="B9" s="18">
        <f>'Loan Tape (S&amp;P)'!B9</f>
        <v/>
      </c>
      <c r="C9" s="20">
        <f>IFERROR('Loan Tape (S&amp;P)'!C9/'Loan Tape (S&amp;P)'!E9,0)</f>
        <v/>
      </c>
      <c r="D9" s="20">
        <f>IFERROR(
        'Loan Tape (S&amp;P)'!B9/
        ('Loan Tape (S&amp;P)'!D9*
        (1-IF('Loan Tape (S&amp;P)'!AT9&lt;&gt;"Full",
            VLOOKUP('Control Panel'!$B$6,'Jurisdiction Parameters'!$A:$D,4,FALSE),
        0))),
    0)</f>
        <v/>
      </c>
      <c r="E9" s="20">
        <f>('Control Panel'!$B$12*C9)+('Control Panel'!$B$13*D9)</f>
        <v/>
      </c>
      <c r="F9" s="22">
        <f>IFERROR(
        LET(
            juris,'Control Panel'!$B$6,
            ltv_val,E9,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" s="21">
        <f>'Control Panel'!$B$14</f>
        <v/>
      </c>
      <c r="H9" s="21">
        <f>LET(
    income_mult,'Loan Tape (S&amp;P)'!Z9,
    IF(income_mult=0,1.00,
        IFERROR(
            INDEX('FF Adj Parameters'!$A$19:$B$17,
                MATCH(income_mult,INDEX('FF Adj Parameters'!$A$19:$B$17,,1),1),2),
            1.90))
)</f>
        <v/>
      </c>
      <c r="I9" s="21">
        <f>IF('Loan Tape (S&amp;P)'!N9&lt;&gt;"Buy to Let",1.00,
    LET(
        dscr,'Loan Tape (S&amp;P)'!AA9,
        IF(dscr=0,INDEX('FF Adj Parameters'!$A$21:$B$29,1,2),
            IFERROR(
                INDEX('FF Adj Parameters'!$A$21:$B$29,
                    MATCH(dscr,INDEX('FF Adj Parameters'!$A$21:$B$29,,1),1),2),
                'FF Adj Parameters'!$B$21)))
)</f>
        <v/>
      </c>
      <c r="J9" s="21">
        <f>LET(
    lien,'Loan Tape (S&amp;P)'!AT9,
    IF(lien="First",'FF Adj Parameters'!$B$48,
        IF(lien="Second",'FF Adj Parameters'!$B$49,
            'FF Adj Parameters'!$B$90))
)</f>
        <v/>
      </c>
      <c r="K9" s="21">
        <f>LET(
    purpose,'Loan Tape (S&amp;P)'!U9,
    IF(purpose="Purchase",'FF Adj Parameters'!$B$91,
        IF(purpose="Remortgage",'FF Adj Parameters'!$B$92,
            IF(purpose="Cash-out Remortgage",'FF Adj Parameters'!$B$93,
                1.00)))
)</f>
        <v/>
      </c>
      <c r="L9" s="21">
        <f>LET(
    arrears_months,'Loan Tape (S&amp;P)'!X9,
    IF(arrears_months=0,'FF Adj Parameters'!$B$94,
        IF(arrears_months&lt;=2,'FF Adj Parameters'!$B$99,
            'FF Adj Parameters'!$B$96))
)</f>
        <v/>
      </c>
      <c r="M9" s="21">
        <f>LET(
    years_seasoned,'Loan Tape (S&amp;P)'!AW9/12,
    arrears_months,'Loan Tape (S&amp;P)'!X9,
    IF(arrears_months&gt;0,1.00,
        IFERROR(
            INDEX('FF Adj Parameters'!$A$9:$B$11,
                MATCH(years_seasoned,INDEX('FF Adj Parameters'!$A$9:$B$11,,1),1),2),
            0.90))
)</f>
        <v/>
      </c>
      <c r="N9" s="21">
        <f>IF(AND('Loan Tape (S&amp;P)'!P9="Yes",'Loan Tape (S&amp;P)'!AW9&lt;'FF Adj Parameters'!$B$124),
    'FF Adj Parameters'!$B$33,
    1.00)</f>
        <v/>
      </c>
      <c r="O9" s="21">
        <f>IF('Loan Tape (S&amp;P)'!Q9="Yes",
    'FF Adj Parameters'!$B$37,
    1.00)</f>
        <v/>
      </c>
      <c r="P9" s="21">
        <f>IF('Loan Tape (S&amp;P)'!R9="Yes",
    'FF Adj Parameters'!$B$38,
    1.00)</f>
        <v/>
      </c>
      <c r="Q9" s="21">
        <f>IF('Loan Tape (S&amp;P)'!S9="Yes",
    'FF Adj Parameters'!$B$39,
    1.00)</f>
        <v/>
      </c>
      <c r="R9" s="21">
        <f>IF('Loan Tape (S&amp;P)'!T9="Yes",
    'FF Adj Parameters'!$B$40,
    1.00)</f>
        <v/>
      </c>
      <c r="S9" s="21">
        <f>LET(
    is_htb,'Loan Tape (S&amp;P)'!Q9="Yes",
    rate_type,'Loan Tape (S&amp;P)'!AS9,
    months_to_mat,'Loan Tape (S&amp;P)'!AU9,
    threshold,'FF Adj Parameters'!$B$129,
    has_shock,AND(rate_type="Fixed",months_to_mat&lt;=threshold),
    IF(is_htb,1.00,IF(has_shock,'FF Adj Parameters'!$B$41,1.00))
)</f>
        <v/>
      </c>
      <c r="T9" s="21">
        <f>IFERROR(
    IF('Loan Tape (S&amp;P)'!N9&lt;&gt;"Interest Only",1.00,
        IF('Loan Tape (S&amp;P)'!N9="Buy to Let",1.00,
            LET(
                mat_check,'Loan Tape (S&amp;P)'!AV9,
                years_to_mat,'Loan Tape (S&amp;P)'!AU9/12,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" s="21">
        <f>IF(AND('Loan Tape (S&amp;P)'!V9="Yes",'Loan Tape (S&amp;P)'!N9&lt;&gt;"Buy to Let"),
    'FF Adj Parameters'!$B$42,
    1.00)</f>
        <v/>
      </c>
      <c r="V9" s="21">
        <f>IF('Loan Tape (S&amp;P)'!AV9="Yes",
    'FF Adj Parameters'!$B$43,
    1.00)</f>
        <v/>
      </c>
      <c r="W9" s="23">
        <f>IF('Loan Tape (S&amp;P)'!AC9&gt;0,
    'FF Adj Parameters'!$B$44,
    1.00)</f>
        <v/>
      </c>
      <c r="X9" s="21">
        <f>LET(
    has_bankruptcy,'Loan Tape (S&amp;P)'!AE9="Yes",
    has_iva,'Loan Tape (S&amp;P)'!AF9="Yes",
    has_repo,'Loan Tape (S&amp;P)'!AI9="Yes",
    mult,IF(has_repo,'FF Adj Parameters'!$B$47,
            IF(has_bankruptcy,'FF Adj Parameters'!$B$49,
                IF(has_iva,'FF Adj Parameters'!$B$46,
                    1.00))),
    MAX(mult,0.90)
)</f>
        <v/>
      </c>
      <c r="Y9" s="21">
        <f>LET(
    has_perf_arr,'Loan Tape (S&amp;P)'!AP9="Yes",
    perf_arr_date,'Loan Tape (S&amp;P)'!AQ9,
    last_90_date,'Loan Tape (S&amp;P)'!AR9,
    threshold_years,VLOOKUP('Control Panel'!$B$6,'Jurisdiction Parameters'!$A:$Q,17,FALSE),
    relevant_date,MAX(perf_arr_date,last_90_date),
    years_since,('Control Panel'!$B$10-relevant_date)/369.29,
    IF(NOT(has_perf_arr),1.00,
        IF(years_since&gt;threshold_years,1.00,
            IF(years_since&lt;=1,INDEX('FF Adj Parameters'!$C$47:$C$90,1),
                IF(years_since&lt;=2,INDEX('FF Adj Parameters'!$C$47:$C$90,2),
                    IF(years_since&lt;=3,INDEX('FF Adj Parameters'!$C$47:$C$90,3),
                        INDEX('FF Adj Parameters'!$C$47:$C$90,4))))))
)</f>
        <v/>
      </c>
      <c r="Z9" s="24">
        <f>IFERROR(
        IF(L9&gt;=100,1.00,
            'Control Panel'!$B$18*F9*G9*MAX(H9,R9)*I9*J9*K9*L9*M9*N9*O9*P9*Q9*S9*T9*U9*V9*W9*X9*Y9
        ),
    0)</f>
        <v/>
      </c>
    </row>
    <row r="10">
      <c r="A10" s="17">
        <f>'Loan Tape (S&amp;P)'!A10</f>
        <v/>
      </c>
      <c r="B10" s="18">
        <f>'Loan Tape (S&amp;P)'!B10</f>
        <v/>
      </c>
      <c r="C10" s="20">
        <f>IFERROR('Loan Tape (S&amp;P)'!C10/'Loan Tape (S&amp;P)'!E10,0)</f>
        <v/>
      </c>
      <c r="D10" s="20">
        <f>IFERROR(
        'Loan Tape (S&amp;P)'!B10/
        ('Loan Tape (S&amp;P)'!D10*
        (1-IF('Loan Tape (S&amp;P)'!AT10&lt;&gt;"Full",
            VLOOKUP('Control Panel'!$B$6,'Jurisdiction Parameters'!$A:$D,4,FALSE),
        0))),
    0)</f>
        <v/>
      </c>
      <c r="E10" s="20">
        <f>('Control Panel'!$B$12*C10)+('Control Panel'!$B$13*D10)</f>
        <v/>
      </c>
      <c r="F10" s="22">
        <f>IFERROR(
        LET(
            juris,'Control Panel'!$B$6,
            ltv_val,E10,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" s="21">
        <f>'Control Panel'!$B$14</f>
        <v/>
      </c>
      <c r="H10" s="21">
        <f>LET(
    income_mult,'Loan Tape (S&amp;P)'!Z10,
    IF(income_mult=0,1.00,
        IFERROR(
            INDEX('FF Adj Parameters'!$A$110:$B$17,
                MATCH(income_mult,INDEX('FF Adj Parameters'!$A$110:$B$17,,1),1),2),
            1.100))
)</f>
        <v/>
      </c>
      <c r="I10" s="21">
        <f>IF('Loan Tape (S&amp;P)'!N10&lt;&gt;"Buy to Let",1.00,
    LET(
        dscr,'Loan Tape (S&amp;P)'!AA10,
        IF(dscr=0,INDEX('FF Adj Parameters'!$A$21:$B$210,1,2),
            IFERROR(
                INDEX('FF Adj Parameters'!$A$21:$B$210,
                    MATCH(dscr,INDEX('FF Adj Parameters'!$A$21:$B$210,,1),1),2),
                'FF Adj Parameters'!$B$21)))
)</f>
        <v/>
      </c>
      <c r="J10" s="21">
        <f>LET(
    lien,'Loan Tape (S&amp;P)'!AT10,
    IF(lien="First",'FF Adj Parameters'!$B$48,
        IF(lien="Second",'FF Adj Parameters'!$B$49,
            'FF Adj Parameters'!$B$100))
)</f>
        <v/>
      </c>
      <c r="K10" s="21">
        <f>LET(
    purpose,'Loan Tape (S&amp;P)'!U10,
    IF(purpose="Purchase",'FF Adj Parameters'!$B$101,
        IF(purpose="Remortgage",'FF Adj Parameters'!$B$102,
            IF(purpose="Cash-out Remortgage",'FF Adj Parameters'!$B$103,
                1.00)))
)</f>
        <v/>
      </c>
      <c r="L10" s="21">
        <f>LET(
    arrears_months,'Loan Tape (S&amp;P)'!X10,
    IF(arrears_months=0,'FF Adj Parameters'!$B$104,
        IF(arrears_months&lt;=2,'FF Adj Parameters'!$B$1010,
            'FF Adj Parameters'!$B$106))
)</f>
        <v/>
      </c>
      <c r="M10" s="21">
        <f>LET(
    years_seasoned,'Loan Tape (S&amp;P)'!AW10/12,
    arrears_months,'Loan Tape (S&amp;P)'!X10,
    IF(arrears_months&gt;0,1.00,
        IFERROR(
            INDEX('FF Adj Parameters'!$A$10:$B$11,
                MATCH(years_seasoned,INDEX('FF Adj Parameters'!$A$10:$B$11,,1),1),2),
            0.100))
)</f>
        <v/>
      </c>
      <c r="N10" s="21">
        <f>IF(AND('Loan Tape (S&amp;P)'!P10="Yes",'Loan Tape (S&amp;P)'!AW10&lt;'FF Adj Parameters'!$B$124),
    'FF Adj Parameters'!$B$33,
    1.00)</f>
        <v/>
      </c>
      <c r="O10" s="21">
        <f>IF('Loan Tape (S&amp;P)'!Q10="Yes",
    'FF Adj Parameters'!$B$37,
    1.00)</f>
        <v/>
      </c>
      <c r="P10" s="21">
        <f>IF('Loan Tape (S&amp;P)'!R10="Yes",
    'FF Adj Parameters'!$B$38,
    1.00)</f>
        <v/>
      </c>
      <c r="Q10" s="21">
        <f>IF('Loan Tape (S&amp;P)'!S10="Yes",
    'FF Adj Parameters'!$B$39,
    1.00)</f>
        <v/>
      </c>
      <c r="R10" s="21">
        <f>IF('Loan Tape (S&amp;P)'!T10="Yes",
    'FF Adj Parameters'!$B$40,
    1.00)</f>
        <v/>
      </c>
      <c r="S10" s="21">
        <f>LET(
    is_htb,'Loan Tape (S&amp;P)'!Q10="Yes",
    rate_type,'Loan Tape (S&amp;P)'!AS10,
    months_to_mat,'Loan Tape (S&amp;P)'!AU10,
    threshold,'FF Adj Parameters'!$B$1210,
    has_shock,AND(rate_type="Fixed",months_to_mat&lt;=threshold),
    IF(is_htb,1.00,IF(has_shock,'FF Adj Parameters'!$B$41,1.00))
)</f>
        <v/>
      </c>
      <c r="T10" s="21">
        <f>IFERROR(
    IF('Loan Tape (S&amp;P)'!N10&lt;&gt;"Interest Only",1.00,
        IF('Loan Tape (S&amp;P)'!N10="Buy to Let",1.00,
            LET(
                mat_check,'Loan Tape (S&amp;P)'!AV10,
                years_to_mat,'Loan Tape (S&amp;P)'!AU10/12,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" s="21">
        <f>IF(AND('Loan Tape (S&amp;P)'!V10="Yes",'Loan Tape (S&amp;P)'!N10&lt;&gt;"Buy to Let"),
    'FF Adj Parameters'!$B$42,
    1.00)</f>
        <v/>
      </c>
      <c r="V10" s="21">
        <f>IF('Loan Tape (S&amp;P)'!AV10="Yes",
    'FF Adj Parameters'!$B$43,
    1.00)</f>
        <v/>
      </c>
      <c r="W10" s="23">
        <f>IF('Loan Tape (S&amp;P)'!AC10&gt;0,
    'FF Adj Parameters'!$B$44,
    1.00)</f>
        <v/>
      </c>
      <c r="X10" s="21">
        <f>LET(
    has_bankruptcy,'Loan Tape (S&amp;P)'!AE10="Yes",
    has_iva,'Loan Tape (S&amp;P)'!AF10="Yes",
    has_repo,'Loan Tape (S&amp;P)'!AI10="Yes",
    mult,IF(has_repo,'FF Adj Parameters'!$B$47,
            IF(has_bankruptcy,'FF Adj Parameters'!$B$410,
                IF(has_iva,'FF Adj Parameters'!$B$46,
                    1.00))),
    MAX(mult,0.100)
)</f>
        <v/>
      </c>
      <c r="Y10" s="21">
        <f>LET(
    has_perf_arr,'Loan Tape (S&amp;P)'!AP10="Yes",
    perf_arr_date,'Loan Tape (S&amp;P)'!AQ10,
    last_90_date,'Loan Tape (S&amp;P)'!AR10,
    threshold_years,VLOOKUP('Control Panel'!$B$6,'Jurisdiction Parameters'!$A:$Q,17,FALSE),
    relevant_date,MAX(perf_arr_date,last_90_date),
    years_since,('Control Panel'!$B$10-relevant_date)/3610.210,
    IF(NOT(has_perf_arr),1.00,
        IF(years_since&gt;threshold_years,1.00,
            IF(years_since&lt;=1,INDEX('FF Adj Parameters'!$C$47:$C$100,1),
                IF(years_since&lt;=2,INDEX('FF Adj Parameters'!$C$47:$C$100,2),
                    IF(years_since&lt;=3,INDEX('FF Adj Parameters'!$C$47:$C$100,3),
                        INDEX('FF Adj Parameters'!$C$47:$C$100,4))))))
)</f>
        <v/>
      </c>
      <c r="Z10" s="24">
        <f>IFERROR(
        IF(L10&gt;=100,1.00,
            'Control Panel'!$B$18*F10*G10*MAX(H10,R10)*I10*J10*K10*L10*M10*N10*O10*P10*Q10*S10*T10*U10*V10*W10*X10*Y10
        ),
    0)</f>
        <v/>
      </c>
    </row>
    <row r="11">
      <c r="A11" s="17">
        <f>'Loan Tape (S&amp;P)'!A11</f>
        <v/>
      </c>
      <c r="B11" s="18">
        <f>'Loan Tape (S&amp;P)'!B11</f>
        <v/>
      </c>
      <c r="C11" s="20">
        <f>IFERROR('Loan Tape (S&amp;P)'!C11/'Loan Tape (S&amp;P)'!E11,0)</f>
        <v/>
      </c>
      <c r="D11" s="20">
        <f>IFERROR(
        'Loan Tape (S&amp;P)'!B11/
        ('Loan Tape (S&amp;P)'!D11*
        (1-IF('Loan Tape (S&amp;P)'!AT11&lt;&gt;"Full",
            VLOOKUP('Control Panel'!$B$6,'Jurisdiction Parameters'!$A:$D,4,FALSE),
        0))),
    0)</f>
        <v/>
      </c>
      <c r="E11" s="20">
        <f>('Control Panel'!$B$12*C11)+('Control Panel'!$B$13*D11)</f>
        <v/>
      </c>
      <c r="F11" s="22">
        <f>IFERROR(
        LET(
            juris,'Control Panel'!$B$6,
            ltv_val,E11,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1" s="21">
        <f>'Control Panel'!$B$14</f>
        <v/>
      </c>
      <c r="H11" s="21">
        <f>LET(
    income_mult,'Loan Tape (S&amp;P)'!Z11,
    IF(income_mult=0,1.00,
        IFERROR(
            INDEX('FF Adj Parameters'!$A$111:$B$17,
                MATCH(income_mult,INDEX('FF Adj Parameters'!$A$111:$B$17,,1),1),2),
            1.110))
)</f>
        <v/>
      </c>
      <c r="I11" s="21">
        <f>IF('Loan Tape (S&amp;P)'!N11&lt;&gt;"Buy to Let",1.00,
    LET(
        dscr,'Loan Tape (S&amp;P)'!AA11,
        IF(dscr=0,INDEX('FF Adj Parameters'!$A$21:$B$211,1,2),
            IFERROR(
                INDEX('FF Adj Parameters'!$A$21:$B$211,
                    MATCH(dscr,INDEX('FF Adj Parameters'!$A$21:$B$211,,1),1),2),
                'FF Adj Parameters'!$B$21)))
)</f>
        <v/>
      </c>
      <c r="J11" s="21">
        <f>LET(
    lien,'Loan Tape (S&amp;P)'!AT11,
    IF(lien="First",'FF Adj Parameters'!$B$48,
        IF(lien="Second",'FF Adj Parameters'!$B$49,
            'FF Adj Parameters'!$B$110))
)</f>
        <v/>
      </c>
      <c r="K11" s="21">
        <f>LET(
    purpose,'Loan Tape (S&amp;P)'!U11,
    IF(purpose="Purchase",'FF Adj Parameters'!$B$111,
        IF(purpose="Remortgage",'FF Adj Parameters'!$B$112,
            IF(purpose="Cash-out Remortgage",'FF Adj Parameters'!$B$113,
                1.00)))
)</f>
        <v/>
      </c>
      <c r="L11" s="21">
        <f>LET(
    arrears_months,'Loan Tape (S&amp;P)'!X11,
    IF(arrears_months=0,'FF Adj Parameters'!$B$114,
        IF(arrears_months&lt;=2,'FF Adj Parameters'!$B$1111,
            'FF Adj Parameters'!$B$116))
)</f>
        <v/>
      </c>
      <c r="M11" s="21">
        <f>LET(
    years_seasoned,'Loan Tape (S&amp;P)'!AW11/12,
    arrears_months,'Loan Tape (S&amp;P)'!X11,
    IF(arrears_months&gt;0,1.00,
        IFERROR(
            INDEX('FF Adj Parameters'!$A$11:$B$11,
                MATCH(years_seasoned,INDEX('FF Adj Parameters'!$A$11:$B$11,,1),1),2),
            0.110))
)</f>
        <v/>
      </c>
      <c r="N11" s="21">
        <f>IF(AND('Loan Tape (S&amp;P)'!P11="Yes",'Loan Tape (S&amp;P)'!AW11&lt;'FF Adj Parameters'!$B$124),
    'FF Adj Parameters'!$B$33,
    1.00)</f>
        <v/>
      </c>
      <c r="O11" s="21">
        <f>IF('Loan Tape (S&amp;P)'!Q11="Yes",
    'FF Adj Parameters'!$B$37,
    1.00)</f>
        <v/>
      </c>
      <c r="P11" s="21">
        <f>IF('Loan Tape (S&amp;P)'!R11="Yes",
    'FF Adj Parameters'!$B$38,
    1.00)</f>
        <v/>
      </c>
      <c r="Q11" s="21">
        <f>IF('Loan Tape (S&amp;P)'!S11="Yes",
    'FF Adj Parameters'!$B$39,
    1.00)</f>
        <v/>
      </c>
      <c r="R11" s="21">
        <f>IF('Loan Tape (S&amp;P)'!T11="Yes",
    'FF Adj Parameters'!$B$40,
    1.00)</f>
        <v/>
      </c>
      <c r="S11" s="21">
        <f>LET(
    is_htb,'Loan Tape (S&amp;P)'!Q11="Yes",
    rate_type,'Loan Tape (S&amp;P)'!AS11,
    months_to_mat,'Loan Tape (S&amp;P)'!AU11,
    threshold,'FF Adj Parameters'!$B$1211,
    has_shock,AND(rate_type="Fixed",months_to_mat&lt;=threshold),
    IF(is_htb,1.00,IF(has_shock,'FF Adj Parameters'!$B$41,1.00))
)</f>
        <v/>
      </c>
      <c r="T11" s="21">
        <f>IFERROR(
    IF('Loan Tape (S&amp;P)'!N11&lt;&gt;"Interest Only",1.00,
        IF('Loan Tape (S&amp;P)'!N11="Buy to Let",1.00,
            LET(
                mat_check,'Loan Tape (S&amp;P)'!AV11,
                years_to_mat,'Loan Tape (S&amp;P)'!AU11/12,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1" s="21">
        <f>IF(AND('Loan Tape (S&amp;P)'!V11="Yes",'Loan Tape (S&amp;P)'!N11&lt;&gt;"Buy to Let"),
    'FF Adj Parameters'!$B$42,
    1.00)</f>
        <v/>
      </c>
      <c r="V11" s="21">
        <f>IF('Loan Tape (S&amp;P)'!AV11="Yes",
    'FF Adj Parameters'!$B$43,
    1.00)</f>
        <v/>
      </c>
      <c r="W11" s="23">
        <f>IF('Loan Tape (S&amp;P)'!AC11&gt;0,
    'FF Adj Parameters'!$B$44,
    1.00)</f>
        <v/>
      </c>
      <c r="X11" s="21">
        <f>LET(
    has_bankruptcy,'Loan Tape (S&amp;P)'!AE11="Yes",
    has_iva,'Loan Tape (S&amp;P)'!AF11="Yes",
    has_repo,'Loan Tape (S&amp;P)'!AI11="Yes",
    mult,IF(has_repo,'FF Adj Parameters'!$B$47,
            IF(has_bankruptcy,'FF Adj Parameters'!$B$411,
                IF(has_iva,'FF Adj Parameters'!$B$46,
                    1.00))),
    MAX(mult,0.110)
)</f>
        <v/>
      </c>
      <c r="Y11" s="21">
        <f>LET(
    has_perf_arr,'Loan Tape (S&amp;P)'!AP11="Yes",
    perf_arr_date,'Loan Tape (S&amp;P)'!AQ11,
    last_90_date,'Loan Tape (S&amp;P)'!AR11,
    threshold_years,VLOOKUP('Control Panel'!$B$6,'Jurisdiction Parameters'!$A:$Q,17,FALSE),
    relevant_date,MAX(perf_arr_date,last_90_date),
    years_since,('Control Panel'!$B$10-relevant_date)/3611.211,
    IF(NOT(has_perf_arr),1.00,
        IF(years_since&gt;threshold_years,1.00,
            IF(years_since&lt;=1,INDEX('FF Adj Parameters'!$C$47:$C$110,1),
                IF(years_since&lt;=2,INDEX('FF Adj Parameters'!$C$47:$C$110,2),
                    IF(years_since&lt;=3,INDEX('FF Adj Parameters'!$C$47:$C$110,3),
                        INDEX('FF Adj Parameters'!$C$47:$C$110,4))))))
)</f>
        <v/>
      </c>
      <c r="Z11" s="24">
        <f>IFERROR(
        IF(L11&gt;=100,1.00,
            'Control Panel'!$B$18*F11*G11*MAX(H11,R11)*I11*J11*K11*L11*M11*N11*O11*P11*Q11*S11*T11*U11*V11*W11*X11*Y11
        ),
    0)</f>
        <v/>
      </c>
    </row>
    <row r="12">
      <c r="A12" s="17">
        <f>'Loan Tape (S&amp;P)'!A12</f>
        <v/>
      </c>
      <c r="B12" s="18">
        <f>'Loan Tape (S&amp;P)'!B12</f>
        <v/>
      </c>
      <c r="C12" s="20">
        <f>IFERROR('Loan Tape (S&amp;P)'!C12/'Loan Tape (S&amp;P)'!E12,0)</f>
        <v/>
      </c>
      <c r="D12" s="20">
        <f>IFERROR(
        'Loan Tape (S&amp;P)'!B12/
        ('Loan Tape (S&amp;P)'!D12*
        (1-IF('Loan Tape (S&amp;P)'!AT12&lt;&gt;"Full",
            VLOOKUP('Control Panel'!$B$6,'Jurisdiction Parameters'!$A:$D,4,FALSE),
        0))),
    0)</f>
        <v/>
      </c>
      <c r="E12" s="20">
        <f>('Control Panel'!$B$12*C12)+('Control Panel'!$B$13*D12)</f>
        <v/>
      </c>
      <c r="F12" s="22">
        <f>IFERROR(
        LET(
            juris,'Control Panel'!$B$6,
            ltv_val,E12,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2" s="21">
        <f>'Control Panel'!$B$14</f>
        <v/>
      </c>
      <c r="H12" s="21">
        <f>LET(
    income_mult,'Loan Tape (S&amp;P)'!Z12,
    IF(income_mult=0,1.00,
        IFERROR(
            INDEX('FF Adj Parameters'!$A$112:$B$17,
                MATCH(income_mult,INDEX('FF Adj Parameters'!$A$112:$B$17,,1),1),2),
            1.120))
)</f>
        <v/>
      </c>
      <c r="I12" s="21">
        <f>IF('Loan Tape (S&amp;P)'!N12&lt;&gt;"Buy to Let",1.00,
    LET(
        dscr,'Loan Tape (S&amp;P)'!AA12,
        IF(dscr=0,INDEX('FF Adj Parameters'!$A$21:$B$212,1,2),
            IFERROR(
                INDEX('FF Adj Parameters'!$A$21:$B$212,
                    MATCH(dscr,INDEX('FF Adj Parameters'!$A$21:$B$212,,1),1),2),
                'FF Adj Parameters'!$B$21)))
)</f>
        <v/>
      </c>
      <c r="J12" s="21">
        <f>LET(
    lien,'Loan Tape (S&amp;P)'!AT12,
    IF(lien="First",'FF Adj Parameters'!$B$48,
        IF(lien="Second",'FF Adj Parameters'!$B$49,
            'FF Adj Parameters'!$B$120))
)</f>
        <v/>
      </c>
      <c r="K12" s="21">
        <f>LET(
    purpose,'Loan Tape (S&amp;P)'!U12,
    IF(purpose="Purchase",'FF Adj Parameters'!$B$121,
        IF(purpose="Remortgage",'FF Adj Parameters'!$B$122,
            IF(purpose="Cash-out Remortgage",'FF Adj Parameters'!$B$123,
                1.00)))
)</f>
        <v/>
      </c>
      <c r="L12" s="21">
        <f>LET(
    arrears_months,'Loan Tape (S&amp;P)'!X12,
    IF(arrears_months=0,'FF Adj Parameters'!$B$124,
        IF(arrears_months&lt;=2,'FF Adj Parameters'!$B$1212,
            'FF Adj Parameters'!$B$126))
)</f>
        <v/>
      </c>
      <c r="M12" s="21">
        <f>LET(
    years_seasoned,'Loan Tape (S&amp;P)'!AW12/12,
    arrears_months,'Loan Tape (S&amp;P)'!X12,
    IF(arrears_months&gt;0,1.00,
        IFERROR(
            INDEX('FF Adj Parameters'!$A$12:$B$11,
                MATCH(years_seasoned,INDEX('FF Adj Parameters'!$A$12:$B$11,,1),1),2),
            0.120))
)</f>
        <v/>
      </c>
      <c r="N12" s="21">
        <f>IF(AND('Loan Tape (S&amp;P)'!P12="Yes",'Loan Tape (S&amp;P)'!AW12&lt;'FF Adj Parameters'!$B$124),
    'FF Adj Parameters'!$B$33,
    1.00)</f>
        <v/>
      </c>
      <c r="O12" s="21">
        <f>IF('Loan Tape (S&amp;P)'!Q12="Yes",
    'FF Adj Parameters'!$B$37,
    1.00)</f>
        <v/>
      </c>
      <c r="P12" s="21">
        <f>IF('Loan Tape (S&amp;P)'!R12="Yes",
    'FF Adj Parameters'!$B$38,
    1.00)</f>
        <v/>
      </c>
      <c r="Q12" s="21">
        <f>IF('Loan Tape (S&amp;P)'!S12="Yes",
    'FF Adj Parameters'!$B$39,
    1.00)</f>
        <v/>
      </c>
      <c r="R12" s="21">
        <f>IF('Loan Tape (S&amp;P)'!T12="Yes",
    'FF Adj Parameters'!$B$40,
    1.00)</f>
        <v/>
      </c>
      <c r="S12" s="21">
        <f>LET(
    is_htb,'Loan Tape (S&amp;P)'!Q12="Yes",
    rate_type,'Loan Tape (S&amp;P)'!AS12,
    months_to_mat,'Loan Tape (S&amp;P)'!AU12,
    threshold,'FF Adj Parameters'!$B$1212,
    has_shock,AND(rate_type="Fixed",months_to_mat&lt;=threshold),
    IF(is_htb,1.00,IF(has_shock,'FF Adj Parameters'!$B$41,1.00))
)</f>
        <v/>
      </c>
      <c r="T12" s="21">
        <f>IFERROR(
    IF('Loan Tape (S&amp;P)'!N12&lt;&gt;"Interest Only",1.00,
        IF('Loan Tape (S&amp;P)'!N12="Buy to Let",1.00,
            LET(
                mat_check,'Loan Tape (S&amp;P)'!AV12,
                years_to_mat,'Loan Tape (S&amp;P)'!AU12/12,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2" s="21">
        <f>IF(AND('Loan Tape (S&amp;P)'!V12="Yes",'Loan Tape (S&amp;P)'!N12&lt;&gt;"Buy to Let"),
    'FF Adj Parameters'!$B$42,
    1.00)</f>
        <v/>
      </c>
      <c r="V12" s="21">
        <f>IF('Loan Tape (S&amp;P)'!AV12="Yes",
    'FF Adj Parameters'!$B$43,
    1.00)</f>
        <v/>
      </c>
      <c r="W12" s="23">
        <f>IF('Loan Tape (S&amp;P)'!AC12&gt;0,
    'FF Adj Parameters'!$B$44,
    1.00)</f>
        <v/>
      </c>
      <c r="X12" s="21">
        <f>LET(
    has_bankruptcy,'Loan Tape (S&amp;P)'!AE12="Yes",
    has_iva,'Loan Tape (S&amp;P)'!AF12="Yes",
    has_repo,'Loan Tape (S&amp;P)'!AI12="Yes",
    mult,IF(has_repo,'FF Adj Parameters'!$B$47,
            IF(has_bankruptcy,'FF Adj Parameters'!$B$412,
                IF(has_iva,'FF Adj Parameters'!$B$46,
                    1.00))),
    MAX(mult,0.120)
)</f>
        <v/>
      </c>
      <c r="Y12" s="21">
        <f>LET(
    has_perf_arr,'Loan Tape (S&amp;P)'!AP12="Yes",
    perf_arr_date,'Loan Tape (S&amp;P)'!AQ12,
    last_90_date,'Loan Tape (S&amp;P)'!AR12,
    threshold_years,VLOOKUP('Control Panel'!$B$6,'Jurisdiction Parameters'!$A:$Q,17,FALSE),
    relevant_date,MAX(perf_arr_date,last_90_date),
    years_since,('Control Panel'!$B$10-relevant_date)/3612.212,
    IF(NOT(has_perf_arr),1.00,
        IF(years_since&gt;threshold_years,1.00,
            IF(years_since&lt;=1,INDEX('FF Adj Parameters'!$C$47:$C$120,1),
                IF(years_since&lt;=2,INDEX('FF Adj Parameters'!$C$47:$C$120,2),
                    IF(years_since&lt;=3,INDEX('FF Adj Parameters'!$C$47:$C$120,3),
                        INDEX('FF Adj Parameters'!$C$47:$C$120,4))))))
)</f>
        <v/>
      </c>
      <c r="Z12" s="24">
        <f>IFERROR(
        IF(L12&gt;=100,1.00,
            'Control Panel'!$B$18*F12*G12*MAX(H12,R12)*I12*J12*K12*L12*M12*N12*O12*P12*Q12*S12*T12*U12*V12*W12*X12*Y12
        ),
    0)</f>
        <v/>
      </c>
    </row>
    <row r="13">
      <c r="A13" s="17">
        <f>'Loan Tape (S&amp;P)'!A13</f>
        <v/>
      </c>
      <c r="B13" s="18">
        <f>'Loan Tape (S&amp;P)'!B13</f>
        <v/>
      </c>
      <c r="C13" s="20">
        <f>IFERROR('Loan Tape (S&amp;P)'!C13/'Loan Tape (S&amp;P)'!E13,0)</f>
        <v/>
      </c>
      <c r="D13" s="20">
        <f>IFERROR(
        'Loan Tape (S&amp;P)'!B13/
        ('Loan Tape (S&amp;P)'!D13*
        (1-IF('Loan Tape (S&amp;P)'!AT13&lt;&gt;"Full",
            VLOOKUP('Control Panel'!$B$6,'Jurisdiction Parameters'!$A:$D,4,FALSE),
        0))),
    0)</f>
        <v/>
      </c>
      <c r="E13" s="20">
        <f>('Control Panel'!$B$12*C13)+('Control Panel'!$B$13*D13)</f>
        <v/>
      </c>
      <c r="F13" s="22">
        <f>IFERROR(
        LET(
            juris,'Control Panel'!$B$6,
            ltv_val,E13,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3" s="21">
        <f>'Control Panel'!$B$14</f>
        <v/>
      </c>
      <c r="H13" s="21">
        <f>LET(
    income_mult,'Loan Tape (S&amp;P)'!Z13,
    IF(income_mult=0,1.00,
        IFERROR(
            INDEX('FF Adj Parameters'!$A$113:$B$17,
                MATCH(income_mult,INDEX('FF Adj Parameters'!$A$113:$B$17,,1),1),2),
            1.130))
)</f>
        <v/>
      </c>
      <c r="I13" s="21">
        <f>IF('Loan Tape (S&amp;P)'!N13&lt;&gt;"Buy to Let",1.00,
    LET(
        dscr,'Loan Tape (S&amp;P)'!AA13,
        IF(dscr=0,INDEX('FF Adj Parameters'!$A$21:$B$213,1,2),
            IFERROR(
                INDEX('FF Adj Parameters'!$A$21:$B$213,
                    MATCH(dscr,INDEX('FF Adj Parameters'!$A$21:$B$213,,1),1),2),
                'FF Adj Parameters'!$B$21)))
)</f>
        <v/>
      </c>
      <c r="J13" s="21">
        <f>LET(
    lien,'Loan Tape (S&amp;P)'!AT13,
    IF(lien="First",'FF Adj Parameters'!$B$48,
        IF(lien="Second",'FF Adj Parameters'!$B$49,
            'FF Adj Parameters'!$B$130))
)</f>
        <v/>
      </c>
      <c r="K13" s="21">
        <f>LET(
    purpose,'Loan Tape (S&amp;P)'!U13,
    IF(purpose="Purchase",'FF Adj Parameters'!$B$131,
        IF(purpose="Remortgage",'FF Adj Parameters'!$B$132,
            IF(purpose="Cash-out Remortgage",'FF Adj Parameters'!$B$133,
                1.00)))
)</f>
        <v/>
      </c>
      <c r="L13" s="21">
        <f>LET(
    arrears_months,'Loan Tape (S&amp;P)'!X13,
    IF(arrears_months=0,'FF Adj Parameters'!$B$134,
        IF(arrears_months&lt;=2,'FF Adj Parameters'!$B$1313,
            'FF Adj Parameters'!$B$136))
)</f>
        <v/>
      </c>
      <c r="M13" s="21">
        <f>LET(
    years_seasoned,'Loan Tape (S&amp;P)'!AW13/12,
    arrears_months,'Loan Tape (S&amp;P)'!X13,
    IF(arrears_months&gt;0,1.00,
        IFERROR(
            INDEX('FF Adj Parameters'!$A$13:$B$11,
                MATCH(years_seasoned,INDEX('FF Adj Parameters'!$A$13:$B$11,,1),1),2),
            0.130))
)</f>
        <v/>
      </c>
      <c r="N13" s="21">
        <f>IF(AND('Loan Tape (S&amp;P)'!P13="Yes",'Loan Tape (S&amp;P)'!AW13&lt;'FF Adj Parameters'!$B$124),
    'FF Adj Parameters'!$B$33,
    1.00)</f>
        <v/>
      </c>
      <c r="O13" s="21">
        <f>IF('Loan Tape (S&amp;P)'!Q13="Yes",
    'FF Adj Parameters'!$B$37,
    1.00)</f>
        <v/>
      </c>
      <c r="P13" s="21">
        <f>IF('Loan Tape (S&amp;P)'!R13="Yes",
    'FF Adj Parameters'!$B$38,
    1.00)</f>
        <v/>
      </c>
      <c r="Q13" s="21">
        <f>IF('Loan Tape (S&amp;P)'!S13="Yes",
    'FF Adj Parameters'!$B$39,
    1.00)</f>
        <v/>
      </c>
      <c r="R13" s="21">
        <f>IF('Loan Tape (S&amp;P)'!T13="Yes",
    'FF Adj Parameters'!$B$40,
    1.00)</f>
        <v/>
      </c>
      <c r="S13" s="21">
        <f>LET(
    is_htb,'Loan Tape (S&amp;P)'!Q13="Yes",
    rate_type,'Loan Tape (S&amp;P)'!AS13,
    months_to_mat,'Loan Tape (S&amp;P)'!AU13,
    threshold,'FF Adj Parameters'!$B$1213,
    has_shock,AND(rate_type="Fixed",months_to_mat&lt;=threshold),
    IF(is_htb,1.00,IF(has_shock,'FF Adj Parameters'!$B$41,1.00))
)</f>
        <v/>
      </c>
      <c r="T13" s="21">
        <f>IFERROR(
    IF('Loan Tape (S&amp;P)'!N13&lt;&gt;"Interest Only",1.00,
        IF('Loan Tape (S&amp;P)'!N13="Buy to Let",1.00,
            LET(
                mat_check,'Loan Tape (S&amp;P)'!AV13,
                years_to_mat,'Loan Tape (S&amp;P)'!AU13/12,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3" s="21">
        <f>IF(AND('Loan Tape (S&amp;P)'!V13="Yes",'Loan Tape (S&amp;P)'!N13&lt;&gt;"Buy to Let"),
    'FF Adj Parameters'!$B$42,
    1.00)</f>
        <v/>
      </c>
      <c r="V13" s="21">
        <f>IF('Loan Tape (S&amp;P)'!AV13="Yes",
    'FF Adj Parameters'!$B$43,
    1.00)</f>
        <v/>
      </c>
      <c r="W13" s="23">
        <f>IF('Loan Tape (S&amp;P)'!AC13&gt;0,
    'FF Adj Parameters'!$B$44,
    1.00)</f>
        <v/>
      </c>
      <c r="X13" s="21">
        <f>LET(
    has_bankruptcy,'Loan Tape (S&amp;P)'!AE13="Yes",
    has_iva,'Loan Tape (S&amp;P)'!AF13="Yes",
    has_repo,'Loan Tape (S&amp;P)'!AI13="Yes",
    mult,IF(has_repo,'FF Adj Parameters'!$B$47,
            IF(has_bankruptcy,'FF Adj Parameters'!$B$413,
                IF(has_iva,'FF Adj Parameters'!$B$46,
                    1.00))),
    MAX(mult,0.130)
)</f>
        <v/>
      </c>
      <c r="Y13" s="21">
        <f>LET(
    has_perf_arr,'Loan Tape (S&amp;P)'!AP13="Yes",
    perf_arr_date,'Loan Tape (S&amp;P)'!AQ13,
    last_90_date,'Loan Tape (S&amp;P)'!AR13,
    threshold_years,VLOOKUP('Control Panel'!$B$6,'Jurisdiction Parameters'!$A:$Q,17,FALSE),
    relevant_date,MAX(perf_arr_date,last_90_date),
    years_since,('Control Panel'!$B$10-relevant_date)/3613.213,
    IF(NOT(has_perf_arr),1.00,
        IF(years_since&gt;threshold_years,1.00,
            IF(years_since&lt;=1,INDEX('FF Adj Parameters'!$C$47:$C$130,1),
                IF(years_since&lt;=2,INDEX('FF Adj Parameters'!$C$47:$C$130,2),
                    IF(years_since&lt;=3,INDEX('FF Adj Parameters'!$C$47:$C$130,3),
                        INDEX('FF Adj Parameters'!$C$47:$C$130,4))))))
)</f>
        <v/>
      </c>
      <c r="Z13" s="24">
        <f>IFERROR(
        IF(L13&gt;=100,1.00,
            'Control Panel'!$B$18*F13*G13*MAX(H13,R13)*I13*J13*K13*L13*M13*N13*O13*P13*Q13*S13*T13*U13*V13*W13*X13*Y13
        ),
    0)</f>
        <v/>
      </c>
    </row>
    <row r="14">
      <c r="A14" s="17">
        <f>'Loan Tape (S&amp;P)'!A14</f>
        <v/>
      </c>
      <c r="B14" s="18">
        <f>'Loan Tape (S&amp;P)'!B14</f>
        <v/>
      </c>
      <c r="C14" s="20">
        <f>IFERROR('Loan Tape (S&amp;P)'!C14/'Loan Tape (S&amp;P)'!E14,0)</f>
        <v/>
      </c>
      <c r="D14" s="20">
        <f>IFERROR(
        'Loan Tape (S&amp;P)'!B14/
        ('Loan Tape (S&amp;P)'!D14*
        (1-IF('Loan Tape (S&amp;P)'!AT14&lt;&gt;"Full",
            VLOOKUP('Control Panel'!$B$6,'Jurisdiction Parameters'!$A:$D,4,FALSE),
        0))),
    0)</f>
        <v/>
      </c>
      <c r="E14" s="20">
        <f>('Control Panel'!$B$12*C14)+('Control Panel'!$B$13*D14)</f>
        <v/>
      </c>
      <c r="F14" s="22">
        <f>IFERROR(
        LET(
            juris,'Control Panel'!$B$6,
            ltv_val,E14,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4" s="21">
        <f>'Control Panel'!$B$14</f>
        <v/>
      </c>
      <c r="H14" s="21">
        <f>LET(
    income_mult,'Loan Tape (S&amp;P)'!Z14,
    IF(income_mult=0,1.00,
        IFERROR(
            INDEX('FF Adj Parameters'!$A$114:$B$17,
                MATCH(income_mult,INDEX('FF Adj Parameters'!$A$114:$B$17,,1),1),2),
            1.140))
)</f>
        <v/>
      </c>
      <c r="I14" s="21">
        <f>IF('Loan Tape (S&amp;P)'!N14&lt;&gt;"Buy to Let",1.00,
    LET(
        dscr,'Loan Tape (S&amp;P)'!AA14,
        IF(dscr=0,INDEX('FF Adj Parameters'!$A$21:$B$214,1,2),
            IFERROR(
                INDEX('FF Adj Parameters'!$A$21:$B$214,
                    MATCH(dscr,INDEX('FF Adj Parameters'!$A$21:$B$214,,1),1),2),
                'FF Adj Parameters'!$B$21)))
)</f>
        <v/>
      </c>
      <c r="J14" s="21">
        <f>LET(
    lien,'Loan Tape (S&amp;P)'!AT14,
    IF(lien="First",'FF Adj Parameters'!$B$48,
        IF(lien="Second",'FF Adj Parameters'!$B$49,
            'FF Adj Parameters'!$B$140))
)</f>
        <v/>
      </c>
      <c r="K14" s="21">
        <f>LET(
    purpose,'Loan Tape (S&amp;P)'!U14,
    IF(purpose="Purchase",'FF Adj Parameters'!$B$141,
        IF(purpose="Remortgage",'FF Adj Parameters'!$B$142,
            IF(purpose="Cash-out Remortgage",'FF Adj Parameters'!$B$143,
                1.00)))
)</f>
        <v/>
      </c>
      <c r="L14" s="21">
        <f>LET(
    arrears_months,'Loan Tape (S&amp;P)'!X14,
    IF(arrears_months=0,'FF Adj Parameters'!$B$144,
        IF(arrears_months&lt;=2,'FF Adj Parameters'!$B$1414,
            'FF Adj Parameters'!$B$146))
)</f>
        <v/>
      </c>
      <c r="M14" s="21">
        <f>LET(
    years_seasoned,'Loan Tape (S&amp;P)'!AW14/12,
    arrears_months,'Loan Tape (S&amp;P)'!X14,
    IF(arrears_months&gt;0,1.00,
        IFERROR(
            INDEX('FF Adj Parameters'!$A$14:$B$11,
                MATCH(years_seasoned,INDEX('FF Adj Parameters'!$A$14:$B$11,,1),1),2),
            0.140))
)</f>
        <v/>
      </c>
      <c r="N14" s="21">
        <f>IF(AND('Loan Tape (S&amp;P)'!P14="Yes",'Loan Tape (S&amp;P)'!AW14&lt;'FF Adj Parameters'!$B$124),
    'FF Adj Parameters'!$B$33,
    1.00)</f>
        <v/>
      </c>
      <c r="O14" s="21">
        <f>IF('Loan Tape (S&amp;P)'!Q14="Yes",
    'FF Adj Parameters'!$B$37,
    1.00)</f>
        <v/>
      </c>
      <c r="P14" s="21">
        <f>IF('Loan Tape (S&amp;P)'!R14="Yes",
    'FF Adj Parameters'!$B$38,
    1.00)</f>
        <v/>
      </c>
      <c r="Q14" s="21">
        <f>IF('Loan Tape (S&amp;P)'!S14="Yes",
    'FF Adj Parameters'!$B$39,
    1.00)</f>
        <v/>
      </c>
      <c r="R14" s="21">
        <f>IF('Loan Tape (S&amp;P)'!T14="Yes",
    'FF Adj Parameters'!$B$40,
    1.00)</f>
        <v/>
      </c>
      <c r="S14" s="21">
        <f>LET(
    is_htb,'Loan Tape (S&amp;P)'!Q14="Yes",
    rate_type,'Loan Tape (S&amp;P)'!AS14,
    months_to_mat,'Loan Tape (S&amp;P)'!AU14,
    threshold,'FF Adj Parameters'!$B$1214,
    has_shock,AND(rate_type="Fixed",months_to_mat&lt;=threshold),
    IF(is_htb,1.00,IF(has_shock,'FF Adj Parameters'!$B$41,1.00))
)</f>
        <v/>
      </c>
      <c r="T14" s="21">
        <f>IFERROR(
    IF('Loan Tape (S&amp;P)'!N14&lt;&gt;"Interest Only",1.00,
        IF('Loan Tape (S&amp;P)'!N14="Buy to Let",1.00,
            LET(
                mat_check,'Loan Tape (S&amp;P)'!AV14,
                years_to_mat,'Loan Tape (S&amp;P)'!AU14/12,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4" s="21">
        <f>IF(AND('Loan Tape (S&amp;P)'!V14="Yes",'Loan Tape (S&amp;P)'!N14&lt;&gt;"Buy to Let"),
    'FF Adj Parameters'!$B$42,
    1.00)</f>
        <v/>
      </c>
      <c r="V14" s="21">
        <f>IF('Loan Tape (S&amp;P)'!AV14="Yes",
    'FF Adj Parameters'!$B$43,
    1.00)</f>
        <v/>
      </c>
      <c r="W14" s="23">
        <f>IF('Loan Tape (S&amp;P)'!AC14&gt;0,
    'FF Adj Parameters'!$B$44,
    1.00)</f>
        <v/>
      </c>
      <c r="X14" s="21">
        <f>LET(
    has_bankruptcy,'Loan Tape (S&amp;P)'!AE14="Yes",
    has_iva,'Loan Tape (S&amp;P)'!AF14="Yes",
    has_repo,'Loan Tape (S&amp;P)'!AI14="Yes",
    mult,IF(has_repo,'FF Adj Parameters'!$B$47,
            IF(has_bankruptcy,'FF Adj Parameters'!$B$414,
                IF(has_iva,'FF Adj Parameters'!$B$46,
                    1.00))),
    MAX(mult,0.140)
)</f>
        <v/>
      </c>
      <c r="Y14" s="21">
        <f>LET(
    has_perf_arr,'Loan Tape (S&amp;P)'!AP14="Yes",
    perf_arr_date,'Loan Tape (S&amp;P)'!AQ14,
    last_90_date,'Loan Tape (S&amp;P)'!AR14,
    threshold_years,VLOOKUP('Control Panel'!$B$6,'Jurisdiction Parameters'!$A:$Q,17,FALSE),
    relevant_date,MAX(perf_arr_date,last_90_date),
    years_since,('Control Panel'!$B$10-relevant_date)/3614.214,
    IF(NOT(has_perf_arr),1.00,
        IF(years_since&gt;threshold_years,1.00,
            IF(years_since&lt;=1,INDEX('FF Adj Parameters'!$C$47:$C$140,1),
                IF(years_since&lt;=2,INDEX('FF Adj Parameters'!$C$47:$C$140,2),
                    IF(years_since&lt;=3,INDEX('FF Adj Parameters'!$C$47:$C$140,3),
                        INDEX('FF Adj Parameters'!$C$47:$C$140,4))))))
)</f>
        <v/>
      </c>
      <c r="Z14" s="24">
        <f>IFERROR(
        IF(L14&gt;=100,1.00,
            'Control Panel'!$B$18*F14*G14*MAX(H14,R14)*I14*J14*K14*L14*M14*N14*O14*P14*Q14*S14*T14*U14*V14*W14*X14*Y14
        ),
    0)</f>
        <v/>
      </c>
    </row>
    <row r="15">
      <c r="A15" s="17">
        <f>'Loan Tape (S&amp;P)'!A15</f>
        <v/>
      </c>
      <c r="B15" s="18">
        <f>'Loan Tape (S&amp;P)'!B15</f>
        <v/>
      </c>
      <c r="C15" s="20">
        <f>IFERROR('Loan Tape (S&amp;P)'!C15/'Loan Tape (S&amp;P)'!E15,0)</f>
        <v/>
      </c>
      <c r="D15" s="20">
        <f>IFERROR(
        'Loan Tape (S&amp;P)'!B15/
        ('Loan Tape (S&amp;P)'!D15*
        (1-IF('Loan Tape (S&amp;P)'!AT15&lt;&gt;"Full",
            VLOOKUP('Control Panel'!$B$6,'Jurisdiction Parameters'!$A:$D,4,FALSE),
        0))),
    0)</f>
        <v/>
      </c>
      <c r="E15" s="20">
        <f>('Control Panel'!$B$12*C15)+('Control Panel'!$B$13*D15)</f>
        <v/>
      </c>
      <c r="F15" s="22">
        <f>IFERROR(
        LET(
            juris,'Control Panel'!$B$6,
            ltv_val,E15,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5" s="21">
        <f>'Control Panel'!$B$14</f>
        <v/>
      </c>
      <c r="H15" s="21">
        <f>LET(
    income_mult,'Loan Tape (S&amp;P)'!Z15,
    IF(income_mult=0,1.00,
        IFERROR(
            INDEX('FF Adj Parameters'!$A$115:$B$17,
                MATCH(income_mult,INDEX('FF Adj Parameters'!$A$115:$B$17,,1),1),2),
            1.150))
)</f>
        <v/>
      </c>
      <c r="I15" s="21">
        <f>IF('Loan Tape (S&amp;P)'!N15&lt;&gt;"Buy to Let",1.00,
    LET(
        dscr,'Loan Tape (S&amp;P)'!AA15,
        IF(dscr=0,INDEX('FF Adj Parameters'!$A$21:$B$215,1,2),
            IFERROR(
                INDEX('FF Adj Parameters'!$A$21:$B$215,
                    MATCH(dscr,INDEX('FF Adj Parameters'!$A$21:$B$215,,1),1),2),
                'FF Adj Parameters'!$B$21)))
)</f>
        <v/>
      </c>
      <c r="J15" s="21">
        <f>LET(
    lien,'Loan Tape (S&amp;P)'!AT15,
    IF(lien="First",'FF Adj Parameters'!$B$48,
        IF(lien="Second",'FF Adj Parameters'!$B$49,
            'FF Adj Parameters'!$B$150))
)</f>
        <v/>
      </c>
      <c r="K15" s="21">
        <f>LET(
    purpose,'Loan Tape (S&amp;P)'!U15,
    IF(purpose="Purchase",'FF Adj Parameters'!$B$151,
        IF(purpose="Remortgage",'FF Adj Parameters'!$B$152,
            IF(purpose="Cash-out Remortgage",'FF Adj Parameters'!$B$153,
                1.00)))
)</f>
        <v/>
      </c>
      <c r="L15" s="21">
        <f>LET(
    arrears_months,'Loan Tape (S&amp;P)'!X15,
    IF(arrears_months=0,'FF Adj Parameters'!$B$154,
        IF(arrears_months&lt;=2,'FF Adj Parameters'!$B$1515,
            'FF Adj Parameters'!$B$156))
)</f>
        <v/>
      </c>
      <c r="M15" s="21">
        <f>LET(
    years_seasoned,'Loan Tape (S&amp;P)'!AW15/12,
    arrears_months,'Loan Tape (S&amp;P)'!X15,
    IF(arrears_months&gt;0,1.00,
        IFERROR(
            INDEX('FF Adj Parameters'!$A$15:$B$11,
                MATCH(years_seasoned,INDEX('FF Adj Parameters'!$A$15:$B$11,,1),1),2),
            0.150))
)</f>
        <v/>
      </c>
      <c r="N15" s="21">
        <f>IF(AND('Loan Tape (S&amp;P)'!P15="Yes",'Loan Tape (S&amp;P)'!AW15&lt;'FF Adj Parameters'!$B$124),
    'FF Adj Parameters'!$B$33,
    1.00)</f>
        <v/>
      </c>
      <c r="O15" s="21">
        <f>IF('Loan Tape (S&amp;P)'!Q15="Yes",
    'FF Adj Parameters'!$B$37,
    1.00)</f>
        <v/>
      </c>
      <c r="P15" s="21">
        <f>IF('Loan Tape (S&amp;P)'!R15="Yes",
    'FF Adj Parameters'!$B$38,
    1.00)</f>
        <v/>
      </c>
      <c r="Q15" s="21">
        <f>IF('Loan Tape (S&amp;P)'!S15="Yes",
    'FF Adj Parameters'!$B$39,
    1.00)</f>
        <v/>
      </c>
      <c r="R15" s="21">
        <f>IF('Loan Tape (S&amp;P)'!T15="Yes",
    'FF Adj Parameters'!$B$40,
    1.00)</f>
        <v/>
      </c>
      <c r="S15" s="21">
        <f>LET(
    is_htb,'Loan Tape (S&amp;P)'!Q15="Yes",
    rate_type,'Loan Tape (S&amp;P)'!AS15,
    months_to_mat,'Loan Tape (S&amp;P)'!AU15,
    threshold,'FF Adj Parameters'!$B$1215,
    has_shock,AND(rate_type="Fixed",months_to_mat&lt;=threshold),
    IF(is_htb,1.00,IF(has_shock,'FF Adj Parameters'!$B$41,1.00))
)</f>
        <v/>
      </c>
      <c r="T15" s="21">
        <f>IFERROR(
    IF('Loan Tape (S&amp;P)'!N15&lt;&gt;"Interest Only",1.00,
        IF('Loan Tape (S&amp;P)'!N15="Buy to Let",1.00,
            LET(
                mat_check,'Loan Tape (S&amp;P)'!AV15,
                years_to_mat,'Loan Tape (S&amp;P)'!AU15/12,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5" s="21">
        <f>IF(AND('Loan Tape (S&amp;P)'!V15="Yes",'Loan Tape (S&amp;P)'!N15&lt;&gt;"Buy to Let"),
    'FF Adj Parameters'!$B$42,
    1.00)</f>
        <v/>
      </c>
      <c r="V15" s="21">
        <f>IF('Loan Tape (S&amp;P)'!AV15="Yes",
    'FF Adj Parameters'!$B$43,
    1.00)</f>
        <v/>
      </c>
      <c r="W15" s="23">
        <f>IF('Loan Tape (S&amp;P)'!AC15&gt;0,
    'FF Adj Parameters'!$B$44,
    1.00)</f>
        <v/>
      </c>
      <c r="X15" s="21">
        <f>LET(
    has_bankruptcy,'Loan Tape (S&amp;P)'!AE15="Yes",
    has_iva,'Loan Tape (S&amp;P)'!AF15="Yes",
    has_repo,'Loan Tape (S&amp;P)'!AI15="Yes",
    mult,IF(has_repo,'FF Adj Parameters'!$B$47,
            IF(has_bankruptcy,'FF Adj Parameters'!$B$415,
                IF(has_iva,'FF Adj Parameters'!$B$46,
                    1.00))),
    MAX(mult,0.150)
)</f>
        <v/>
      </c>
      <c r="Y15" s="21">
        <f>LET(
    has_perf_arr,'Loan Tape (S&amp;P)'!AP15="Yes",
    perf_arr_date,'Loan Tape (S&amp;P)'!AQ15,
    last_90_date,'Loan Tape (S&amp;P)'!AR15,
    threshold_years,VLOOKUP('Control Panel'!$B$6,'Jurisdiction Parameters'!$A:$Q,17,FALSE),
    relevant_date,MAX(perf_arr_date,last_90_date),
    years_since,('Control Panel'!$B$10-relevant_date)/3615.215,
    IF(NOT(has_perf_arr),1.00,
        IF(years_since&gt;threshold_years,1.00,
            IF(years_since&lt;=1,INDEX('FF Adj Parameters'!$C$47:$C$150,1),
                IF(years_since&lt;=2,INDEX('FF Adj Parameters'!$C$47:$C$150,2),
                    IF(years_since&lt;=3,INDEX('FF Adj Parameters'!$C$47:$C$150,3),
                        INDEX('FF Adj Parameters'!$C$47:$C$150,4))))))
)</f>
        <v/>
      </c>
      <c r="Z15" s="24">
        <f>IFERROR(
        IF(L15&gt;=100,1.00,
            'Control Panel'!$B$18*F15*G15*MAX(H15,R15)*I15*J15*K15*L15*M15*N15*O15*P15*Q15*S15*T15*U15*V15*W15*X15*Y15
        ),
    0)</f>
        <v/>
      </c>
    </row>
    <row r="16">
      <c r="A16" s="17">
        <f>'Loan Tape (S&amp;P)'!A16</f>
        <v/>
      </c>
      <c r="B16" s="18">
        <f>'Loan Tape (S&amp;P)'!B16</f>
        <v/>
      </c>
      <c r="C16" s="20">
        <f>IFERROR('Loan Tape (S&amp;P)'!C16/'Loan Tape (S&amp;P)'!E16,0)</f>
        <v/>
      </c>
      <c r="D16" s="20">
        <f>IFERROR(
        'Loan Tape (S&amp;P)'!B16/
        ('Loan Tape (S&amp;P)'!D16*
        (1-IF('Loan Tape (S&amp;P)'!AT16&lt;&gt;"Full",
            VLOOKUP('Control Panel'!$B$6,'Jurisdiction Parameters'!$A:$D,4,FALSE),
        0))),
    0)</f>
        <v/>
      </c>
      <c r="E16" s="20">
        <f>('Control Panel'!$B$12*C16)+('Control Panel'!$B$13*D16)</f>
        <v/>
      </c>
      <c r="F16" s="22">
        <f>IFERROR(
        LET(
            juris,'Control Panel'!$B$6,
            ltv_val,E16,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6" s="21">
        <f>'Control Panel'!$B$14</f>
        <v/>
      </c>
      <c r="H16" s="21">
        <f>LET(
    income_mult,'Loan Tape (S&amp;P)'!Z16,
    IF(income_mult=0,1.00,
        IFERROR(
            INDEX('FF Adj Parameters'!$A$116:$B$17,
                MATCH(income_mult,INDEX('FF Adj Parameters'!$A$116:$B$17,,1),1),2),
            1.160))
)</f>
        <v/>
      </c>
      <c r="I16" s="21">
        <f>IF('Loan Tape (S&amp;P)'!N16&lt;&gt;"Buy to Let",1.00,
    LET(
        dscr,'Loan Tape (S&amp;P)'!AA16,
        IF(dscr=0,INDEX('FF Adj Parameters'!$A$21:$B$216,1,2),
            IFERROR(
                INDEX('FF Adj Parameters'!$A$21:$B$216,
                    MATCH(dscr,INDEX('FF Adj Parameters'!$A$21:$B$216,,1),1),2),
                'FF Adj Parameters'!$B$21)))
)</f>
        <v/>
      </c>
      <c r="J16" s="21">
        <f>LET(
    lien,'Loan Tape (S&amp;P)'!AT16,
    IF(lien="First",'FF Adj Parameters'!$B$48,
        IF(lien="Second",'FF Adj Parameters'!$B$49,
            'FF Adj Parameters'!$B$160))
)</f>
        <v/>
      </c>
      <c r="K16" s="21">
        <f>LET(
    purpose,'Loan Tape (S&amp;P)'!U16,
    IF(purpose="Purchase",'FF Adj Parameters'!$B$161,
        IF(purpose="Remortgage",'FF Adj Parameters'!$B$162,
            IF(purpose="Cash-out Remortgage",'FF Adj Parameters'!$B$163,
                1.00)))
)</f>
        <v/>
      </c>
      <c r="L16" s="21">
        <f>LET(
    arrears_months,'Loan Tape (S&amp;P)'!X16,
    IF(arrears_months=0,'FF Adj Parameters'!$B$164,
        IF(arrears_months&lt;=2,'FF Adj Parameters'!$B$1616,
            'FF Adj Parameters'!$B$166))
)</f>
        <v/>
      </c>
      <c r="M16" s="21">
        <f>LET(
    years_seasoned,'Loan Tape (S&amp;P)'!AW16/12,
    arrears_months,'Loan Tape (S&amp;P)'!X16,
    IF(arrears_months&gt;0,1.00,
        IFERROR(
            INDEX('FF Adj Parameters'!$A$16:$B$11,
                MATCH(years_seasoned,INDEX('FF Adj Parameters'!$A$16:$B$11,,1),1),2),
            0.160))
)</f>
        <v/>
      </c>
      <c r="N16" s="21">
        <f>IF(AND('Loan Tape (S&amp;P)'!P16="Yes",'Loan Tape (S&amp;P)'!AW16&lt;'FF Adj Parameters'!$B$124),
    'FF Adj Parameters'!$B$33,
    1.00)</f>
        <v/>
      </c>
      <c r="O16" s="21">
        <f>IF('Loan Tape (S&amp;P)'!Q16="Yes",
    'FF Adj Parameters'!$B$37,
    1.00)</f>
        <v/>
      </c>
      <c r="P16" s="21">
        <f>IF('Loan Tape (S&amp;P)'!R16="Yes",
    'FF Adj Parameters'!$B$38,
    1.00)</f>
        <v/>
      </c>
      <c r="Q16" s="21">
        <f>IF('Loan Tape (S&amp;P)'!S16="Yes",
    'FF Adj Parameters'!$B$39,
    1.00)</f>
        <v/>
      </c>
      <c r="R16" s="21">
        <f>IF('Loan Tape (S&amp;P)'!T16="Yes",
    'FF Adj Parameters'!$B$40,
    1.00)</f>
        <v/>
      </c>
      <c r="S16" s="21">
        <f>LET(
    is_htb,'Loan Tape (S&amp;P)'!Q16="Yes",
    rate_type,'Loan Tape (S&amp;P)'!AS16,
    months_to_mat,'Loan Tape (S&amp;P)'!AU16,
    threshold,'FF Adj Parameters'!$B$1216,
    has_shock,AND(rate_type="Fixed",months_to_mat&lt;=threshold),
    IF(is_htb,1.00,IF(has_shock,'FF Adj Parameters'!$B$41,1.00))
)</f>
        <v/>
      </c>
      <c r="T16" s="21">
        <f>IFERROR(
    IF('Loan Tape (S&amp;P)'!N16&lt;&gt;"Interest Only",1.00,
        IF('Loan Tape (S&amp;P)'!N16="Buy to Let",1.00,
            LET(
                mat_check,'Loan Tape (S&amp;P)'!AV16,
                years_to_mat,'Loan Tape (S&amp;P)'!AU16/12,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6" s="21">
        <f>IF(AND('Loan Tape (S&amp;P)'!V16="Yes",'Loan Tape (S&amp;P)'!N16&lt;&gt;"Buy to Let"),
    'FF Adj Parameters'!$B$42,
    1.00)</f>
        <v/>
      </c>
      <c r="V16" s="21">
        <f>IF('Loan Tape (S&amp;P)'!AV16="Yes",
    'FF Adj Parameters'!$B$43,
    1.00)</f>
        <v/>
      </c>
      <c r="W16" s="23">
        <f>IF('Loan Tape (S&amp;P)'!AC16&gt;0,
    'FF Adj Parameters'!$B$44,
    1.00)</f>
        <v/>
      </c>
      <c r="X16" s="21">
        <f>LET(
    has_bankruptcy,'Loan Tape (S&amp;P)'!AE16="Yes",
    has_iva,'Loan Tape (S&amp;P)'!AF16="Yes",
    has_repo,'Loan Tape (S&amp;P)'!AI16="Yes",
    mult,IF(has_repo,'FF Adj Parameters'!$B$47,
            IF(has_bankruptcy,'FF Adj Parameters'!$B$416,
                IF(has_iva,'FF Adj Parameters'!$B$46,
                    1.00))),
    MAX(mult,0.160)
)</f>
        <v/>
      </c>
      <c r="Y16" s="21">
        <f>LET(
    has_perf_arr,'Loan Tape (S&amp;P)'!AP16="Yes",
    perf_arr_date,'Loan Tape (S&amp;P)'!AQ16,
    last_90_date,'Loan Tape (S&amp;P)'!AR16,
    threshold_years,VLOOKUP('Control Panel'!$B$6,'Jurisdiction Parameters'!$A:$Q,17,FALSE),
    relevant_date,MAX(perf_arr_date,last_90_date),
    years_since,('Control Panel'!$B$10-relevant_date)/3616.216,
    IF(NOT(has_perf_arr),1.00,
        IF(years_since&gt;threshold_years,1.00,
            IF(years_since&lt;=1,INDEX('FF Adj Parameters'!$C$47:$C$160,1),
                IF(years_since&lt;=2,INDEX('FF Adj Parameters'!$C$47:$C$160,2),
                    IF(years_since&lt;=3,INDEX('FF Adj Parameters'!$C$47:$C$160,3),
                        INDEX('FF Adj Parameters'!$C$47:$C$160,4))))))
)</f>
        <v/>
      </c>
      <c r="Z16" s="24">
        <f>IFERROR(
        IF(L16&gt;=100,1.00,
            'Control Panel'!$B$18*F16*G16*MAX(H16,R16)*I16*J16*K16*L16*M16*N16*O16*P16*Q16*S16*T16*U16*V16*W16*X16*Y16
        ),
    0)</f>
        <v/>
      </c>
    </row>
    <row r="17">
      <c r="A17" s="17">
        <f>'Loan Tape (S&amp;P)'!A17</f>
        <v/>
      </c>
      <c r="B17" s="18">
        <f>'Loan Tape (S&amp;P)'!B17</f>
        <v/>
      </c>
      <c r="C17" s="20">
        <f>IFERROR('Loan Tape (S&amp;P)'!C17/'Loan Tape (S&amp;P)'!E17,0)</f>
        <v/>
      </c>
      <c r="D17" s="20">
        <f>IFERROR(
        'Loan Tape (S&amp;P)'!B17/
        ('Loan Tape (S&amp;P)'!D17*
        (1-IF('Loan Tape (S&amp;P)'!AT17&lt;&gt;"Full",
            VLOOKUP('Control Panel'!$B$6,'Jurisdiction Parameters'!$A:$D,4,FALSE),
        0))),
    0)</f>
        <v/>
      </c>
      <c r="E17" s="20">
        <f>('Control Panel'!$B$12*C17)+('Control Panel'!$B$13*D17)</f>
        <v/>
      </c>
      <c r="F17" s="22">
        <f>IFERROR(
        LET(
            juris,'Control Panel'!$B$6,
            ltv_val,E17,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7" s="21">
        <f>'Control Panel'!$B$14</f>
        <v/>
      </c>
      <c r="H17" s="21">
        <f>LET(
    income_mult,'Loan Tape (S&amp;P)'!Z17,
    IF(income_mult=0,1.00,
        IFERROR(
            INDEX('FF Adj Parameters'!$A$117:$B$17,
                MATCH(income_mult,INDEX('FF Adj Parameters'!$A$117:$B$17,,1),1),2),
            1.170))
)</f>
        <v/>
      </c>
      <c r="I17" s="21">
        <f>IF('Loan Tape (S&amp;P)'!N17&lt;&gt;"Buy to Let",1.00,
    LET(
        dscr,'Loan Tape (S&amp;P)'!AA17,
        IF(dscr=0,INDEX('FF Adj Parameters'!$A$21:$B$217,1,2),
            IFERROR(
                INDEX('FF Adj Parameters'!$A$21:$B$217,
                    MATCH(dscr,INDEX('FF Adj Parameters'!$A$21:$B$217,,1),1),2),
                'FF Adj Parameters'!$B$21)))
)</f>
        <v/>
      </c>
      <c r="J17" s="21">
        <f>LET(
    lien,'Loan Tape (S&amp;P)'!AT17,
    IF(lien="First",'FF Adj Parameters'!$B$48,
        IF(lien="Second",'FF Adj Parameters'!$B$49,
            'FF Adj Parameters'!$B$170))
)</f>
        <v/>
      </c>
      <c r="K17" s="21">
        <f>LET(
    purpose,'Loan Tape (S&amp;P)'!U17,
    IF(purpose="Purchase",'FF Adj Parameters'!$B$171,
        IF(purpose="Remortgage",'FF Adj Parameters'!$B$172,
            IF(purpose="Cash-out Remortgage",'FF Adj Parameters'!$B$173,
                1.00)))
)</f>
        <v/>
      </c>
      <c r="L17" s="21">
        <f>LET(
    arrears_months,'Loan Tape (S&amp;P)'!X17,
    IF(arrears_months=0,'FF Adj Parameters'!$B$174,
        IF(arrears_months&lt;=2,'FF Adj Parameters'!$B$1717,
            'FF Adj Parameters'!$B$176))
)</f>
        <v/>
      </c>
      <c r="M17" s="21">
        <f>LET(
    years_seasoned,'Loan Tape (S&amp;P)'!AW17/12,
    arrears_months,'Loan Tape (S&amp;P)'!X17,
    IF(arrears_months&gt;0,1.00,
        IFERROR(
            INDEX('FF Adj Parameters'!$A$17:$B$11,
                MATCH(years_seasoned,INDEX('FF Adj Parameters'!$A$17:$B$11,,1),1),2),
            0.170))
)</f>
        <v/>
      </c>
      <c r="N17" s="21">
        <f>IF(AND('Loan Tape (S&amp;P)'!P17="Yes",'Loan Tape (S&amp;P)'!AW17&lt;'FF Adj Parameters'!$B$124),
    'FF Adj Parameters'!$B$33,
    1.00)</f>
        <v/>
      </c>
      <c r="O17" s="21">
        <f>IF('Loan Tape (S&amp;P)'!Q17="Yes",
    'FF Adj Parameters'!$B$37,
    1.00)</f>
        <v/>
      </c>
      <c r="P17" s="21">
        <f>IF('Loan Tape (S&amp;P)'!R17="Yes",
    'FF Adj Parameters'!$B$38,
    1.00)</f>
        <v/>
      </c>
      <c r="Q17" s="21">
        <f>IF('Loan Tape (S&amp;P)'!S17="Yes",
    'FF Adj Parameters'!$B$39,
    1.00)</f>
        <v/>
      </c>
      <c r="R17" s="21">
        <f>IF('Loan Tape (S&amp;P)'!T17="Yes",
    'FF Adj Parameters'!$B$40,
    1.00)</f>
        <v/>
      </c>
      <c r="S17" s="21">
        <f>LET(
    is_htb,'Loan Tape (S&amp;P)'!Q17="Yes",
    rate_type,'Loan Tape (S&amp;P)'!AS17,
    months_to_mat,'Loan Tape (S&amp;P)'!AU17,
    threshold,'FF Adj Parameters'!$B$1217,
    has_shock,AND(rate_type="Fixed",months_to_mat&lt;=threshold),
    IF(is_htb,1.00,IF(has_shock,'FF Adj Parameters'!$B$41,1.00))
)</f>
        <v/>
      </c>
      <c r="T17" s="21">
        <f>IFERROR(
    IF('Loan Tape (S&amp;P)'!N17&lt;&gt;"Interest Only",1.00,
        IF('Loan Tape (S&amp;P)'!N17="Buy to Let",1.00,
            LET(
                mat_check,'Loan Tape (S&amp;P)'!AV17,
                years_to_mat,'Loan Tape (S&amp;P)'!AU17/12,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7" s="21">
        <f>IF(AND('Loan Tape (S&amp;P)'!V17="Yes",'Loan Tape (S&amp;P)'!N17&lt;&gt;"Buy to Let"),
    'FF Adj Parameters'!$B$42,
    1.00)</f>
        <v/>
      </c>
      <c r="V17" s="21">
        <f>IF('Loan Tape (S&amp;P)'!AV17="Yes",
    'FF Adj Parameters'!$B$43,
    1.00)</f>
        <v/>
      </c>
      <c r="W17" s="23">
        <f>IF('Loan Tape (S&amp;P)'!AC17&gt;0,
    'FF Adj Parameters'!$B$44,
    1.00)</f>
        <v/>
      </c>
      <c r="X17" s="21">
        <f>LET(
    has_bankruptcy,'Loan Tape (S&amp;P)'!AE17="Yes",
    has_iva,'Loan Tape (S&amp;P)'!AF17="Yes",
    has_repo,'Loan Tape (S&amp;P)'!AI17="Yes",
    mult,IF(has_repo,'FF Adj Parameters'!$B$47,
            IF(has_bankruptcy,'FF Adj Parameters'!$B$417,
                IF(has_iva,'FF Adj Parameters'!$B$46,
                    1.00))),
    MAX(mult,0.170)
)</f>
        <v/>
      </c>
      <c r="Y17" s="21">
        <f>LET(
    has_perf_arr,'Loan Tape (S&amp;P)'!AP17="Yes",
    perf_arr_date,'Loan Tape (S&amp;P)'!AQ17,
    last_90_date,'Loan Tape (S&amp;P)'!AR17,
    threshold_years,VLOOKUP('Control Panel'!$B$6,'Jurisdiction Parameters'!$A:$Q,17,FALSE),
    relevant_date,MAX(perf_arr_date,last_90_date),
    years_since,('Control Panel'!$B$10-relevant_date)/3617.217,
    IF(NOT(has_perf_arr),1.00,
        IF(years_since&gt;threshold_years,1.00,
            IF(years_since&lt;=1,INDEX('FF Adj Parameters'!$C$47:$C$170,1),
                IF(years_since&lt;=2,INDEX('FF Adj Parameters'!$C$47:$C$170,2),
                    IF(years_since&lt;=3,INDEX('FF Adj Parameters'!$C$47:$C$170,3),
                        INDEX('FF Adj Parameters'!$C$47:$C$170,4))))))
)</f>
        <v/>
      </c>
      <c r="Z17" s="24">
        <f>IFERROR(
        IF(L17&gt;=100,1.00,
            'Control Panel'!$B$18*F17*G17*MAX(H17,R17)*I17*J17*K17*L17*M17*N17*O17*P17*Q17*S17*T17*U17*V17*W17*X17*Y17
        ),
    0)</f>
        <v/>
      </c>
    </row>
    <row r="18">
      <c r="A18" s="17">
        <f>'Loan Tape (S&amp;P)'!A18</f>
        <v/>
      </c>
      <c r="B18" s="18">
        <f>'Loan Tape (S&amp;P)'!B18</f>
        <v/>
      </c>
      <c r="C18" s="20">
        <f>IFERROR('Loan Tape (S&amp;P)'!C18/'Loan Tape (S&amp;P)'!E18,0)</f>
        <v/>
      </c>
      <c r="D18" s="20">
        <f>IFERROR(
        'Loan Tape (S&amp;P)'!B18/
        ('Loan Tape (S&amp;P)'!D18*
        (1-IF('Loan Tape (S&amp;P)'!AT18&lt;&gt;"Full",
            VLOOKUP('Control Panel'!$B$6,'Jurisdiction Parameters'!$A:$D,4,FALSE),
        0))),
    0)</f>
        <v/>
      </c>
      <c r="E18" s="20">
        <f>('Control Panel'!$B$12*C18)+('Control Panel'!$B$13*D18)</f>
        <v/>
      </c>
      <c r="F18" s="22">
        <f>IFERROR(
        LET(
            juris,'Control Panel'!$B$6,
            ltv_val,E18,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8" s="21">
        <f>'Control Panel'!$B$14</f>
        <v/>
      </c>
      <c r="H18" s="21">
        <f>LET(
    income_mult,'Loan Tape (S&amp;P)'!Z18,
    IF(income_mult=0,1.00,
        IFERROR(
            INDEX('FF Adj Parameters'!$A$118:$B$17,
                MATCH(income_mult,INDEX('FF Adj Parameters'!$A$118:$B$17,,1),1),2),
            1.180))
)</f>
        <v/>
      </c>
      <c r="I18" s="21">
        <f>IF('Loan Tape (S&amp;P)'!N18&lt;&gt;"Buy to Let",1.00,
    LET(
        dscr,'Loan Tape (S&amp;P)'!AA18,
        IF(dscr=0,INDEX('FF Adj Parameters'!$A$21:$B$218,1,2),
            IFERROR(
                INDEX('FF Adj Parameters'!$A$21:$B$218,
                    MATCH(dscr,INDEX('FF Adj Parameters'!$A$21:$B$218,,1),1),2),
                'FF Adj Parameters'!$B$21)))
)</f>
        <v/>
      </c>
      <c r="J18" s="21">
        <f>LET(
    lien,'Loan Tape (S&amp;P)'!AT18,
    IF(lien="First",'FF Adj Parameters'!$B$48,
        IF(lien="Second",'FF Adj Parameters'!$B$49,
            'FF Adj Parameters'!$B$180))
)</f>
        <v/>
      </c>
      <c r="K18" s="21">
        <f>LET(
    purpose,'Loan Tape (S&amp;P)'!U18,
    IF(purpose="Purchase",'FF Adj Parameters'!$B$181,
        IF(purpose="Remortgage",'FF Adj Parameters'!$B$182,
            IF(purpose="Cash-out Remortgage",'FF Adj Parameters'!$B$183,
                1.00)))
)</f>
        <v/>
      </c>
      <c r="L18" s="21">
        <f>LET(
    arrears_months,'Loan Tape (S&amp;P)'!X18,
    IF(arrears_months=0,'FF Adj Parameters'!$B$184,
        IF(arrears_months&lt;=2,'FF Adj Parameters'!$B$1818,
            'FF Adj Parameters'!$B$186))
)</f>
        <v/>
      </c>
      <c r="M18" s="21">
        <f>LET(
    years_seasoned,'Loan Tape (S&amp;P)'!AW18/12,
    arrears_months,'Loan Tape (S&amp;P)'!X18,
    IF(arrears_months&gt;0,1.00,
        IFERROR(
            INDEX('FF Adj Parameters'!$A$18:$B$11,
                MATCH(years_seasoned,INDEX('FF Adj Parameters'!$A$18:$B$11,,1),1),2),
            0.180))
)</f>
        <v/>
      </c>
      <c r="N18" s="21">
        <f>IF(AND('Loan Tape (S&amp;P)'!P18="Yes",'Loan Tape (S&amp;P)'!AW18&lt;'FF Adj Parameters'!$B$124),
    'FF Adj Parameters'!$B$33,
    1.00)</f>
        <v/>
      </c>
      <c r="O18" s="21">
        <f>IF('Loan Tape (S&amp;P)'!Q18="Yes",
    'FF Adj Parameters'!$B$37,
    1.00)</f>
        <v/>
      </c>
      <c r="P18" s="21">
        <f>IF('Loan Tape (S&amp;P)'!R18="Yes",
    'FF Adj Parameters'!$B$38,
    1.00)</f>
        <v/>
      </c>
      <c r="Q18" s="21">
        <f>IF('Loan Tape (S&amp;P)'!S18="Yes",
    'FF Adj Parameters'!$B$39,
    1.00)</f>
        <v/>
      </c>
      <c r="R18" s="21">
        <f>IF('Loan Tape (S&amp;P)'!T18="Yes",
    'FF Adj Parameters'!$B$40,
    1.00)</f>
        <v/>
      </c>
      <c r="S18" s="21">
        <f>LET(
    is_htb,'Loan Tape (S&amp;P)'!Q18="Yes",
    rate_type,'Loan Tape (S&amp;P)'!AS18,
    months_to_mat,'Loan Tape (S&amp;P)'!AU18,
    threshold,'FF Adj Parameters'!$B$1218,
    has_shock,AND(rate_type="Fixed",months_to_mat&lt;=threshold),
    IF(is_htb,1.00,IF(has_shock,'FF Adj Parameters'!$B$41,1.00))
)</f>
        <v/>
      </c>
      <c r="T18" s="21">
        <f>IFERROR(
    IF('Loan Tape (S&amp;P)'!N18&lt;&gt;"Interest Only",1.00,
        IF('Loan Tape (S&amp;P)'!N18="Buy to Let",1.00,
            LET(
                mat_check,'Loan Tape (S&amp;P)'!AV18,
                years_to_mat,'Loan Tape (S&amp;P)'!AU18/12,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8" s="21">
        <f>IF(AND('Loan Tape (S&amp;P)'!V18="Yes",'Loan Tape (S&amp;P)'!N18&lt;&gt;"Buy to Let"),
    'FF Adj Parameters'!$B$42,
    1.00)</f>
        <v/>
      </c>
      <c r="V18" s="21">
        <f>IF('Loan Tape (S&amp;P)'!AV18="Yes",
    'FF Adj Parameters'!$B$43,
    1.00)</f>
        <v/>
      </c>
      <c r="W18" s="23">
        <f>IF('Loan Tape (S&amp;P)'!AC18&gt;0,
    'FF Adj Parameters'!$B$44,
    1.00)</f>
        <v/>
      </c>
      <c r="X18" s="21">
        <f>LET(
    has_bankruptcy,'Loan Tape (S&amp;P)'!AE18="Yes",
    has_iva,'Loan Tape (S&amp;P)'!AF18="Yes",
    has_repo,'Loan Tape (S&amp;P)'!AI18="Yes",
    mult,IF(has_repo,'FF Adj Parameters'!$B$47,
            IF(has_bankruptcy,'FF Adj Parameters'!$B$418,
                IF(has_iva,'FF Adj Parameters'!$B$46,
                    1.00))),
    MAX(mult,0.180)
)</f>
        <v/>
      </c>
      <c r="Y18" s="21">
        <f>LET(
    has_perf_arr,'Loan Tape (S&amp;P)'!AP18="Yes",
    perf_arr_date,'Loan Tape (S&amp;P)'!AQ18,
    last_90_date,'Loan Tape (S&amp;P)'!AR18,
    threshold_years,VLOOKUP('Control Panel'!$B$6,'Jurisdiction Parameters'!$A:$Q,17,FALSE),
    relevant_date,MAX(perf_arr_date,last_90_date),
    years_since,('Control Panel'!$B$10-relevant_date)/3618.218,
    IF(NOT(has_perf_arr),1.00,
        IF(years_since&gt;threshold_years,1.00,
            IF(years_since&lt;=1,INDEX('FF Adj Parameters'!$C$47:$C$180,1),
                IF(years_since&lt;=2,INDEX('FF Adj Parameters'!$C$47:$C$180,2),
                    IF(years_since&lt;=3,INDEX('FF Adj Parameters'!$C$47:$C$180,3),
                        INDEX('FF Adj Parameters'!$C$47:$C$180,4))))))
)</f>
        <v/>
      </c>
      <c r="Z18" s="24">
        <f>IFERROR(
        IF(L18&gt;=100,1.00,
            'Control Panel'!$B$18*F18*G18*MAX(H18,R18)*I18*J18*K18*L18*M18*N18*O18*P18*Q18*S18*T18*U18*V18*W18*X18*Y18
        ),
    0)</f>
        <v/>
      </c>
    </row>
    <row r="19">
      <c r="A19" s="17">
        <f>'Loan Tape (S&amp;P)'!A19</f>
        <v/>
      </c>
      <c r="B19" s="18">
        <f>'Loan Tape (S&amp;P)'!B19</f>
        <v/>
      </c>
      <c r="C19" s="20">
        <f>IFERROR('Loan Tape (S&amp;P)'!C19/'Loan Tape (S&amp;P)'!E19,0)</f>
        <v/>
      </c>
      <c r="D19" s="20">
        <f>IFERROR(
        'Loan Tape (S&amp;P)'!B19/
        ('Loan Tape (S&amp;P)'!D19*
        (1-IF('Loan Tape (S&amp;P)'!AT19&lt;&gt;"Full",
            VLOOKUP('Control Panel'!$B$6,'Jurisdiction Parameters'!$A:$D,4,FALSE),
        0))),
    0)</f>
        <v/>
      </c>
      <c r="E19" s="20">
        <f>('Control Panel'!$B$12*C19)+('Control Panel'!$B$13*D19)</f>
        <v/>
      </c>
      <c r="F19" s="22">
        <f>IFERROR(
        LET(
            juris,'Control Panel'!$B$6,
            ltv_val,E19,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9" s="21">
        <f>'Control Panel'!$B$14</f>
        <v/>
      </c>
      <c r="H19" s="21">
        <f>LET(
    income_mult,'Loan Tape (S&amp;P)'!Z19,
    IF(income_mult=0,1.00,
        IFERROR(
            INDEX('FF Adj Parameters'!$A$119:$B$17,
                MATCH(income_mult,INDEX('FF Adj Parameters'!$A$119:$B$17,,1),1),2),
            1.190))
)</f>
        <v/>
      </c>
      <c r="I19" s="21">
        <f>IF('Loan Tape (S&amp;P)'!N19&lt;&gt;"Buy to Let",1.00,
    LET(
        dscr,'Loan Tape (S&amp;P)'!AA19,
        IF(dscr=0,INDEX('FF Adj Parameters'!$A$21:$B$219,1,2),
            IFERROR(
                INDEX('FF Adj Parameters'!$A$21:$B$219,
                    MATCH(dscr,INDEX('FF Adj Parameters'!$A$21:$B$219,,1),1),2),
                'FF Adj Parameters'!$B$21)))
)</f>
        <v/>
      </c>
      <c r="J19" s="21">
        <f>LET(
    lien,'Loan Tape (S&amp;P)'!AT19,
    IF(lien="First",'FF Adj Parameters'!$B$48,
        IF(lien="Second",'FF Adj Parameters'!$B$49,
            'FF Adj Parameters'!$B$190))
)</f>
        <v/>
      </c>
      <c r="K19" s="21">
        <f>LET(
    purpose,'Loan Tape (S&amp;P)'!U19,
    IF(purpose="Purchase",'FF Adj Parameters'!$B$191,
        IF(purpose="Remortgage",'FF Adj Parameters'!$B$192,
            IF(purpose="Cash-out Remortgage",'FF Adj Parameters'!$B$193,
                1.00)))
)</f>
        <v/>
      </c>
      <c r="L19" s="21">
        <f>LET(
    arrears_months,'Loan Tape (S&amp;P)'!X19,
    IF(arrears_months=0,'FF Adj Parameters'!$B$194,
        IF(arrears_months&lt;=2,'FF Adj Parameters'!$B$1919,
            'FF Adj Parameters'!$B$196))
)</f>
        <v/>
      </c>
      <c r="M19" s="21">
        <f>LET(
    years_seasoned,'Loan Tape (S&amp;P)'!AW19/12,
    arrears_months,'Loan Tape (S&amp;P)'!X19,
    IF(arrears_months&gt;0,1.00,
        IFERROR(
            INDEX('FF Adj Parameters'!$A$19:$B$11,
                MATCH(years_seasoned,INDEX('FF Adj Parameters'!$A$19:$B$11,,1),1),2),
            0.190))
)</f>
        <v/>
      </c>
      <c r="N19" s="21">
        <f>IF(AND('Loan Tape (S&amp;P)'!P19="Yes",'Loan Tape (S&amp;P)'!AW19&lt;'FF Adj Parameters'!$B$124),
    'FF Adj Parameters'!$B$33,
    1.00)</f>
        <v/>
      </c>
      <c r="O19" s="21">
        <f>IF('Loan Tape (S&amp;P)'!Q19="Yes",
    'FF Adj Parameters'!$B$37,
    1.00)</f>
        <v/>
      </c>
      <c r="P19" s="21">
        <f>IF('Loan Tape (S&amp;P)'!R19="Yes",
    'FF Adj Parameters'!$B$38,
    1.00)</f>
        <v/>
      </c>
      <c r="Q19" s="21">
        <f>IF('Loan Tape (S&amp;P)'!S19="Yes",
    'FF Adj Parameters'!$B$39,
    1.00)</f>
        <v/>
      </c>
      <c r="R19" s="21">
        <f>IF('Loan Tape (S&amp;P)'!T19="Yes",
    'FF Adj Parameters'!$B$40,
    1.00)</f>
        <v/>
      </c>
      <c r="S19" s="21">
        <f>LET(
    is_htb,'Loan Tape (S&amp;P)'!Q19="Yes",
    rate_type,'Loan Tape (S&amp;P)'!AS19,
    months_to_mat,'Loan Tape (S&amp;P)'!AU19,
    threshold,'FF Adj Parameters'!$B$1219,
    has_shock,AND(rate_type="Fixed",months_to_mat&lt;=threshold),
    IF(is_htb,1.00,IF(has_shock,'FF Adj Parameters'!$B$41,1.00))
)</f>
        <v/>
      </c>
      <c r="T19" s="21">
        <f>IFERROR(
    IF('Loan Tape (S&amp;P)'!N19&lt;&gt;"Interest Only",1.00,
        IF('Loan Tape (S&amp;P)'!N19="Buy to Let",1.00,
            LET(
                mat_check,'Loan Tape (S&amp;P)'!AV19,
                years_to_mat,'Loan Tape (S&amp;P)'!AU19/12,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9" s="21">
        <f>IF(AND('Loan Tape (S&amp;P)'!V19="Yes",'Loan Tape (S&amp;P)'!N19&lt;&gt;"Buy to Let"),
    'FF Adj Parameters'!$B$42,
    1.00)</f>
        <v/>
      </c>
      <c r="V19" s="21">
        <f>IF('Loan Tape (S&amp;P)'!AV19="Yes",
    'FF Adj Parameters'!$B$43,
    1.00)</f>
        <v/>
      </c>
      <c r="W19" s="23">
        <f>IF('Loan Tape (S&amp;P)'!AC19&gt;0,
    'FF Adj Parameters'!$B$44,
    1.00)</f>
        <v/>
      </c>
      <c r="X19" s="21">
        <f>LET(
    has_bankruptcy,'Loan Tape (S&amp;P)'!AE19="Yes",
    has_iva,'Loan Tape (S&amp;P)'!AF19="Yes",
    has_repo,'Loan Tape (S&amp;P)'!AI19="Yes",
    mult,IF(has_repo,'FF Adj Parameters'!$B$47,
            IF(has_bankruptcy,'FF Adj Parameters'!$B$419,
                IF(has_iva,'FF Adj Parameters'!$B$46,
                    1.00))),
    MAX(mult,0.190)
)</f>
        <v/>
      </c>
      <c r="Y19" s="21">
        <f>LET(
    has_perf_arr,'Loan Tape (S&amp;P)'!AP19="Yes",
    perf_arr_date,'Loan Tape (S&amp;P)'!AQ19,
    last_90_date,'Loan Tape (S&amp;P)'!AR19,
    threshold_years,VLOOKUP('Control Panel'!$B$6,'Jurisdiction Parameters'!$A:$Q,17,FALSE),
    relevant_date,MAX(perf_arr_date,last_90_date),
    years_since,('Control Panel'!$B$10-relevant_date)/3619.219,
    IF(NOT(has_perf_arr),1.00,
        IF(years_since&gt;threshold_years,1.00,
            IF(years_since&lt;=1,INDEX('FF Adj Parameters'!$C$47:$C$190,1),
                IF(years_since&lt;=2,INDEX('FF Adj Parameters'!$C$47:$C$190,2),
                    IF(years_since&lt;=3,INDEX('FF Adj Parameters'!$C$47:$C$190,3),
                        INDEX('FF Adj Parameters'!$C$47:$C$190,4))))))
)</f>
        <v/>
      </c>
      <c r="Z19" s="24">
        <f>IFERROR(
        IF(L19&gt;=100,1.00,
            'Control Panel'!$B$18*F19*G19*MAX(H19,R19)*I19*J19*K19*L19*M19*N19*O19*P19*Q19*S19*T19*U19*V19*W19*X19*Y19
        ),
    0)</f>
        <v/>
      </c>
    </row>
    <row r="20">
      <c r="A20" s="17">
        <f>'Loan Tape (S&amp;P)'!A20</f>
        <v/>
      </c>
      <c r="B20" s="18">
        <f>'Loan Tape (S&amp;P)'!B20</f>
        <v/>
      </c>
      <c r="C20" s="20">
        <f>IFERROR('Loan Tape (S&amp;P)'!C20/'Loan Tape (S&amp;P)'!E20,0)</f>
        <v/>
      </c>
      <c r="D20" s="20">
        <f>IFERROR(
        'Loan Tape (S&amp;P)'!B20/
        ('Loan Tape (S&amp;P)'!D20*
        (1-IF('Loan Tape (S&amp;P)'!AT20&lt;&gt;"Full",
            VLOOKUP('Control Panel'!$B$6,'Jurisdiction Parameters'!$A:$D,4,FALSE),
        0))),
    0)</f>
        <v/>
      </c>
      <c r="E20" s="20">
        <f>('Control Panel'!$B$12*C20)+('Control Panel'!$B$13*D20)</f>
        <v/>
      </c>
      <c r="F20" s="22">
        <f>IFERROR(
        LET(
            juris,'Control Panel'!$B$6,
            ltv_val,E20,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0" s="21">
        <f>'Control Panel'!$B$14</f>
        <v/>
      </c>
      <c r="H20" s="21">
        <f>LET(
    income_mult,'Loan Tape (S&amp;P)'!Z20,
    IF(income_mult=0,1.00,
        IFERROR(
            INDEX('FF Adj Parameters'!$A$120:$B$17,
                MATCH(income_mult,INDEX('FF Adj Parameters'!$A$120:$B$17,,1),1),2),
            1.200))
)</f>
        <v/>
      </c>
      <c r="I20" s="21">
        <f>IF('Loan Tape (S&amp;P)'!N20&lt;&gt;"Buy to Let",1.00,
    LET(
        dscr,'Loan Tape (S&amp;P)'!AA20,
        IF(dscr=0,INDEX('FF Adj Parameters'!$A$21:$B$220,1,2),
            IFERROR(
                INDEX('FF Adj Parameters'!$A$21:$B$220,
                    MATCH(dscr,INDEX('FF Adj Parameters'!$A$21:$B$220,,1),1),2),
                'FF Adj Parameters'!$B$21)))
)</f>
        <v/>
      </c>
      <c r="J20" s="21">
        <f>LET(
    lien,'Loan Tape (S&amp;P)'!AT20,
    IF(lien="First",'FF Adj Parameters'!$B$48,
        IF(lien="Second",'FF Adj Parameters'!$B$49,
            'FF Adj Parameters'!$B$200))
)</f>
        <v/>
      </c>
      <c r="K20" s="21">
        <f>LET(
    purpose,'Loan Tape (S&amp;P)'!U20,
    IF(purpose="Purchase",'FF Adj Parameters'!$B$201,
        IF(purpose="Remortgage",'FF Adj Parameters'!$B$202,
            IF(purpose="Cash-out Remortgage",'FF Adj Parameters'!$B$203,
                1.00)))
)</f>
        <v/>
      </c>
      <c r="L20" s="21">
        <f>LET(
    arrears_months,'Loan Tape (S&amp;P)'!X20,
    IF(arrears_months=0,'FF Adj Parameters'!$B$204,
        IF(arrears_months&lt;=2,'FF Adj Parameters'!$B$2020,
            'FF Adj Parameters'!$B$206))
)</f>
        <v/>
      </c>
      <c r="M20" s="21">
        <f>LET(
    years_seasoned,'Loan Tape (S&amp;P)'!AW20/12,
    arrears_months,'Loan Tape (S&amp;P)'!X20,
    IF(arrears_months&gt;0,1.00,
        IFERROR(
            INDEX('FF Adj Parameters'!$A$20:$B$11,
                MATCH(years_seasoned,INDEX('FF Adj Parameters'!$A$20:$B$11,,1),1),2),
            0.200))
)</f>
        <v/>
      </c>
      <c r="N20" s="21">
        <f>IF(AND('Loan Tape (S&amp;P)'!P20="Yes",'Loan Tape (S&amp;P)'!AW20&lt;'FF Adj Parameters'!$B$124),
    'FF Adj Parameters'!$B$33,
    1.00)</f>
        <v/>
      </c>
      <c r="O20" s="21">
        <f>IF('Loan Tape (S&amp;P)'!Q20="Yes",
    'FF Adj Parameters'!$B$37,
    1.00)</f>
        <v/>
      </c>
      <c r="P20" s="21">
        <f>IF('Loan Tape (S&amp;P)'!R20="Yes",
    'FF Adj Parameters'!$B$38,
    1.00)</f>
        <v/>
      </c>
      <c r="Q20" s="21">
        <f>IF('Loan Tape (S&amp;P)'!S20="Yes",
    'FF Adj Parameters'!$B$39,
    1.00)</f>
        <v/>
      </c>
      <c r="R20" s="21">
        <f>IF('Loan Tape (S&amp;P)'!T20="Yes",
    'FF Adj Parameters'!$B$40,
    1.00)</f>
        <v/>
      </c>
      <c r="S20" s="21">
        <f>LET(
    is_htb,'Loan Tape (S&amp;P)'!Q20="Yes",
    rate_type,'Loan Tape (S&amp;P)'!AS20,
    months_to_mat,'Loan Tape (S&amp;P)'!AU20,
    threshold,'FF Adj Parameters'!$B$1220,
    has_shock,AND(rate_type="Fixed",months_to_mat&lt;=threshold),
    IF(is_htb,1.00,IF(has_shock,'FF Adj Parameters'!$B$41,1.00))
)</f>
        <v/>
      </c>
      <c r="T20" s="21">
        <f>IFERROR(
    IF('Loan Tape (S&amp;P)'!N20&lt;&gt;"Interest Only",1.00,
        IF('Loan Tape (S&amp;P)'!N20="Buy to Let",1.00,
            LET(
                mat_check,'Loan Tape (S&amp;P)'!AV20,
                years_to_mat,'Loan Tape (S&amp;P)'!AU20/12,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0" s="21">
        <f>IF(AND('Loan Tape (S&amp;P)'!V20="Yes",'Loan Tape (S&amp;P)'!N20&lt;&gt;"Buy to Let"),
    'FF Adj Parameters'!$B$42,
    1.00)</f>
        <v/>
      </c>
      <c r="V20" s="21">
        <f>IF('Loan Tape (S&amp;P)'!AV20="Yes",
    'FF Adj Parameters'!$B$43,
    1.00)</f>
        <v/>
      </c>
      <c r="W20" s="23">
        <f>IF('Loan Tape (S&amp;P)'!AC20&gt;0,
    'FF Adj Parameters'!$B$44,
    1.00)</f>
        <v/>
      </c>
      <c r="X20" s="21">
        <f>LET(
    has_bankruptcy,'Loan Tape (S&amp;P)'!AE20="Yes",
    has_iva,'Loan Tape (S&amp;P)'!AF20="Yes",
    has_repo,'Loan Tape (S&amp;P)'!AI20="Yes",
    mult,IF(has_repo,'FF Adj Parameters'!$B$47,
            IF(has_bankruptcy,'FF Adj Parameters'!$B$420,
                IF(has_iva,'FF Adj Parameters'!$B$46,
                    1.00))),
    MAX(mult,0.200)
)</f>
        <v/>
      </c>
      <c r="Y20" s="21">
        <f>LET(
    has_perf_arr,'Loan Tape (S&amp;P)'!AP20="Yes",
    perf_arr_date,'Loan Tape (S&amp;P)'!AQ20,
    last_90_date,'Loan Tape (S&amp;P)'!AR20,
    threshold_years,VLOOKUP('Control Panel'!$B$6,'Jurisdiction Parameters'!$A:$Q,17,FALSE),
    relevant_date,MAX(perf_arr_date,last_90_date),
    years_since,('Control Panel'!$B$10-relevant_date)/3620.220,
    IF(NOT(has_perf_arr),1.00,
        IF(years_since&gt;threshold_years,1.00,
            IF(years_since&lt;=1,INDEX('FF Adj Parameters'!$C$47:$C$200,1),
                IF(years_since&lt;=2,INDEX('FF Adj Parameters'!$C$47:$C$200,2),
                    IF(years_since&lt;=3,INDEX('FF Adj Parameters'!$C$47:$C$200,3),
                        INDEX('FF Adj Parameters'!$C$47:$C$200,4))))))
)</f>
        <v/>
      </c>
      <c r="Z20" s="24">
        <f>IFERROR(
        IF(L20&gt;=100,1.00,
            'Control Panel'!$B$18*F20*G20*MAX(H20,R20)*I20*J20*K20*L20*M20*N20*O20*P20*Q20*S20*T20*U20*V20*W20*X20*Y20
        ),
    0)</f>
        <v/>
      </c>
    </row>
    <row r="21">
      <c r="A21" s="17">
        <f>'Loan Tape (S&amp;P)'!A21</f>
        <v/>
      </c>
      <c r="B21" s="18">
        <f>'Loan Tape (S&amp;P)'!B21</f>
        <v/>
      </c>
      <c r="C21" s="20">
        <f>IFERROR('Loan Tape (S&amp;P)'!C21/'Loan Tape (S&amp;P)'!E21,0)</f>
        <v/>
      </c>
      <c r="D21" s="20">
        <f>IFERROR(
        'Loan Tape (S&amp;P)'!B21/
        ('Loan Tape (S&amp;P)'!D21*
        (1-IF('Loan Tape (S&amp;P)'!AT21&lt;&gt;"Full",
            VLOOKUP('Control Panel'!$B$6,'Jurisdiction Parameters'!$A:$D,4,FALSE),
        0))),
    0)</f>
        <v/>
      </c>
      <c r="E21" s="20">
        <f>('Control Panel'!$B$12*C21)+('Control Panel'!$B$13*D21)</f>
        <v/>
      </c>
      <c r="F21" s="22">
        <f>IFERROR(
        LET(
            juris,'Control Panel'!$B$6,
            ltv_val,E21,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1" s="21">
        <f>'Control Panel'!$B$14</f>
        <v/>
      </c>
      <c r="H21" s="21">
        <f>LET(
    income_mult,'Loan Tape (S&amp;P)'!Z21,
    IF(income_mult=0,1.00,
        IFERROR(
            INDEX('FF Adj Parameters'!$A$121:$B$17,
                MATCH(income_mult,INDEX('FF Adj Parameters'!$A$121:$B$17,,1),1),2),
            1.210))
)</f>
        <v/>
      </c>
      <c r="I21" s="21">
        <f>IF('Loan Tape (S&amp;P)'!N21&lt;&gt;"Buy to Let",1.00,
    LET(
        dscr,'Loan Tape (S&amp;P)'!AA21,
        IF(dscr=0,INDEX('FF Adj Parameters'!$A$21:$B$221,1,2),
            IFERROR(
                INDEX('FF Adj Parameters'!$A$21:$B$221,
                    MATCH(dscr,INDEX('FF Adj Parameters'!$A$21:$B$221,,1),1),2),
                'FF Adj Parameters'!$B$21)))
)</f>
        <v/>
      </c>
      <c r="J21" s="21">
        <f>LET(
    lien,'Loan Tape (S&amp;P)'!AT21,
    IF(lien="First",'FF Adj Parameters'!$B$48,
        IF(lien="Second",'FF Adj Parameters'!$B$49,
            'FF Adj Parameters'!$B$210))
)</f>
        <v/>
      </c>
      <c r="K21" s="21">
        <f>LET(
    purpose,'Loan Tape (S&amp;P)'!U21,
    IF(purpose="Purchase",'FF Adj Parameters'!$B$211,
        IF(purpose="Remortgage",'FF Adj Parameters'!$B$212,
            IF(purpose="Cash-out Remortgage",'FF Adj Parameters'!$B$213,
                1.00)))
)</f>
        <v/>
      </c>
      <c r="L21" s="21">
        <f>LET(
    arrears_months,'Loan Tape (S&amp;P)'!X21,
    IF(arrears_months=0,'FF Adj Parameters'!$B$214,
        IF(arrears_months&lt;=2,'FF Adj Parameters'!$B$2121,
            'FF Adj Parameters'!$B$216))
)</f>
        <v/>
      </c>
      <c r="M21" s="21">
        <f>LET(
    years_seasoned,'Loan Tape (S&amp;P)'!AW21/12,
    arrears_months,'Loan Tape (S&amp;P)'!X21,
    IF(arrears_months&gt;0,1.00,
        IFERROR(
            INDEX('FF Adj Parameters'!$A$21:$B$11,
                MATCH(years_seasoned,INDEX('FF Adj Parameters'!$A$21:$B$11,,1),1),2),
            0.210))
)</f>
        <v/>
      </c>
      <c r="N21" s="21">
        <f>IF(AND('Loan Tape (S&amp;P)'!P21="Yes",'Loan Tape (S&amp;P)'!AW21&lt;'FF Adj Parameters'!$B$124),
    'FF Adj Parameters'!$B$33,
    1.00)</f>
        <v/>
      </c>
      <c r="O21" s="21">
        <f>IF('Loan Tape (S&amp;P)'!Q21="Yes",
    'FF Adj Parameters'!$B$37,
    1.00)</f>
        <v/>
      </c>
      <c r="P21" s="21">
        <f>IF('Loan Tape (S&amp;P)'!R21="Yes",
    'FF Adj Parameters'!$B$38,
    1.00)</f>
        <v/>
      </c>
      <c r="Q21" s="21">
        <f>IF('Loan Tape (S&amp;P)'!S21="Yes",
    'FF Adj Parameters'!$B$39,
    1.00)</f>
        <v/>
      </c>
      <c r="R21" s="21">
        <f>IF('Loan Tape (S&amp;P)'!T21="Yes",
    'FF Adj Parameters'!$B$40,
    1.00)</f>
        <v/>
      </c>
      <c r="S21" s="21">
        <f>LET(
    is_htb,'Loan Tape (S&amp;P)'!Q21="Yes",
    rate_type,'Loan Tape (S&amp;P)'!AS21,
    months_to_mat,'Loan Tape (S&amp;P)'!AU21,
    threshold,'FF Adj Parameters'!$B$1221,
    has_shock,AND(rate_type="Fixed",months_to_mat&lt;=threshold),
    IF(is_htb,1.00,IF(has_shock,'FF Adj Parameters'!$B$41,1.00))
)</f>
        <v/>
      </c>
      <c r="T21" s="21">
        <f>IFERROR(
    IF('Loan Tape (S&amp;P)'!N21&lt;&gt;"Interest Only",1.00,
        IF('Loan Tape (S&amp;P)'!N21="Buy to Let",1.00,
            LET(
                mat_check,'Loan Tape (S&amp;P)'!AV21,
                years_to_mat,'Loan Tape (S&amp;P)'!AU21/12,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1" s="21">
        <f>IF(AND('Loan Tape (S&amp;P)'!V21="Yes",'Loan Tape (S&amp;P)'!N21&lt;&gt;"Buy to Let"),
    'FF Adj Parameters'!$B$42,
    1.00)</f>
        <v/>
      </c>
      <c r="V21" s="21">
        <f>IF('Loan Tape (S&amp;P)'!AV21="Yes",
    'FF Adj Parameters'!$B$43,
    1.00)</f>
        <v/>
      </c>
      <c r="W21" s="23">
        <f>IF('Loan Tape (S&amp;P)'!AC21&gt;0,
    'FF Adj Parameters'!$B$44,
    1.00)</f>
        <v/>
      </c>
      <c r="X21" s="21">
        <f>LET(
    has_bankruptcy,'Loan Tape (S&amp;P)'!AE21="Yes",
    has_iva,'Loan Tape (S&amp;P)'!AF21="Yes",
    has_repo,'Loan Tape (S&amp;P)'!AI21="Yes",
    mult,IF(has_repo,'FF Adj Parameters'!$B$47,
            IF(has_bankruptcy,'FF Adj Parameters'!$B$421,
                IF(has_iva,'FF Adj Parameters'!$B$46,
                    1.00))),
    MAX(mult,0.210)
)</f>
        <v/>
      </c>
      <c r="Y21" s="21">
        <f>LET(
    has_perf_arr,'Loan Tape (S&amp;P)'!AP21="Yes",
    perf_arr_date,'Loan Tape (S&amp;P)'!AQ21,
    last_90_date,'Loan Tape (S&amp;P)'!AR21,
    threshold_years,VLOOKUP('Control Panel'!$B$6,'Jurisdiction Parameters'!$A:$Q,17,FALSE),
    relevant_date,MAX(perf_arr_date,last_90_date),
    years_since,('Control Panel'!$B$10-relevant_date)/3621.221,
    IF(NOT(has_perf_arr),1.00,
        IF(years_since&gt;threshold_years,1.00,
            IF(years_since&lt;=1,INDEX('FF Adj Parameters'!$C$47:$C$210,1),
                IF(years_since&lt;=2,INDEX('FF Adj Parameters'!$C$47:$C$210,2),
                    IF(years_since&lt;=3,INDEX('FF Adj Parameters'!$C$47:$C$210,3),
                        INDEX('FF Adj Parameters'!$C$47:$C$210,4))))))
)</f>
        <v/>
      </c>
      <c r="Z21" s="24">
        <f>IFERROR(
        IF(L21&gt;=100,1.00,
            'Control Panel'!$B$18*F21*G21*MAX(H21,R21)*I21*J21*K21*L21*M21*N21*O21*P21*Q21*S21*T21*U21*V21*W21*X21*Y21
        ),
    0)</f>
        <v/>
      </c>
    </row>
    <row r="22">
      <c r="A22" s="17">
        <f>'Loan Tape (S&amp;P)'!A22</f>
        <v/>
      </c>
      <c r="B22" s="18">
        <f>'Loan Tape (S&amp;P)'!B22</f>
        <v/>
      </c>
      <c r="C22" s="20">
        <f>IFERROR('Loan Tape (S&amp;P)'!C22/'Loan Tape (S&amp;P)'!E22,0)</f>
        <v/>
      </c>
      <c r="D22" s="20">
        <f>IFERROR(
        'Loan Tape (S&amp;P)'!B22/
        ('Loan Tape (S&amp;P)'!D22*
        (1-IF('Loan Tape (S&amp;P)'!AT22&lt;&gt;"Full",
            VLOOKUP('Control Panel'!$B$6,'Jurisdiction Parameters'!$A:$D,4,FALSE),
        0))),
    0)</f>
        <v/>
      </c>
      <c r="E22" s="20">
        <f>('Control Panel'!$B$12*C22)+('Control Panel'!$B$13*D22)</f>
        <v/>
      </c>
      <c r="F22" s="22">
        <f>IFERROR(
        LET(
            juris,'Control Panel'!$B$6,
            ltv_val,E22,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2" s="21">
        <f>'Control Panel'!$B$14</f>
        <v/>
      </c>
      <c r="H22" s="21">
        <f>LET(
    income_mult,'Loan Tape (S&amp;P)'!Z22,
    IF(income_mult=0,1.00,
        IFERROR(
            INDEX('FF Adj Parameters'!$A$122:$B$17,
                MATCH(income_mult,INDEX('FF Adj Parameters'!$A$122:$B$17,,1),1),2),
            1.220))
)</f>
        <v/>
      </c>
      <c r="I22" s="21">
        <f>IF('Loan Tape (S&amp;P)'!N22&lt;&gt;"Buy to Let",1.00,
    LET(
        dscr,'Loan Tape (S&amp;P)'!AA22,
        IF(dscr=0,INDEX('FF Adj Parameters'!$A$21:$B$222,1,2),
            IFERROR(
                INDEX('FF Adj Parameters'!$A$21:$B$222,
                    MATCH(dscr,INDEX('FF Adj Parameters'!$A$21:$B$222,,1),1),2),
                'FF Adj Parameters'!$B$21)))
)</f>
        <v/>
      </c>
      <c r="J22" s="21">
        <f>LET(
    lien,'Loan Tape (S&amp;P)'!AT22,
    IF(lien="First",'FF Adj Parameters'!$B$48,
        IF(lien="Second",'FF Adj Parameters'!$B$49,
            'FF Adj Parameters'!$B$220))
)</f>
        <v/>
      </c>
      <c r="K22" s="21">
        <f>LET(
    purpose,'Loan Tape (S&amp;P)'!U22,
    IF(purpose="Purchase",'FF Adj Parameters'!$B$221,
        IF(purpose="Remortgage",'FF Adj Parameters'!$B$222,
            IF(purpose="Cash-out Remortgage",'FF Adj Parameters'!$B$223,
                1.00)))
)</f>
        <v/>
      </c>
      <c r="L22" s="21">
        <f>LET(
    arrears_months,'Loan Tape (S&amp;P)'!X22,
    IF(arrears_months=0,'FF Adj Parameters'!$B$224,
        IF(arrears_months&lt;=2,'FF Adj Parameters'!$B$2222,
            'FF Adj Parameters'!$B$226))
)</f>
        <v/>
      </c>
      <c r="M22" s="21">
        <f>LET(
    years_seasoned,'Loan Tape (S&amp;P)'!AW22/12,
    arrears_months,'Loan Tape (S&amp;P)'!X22,
    IF(arrears_months&gt;0,1.00,
        IFERROR(
            INDEX('FF Adj Parameters'!$A$22:$B$11,
                MATCH(years_seasoned,INDEX('FF Adj Parameters'!$A$22:$B$11,,1),1),2),
            0.220))
)</f>
        <v/>
      </c>
      <c r="N22" s="21">
        <f>IF(AND('Loan Tape (S&amp;P)'!P22="Yes",'Loan Tape (S&amp;P)'!AW22&lt;'FF Adj Parameters'!$B$124),
    'FF Adj Parameters'!$B$33,
    1.00)</f>
        <v/>
      </c>
      <c r="O22" s="21">
        <f>IF('Loan Tape (S&amp;P)'!Q22="Yes",
    'FF Adj Parameters'!$B$37,
    1.00)</f>
        <v/>
      </c>
      <c r="P22" s="21">
        <f>IF('Loan Tape (S&amp;P)'!R22="Yes",
    'FF Adj Parameters'!$B$38,
    1.00)</f>
        <v/>
      </c>
      <c r="Q22" s="21">
        <f>IF('Loan Tape (S&amp;P)'!S22="Yes",
    'FF Adj Parameters'!$B$39,
    1.00)</f>
        <v/>
      </c>
      <c r="R22" s="21">
        <f>IF('Loan Tape (S&amp;P)'!T22="Yes",
    'FF Adj Parameters'!$B$40,
    1.00)</f>
        <v/>
      </c>
      <c r="S22" s="21">
        <f>LET(
    is_htb,'Loan Tape (S&amp;P)'!Q22="Yes",
    rate_type,'Loan Tape (S&amp;P)'!AS22,
    months_to_mat,'Loan Tape (S&amp;P)'!AU22,
    threshold,'FF Adj Parameters'!$B$1222,
    has_shock,AND(rate_type="Fixed",months_to_mat&lt;=threshold),
    IF(is_htb,1.00,IF(has_shock,'FF Adj Parameters'!$B$41,1.00))
)</f>
        <v/>
      </c>
      <c r="T22" s="21">
        <f>IFERROR(
    IF('Loan Tape (S&amp;P)'!N22&lt;&gt;"Interest Only",1.00,
        IF('Loan Tape (S&amp;P)'!N22="Buy to Let",1.00,
            LET(
                mat_check,'Loan Tape (S&amp;P)'!AV22,
                years_to_mat,'Loan Tape (S&amp;P)'!AU22/12,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2" s="21">
        <f>IF(AND('Loan Tape (S&amp;P)'!V22="Yes",'Loan Tape (S&amp;P)'!N22&lt;&gt;"Buy to Let"),
    'FF Adj Parameters'!$B$42,
    1.00)</f>
        <v/>
      </c>
      <c r="V22" s="21">
        <f>IF('Loan Tape (S&amp;P)'!AV22="Yes",
    'FF Adj Parameters'!$B$43,
    1.00)</f>
        <v/>
      </c>
      <c r="W22" s="23">
        <f>IF('Loan Tape (S&amp;P)'!AC22&gt;0,
    'FF Adj Parameters'!$B$44,
    1.00)</f>
        <v/>
      </c>
      <c r="X22" s="21">
        <f>LET(
    has_bankruptcy,'Loan Tape (S&amp;P)'!AE22="Yes",
    has_iva,'Loan Tape (S&amp;P)'!AF22="Yes",
    has_repo,'Loan Tape (S&amp;P)'!AI22="Yes",
    mult,IF(has_repo,'FF Adj Parameters'!$B$47,
            IF(has_bankruptcy,'FF Adj Parameters'!$B$422,
                IF(has_iva,'FF Adj Parameters'!$B$46,
                    1.00))),
    MAX(mult,0.220)
)</f>
        <v/>
      </c>
      <c r="Y22" s="21">
        <f>LET(
    has_perf_arr,'Loan Tape (S&amp;P)'!AP22="Yes",
    perf_arr_date,'Loan Tape (S&amp;P)'!AQ22,
    last_90_date,'Loan Tape (S&amp;P)'!AR22,
    threshold_years,VLOOKUP('Control Panel'!$B$6,'Jurisdiction Parameters'!$A:$Q,17,FALSE),
    relevant_date,MAX(perf_arr_date,last_90_date),
    years_since,('Control Panel'!$B$10-relevant_date)/3622.222,
    IF(NOT(has_perf_arr),1.00,
        IF(years_since&gt;threshold_years,1.00,
            IF(years_since&lt;=1,INDEX('FF Adj Parameters'!$C$47:$C$220,1),
                IF(years_since&lt;=2,INDEX('FF Adj Parameters'!$C$47:$C$220,2),
                    IF(years_since&lt;=3,INDEX('FF Adj Parameters'!$C$47:$C$220,3),
                        INDEX('FF Adj Parameters'!$C$47:$C$220,4))))))
)</f>
        <v/>
      </c>
      <c r="Z22" s="24">
        <f>IFERROR(
        IF(L22&gt;=100,1.00,
            'Control Panel'!$B$18*F22*G22*MAX(H22,R22)*I22*J22*K22*L22*M22*N22*O22*P22*Q22*S22*T22*U22*V22*W22*X22*Y22
        ),
    0)</f>
        <v/>
      </c>
    </row>
    <row r="23">
      <c r="A23" s="17">
        <f>'Loan Tape (S&amp;P)'!A23</f>
        <v/>
      </c>
      <c r="B23" s="18">
        <f>'Loan Tape (S&amp;P)'!B23</f>
        <v/>
      </c>
      <c r="C23" s="20">
        <f>IFERROR('Loan Tape (S&amp;P)'!C23/'Loan Tape (S&amp;P)'!E23,0)</f>
        <v/>
      </c>
      <c r="D23" s="20">
        <f>IFERROR(
        'Loan Tape (S&amp;P)'!B23/
        ('Loan Tape (S&amp;P)'!D23*
        (1-IF('Loan Tape (S&amp;P)'!AT23&lt;&gt;"Full",
            VLOOKUP('Control Panel'!$B$6,'Jurisdiction Parameters'!$A:$D,4,FALSE),
        0))),
    0)</f>
        <v/>
      </c>
      <c r="E23" s="20">
        <f>('Control Panel'!$B$12*C23)+('Control Panel'!$B$13*D23)</f>
        <v/>
      </c>
      <c r="F23" s="22">
        <f>IFERROR(
        LET(
            juris,'Control Panel'!$B$6,
            ltv_val,E23,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3" s="21">
        <f>'Control Panel'!$B$14</f>
        <v/>
      </c>
      <c r="H23" s="21">
        <f>LET(
    income_mult,'Loan Tape (S&amp;P)'!Z23,
    IF(income_mult=0,1.00,
        IFERROR(
            INDEX('FF Adj Parameters'!$A$123:$B$17,
                MATCH(income_mult,INDEX('FF Adj Parameters'!$A$123:$B$17,,1),1),2),
            1.230))
)</f>
        <v/>
      </c>
      <c r="I23" s="21">
        <f>IF('Loan Tape (S&amp;P)'!N23&lt;&gt;"Buy to Let",1.00,
    LET(
        dscr,'Loan Tape (S&amp;P)'!AA23,
        IF(dscr=0,INDEX('FF Adj Parameters'!$A$21:$B$223,1,2),
            IFERROR(
                INDEX('FF Adj Parameters'!$A$21:$B$223,
                    MATCH(dscr,INDEX('FF Adj Parameters'!$A$21:$B$223,,1),1),2),
                'FF Adj Parameters'!$B$21)))
)</f>
        <v/>
      </c>
      <c r="J23" s="21">
        <f>LET(
    lien,'Loan Tape (S&amp;P)'!AT23,
    IF(lien="First",'FF Adj Parameters'!$B$48,
        IF(lien="Second",'FF Adj Parameters'!$B$49,
            'FF Adj Parameters'!$B$230))
)</f>
        <v/>
      </c>
      <c r="K23" s="21">
        <f>LET(
    purpose,'Loan Tape (S&amp;P)'!U23,
    IF(purpose="Purchase",'FF Adj Parameters'!$B$231,
        IF(purpose="Remortgage",'FF Adj Parameters'!$B$232,
            IF(purpose="Cash-out Remortgage",'FF Adj Parameters'!$B$233,
                1.00)))
)</f>
        <v/>
      </c>
      <c r="L23" s="21">
        <f>LET(
    arrears_months,'Loan Tape (S&amp;P)'!X23,
    IF(arrears_months=0,'FF Adj Parameters'!$B$234,
        IF(arrears_months&lt;=2,'FF Adj Parameters'!$B$2323,
            'FF Adj Parameters'!$B$236))
)</f>
        <v/>
      </c>
      <c r="M23" s="21">
        <f>LET(
    years_seasoned,'Loan Tape (S&amp;P)'!AW23/12,
    arrears_months,'Loan Tape (S&amp;P)'!X23,
    IF(arrears_months&gt;0,1.00,
        IFERROR(
            INDEX('FF Adj Parameters'!$A$23:$B$11,
                MATCH(years_seasoned,INDEX('FF Adj Parameters'!$A$23:$B$11,,1),1),2),
            0.230))
)</f>
        <v/>
      </c>
      <c r="N23" s="21">
        <f>IF(AND('Loan Tape (S&amp;P)'!P23="Yes",'Loan Tape (S&amp;P)'!AW23&lt;'FF Adj Parameters'!$B$124),
    'FF Adj Parameters'!$B$33,
    1.00)</f>
        <v/>
      </c>
      <c r="O23" s="21">
        <f>IF('Loan Tape (S&amp;P)'!Q23="Yes",
    'FF Adj Parameters'!$B$37,
    1.00)</f>
        <v/>
      </c>
      <c r="P23" s="21">
        <f>IF('Loan Tape (S&amp;P)'!R23="Yes",
    'FF Adj Parameters'!$B$38,
    1.00)</f>
        <v/>
      </c>
      <c r="Q23" s="21">
        <f>IF('Loan Tape (S&amp;P)'!S23="Yes",
    'FF Adj Parameters'!$B$39,
    1.00)</f>
        <v/>
      </c>
      <c r="R23" s="21">
        <f>IF('Loan Tape (S&amp;P)'!T23="Yes",
    'FF Adj Parameters'!$B$40,
    1.00)</f>
        <v/>
      </c>
      <c r="S23" s="21">
        <f>LET(
    is_htb,'Loan Tape (S&amp;P)'!Q23="Yes",
    rate_type,'Loan Tape (S&amp;P)'!AS23,
    months_to_mat,'Loan Tape (S&amp;P)'!AU23,
    threshold,'FF Adj Parameters'!$B$1223,
    has_shock,AND(rate_type="Fixed",months_to_mat&lt;=threshold),
    IF(is_htb,1.00,IF(has_shock,'FF Adj Parameters'!$B$41,1.00))
)</f>
        <v/>
      </c>
      <c r="T23" s="21">
        <f>IFERROR(
    IF('Loan Tape (S&amp;P)'!N23&lt;&gt;"Interest Only",1.00,
        IF('Loan Tape (S&amp;P)'!N23="Buy to Let",1.00,
            LET(
                mat_check,'Loan Tape (S&amp;P)'!AV23,
                years_to_mat,'Loan Tape (S&amp;P)'!AU23/12,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3" s="21">
        <f>IF(AND('Loan Tape (S&amp;P)'!V23="Yes",'Loan Tape (S&amp;P)'!N23&lt;&gt;"Buy to Let"),
    'FF Adj Parameters'!$B$42,
    1.00)</f>
        <v/>
      </c>
      <c r="V23" s="21">
        <f>IF('Loan Tape (S&amp;P)'!AV23="Yes",
    'FF Adj Parameters'!$B$43,
    1.00)</f>
        <v/>
      </c>
      <c r="W23" s="23">
        <f>IF('Loan Tape (S&amp;P)'!AC23&gt;0,
    'FF Adj Parameters'!$B$44,
    1.00)</f>
        <v/>
      </c>
      <c r="X23" s="21">
        <f>LET(
    has_bankruptcy,'Loan Tape (S&amp;P)'!AE23="Yes",
    has_iva,'Loan Tape (S&amp;P)'!AF23="Yes",
    has_repo,'Loan Tape (S&amp;P)'!AI23="Yes",
    mult,IF(has_repo,'FF Adj Parameters'!$B$47,
            IF(has_bankruptcy,'FF Adj Parameters'!$B$423,
                IF(has_iva,'FF Adj Parameters'!$B$46,
                    1.00))),
    MAX(mult,0.230)
)</f>
        <v/>
      </c>
      <c r="Y23" s="21">
        <f>LET(
    has_perf_arr,'Loan Tape (S&amp;P)'!AP23="Yes",
    perf_arr_date,'Loan Tape (S&amp;P)'!AQ23,
    last_90_date,'Loan Tape (S&amp;P)'!AR23,
    threshold_years,VLOOKUP('Control Panel'!$B$6,'Jurisdiction Parameters'!$A:$Q,17,FALSE),
    relevant_date,MAX(perf_arr_date,last_90_date),
    years_since,('Control Panel'!$B$10-relevant_date)/3623.223,
    IF(NOT(has_perf_arr),1.00,
        IF(years_since&gt;threshold_years,1.00,
            IF(years_since&lt;=1,INDEX('FF Adj Parameters'!$C$47:$C$230,1),
                IF(years_since&lt;=2,INDEX('FF Adj Parameters'!$C$47:$C$230,2),
                    IF(years_since&lt;=3,INDEX('FF Adj Parameters'!$C$47:$C$230,3),
                        INDEX('FF Adj Parameters'!$C$47:$C$230,4))))))
)</f>
        <v/>
      </c>
      <c r="Z23" s="24">
        <f>IFERROR(
        IF(L23&gt;=100,1.00,
            'Control Panel'!$B$18*F23*G23*MAX(H23,R23)*I23*J23*K23*L23*M23*N23*O23*P23*Q23*S23*T23*U23*V23*W23*X23*Y23
        ),
    0)</f>
        <v/>
      </c>
    </row>
    <row r="24">
      <c r="A24" s="17">
        <f>'Loan Tape (S&amp;P)'!A24</f>
        <v/>
      </c>
      <c r="B24" s="18">
        <f>'Loan Tape (S&amp;P)'!B24</f>
        <v/>
      </c>
      <c r="C24" s="20">
        <f>IFERROR('Loan Tape (S&amp;P)'!C24/'Loan Tape (S&amp;P)'!E24,0)</f>
        <v/>
      </c>
      <c r="D24" s="20">
        <f>IFERROR(
        'Loan Tape (S&amp;P)'!B24/
        ('Loan Tape (S&amp;P)'!D24*
        (1-IF('Loan Tape (S&amp;P)'!AT24&lt;&gt;"Full",
            VLOOKUP('Control Panel'!$B$6,'Jurisdiction Parameters'!$A:$D,4,FALSE),
        0))),
    0)</f>
        <v/>
      </c>
      <c r="E24" s="20">
        <f>('Control Panel'!$B$12*C24)+('Control Panel'!$B$13*D24)</f>
        <v/>
      </c>
      <c r="F24" s="22">
        <f>IFERROR(
        LET(
            juris,'Control Panel'!$B$6,
            ltv_val,E24,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4" s="21">
        <f>'Control Panel'!$B$14</f>
        <v/>
      </c>
      <c r="H24" s="21">
        <f>LET(
    income_mult,'Loan Tape (S&amp;P)'!Z24,
    IF(income_mult=0,1.00,
        IFERROR(
            INDEX('FF Adj Parameters'!$A$124:$B$17,
                MATCH(income_mult,INDEX('FF Adj Parameters'!$A$124:$B$17,,1),1),2),
            1.240))
)</f>
        <v/>
      </c>
      <c r="I24" s="21">
        <f>IF('Loan Tape (S&amp;P)'!N24&lt;&gt;"Buy to Let",1.00,
    LET(
        dscr,'Loan Tape (S&amp;P)'!AA24,
        IF(dscr=0,INDEX('FF Adj Parameters'!$A$21:$B$224,1,2),
            IFERROR(
                INDEX('FF Adj Parameters'!$A$21:$B$224,
                    MATCH(dscr,INDEX('FF Adj Parameters'!$A$21:$B$224,,1),1),2),
                'FF Adj Parameters'!$B$21)))
)</f>
        <v/>
      </c>
      <c r="J24" s="21">
        <f>LET(
    lien,'Loan Tape (S&amp;P)'!AT24,
    IF(lien="First",'FF Adj Parameters'!$B$48,
        IF(lien="Second",'FF Adj Parameters'!$B$49,
            'FF Adj Parameters'!$B$240))
)</f>
        <v/>
      </c>
      <c r="K24" s="21">
        <f>LET(
    purpose,'Loan Tape (S&amp;P)'!U24,
    IF(purpose="Purchase",'FF Adj Parameters'!$B$241,
        IF(purpose="Remortgage",'FF Adj Parameters'!$B$242,
            IF(purpose="Cash-out Remortgage",'FF Adj Parameters'!$B$243,
                1.00)))
)</f>
        <v/>
      </c>
      <c r="L24" s="21">
        <f>LET(
    arrears_months,'Loan Tape (S&amp;P)'!X24,
    IF(arrears_months=0,'FF Adj Parameters'!$B$244,
        IF(arrears_months&lt;=2,'FF Adj Parameters'!$B$2424,
            'FF Adj Parameters'!$B$246))
)</f>
        <v/>
      </c>
      <c r="M24" s="21">
        <f>LET(
    years_seasoned,'Loan Tape (S&amp;P)'!AW24/12,
    arrears_months,'Loan Tape (S&amp;P)'!X24,
    IF(arrears_months&gt;0,1.00,
        IFERROR(
            INDEX('FF Adj Parameters'!$A$24:$B$11,
                MATCH(years_seasoned,INDEX('FF Adj Parameters'!$A$24:$B$11,,1),1),2),
            0.240))
)</f>
        <v/>
      </c>
      <c r="N24" s="21">
        <f>IF(AND('Loan Tape (S&amp;P)'!P24="Yes",'Loan Tape (S&amp;P)'!AW24&lt;'FF Adj Parameters'!$B$124),
    'FF Adj Parameters'!$B$33,
    1.00)</f>
        <v/>
      </c>
      <c r="O24" s="21">
        <f>IF('Loan Tape (S&amp;P)'!Q24="Yes",
    'FF Adj Parameters'!$B$37,
    1.00)</f>
        <v/>
      </c>
      <c r="P24" s="21">
        <f>IF('Loan Tape (S&amp;P)'!R24="Yes",
    'FF Adj Parameters'!$B$38,
    1.00)</f>
        <v/>
      </c>
      <c r="Q24" s="21">
        <f>IF('Loan Tape (S&amp;P)'!S24="Yes",
    'FF Adj Parameters'!$B$39,
    1.00)</f>
        <v/>
      </c>
      <c r="R24" s="21">
        <f>IF('Loan Tape (S&amp;P)'!T24="Yes",
    'FF Adj Parameters'!$B$40,
    1.00)</f>
        <v/>
      </c>
      <c r="S24" s="21">
        <f>LET(
    is_htb,'Loan Tape (S&amp;P)'!Q24="Yes",
    rate_type,'Loan Tape (S&amp;P)'!AS24,
    months_to_mat,'Loan Tape (S&amp;P)'!AU24,
    threshold,'FF Adj Parameters'!$B$1224,
    has_shock,AND(rate_type="Fixed",months_to_mat&lt;=threshold),
    IF(is_htb,1.00,IF(has_shock,'FF Adj Parameters'!$B$41,1.00))
)</f>
        <v/>
      </c>
      <c r="T24" s="21">
        <f>IFERROR(
    IF('Loan Tape (S&amp;P)'!N24&lt;&gt;"Interest Only",1.00,
        IF('Loan Tape (S&amp;P)'!N24="Buy to Let",1.00,
            LET(
                mat_check,'Loan Tape (S&amp;P)'!AV24,
                years_to_mat,'Loan Tape (S&amp;P)'!AU24/12,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4" s="21">
        <f>IF(AND('Loan Tape (S&amp;P)'!V24="Yes",'Loan Tape (S&amp;P)'!N24&lt;&gt;"Buy to Let"),
    'FF Adj Parameters'!$B$42,
    1.00)</f>
        <v/>
      </c>
      <c r="V24" s="21">
        <f>IF('Loan Tape (S&amp;P)'!AV24="Yes",
    'FF Adj Parameters'!$B$43,
    1.00)</f>
        <v/>
      </c>
      <c r="W24" s="23">
        <f>IF('Loan Tape (S&amp;P)'!AC24&gt;0,
    'FF Adj Parameters'!$B$44,
    1.00)</f>
        <v/>
      </c>
      <c r="X24" s="21">
        <f>LET(
    has_bankruptcy,'Loan Tape (S&amp;P)'!AE24="Yes",
    has_iva,'Loan Tape (S&amp;P)'!AF24="Yes",
    has_repo,'Loan Tape (S&amp;P)'!AI24="Yes",
    mult,IF(has_repo,'FF Adj Parameters'!$B$47,
            IF(has_bankruptcy,'FF Adj Parameters'!$B$424,
                IF(has_iva,'FF Adj Parameters'!$B$46,
                    1.00))),
    MAX(mult,0.240)
)</f>
        <v/>
      </c>
      <c r="Y24" s="21">
        <f>LET(
    has_perf_arr,'Loan Tape (S&amp;P)'!AP24="Yes",
    perf_arr_date,'Loan Tape (S&amp;P)'!AQ24,
    last_90_date,'Loan Tape (S&amp;P)'!AR24,
    threshold_years,VLOOKUP('Control Panel'!$B$6,'Jurisdiction Parameters'!$A:$Q,17,FALSE),
    relevant_date,MAX(perf_arr_date,last_90_date),
    years_since,('Control Panel'!$B$10-relevant_date)/3624.224,
    IF(NOT(has_perf_arr),1.00,
        IF(years_since&gt;threshold_years,1.00,
            IF(years_since&lt;=1,INDEX('FF Adj Parameters'!$C$47:$C$240,1),
                IF(years_since&lt;=2,INDEX('FF Adj Parameters'!$C$47:$C$240,2),
                    IF(years_since&lt;=3,INDEX('FF Adj Parameters'!$C$47:$C$240,3),
                        INDEX('FF Adj Parameters'!$C$47:$C$240,4))))))
)</f>
        <v/>
      </c>
      <c r="Z24" s="24">
        <f>IFERROR(
        IF(L24&gt;=100,1.00,
            'Control Panel'!$B$18*F24*G24*MAX(H24,R24)*I24*J24*K24*L24*M24*N24*O24*P24*Q24*S24*T24*U24*V24*W24*X24*Y24
        ),
    0)</f>
        <v/>
      </c>
    </row>
    <row r="25">
      <c r="A25" s="17">
        <f>'Loan Tape (S&amp;P)'!A25</f>
        <v/>
      </c>
      <c r="B25" s="18">
        <f>'Loan Tape (S&amp;P)'!B25</f>
        <v/>
      </c>
      <c r="C25" s="20">
        <f>IFERROR('Loan Tape (S&amp;P)'!C25/'Loan Tape (S&amp;P)'!E25,0)</f>
        <v/>
      </c>
      <c r="D25" s="20">
        <f>IFERROR(
        'Loan Tape (S&amp;P)'!B25/
        ('Loan Tape (S&amp;P)'!D25*
        (1-IF('Loan Tape (S&amp;P)'!AT25&lt;&gt;"Full",
            VLOOKUP('Control Panel'!$B$6,'Jurisdiction Parameters'!$A:$D,4,FALSE),
        0))),
    0)</f>
        <v/>
      </c>
      <c r="E25" s="20">
        <f>('Control Panel'!$B$12*C25)+('Control Panel'!$B$13*D25)</f>
        <v/>
      </c>
      <c r="F25" s="22">
        <f>IFERROR(
        LET(
            juris,'Control Panel'!$B$6,
            ltv_val,E25,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5" s="21">
        <f>'Control Panel'!$B$14</f>
        <v/>
      </c>
      <c r="H25" s="21">
        <f>LET(
    income_mult,'Loan Tape (S&amp;P)'!Z25,
    IF(income_mult=0,1.00,
        IFERROR(
            INDEX('FF Adj Parameters'!$A$125:$B$17,
                MATCH(income_mult,INDEX('FF Adj Parameters'!$A$125:$B$17,,1),1),2),
            1.250))
)</f>
        <v/>
      </c>
      <c r="I25" s="21">
        <f>IF('Loan Tape (S&amp;P)'!N25&lt;&gt;"Buy to Let",1.00,
    LET(
        dscr,'Loan Tape (S&amp;P)'!AA25,
        IF(dscr=0,INDEX('FF Adj Parameters'!$A$21:$B$225,1,2),
            IFERROR(
                INDEX('FF Adj Parameters'!$A$21:$B$225,
                    MATCH(dscr,INDEX('FF Adj Parameters'!$A$21:$B$225,,1),1),2),
                'FF Adj Parameters'!$B$21)))
)</f>
        <v/>
      </c>
      <c r="J25" s="21">
        <f>LET(
    lien,'Loan Tape (S&amp;P)'!AT25,
    IF(lien="First",'FF Adj Parameters'!$B$48,
        IF(lien="Second",'FF Adj Parameters'!$B$49,
            'FF Adj Parameters'!$B$250))
)</f>
        <v/>
      </c>
      <c r="K25" s="21">
        <f>LET(
    purpose,'Loan Tape (S&amp;P)'!U25,
    IF(purpose="Purchase",'FF Adj Parameters'!$B$251,
        IF(purpose="Remortgage",'FF Adj Parameters'!$B$252,
            IF(purpose="Cash-out Remortgage",'FF Adj Parameters'!$B$253,
                1.00)))
)</f>
        <v/>
      </c>
      <c r="L25" s="21">
        <f>LET(
    arrears_months,'Loan Tape (S&amp;P)'!X25,
    IF(arrears_months=0,'FF Adj Parameters'!$B$254,
        IF(arrears_months&lt;=2,'FF Adj Parameters'!$B$2525,
            'FF Adj Parameters'!$B$256))
)</f>
        <v/>
      </c>
      <c r="M25" s="21">
        <f>LET(
    years_seasoned,'Loan Tape (S&amp;P)'!AW25/12,
    arrears_months,'Loan Tape (S&amp;P)'!X25,
    IF(arrears_months&gt;0,1.00,
        IFERROR(
            INDEX('FF Adj Parameters'!$A$25:$B$11,
                MATCH(years_seasoned,INDEX('FF Adj Parameters'!$A$25:$B$11,,1),1),2),
            0.250))
)</f>
        <v/>
      </c>
      <c r="N25" s="21">
        <f>IF(AND('Loan Tape (S&amp;P)'!P25="Yes",'Loan Tape (S&amp;P)'!AW25&lt;'FF Adj Parameters'!$B$124),
    'FF Adj Parameters'!$B$33,
    1.00)</f>
        <v/>
      </c>
      <c r="O25" s="21">
        <f>IF('Loan Tape (S&amp;P)'!Q25="Yes",
    'FF Adj Parameters'!$B$37,
    1.00)</f>
        <v/>
      </c>
      <c r="P25" s="21">
        <f>IF('Loan Tape (S&amp;P)'!R25="Yes",
    'FF Adj Parameters'!$B$38,
    1.00)</f>
        <v/>
      </c>
      <c r="Q25" s="21">
        <f>IF('Loan Tape (S&amp;P)'!S25="Yes",
    'FF Adj Parameters'!$B$39,
    1.00)</f>
        <v/>
      </c>
      <c r="R25" s="21">
        <f>IF('Loan Tape (S&amp;P)'!T25="Yes",
    'FF Adj Parameters'!$B$40,
    1.00)</f>
        <v/>
      </c>
      <c r="S25" s="21">
        <f>LET(
    is_htb,'Loan Tape (S&amp;P)'!Q25="Yes",
    rate_type,'Loan Tape (S&amp;P)'!AS25,
    months_to_mat,'Loan Tape (S&amp;P)'!AU25,
    threshold,'FF Adj Parameters'!$B$1225,
    has_shock,AND(rate_type="Fixed",months_to_mat&lt;=threshold),
    IF(is_htb,1.00,IF(has_shock,'FF Adj Parameters'!$B$41,1.00))
)</f>
        <v/>
      </c>
      <c r="T25" s="21">
        <f>IFERROR(
    IF('Loan Tape (S&amp;P)'!N25&lt;&gt;"Interest Only",1.00,
        IF('Loan Tape (S&amp;P)'!N25="Buy to Let",1.00,
            LET(
                mat_check,'Loan Tape (S&amp;P)'!AV25,
                years_to_mat,'Loan Tape (S&amp;P)'!AU25/12,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5" s="21">
        <f>IF(AND('Loan Tape (S&amp;P)'!V25="Yes",'Loan Tape (S&amp;P)'!N25&lt;&gt;"Buy to Let"),
    'FF Adj Parameters'!$B$42,
    1.00)</f>
        <v/>
      </c>
      <c r="V25" s="21">
        <f>IF('Loan Tape (S&amp;P)'!AV25="Yes",
    'FF Adj Parameters'!$B$43,
    1.00)</f>
        <v/>
      </c>
      <c r="W25" s="23">
        <f>IF('Loan Tape (S&amp;P)'!AC25&gt;0,
    'FF Adj Parameters'!$B$44,
    1.00)</f>
        <v/>
      </c>
      <c r="X25" s="21">
        <f>LET(
    has_bankruptcy,'Loan Tape (S&amp;P)'!AE25="Yes",
    has_iva,'Loan Tape (S&amp;P)'!AF25="Yes",
    has_repo,'Loan Tape (S&amp;P)'!AI25="Yes",
    mult,IF(has_repo,'FF Adj Parameters'!$B$47,
            IF(has_bankruptcy,'FF Adj Parameters'!$B$425,
                IF(has_iva,'FF Adj Parameters'!$B$46,
                    1.00))),
    MAX(mult,0.250)
)</f>
        <v/>
      </c>
      <c r="Y25" s="21">
        <f>LET(
    has_perf_arr,'Loan Tape (S&amp;P)'!AP25="Yes",
    perf_arr_date,'Loan Tape (S&amp;P)'!AQ25,
    last_90_date,'Loan Tape (S&amp;P)'!AR25,
    threshold_years,VLOOKUP('Control Panel'!$B$6,'Jurisdiction Parameters'!$A:$Q,17,FALSE),
    relevant_date,MAX(perf_arr_date,last_90_date),
    years_since,('Control Panel'!$B$10-relevant_date)/3625.225,
    IF(NOT(has_perf_arr),1.00,
        IF(years_since&gt;threshold_years,1.00,
            IF(years_since&lt;=1,INDEX('FF Adj Parameters'!$C$47:$C$250,1),
                IF(years_since&lt;=2,INDEX('FF Adj Parameters'!$C$47:$C$250,2),
                    IF(years_since&lt;=3,INDEX('FF Adj Parameters'!$C$47:$C$250,3),
                        INDEX('FF Adj Parameters'!$C$47:$C$250,4))))))
)</f>
        <v/>
      </c>
      <c r="Z25" s="24">
        <f>IFERROR(
        IF(L25&gt;=100,1.00,
            'Control Panel'!$B$18*F25*G25*MAX(H25,R25)*I25*J25*K25*L25*M25*N25*O25*P25*Q25*S25*T25*U25*V25*W25*X25*Y25
        ),
    0)</f>
        <v/>
      </c>
    </row>
    <row r="26">
      <c r="A26" s="17">
        <f>'Loan Tape (S&amp;P)'!A26</f>
        <v/>
      </c>
      <c r="B26" s="18">
        <f>'Loan Tape (S&amp;P)'!B26</f>
        <v/>
      </c>
      <c r="C26" s="20">
        <f>IFERROR('Loan Tape (S&amp;P)'!C26/'Loan Tape (S&amp;P)'!E26,0)</f>
        <v/>
      </c>
      <c r="D26" s="20">
        <f>IFERROR(
        'Loan Tape (S&amp;P)'!B26/
        ('Loan Tape (S&amp;P)'!D26*
        (1-IF('Loan Tape (S&amp;P)'!AT26&lt;&gt;"Full",
            VLOOKUP('Control Panel'!$B$6,'Jurisdiction Parameters'!$A:$D,4,FALSE),
        0))),
    0)</f>
        <v/>
      </c>
      <c r="E26" s="20">
        <f>('Control Panel'!$B$12*C26)+('Control Panel'!$B$13*D26)</f>
        <v/>
      </c>
      <c r="F26" s="22">
        <f>IFERROR(
        LET(
            juris,'Control Panel'!$B$6,
            ltv_val,E26,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6" s="21">
        <f>'Control Panel'!$B$14</f>
        <v/>
      </c>
      <c r="H26" s="21">
        <f>LET(
    income_mult,'Loan Tape (S&amp;P)'!Z26,
    IF(income_mult=0,1.00,
        IFERROR(
            INDEX('FF Adj Parameters'!$A$126:$B$17,
                MATCH(income_mult,INDEX('FF Adj Parameters'!$A$126:$B$17,,1),1),2),
            1.260))
)</f>
        <v/>
      </c>
      <c r="I26" s="21">
        <f>IF('Loan Tape (S&amp;P)'!N26&lt;&gt;"Buy to Let",1.00,
    LET(
        dscr,'Loan Tape (S&amp;P)'!AA26,
        IF(dscr=0,INDEX('FF Adj Parameters'!$A$21:$B$226,1,2),
            IFERROR(
                INDEX('FF Adj Parameters'!$A$21:$B$226,
                    MATCH(dscr,INDEX('FF Adj Parameters'!$A$21:$B$226,,1),1),2),
                'FF Adj Parameters'!$B$21)))
)</f>
        <v/>
      </c>
      <c r="J26" s="21">
        <f>LET(
    lien,'Loan Tape (S&amp;P)'!AT26,
    IF(lien="First",'FF Adj Parameters'!$B$48,
        IF(lien="Second",'FF Adj Parameters'!$B$49,
            'FF Adj Parameters'!$B$260))
)</f>
        <v/>
      </c>
      <c r="K26" s="21">
        <f>LET(
    purpose,'Loan Tape (S&amp;P)'!U26,
    IF(purpose="Purchase",'FF Adj Parameters'!$B$261,
        IF(purpose="Remortgage",'FF Adj Parameters'!$B$262,
            IF(purpose="Cash-out Remortgage",'FF Adj Parameters'!$B$263,
                1.00)))
)</f>
        <v/>
      </c>
      <c r="L26" s="21">
        <f>LET(
    arrears_months,'Loan Tape (S&amp;P)'!X26,
    IF(arrears_months=0,'FF Adj Parameters'!$B$264,
        IF(arrears_months&lt;=2,'FF Adj Parameters'!$B$2626,
            'FF Adj Parameters'!$B$266))
)</f>
        <v/>
      </c>
      <c r="M26" s="21">
        <f>LET(
    years_seasoned,'Loan Tape (S&amp;P)'!AW26/12,
    arrears_months,'Loan Tape (S&amp;P)'!X26,
    IF(arrears_months&gt;0,1.00,
        IFERROR(
            INDEX('FF Adj Parameters'!$A$26:$B$11,
                MATCH(years_seasoned,INDEX('FF Adj Parameters'!$A$26:$B$11,,1),1),2),
            0.260))
)</f>
        <v/>
      </c>
      <c r="N26" s="21">
        <f>IF(AND('Loan Tape (S&amp;P)'!P26="Yes",'Loan Tape (S&amp;P)'!AW26&lt;'FF Adj Parameters'!$B$124),
    'FF Adj Parameters'!$B$33,
    1.00)</f>
        <v/>
      </c>
      <c r="O26" s="21">
        <f>IF('Loan Tape (S&amp;P)'!Q26="Yes",
    'FF Adj Parameters'!$B$37,
    1.00)</f>
        <v/>
      </c>
      <c r="P26" s="21">
        <f>IF('Loan Tape (S&amp;P)'!R26="Yes",
    'FF Adj Parameters'!$B$38,
    1.00)</f>
        <v/>
      </c>
      <c r="Q26" s="21">
        <f>IF('Loan Tape (S&amp;P)'!S26="Yes",
    'FF Adj Parameters'!$B$39,
    1.00)</f>
        <v/>
      </c>
      <c r="R26" s="21">
        <f>IF('Loan Tape (S&amp;P)'!T26="Yes",
    'FF Adj Parameters'!$B$40,
    1.00)</f>
        <v/>
      </c>
      <c r="S26" s="21">
        <f>LET(
    is_htb,'Loan Tape (S&amp;P)'!Q26="Yes",
    rate_type,'Loan Tape (S&amp;P)'!AS26,
    months_to_mat,'Loan Tape (S&amp;P)'!AU26,
    threshold,'FF Adj Parameters'!$B$1226,
    has_shock,AND(rate_type="Fixed",months_to_mat&lt;=threshold),
    IF(is_htb,1.00,IF(has_shock,'FF Adj Parameters'!$B$41,1.00))
)</f>
        <v/>
      </c>
      <c r="T26" s="21">
        <f>IFERROR(
    IF('Loan Tape (S&amp;P)'!N26&lt;&gt;"Interest Only",1.00,
        IF('Loan Tape (S&amp;P)'!N26="Buy to Let",1.00,
            LET(
                mat_check,'Loan Tape (S&amp;P)'!AV26,
                years_to_mat,'Loan Tape (S&amp;P)'!AU26/12,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6" s="21">
        <f>IF(AND('Loan Tape (S&amp;P)'!V26="Yes",'Loan Tape (S&amp;P)'!N26&lt;&gt;"Buy to Let"),
    'FF Adj Parameters'!$B$42,
    1.00)</f>
        <v/>
      </c>
      <c r="V26" s="21">
        <f>IF('Loan Tape (S&amp;P)'!AV26="Yes",
    'FF Adj Parameters'!$B$43,
    1.00)</f>
        <v/>
      </c>
      <c r="W26" s="23">
        <f>IF('Loan Tape (S&amp;P)'!AC26&gt;0,
    'FF Adj Parameters'!$B$44,
    1.00)</f>
        <v/>
      </c>
      <c r="X26" s="21">
        <f>LET(
    has_bankruptcy,'Loan Tape (S&amp;P)'!AE26="Yes",
    has_iva,'Loan Tape (S&amp;P)'!AF26="Yes",
    has_repo,'Loan Tape (S&amp;P)'!AI26="Yes",
    mult,IF(has_repo,'FF Adj Parameters'!$B$47,
            IF(has_bankruptcy,'FF Adj Parameters'!$B$426,
                IF(has_iva,'FF Adj Parameters'!$B$46,
                    1.00))),
    MAX(mult,0.260)
)</f>
        <v/>
      </c>
      <c r="Y26" s="21">
        <f>LET(
    has_perf_arr,'Loan Tape (S&amp;P)'!AP26="Yes",
    perf_arr_date,'Loan Tape (S&amp;P)'!AQ26,
    last_90_date,'Loan Tape (S&amp;P)'!AR26,
    threshold_years,VLOOKUP('Control Panel'!$B$6,'Jurisdiction Parameters'!$A:$Q,17,FALSE),
    relevant_date,MAX(perf_arr_date,last_90_date),
    years_since,('Control Panel'!$B$10-relevant_date)/3626.226,
    IF(NOT(has_perf_arr),1.00,
        IF(years_since&gt;threshold_years,1.00,
            IF(years_since&lt;=1,INDEX('FF Adj Parameters'!$C$47:$C$260,1),
                IF(years_since&lt;=2,INDEX('FF Adj Parameters'!$C$47:$C$260,2),
                    IF(years_since&lt;=3,INDEX('FF Adj Parameters'!$C$47:$C$260,3),
                        INDEX('FF Adj Parameters'!$C$47:$C$260,4))))))
)</f>
        <v/>
      </c>
      <c r="Z26" s="24">
        <f>IFERROR(
        IF(L26&gt;=100,1.00,
            'Control Panel'!$B$18*F26*G26*MAX(H26,R26)*I26*J26*K26*L26*M26*N26*O26*P26*Q26*S26*T26*U26*V26*W26*X26*Y26
        ),
    0)</f>
        <v/>
      </c>
    </row>
    <row r="27">
      <c r="A27" s="17">
        <f>'Loan Tape (S&amp;P)'!A27</f>
        <v/>
      </c>
      <c r="B27" s="18">
        <f>'Loan Tape (S&amp;P)'!B27</f>
        <v/>
      </c>
      <c r="C27" s="20">
        <f>IFERROR('Loan Tape (S&amp;P)'!C27/'Loan Tape (S&amp;P)'!E27,0)</f>
        <v/>
      </c>
      <c r="D27" s="20">
        <f>IFERROR(
        'Loan Tape (S&amp;P)'!B27/
        ('Loan Tape (S&amp;P)'!D27*
        (1-IF('Loan Tape (S&amp;P)'!AT27&lt;&gt;"Full",
            VLOOKUP('Control Panel'!$B$6,'Jurisdiction Parameters'!$A:$D,4,FALSE),
        0))),
    0)</f>
        <v/>
      </c>
      <c r="E27" s="20">
        <f>('Control Panel'!$B$12*C27)+('Control Panel'!$B$13*D27)</f>
        <v/>
      </c>
      <c r="F27" s="22">
        <f>IFERROR(
        LET(
            juris,'Control Panel'!$B$6,
            ltv_val,E27,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7" s="21">
        <f>'Control Panel'!$B$14</f>
        <v/>
      </c>
      <c r="H27" s="21">
        <f>LET(
    income_mult,'Loan Tape (S&amp;P)'!Z27,
    IF(income_mult=0,1.00,
        IFERROR(
            INDEX('FF Adj Parameters'!$A$127:$B$17,
                MATCH(income_mult,INDEX('FF Adj Parameters'!$A$127:$B$17,,1),1),2),
            1.270))
)</f>
        <v/>
      </c>
      <c r="I27" s="21">
        <f>IF('Loan Tape (S&amp;P)'!N27&lt;&gt;"Buy to Let",1.00,
    LET(
        dscr,'Loan Tape (S&amp;P)'!AA27,
        IF(dscr=0,INDEX('FF Adj Parameters'!$A$21:$B$227,1,2),
            IFERROR(
                INDEX('FF Adj Parameters'!$A$21:$B$227,
                    MATCH(dscr,INDEX('FF Adj Parameters'!$A$21:$B$227,,1),1),2),
                'FF Adj Parameters'!$B$21)))
)</f>
        <v/>
      </c>
      <c r="J27" s="21">
        <f>LET(
    lien,'Loan Tape (S&amp;P)'!AT27,
    IF(lien="First",'FF Adj Parameters'!$B$48,
        IF(lien="Second",'FF Adj Parameters'!$B$49,
            'FF Adj Parameters'!$B$270))
)</f>
        <v/>
      </c>
      <c r="K27" s="21">
        <f>LET(
    purpose,'Loan Tape (S&amp;P)'!U27,
    IF(purpose="Purchase",'FF Adj Parameters'!$B$271,
        IF(purpose="Remortgage",'FF Adj Parameters'!$B$272,
            IF(purpose="Cash-out Remortgage",'FF Adj Parameters'!$B$273,
                1.00)))
)</f>
        <v/>
      </c>
      <c r="L27" s="21">
        <f>LET(
    arrears_months,'Loan Tape (S&amp;P)'!X27,
    IF(arrears_months=0,'FF Adj Parameters'!$B$274,
        IF(arrears_months&lt;=2,'FF Adj Parameters'!$B$2727,
            'FF Adj Parameters'!$B$276))
)</f>
        <v/>
      </c>
      <c r="M27" s="21">
        <f>LET(
    years_seasoned,'Loan Tape (S&amp;P)'!AW27/12,
    arrears_months,'Loan Tape (S&amp;P)'!X27,
    IF(arrears_months&gt;0,1.00,
        IFERROR(
            INDEX('FF Adj Parameters'!$A$27:$B$11,
                MATCH(years_seasoned,INDEX('FF Adj Parameters'!$A$27:$B$11,,1),1),2),
            0.270))
)</f>
        <v/>
      </c>
      <c r="N27" s="21">
        <f>IF(AND('Loan Tape (S&amp;P)'!P27="Yes",'Loan Tape (S&amp;P)'!AW27&lt;'FF Adj Parameters'!$B$124),
    'FF Adj Parameters'!$B$33,
    1.00)</f>
        <v/>
      </c>
      <c r="O27" s="21">
        <f>IF('Loan Tape (S&amp;P)'!Q27="Yes",
    'FF Adj Parameters'!$B$37,
    1.00)</f>
        <v/>
      </c>
      <c r="P27" s="21">
        <f>IF('Loan Tape (S&amp;P)'!R27="Yes",
    'FF Adj Parameters'!$B$38,
    1.00)</f>
        <v/>
      </c>
      <c r="Q27" s="21">
        <f>IF('Loan Tape (S&amp;P)'!S27="Yes",
    'FF Adj Parameters'!$B$39,
    1.00)</f>
        <v/>
      </c>
      <c r="R27" s="21">
        <f>IF('Loan Tape (S&amp;P)'!T27="Yes",
    'FF Adj Parameters'!$B$40,
    1.00)</f>
        <v/>
      </c>
      <c r="S27" s="21">
        <f>LET(
    is_htb,'Loan Tape (S&amp;P)'!Q27="Yes",
    rate_type,'Loan Tape (S&amp;P)'!AS27,
    months_to_mat,'Loan Tape (S&amp;P)'!AU27,
    threshold,'FF Adj Parameters'!$B$1227,
    has_shock,AND(rate_type="Fixed",months_to_mat&lt;=threshold),
    IF(is_htb,1.00,IF(has_shock,'FF Adj Parameters'!$B$41,1.00))
)</f>
        <v/>
      </c>
      <c r="T27" s="21">
        <f>IFERROR(
    IF('Loan Tape (S&amp;P)'!N27&lt;&gt;"Interest Only",1.00,
        IF('Loan Tape (S&amp;P)'!N27="Buy to Let",1.00,
            LET(
                mat_check,'Loan Tape (S&amp;P)'!AV27,
                years_to_mat,'Loan Tape (S&amp;P)'!AU27/12,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7" s="21">
        <f>IF(AND('Loan Tape (S&amp;P)'!V27="Yes",'Loan Tape (S&amp;P)'!N27&lt;&gt;"Buy to Let"),
    'FF Adj Parameters'!$B$42,
    1.00)</f>
        <v/>
      </c>
      <c r="V27" s="21">
        <f>IF('Loan Tape (S&amp;P)'!AV27="Yes",
    'FF Adj Parameters'!$B$43,
    1.00)</f>
        <v/>
      </c>
      <c r="W27" s="23">
        <f>IF('Loan Tape (S&amp;P)'!AC27&gt;0,
    'FF Adj Parameters'!$B$44,
    1.00)</f>
        <v/>
      </c>
      <c r="X27" s="21">
        <f>LET(
    has_bankruptcy,'Loan Tape (S&amp;P)'!AE27="Yes",
    has_iva,'Loan Tape (S&amp;P)'!AF27="Yes",
    has_repo,'Loan Tape (S&amp;P)'!AI27="Yes",
    mult,IF(has_repo,'FF Adj Parameters'!$B$47,
            IF(has_bankruptcy,'FF Adj Parameters'!$B$427,
                IF(has_iva,'FF Adj Parameters'!$B$46,
                    1.00))),
    MAX(mult,0.270)
)</f>
        <v/>
      </c>
      <c r="Y27" s="21">
        <f>LET(
    has_perf_arr,'Loan Tape (S&amp;P)'!AP27="Yes",
    perf_arr_date,'Loan Tape (S&amp;P)'!AQ27,
    last_90_date,'Loan Tape (S&amp;P)'!AR27,
    threshold_years,VLOOKUP('Control Panel'!$B$6,'Jurisdiction Parameters'!$A:$Q,17,FALSE),
    relevant_date,MAX(perf_arr_date,last_90_date),
    years_since,('Control Panel'!$B$10-relevant_date)/3627.227,
    IF(NOT(has_perf_arr),1.00,
        IF(years_since&gt;threshold_years,1.00,
            IF(years_since&lt;=1,INDEX('FF Adj Parameters'!$C$47:$C$270,1),
                IF(years_since&lt;=2,INDEX('FF Adj Parameters'!$C$47:$C$270,2),
                    IF(years_since&lt;=3,INDEX('FF Adj Parameters'!$C$47:$C$270,3),
                        INDEX('FF Adj Parameters'!$C$47:$C$270,4))))))
)</f>
        <v/>
      </c>
      <c r="Z27" s="24">
        <f>IFERROR(
        IF(L27&gt;=100,1.00,
            'Control Panel'!$B$18*F27*G27*MAX(H27,R27)*I27*J27*K27*L27*M27*N27*O27*P27*Q27*S27*T27*U27*V27*W27*X27*Y27
        ),
    0)</f>
        <v/>
      </c>
    </row>
    <row r="28">
      <c r="A28" s="17">
        <f>'Loan Tape (S&amp;P)'!A28</f>
        <v/>
      </c>
      <c r="B28" s="18">
        <f>'Loan Tape (S&amp;P)'!B28</f>
        <v/>
      </c>
      <c r="C28" s="20">
        <f>IFERROR('Loan Tape (S&amp;P)'!C28/'Loan Tape (S&amp;P)'!E28,0)</f>
        <v/>
      </c>
      <c r="D28" s="20">
        <f>IFERROR(
        'Loan Tape (S&amp;P)'!B28/
        ('Loan Tape (S&amp;P)'!D28*
        (1-IF('Loan Tape (S&amp;P)'!AT28&lt;&gt;"Full",
            VLOOKUP('Control Panel'!$B$6,'Jurisdiction Parameters'!$A:$D,4,FALSE),
        0))),
    0)</f>
        <v/>
      </c>
      <c r="E28" s="20">
        <f>('Control Panel'!$B$12*C28)+('Control Panel'!$B$13*D28)</f>
        <v/>
      </c>
      <c r="F28" s="22">
        <f>IFERROR(
        LET(
            juris,'Control Panel'!$B$6,
            ltv_val,E28,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8" s="21">
        <f>'Control Panel'!$B$14</f>
        <v/>
      </c>
      <c r="H28" s="21">
        <f>LET(
    income_mult,'Loan Tape (S&amp;P)'!Z28,
    IF(income_mult=0,1.00,
        IFERROR(
            INDEX('FF Adj Parameters'!$A$128:$B$17,
                MATCH(income_mult,INDEX('FF Adj Parameters'!$A$128:$B$17,,1),1),2),
            1.280))
)</f>
        <v/>
      </c>
      <c r="I28" s="21">
        <f>IF('Loan Tape (S&amp;P)'!N28&lt;&gt;"Buy to Let",1.00,
    LET(
        dscr,'Loan Tape (S&amp;P)'!AA28,
        IF(dscr=0,INDEX('FF Adj Parameters'!$A$21:$B$228,1,2),
            IFERROR(
                INDEX('FF Adj Parameters'!$A$21:$B$228,
                    MATCH(dscr,INDEX('FF Adj Parameters'!$A$21:$B$228,,1),1),2),
                'FF Adj Parameters'!$B$21)))
)</f>
        <v/>
      </c>
      <c r="J28" s="21">
        <f>LET(
    lien,'Loan Tape (S&amp;P)'!AT28,
    IF(lien="First",'FF Adj Parameters'!$B$48,
        IF(lien="Second",'FF Adj Parameters'!$B$49,
            'FF Adj Parameters'!$B$280))
)</f>
        <v/>
      </c>
      <c r="K28" s="21">
        <f>LET(
    purpose,'Loan Tape (S&amp;P)'!U28,
    IF(purpose="Purchase",'FF Adj Parameters'!$B$281,
        IF(purpose="Remortgage",'FF Adj Parameters'!$B$282,
            IF(purpose="Cash-out Remortgage",'FF Adj Parameters'!$B$283,
                1.00)))
)</f>
        <v/>
      </c>
      <c r="L28" s="21">
        <f>LET(
    arrears_months,'Loan Tape (S&amp;P)'!X28,
    IF(arrears_months=0,'FF Adj Parameters'!$B$284,
        IF(arrears_months&lt;=2,'FF Adj Parameters'!$B$2828,
            'FF Adj Parameters'!$B$286))
)</f>
        <v/>
      </c>
      <c r="M28" s="21">
        <f>LET(
    years_seasoned,'Loan Tape (S&amp;P)'!AW28/12,
    arrears_months,'Loan Tape (S&amp;P)'!X28,
    IF(arrears_months&gt;0,1.00,
        IFERROR(
            INDEX('FF Adj Parameters'!$A$28:$B$11,
                MATCH(years_seasoned,INDEX('FF Adj Parameters'!$A$28:$B$11,,1),1),2),
            0.280))
)</f>
        <v/>
      </c>
      <c r="N28" s="21">
        <f>IF(AND('Loan Tape (S&amp;P)'!P28="Yes",'Loan Tape (S&amp;P)'!AW28&lt;'FF Adj Parameters'!$B$124),
    'FF Adj Parameters'!$B$33,
    1.00)</f>
        <v/>
      </c>
      <c r="O28" s="21">
        <f>IF('Loan Tape (S&amp;P)'!Q28="Yes",
    'FF Adj Parameters'!$B$37,
    1.00)</f>
        <v/>
      </c>
      <c r="P28" s="21">
        <f>IF('Loan Tape (S&amp;P)'!R28="Yes",
    'FF Adj Parameters'!$B$38,
    1.00)</f>
        <v/>
      </c>
      <c r="Q28" s="21">
        <f>IF('Loan Tape (S&amp;P)'!S28="Yes",
    'FF Adj Parameters'!$B$39,
    1.00)</f>
        <v/>
      </c>
      <c r="R28" s="21">
        <f>IF('Loan Tape (S&amp;P)'!T28="Yes",
    'FF Adj Parameters'!$B$40,
    1.00)</f>
        <v/>
      </c>
      <c r="S28" s="21">
        <f>LET(
    is_htb,'Loan Tape (S&amp;P)'!Q28="Yes",
    rate_type,'Loan Tape (S&amp;P)'!AS28,
    months_to_mat,'Loan Tape (S&amp;P)'!AU28,
    threshold,'FF Adj Parameters'!$B$1228,
    has_shock,AND(rate_type="Fixed",months_to_mat&lt;=threshold),
    IF(is_htb,1.00,IF(has_shock,'FF Adj Parameters'!$B$41,1.00))
)</f>
        <v/>
      </c>
      <c r="T28" s="21">
        <f>IFERROR(
    IF('Loan Tape (S&amp;P)'!N28&lt;&gt;"Interest Only",1.00,
        IF('Loan Tape (S&amp;P)'!N28="Buy to Let",1.00,
            LET(
                mat_check,'Loan Tape (S&amp;P)'!AV28,
                years_to_mat,'Loan Tape (S&amp;P)'!AU28/12,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8" s="21">
        <f>IF(AND('Loan Tape (S&amp;P)'!V28="Yes",'Loan Tape (S&amp;P)'!N28&lt;&gt;"Buy to Let"),
    'FF Adj Parameters'!$B$42,
    1.00)</f>
        <v/>
      </c>
      <c r="V28" s="21">
        <f>IF('Loan Tape (S&amp;P)'!AV28="Yes",
    'FF Adj Parameters'!$B$43,
    1.00)</f>
        <v/>
      </c>
      <c r="W28" s="23">
        <f>IF('Loan Tape (S&amp;P)'!AC28&gt;0,
    'FF Adj Parameters'!$B$44,
    1.00)</f>
        <v/>
      </c>
      <c r="X28" s="21">
        <f>LET(
    has_bankruptcy,'Loan Tape (S&amp;P)'!AE28="Yes",
    has_iva,'Loan Tape (S&amp;P)'!AF28="Yes",
    has_repo,'Loan Tape (S&amp;P)'!AI28="Yes",
    mult,IF(has_repo,'FF Adj Parameters'!$B$47,
            IF(has_bankruptcy,'FF Adj Parameters'!$B$428,
                IF(has_iva,'FF Adj Parameters'!$B$46,
                    1.00))),
    MAX(mult,0.280)
)</f>
        <v/>
      </c>
      <c r="Y28" s="21">
        <f>LET(
    has_perf_arr,'Loan Tape (S&amp;P)'!AP28="Yes",
    perf_arr_date,'Loan Tape (S&amp;P)'!AQ28,
    last_90_date,'Loan Tape (S&amp;P)'!AR28,
    threshold_years,VLOOKUP('Control Panel'!$B$6,'Jurisdiction Parameters'!$A:$Q,17,FALSE),
    relevant_date,MAX(perf_arr_date,last_90_date),
    years_since,('Control Panel'!$B$10-relevant_date)/3628.228,
    IF(NOT(has_perf_arr),1.00,
        IF(years_since&gt;threshold_years,1.00,
            IF(years_since&lt;=1,INDEX('FF Adj Parameters'!$C$47:$C$280,1),
                IF(years_since&lt;=2,INDEX('FF Adj Parameters'!$C$47:$C$280,2),
                    IF(years_since&lt;=3,INDEX('FF Adj Parameters'!$C$47:$C$280,3),
                        INDEX('FF Adj Parameters'!$C$47:$C$280,4))))))
)</f>
        <v/>
      </c>
      <c r="Z28" s="24">
        <f>IFERROR(
        IF(L28&gt;=100,1.00,
            'Control Panel'!$B$18*F28*G28*MAX(H28,R28)*I28*J28*K28*L28*M28*N28*O28*P28*Q28*S28*T28*U28*V28*W28*X28*Y28
        ),
    0)</f>
        <v/>
      </c>
    </row>
    <row r="29">
      <c r="A29" s="17">
        <f>'Loan Tape (S&amp;P)'!A29</f>
        <v/>
      </c>
      <c r="B29" s="18">
        <f>'Loan Tape (S&amp;P)'!B29</f>
        <v/>
      </c>
      <c r="C29" s="20">
        <f>IFERROR('Loan Tape (S&amp;P)'!C29/'Loan Tape (S&amp;P)'!E29,0)</f>
        <v/>
      </c>
      <c r="D29" s="20">
        <f>IFERROR(
        'Loan Tape (S&amp;P)'!B29/
        ('Loan Tape (S&amp;P)'!D29*
        (1-IF('Loan Tape (S&amp;P)'!AT29&lt;&gt;"Full",
            VLOOKUP('Control Panel'!$B$6,'Jurisdiction Parameters'!$A:$D,4,FALSE),
        0))),
    0)</f>
        <v/>
      </c>
      <c r="E29" s="20">
        <f>('Control Panel'!$B$12*C29)+('Control Panel'!$B$13*D29)</f>
        <v/>
      </c>
      <c r="F29" s="22">
        <f>IFERROR(
        LET(
            juris,'Control Panel'!$B$6,
            ltv_val,E29,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9" s="21">
        <f>'Control Panel'!$B$14</f>
        <v/>
      </c>
      <c r="H29" s="21">
        <f>LET(
    income_mult,'Loan Tape (S&amp;P)'!Z29,
    IF(income_mult=0,1.00,
        IFERROR(
            INDEX('FF Adj Parameters'!$A$129:$B$17,
                MATCH(income_mult,INDEX('FF Adj Parameters'!$A$129:$B$17,,1),1),2),
            1.290))
)</f>
        <v/>
      </c>
      <c r="I29" s="21">
        <f>IF('Loan Tape (S&amp;P)'!N29&lt;&gt;"Buy to Let",1.00,
    LET(
        dscr,'Loan Tape (S&amp;P)'!AA29,
        IF(dscr=0,INDEX('FF Adj Parameters'!$A$21:$B$229,1,2),
            IFERROR(
                INDEX('FF Adj Parameters'!$A$21:$B$229,
                    MATCH(dscr,INDEX('FF Adj Parameters'!$A$21:$B$229,,1),1),2),
                'FF Adj Parameters'!$B$21)))
)</f>
        <v/>
      </c>
      <c r="J29" s="21">
        <f>LET(
    lien,'Loan Tape (S&amp;P)'!AT29,
    IF(lien="First",'FF Adj Parameters'!$B$48,
        IF(lien="Second",'FF Adj Parameters'!$B$49,
            'FF Adj Parameters'!$B$290))
)</f>
        <v/>
      </c>
      <c r="K29" s="21">
        <f>LET(
    purpose,'Loan Tape (S&amp;P)'!U29,
    IF(purpose="Purchase",'FF Adj Parameters'!$B$291,
        IF(purpose="Remortgage",'FF Adj Parameters'!$B$292,
            IF(purpose="Cash-out Remortgage",'FF Adj Parameters'!$B$293,
                1.00)))
)</f>
        <v/>
      </c>
      <c r="L29" s="21">
        <f>LET(
    arrears_months,'Loan Tape (S&amp;P)'!X29,
    IF(arrears_months=0,'FF Adj Parameters'!$B$294,
        IF(arrears_months&lt;=2,'FF Adj Parameters'!$B$2929,
            'FF Adj Parameters'!$B$296))
)</f>
        <v/>
      </c>
      <c r="M29" s="21">
        <f>LET(
    years_seasoned,'Loan Tape (S&amp;P)'!AW29/12,
    arrears_months,'Loan Tape (S&amp;P)'!X29,
    IF(arrears_months&gt;0,1.00,
        IFERROR(
            INDEX('FF Adj Parameters'!$A$29:$B$11,
                MATCH(years_seasoned,INDEX('FF Adj Parameters'!$A$29:$B$11,,1),1),2),
            0.290))
)</f>
        <v/>
      </c>
      <c r="N29" s="21">
        <f>IF(AND('Loan Tape (S&amp;P)'!P29="Yes",'Loan Tape (S&amp;P)'!AW29&lt;'FF Adj Parameters'!$B$124),
    'FF Adj Parameters'!$B$33,
    1.00)</f>
        <v/>
      </c>
      <c r="O29" s="21">
        <f>IF('Loan Tape (S&amp;P)'!Q29="Yes",
    'FF Adj Parameters'!$B$37,
    1.00)</f>
        <v/>
      </c>
      <c r="P29" s="21">
        <f>IF('Loan Tape (S&amp;P)'!R29="Yes",
    'FF Adj Parameters'!$B$38,
    1.00)</f>
        <v/>
      </c>
      <c r="Q29" s="21">
        <f>IF('Loan Tape (S&amp;P)'!S29="Yes",
    'FF Adj Parameters'!$B$39,
    1.00)</f>
        <v/>
      </c>
      <c r="R29" s="21">
        <f>IF('Loan Tape (S&amp;P)'!T29="Yes",
    'FF Adj Parameters'!$B$40,
    1.00)</f>
        <v/>
      </c>
      <c r="S29" s="21">
        <f>LET(
    is_htb,'Loan Tape (S&amp;P)'!Q29="Yes",
    rate_type,'Loan Tape (S&amp;P)'!AS29,
    months_to_mat,'Loan Tape (S&amp;P)'!AU29,
    threshold,'FF Adj Parameters'!$B$1229,
    has_shock,AND(rate_type="Fixed",months_to_mat&lt;=threshold),
    IF(is_htb,1.00,IF(has_shock,'FF Adj Parameters'!$B$41,1.00))
)</f>
        <v/>
      </c>
      <c r="T29" s="21">
        <f>IFERROR(
    IF('Loan Tape (S&amp;P)'!N29&lt;&gt;"Interest Only",1.00,
        IF('Loan Tape (S&amp;P)'!N29="Buy to Let",1.00,
            LET(
                mat_check,'Loan Tape (S&amp;P)'!AV29,
                years_to_mat,'Loan Tape (S&amp;P)'!AU29/12,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9" s="21">
        <f>IF(AND('Loan Tape (S&amp;P)'!V29="Yes",'Loan Tape (S&amp;P)'!N29&lt;&gt;"Buy to Let"),
    'FF Adj Parameters'!$B$42,
    1.00)</f>
        <v/>
      </c>
      <c r="V29" s="21">
        <f>IF('Loan Tape (S&amp;P)'!AV29="Yes",
    'FF Adj Parameters'!$B$43,
    1.00)</f>
        <v/>
      </c>
      <c r="W29" s="23">
        <f>IF('Loan Tape (S&amp;P)'!AC29&gt;0,
    'FF Adj Parameters'!$B$44,
    1.00)</f>
        <v/>
      </c>
      <c r="X29" s="21">
        <f>LET(
    has_bankruptcy,'Loan Tape (S&amp;P)'!AE29="Yes",
    has_iva,'Loan Tape (S&amp;P)'!AF29="Yes",
    has_repo,'Loan Tape (S&amp;P)'!AI29="Yes",
    mult,IF(has_repo,'FF Adj Parameters'!$B$47,
            IF(has_bankruptcy,'FF Adj Parameters'!$B$429,
                IF(has_iva,'FF Adj Parameters'!$B$46,
                    1.00))),
    MAX(mult,0.290)
)</f>
        <v/>
      </c>
      <c r="Y29" s="21">
        <f>LET(
    has_perf_arr,'Loan Tape (S&amp;P)'!AP29="Yes",
    perf_arr_date,'Loan Tape (S&amp;P)'!AQ29,
    last_90_date,'Loan Tape (S&amp;P)'!AR29,
    threshold_years,VLOOKUP('Control Panel'!$B$6,'Jurisdiction Parameters'!$A:$Q,17,FALSE),
    relevant_date,MAX(perf_arr_date,last_90_date),
    years_since,('Control Panel'!$B$10-relevant_date)/3629.229,
    IF(NOT(has_perf_arr),1.00,
        IF(years_since&gt;threshold_years,1.00,
            IF(years_since&lt;=1,INDEX('FF Adj Parameters'!$C$47:$C$290,1),
                IF(years_since&lt;=2,INDEX('FF Adj Parameters'!$C$47:$C$290,2),
                    IF(years_since&lt;=3,INDEX('FF Adj Parameters'!$C$47:$C$290,3),
                        INDEX('FF Adj Parameters'!$C$47:$C$290,4))))))
)</f>
        <v/>
      </c>
      <c r="Z29" s="24">
        <f>IFERROR(
        IF(L29&gt;=100,1.00,
            'Control Panel'!$B$18*F29*G29*MAX(H29,R29)*I29*J29*K29*L29*M29*N29*O29*P29*Q29*S29*T29*U29*V29*W29*X29*Y29
        ),
    0)</f>
        <v/>
      </c>
    </row>
    <row r="30">
      <c r="A30" s="17">
        <f>'Loan Tape (S&amp;P)'!A30</f>
        <v/>
      </c>
      <c r="B30" s="18">
        <f>'Loan Tape (S&amp;P)'!B30</f>
        <v/>
      </c>
      <c r="C30" s="20">
        <f>IFERROR('Loan Tape (S&amp;P)'!C30/'Loan Tape (S&amp;P)'!E30,0)</f>
        <v/>
      </c>
      <c r="D30" s="20">
        <f>IFERROR(
        'Loan Tape (S&amp;P)'!B30/
        ('Loan Tape (S&amp;P)'!D30*
        (1-IF('Loan Tape (S&amp;P)'!AT30&lt;&gt;"Full",
            VLOOKUP('Control Panel'!$B$6,'Jurisdiction Parameters'!$A:$D,4,FALSE),
        0))),
    0)</f>
        <v/>
      </c>
      <c r="E30" s="20">
        <f>('Control Panel'!$B$12*C30)+('Control Panel'!$B$13*D30)</f>
        <v/>
      </c>
      <c r="F30" s="22">
        <f>IFERROR(
        LET(
            juris,'Control Panel'!$B$6,
            ltv_val,E30,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0" s="21">
        <f>'Control Panel'!$B$14</f>
        <v/>
      </c>
      <c r="H30" s="21">
        <f>LET(
    income_mult,'Loan Tape (S&amp;P)'!Z30,
    IF(income_mult=0,1.00,
        IFERROR(
            INDEX('FF Adj Parameters'!$A$130:$B$17,
                MATCH(income_mult,INDEX('FF Adj Parameters'!$A$130:$B$17,,1),1),2),
            1.300))
)</f>
        <v/>
      </c>
      <c r="I30" s="21">
        <f>IF('Loan Tape (S&amp;P)'!N30&lt;&gt;"Buy to Let",1.00,
    LET(
        dscr,'Loan Tape (S&amp;P)'!AA30,
        IF(dscr=0,INDEX('FF Adj Parameters'!$A$21:$B$230,1,2),
            IFERROR(
                INDEX('FF Adj Parameters'!$A$21:$B$230,
                    MATCH(dscr,INDEX('FF Adj Parameters'!$A$21:$B$230,,1),1),2),
                'FF Adj Parameters'!$B$21)))
)</f>
        <v/>
      </c>
      <c r="J30" s="21">
        <f>LET(
    lien,'Loan Tape (S&amp;P)'!AT30,
    IF(lien="First",'FF Adj Parameters'!$B$48,
        IF(lien="Second",'FF Adj Parameters'!$B$49,
            'FF Adj Parameters'!$B$300))
)</f>
        <v/>
      </c>
      <c r="K30" s="21">
        <f>LET(
    purpose,'Loan Tape (S&amp;P)'!U30,
    IF(purpose="Purchase",'FF Adj Parameters'!$B$301,
        IF(purpose="Remortgage",'FF Adj Parameters'!$B$302,
            IF(purpose="Cash-out Remortgage",'FF Adj Parameters'!$B$303,
                1.00)))
)</f>
        <v/>
      </c>
      <c r="L30" s="21">
        <f>LET(
    arrears_months,'Loan Tape (S&amp;P)'!X30,
    IF(arrears_months=0,'FF Adj Parameters'!$B$304,
        IF(arrears_months&lt;=2,'FF Adj Parameters'!$B$3030,
            'FF Adj Parameters'!$B$306))
)</f>
        <v/>
      </c>
      <c r="M30" s="21">
        <f>LET(
    years_seasoned,'Loan Tape (S&amp;P)'!AW30/12,
    arrears_months,'Loan Tape (S&amp;P)'!X30,
    IF(arrears_months&gt;0,1.00,
        IFERROR(
            INDEX('FF Adj Parameters'!$A$30:$B$11,
                MATCH(years_seasoned,INDEX('FF Adj Parameters'!$A$30:$B$11,,1),1),2),
            0.300))
)</f>
        <v/>
      </c>
      <c r="N30" s="21">
        <f>IF(AND('Loan Tape (S&amp;P)'!P30="Yes",'Loan Tape (S&amp;P)'!AW30&lt;'FF Adj Parameters'!$B$124),
    'FF Adj Parameters'!$B$33,
    1.00)</f>
        <v/>
      </c>
      <c r="O30" s="21">
        <f>IF('Loan Tape (S&amp;P)'!Q30="Yes",
    'FF Adj Parameters'!$B$37,
    1.00)</f>
        <v/>
      </c>
      <c r="P30" s="21">
        <f>IF('Loan Tape (S&amp;P)'!R30="Yes",
    'FF Adj Parameters'!$B$38,
    1.00)</f>
        <v/>
      </c>
      <c r="Q30" s="21">
        <f>IF('Loan Tape (S&amp;P)'!S30="Yes",
    'FF Adj Parameters'!$B$39,
    1.00)</f>
        <v/>
      </c>
      <c r="R30" s="21">
        <f>IF('Loan Tape (S&amp;P)'!T30="Yes",
    'FF Adj Parameters'!$B$40,
    1.00)</f>
        <v/>
      </c>
      <c r="S30" s="21">
        <f>LET(
    is_htb,'Loan Tape (S&amp;P)'!Q30="Yes",
    rate_type,'Loan Tape (S&amp;P)'!AS30,
    months_to_mat,'Loan Tape (S&amp;P)'!AU30,
    threshold,'FF Adj Parameters'!$B$1230,
    has_shock,AND(rate_type="Fixed",months_to_mat&lt;=threshold),
    IF(is_htb,1.00,IF(has_shock,'FF Adj Parameters'!$B$41,1.00))
)</f>
        <v/>
      </c>
      <c r="T30" s="21">
        <f>IFERROR(
    IF('Loan Tape (S&amp;P)'!N30&lt;&gt;"Interest Only",1.00,
        IF('Loan Tape (S&amp;P)'!N30="Buy to Let",1.00,
            LET(
                mat_check,'Loan Tape (S&amp;P)'!AV30,
                years_to_mat,'Loan Tape (S&amp;P)'!AU30/12,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0" s="21">
        <f>IF(AND('Loan Tape (S&amp;P)'!V30="Yes",'Loan Tape (S&amp;P)'!N30&lt;&gt;"Buy to Let"),
    'FF Adj Parameters'!$B$42,
    1.00)</f>
        <v/>
      </c>
      <c r="V30" s="21">
        <f>IF('Loan Tape (S&amp;P)'!AV30="Yes",
    'FF Adj Parameters'!$B$43,
    1.00)</f>
        <v/>
      </c>
      <c r="W30" s="23">
        <f>IF('Loan Tape (S&amp;P)'!AC30&gt;0,
    'FF Adj Parameters'!$B$44,
    1.00)</f>
        <v/>
      </c>
      <c r="X30" s="21">
        <f>LET(
    has_bankruptcy,'Loan Tape (S&amp;P)'!AE30="Yes",
    has_iva,'Loan Tape (S&amp;P)'!AF30="Yes",
    has_repo,'Loan Tape (S&amp;P)'!AI30="Yes",
    mult,IF(has_repo,'FF Adj Parameters'!$B$47,
            IF(has_bankruptcy,'FF Adj Parameters'!$B$430,
                IF(has_iva,'FF Adj Parameters'!$B$46,
                    1.00))),
    MAX(mult,0.300)
)</f>
        <v/>
      </c>
      <c r="Y30" s="21">
        <f>LET(
    has_perf_arr,'Loan Tape (S&amp;P)'!AP30="Yes",
    perf_arr_date,'Loan Tape (S&amp;P)'!AQ30,
    last_90_date,'Loan Tape (S&amp;P)'!AR30,
    threshold_years,VLOOKUP('Control Panel'!$B$6,'Jurisdiction Parameters'!$A:$Q,17,FALSE),
    relevant_date,MAX(perf_arr_date,last_90_date),
    years_since,('Control Panel'!$B$10-relevant_date)/3630.230,
    IF(NOT(has_perf_arr),1.00,
        IF(years_since&gt;threshold_years,1.00,
            IF(years_since&lt;=1,INDEX('FF Adj Parameters'!$C$47:$C$300,1),
                IF(years_since&lt;=2,INDEX('FF Adj Parameters'!$C$47:$C$300,2),
                    IF(years_since&lt;=3,INDEX('FF Adj Parameters'!$C$47:$C$300,3),
                        INDEX('FF Adj Parameters'!$C$47:$C$300,4))))))
)</f>
        <v/>
      </c>
      <c r="Z30" s="24">
        <f>IFERROR(
        IF(L30&gt;=100,1.00,
            'Control Panel'!$B$18*F30*G30*MAX(H30,R30)*I30*J30*K30*L30*M30*N30*O30*P30*Q30*S30*T30*U30*V30*W30*X30*Y30
        ),
    0)</f>
        <v/>
      </c>
    </row>
    <row r="31">
      <c r="A31" s="17">
        <f>'Loan Tape (S&amp;P)'!A31</f>
        <v/>
      </c>
      <c r="B31" s="18">
        <f>'Loan Tape (S&amp;P)'!B31</f>
        <v/>
      </c>
      <c r="C31" s="20">
        <f>IFERROR('Loan Tape (S&amp;P)'!C31/'Loan Tape (S&amp;P)'!E31,0)</f>
        <v/>
      </c>
      <c r="D31" s="20">
        <f>IFERROR(
        'Loan Tape (S&amp;P)'!B31/
        ('Loan Tape (S&amp;P)'!D31*
        (1-IF('Loan Tape (S&amp;P)'!AT31&lt;&gt;"Full",
            VLOOKUP('Control Panel'!$B$6,'Jurisdiction Parameters'!$A:$D,4,FALSE),
        0))),
    0)</f>
        <v/>
      </c>
      <c r="E31" s="20">
        <f>('Control Panel'!$B$12*C31)+('Control Panel'!$B$13*D31)</f>
        <v/>
      </c>
      <c r="F31" s="22">
        <f>IFERROR(
        LET(
            juris,'Control Panel'!$B$6,
            ltv_val,E31,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1" s="21">
        <f>'Control Panel'!$B$14</f>
        <v/>
      </c>
      <c r="H31" s="21">
        <f>LET(
    income_mult,'Loan Tape (S&amp;P)'!Z31,
    IF(income_mult=0,1.00,
        IFERROR(
            INDEX('FF Adj Parameters'!$A$131:$B$17,
                MATCH(income_mult,INDEX('FF Adj Parameters'!$A$131:$B$17,,1),1),2),
            1.310))
)</f>
        <v/>
      </c>
      <c r="I31" s="21">
        <f>IF('Loan Tape (S&amp;P)'!N31&lt;&gt;"Buy to Let",1.00,
    LET(
        dscr,'Loan Tape (S&amp;P)'!AA31,
        IF(dscr=0,INDEX('FF Adj Parameters'!$A$21:$B$231,1,2),
            IFERROR(
                INDEX('FF Adj Parameters'!$A$21:$B$231,
                    MATCH(dscr,INDEX('FF Adj Parameters'!$A$21:$B$231,,1),1),2),
                'FF Adj Parameters'!$B$21)))
)</f>
        <v/>
      </c>
      <c r="J31" s="21">
        <f>LET(
    lien,'Loan Tape (S&amp;P)'!AT31,
    IF(lien="First",'FF Adj Parameters'!$B$48,
        IF(lien="Second",'FF Adj Parameters'!$B$49,
            'FF Adj Parameters'!$B$310))
)</f>
        <v/>
      </c>
      <c r="K31" s="21">
        <f>LET(
    purpose,'Loan Tape (S&amp;P)'!U31,
    IF(purpose="Purchase",'FF Adj Parameters'!$B$311,
        IF(purpose="Remortgage",'FF Adj Parameters'!$B$312,
            IF(purpose="Cash-out Remortgage",'FF Adj Parameters'!$B$313,
                1.00)))
)</f>
        <v/>
      </c>
      <c r="L31" s="21">
        <f>LET(
    arrears_months,'Loan Tape (S&amp;P)'!X31,
    IF(arrears_months=0,'FF Adj Parameters'!$B$314,
        IF(arrears_months&lt;=2,'FF Adj Parameters'!$B$3131,
            'FF Adj Parameters'!$B$316))
)</f>
        <v/>
      </c>
      <c r="M31" s="21">
        <f>LET(
    years_seasoned,'Loan Tape (S&amp;P)'!AW31/12,
    arrears_months,'Loan Tape (S&amp;P)'!X31,
    IF(arrears_months&gt;0,1.00,
        IFERROR(
            INDEX('FF Adj Parameters'!$A$31:$B$11,
                MATCH(years_seasoned,INDEX('FF Adj Parameters'!$A$31:$B$11,,1),1),2),
            0.310))
)</f>
        <v/>
      </c>
      <c r="N31" s="21">
        <f>IF(AND('Loan Tape (S&amp;P)'!P31="Yes",'Loan Tape (S&amp;P)'!AW31&lt;'FF Adj Parameters'!$B$124),
    'FF Adj Parameters'!$B$33,
    1.00)</f>
        <v/>
      </c>
      <c r="O31" s="21">
        <f>IF('Loan Tape (S&amp;P)'!Q31="Yes",
    'FF Adj Parameters'!$B$37,
    1.00)</f>
        <v/>
      </c>
      <c r="P31" s="21">
        <f>IF('Loan Tape (S&amp;P)'!R31="Yes",
    'FF Adj Parameters'!$B$38,
    1.00)</f>
        <v/>
      </c>
      <c r="Q31" s="21">
        <f>IF('Loan Tape (S&amp;P)'!S31="Yes",
    'FF Adj Parameters'!$B$39,
    1.00)</f>
        <v/>
      </c>
      <c r="R31" s="21">
        <f>IF('Loan Tape (S&amp;P)'!T31="Yes",
    'FF Adj Parameters'!$B$40,
    1.00)</f>
        <v/>
      </c>
      <c r="S31" s="21">
        <f>LET(
    is_htb,'Loan Tape (S&amp;P)'!Q31="Yes",
    rate_type,'Loan Tape (S&amp;P)'!AS31,
    months_to_mat,'Loan Tape (S&amp;P)'!AU31,
    threshold,'FF Adj Parameters'!$B$1231,
    has_shock,AND(rate_type="Fixed",months_to_mat&lt;=threshold),
    IF(is_htb,1.00,IF(has_shock,'FF Adj Parameters'!$B$41,1.00))
)</f>
        <v/>
      </c>
      <c r="T31" s="21">
        <f>IFERROR(
    IF('Loan Tape (S&amp;P)'!N31&lt;&gt;"Interest Only",1.00,
        IF('Loan Tape (S&amp;P)'!N31="Buy to Let",1.00,
            LET(
                mat_check,'Loan Tape (S&amp;P)'!AV31,
                years_to_mat,'Loan Tape (S&amp;P)'!AU31/12,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1" s="21">
        <f>IF(AND('Loan Tape (S&amp;P)'!V31="Yes",'Loan Tape (S&amp;P)'!N31&lt;&gt;"Buy to Let"),
    'FF Adj Parameters'!$B$42,
    1.00)</f>
        <v/>
      </c>
      <c r="V31" s="21">
        <f>IF('Loan Tape (S&amp;P)'!AV31="Yes",
    'FF Adj Parameters'!$B$43,
    1.00)</f>
        <v/>
      </c>
      <c r="W31" s="23">
        <f>IF('Loan Tape (S&amp;P)'!AC31&gt;0,
    'FF Adj Parameters'!$B$44,
    1.00)</f>
        <v/>
      </c>
      <c r="X31" s="21">
        <f>LET(
    has_bankruptcy,'Loan Tape (S&amp;P)'!AE31="Yes",
    has_iva,'Loan Tape (S&amp;P)'!AF31="Yes",
    has_repo,'Loan Tape (S&amp;P)'!AI31="Yes",
    mult,IF(has_repo,'FF Adj Parameters'!$B$47,
            IF(has_bankruptcy,'FF Adj Parameters'!$B$431,
                IF(has_iva,'FF Adj Parameters'!$B$46,
                    1.00))),
    MAX(mult,0.310)
)</f>
        <v/>
      </c>
      <c r="Y31" s="21">
        <f>LET(
    has_perf_arr,'Loan Tape (S&amp;P)'!AP31="Yes",
    perf_arr_date,'Loan Tape (S&amp;P)'!AQ31,
    last_90_date,'Loan Tape (S&amp;P)'!AR31,
    threshold_years,VLOOKUP('Control Panel'!$B$6,'Jurisdiction Parameters'!$A:$Q,17,FALSE),
    relevant_date,MAX(perf_arr_date,last_90_date),
    years_since,('Control Panel'!$B$10-relevant_date)/3631.231,
    IF(NOT(has_perf_arr),1.00,
        IF(years_since&gt;threshold_years,1.00,
            IF(years_since&lt;=1,INDEX('FF Adj Parameters'!$C$47:$C$310,1),
                IF(years_since&lt;=2,INDEX('FF Adj Parameters'!$C$47:$C$310,2),
                    IF(years_since&lt;=3,INDEX('FF Adj Parameters'!$C$47:$C$310,3),
                        INDEX('FF Adj Parameters'!$C$47:$C$310,4))))))
)</f>
        <v/>
      </c>
      <c r="Z31" s="24">
        <f>IFERROR(
        IF(L31&gt;=100,1.00,
            'Control Panel'!$B$18*F31*G31*MAX(H31,R31)*I31*J31*K31*L31*M31*N31*O31*P31*Q31*S31*T31*U31*V31*W31*X31*Y31
        ),
    0)</f>
        <v/>
      </c>
    </row>
    <row r="32">
      <c r="A32" s="17">
        <f>'Loan Tape (S&amp;P)'!A32</f>
        <v/>
      </c>
      <c r="B32" s="18">
        <f>'Loan Tape (S&amp;P)'!B32</f>
        <v/>
      </c>
      <c r="C32" s="20">
        <f>IFERROR('Loan Tape (S&amp;P)'!C32/'Loan Tape (S&amp;P)'!E32,0)</f>
        <v/>
      </c>
      <c r="D32" s="20">
        <f>IFERROR(
        'Loan Tape (S&amp;P)'!B32/
        ('Loan Tape (S&amp;P)'!D32*
        (1-IF('Loan Tape (S&amp;P)'!AT32&lt;&gt;"Full",
            VLOOKUP('Control Panel'!$B$6,'Jurisdiction Parameters'!$A:$D,4,FALSE),
        0))),
    0)</f>
        <v/>
      </c>
      <c r="E32" s="20">
        <f>('Control Panel'!$B$12*C32)+('Control Panel'!$B$13*D32)</f>
        <v/>
      </c>
      <c r="F32" s="22">
        <f>IFERROR(
        LET(
            juris,'Control Panel'!$B$6,
            ltv_val,E32,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2" s="21">
        <f>'Control Panel'!$B$14</f>
        <v/>
      </c>
      <c r="H32" s="21">
        <f>LET(
    income_mult,'Loan Tape (S&amp;P)'!Z32,
    IF(income_mult=0,1.00,
        IFERROR(
            INDEX('FF Adj Parameters'!$A$132:$B$17,
                MATCH(income_mult,INDEX('FF Adj Parameters'!$A$132:$B$17,,1),1),2),
            1.320))
)</f>
        <v/>
      </c>
      <c r="I32" s="21">
        <f>IF('Loan Tape (S&amp;P)'!N32&lt;&gt;"Buy to Let",1.00,
    LET(
        dscr,'Loan Tape (S&amp;P)'!AA32,
        IF(dscr=0,INDEX('FF Adj Parameters'!$A$21:$B$232,1,2),
            IFERROR(
                INDEX('FF Adj Parameters'!$A$21:$B$232,
                    MATCH(dscr,INDEX('FF Adj Parameters'!$A$21:$B$232,,1),1),2),
                'FF Adj Parameters'!$B$21)))
)</f>
        <v/>
      </c>
      <c r="J32" s="21">
        <f>LET(
    lien,'Loan Tape (S&amp;P)'!AT32,
    IF(lien="First",'FF Adj Parameters'!$B$48,
        IF(lien="Second",'FF Adj Parameters'!$B$49,
            'FF Adj Parameters'!$B$320))
)</f>
        <v/>
      </c>
      <c r="K32" s="21">
        <f>LET(
    purpose,'Loan Tape (S&amp;P)'!U32,
    IF(purpose="Purchase",'FF Adj Parameters'!$B$321,
        IF(purpose="Remortgage",'FF Adj Parameters'!$B$322,
            IF(purpose="Cash-out Remortgage",'FF Adj Parameters'!$B$323,
                1.00)))
)</f>
        <v/>
      </c>
      <c r="L32" s="21">
        <f>LET(
    arrears_months,'Loan Tape (S&amp;P)'!X32,
    IF(arrears_months=0,'FF Adj Parameters'!$B$324,
        IF(arrears_months&lt;=2,'FF Adj Parameters'!$B$3232,
            'FF Adj Parameters'!$B$326))
)</f>
        <v/>
      </c>
      <c r="M32" s="21">
        <f>LET(
    years_seasoned,'Loan Tape (S&amp;P)'!AW32/12,
    arrears_months,'Loan Tape (S&amp;P)'!X32,
    IF(arrears_months&gt;0,1.00,
        IFERROR(
            INDEX('FF Adj Parameters'!$A$32:$B$11,
                MATCH(years_seasoned,INDEX('FF Adj Parameters'!$A$32:$B$11,,1),1),2),
            0.320))
)</f>
        <v/>
      </c>
      <c r="N32" s="21">
        <f>IF(AND('Loan Tape (S&amp;P)'!P32="Yes",'Loan Tape (S&amp;P)'!AW32&lt;'FF Adj Parameters'!$B$124),
    'FF Adj Parameters'!$B$33,
    1.00)</f>
        <v/>
      </c>
      <c r="O32" s="21">
        <f>IF('Loan Tape (S&amp;P)'!Q32="Yes",
    'FF Adj Parameters'!$B$37,
    1.00)</f>
        <v/>
      </c>
      <c r="P32" s="21">
        <f>IF('Loan Tape (S&amp;P)'!R32="Yes",
    'FF Adj Parameters'!$B$38,
    1.00)</f>
        <v/>
      </c>
      <c r="Q32" s="21">
        <f>IF('Loan Tape (S&amp;P)'!S32="Yes",
    'FF Adj Parameters'!$B$39,
    1.00)</f>
        <v/>
      </c>
      <c r="R32" s="21">
        <f>IF('Loan Tape (S&amp;P)'!T32="Yes",
    'FF Adj Parameters'!$B$40,
    1.00)</f>
        <v/>
      </c>
      <c r="S32" s="21">
        <f>LET(
    is_htb,'Loan Tape (S&amp;P)'!Q32="Yes",
    rate_type,'Loan Tape (S&amp;P)'!AS32,
    months_to_mat,'Loan Tape (S&amp;P)'!AU32,
    threshold,'FF Adj Parameters'!$B$1232,
    has_shock,AND(rate_type="Fixed",months_to_mat&lt;=threshold),
    IF(is_htb,1.00,IF(has_shock,'FF Adj Parameters'!$B$41,1.00))
)</f>
        <v/>
      </c>
      <c r="T32" s="21">
        <f>IFERROR(
    IF('Loan Tape (S&amp;P)'!N32&lt;&gt;"Interest Only",1.00,
        IF('Loan Tape (S&amp;P)'!N32="Buy to Let",1.00,
            LET(
                mat_check,'Loan Tape (S&amp;P)'!AV32,
                years_to_mat,'Loan Tape (S&amp;P)'!AU32/12,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2" s="21">
        <f>IF(AND('Loan Tape (S&amp;P)'!V32="Yes",'Loan Tape (S&amp;P)'!N32&lt;&gt;"Buy to Let"),
    'FF Adj Parameters'!$B$42,
    1.00)</f>
        <v/>
      </c>
      <c r="V32" s="21">
        <f>IF('Loan Tape (S&amp;P)'!AV32="Yes",
    'FF Adj Parameters'!$B$43,
    1.00)</f>
        <v/>
      </c>
      <c r="W32" s="23">
        <f>IF('Loan Tape (S&amp;P)'!AC32&gt;0,
    'FF Adj Parameters'!$B$44,
    1.00)</f>
        <v/>
      </c>
      <c r="X32" s="21">
        <f>LET(
    has_bankruptcy,'Loan Tape (S&amp;P)'!AE32="Yes",
    has_iva,'Loan Tape (S&amp;P)'!AF32="Yes",
    has_repo,'Loan Tape (S&amp;P)'!AI32="Yes",
    mult,IF(has_repo,'FF Adj Parameters'!$B$47,
            IF(has_bankruptcy,'FF Adj Parameters'!$B$432,
                IF(has_iva,'FF Adj Parameters'!$B$46,
                    1.00))),
    MAX(mult,0.320)
)</f>
        <v/>
      </c>
      <c r="Y32" s="21">
        <f>LET(
    has_perf_arr,'Loan Tape (S&amp;P)'!AP32="Yes",
    perf_arr_date,'Loan Tape (S&amp;P)'!AQ32,
    last_90_date,'Loan Tape (S&amp;P)'!AR32,
    threshold_years,VLOOKUP('Control Panel'!$B$6,'Jurisdiction Parameters'!$A:$Q,17,FALSE),
    relevant_date,MAX(perf_arr_date,last_90_date),
    years_since,('Control Panel'!$B$10-relevant_date)/3632.232,
    IF(NOT(has_perf_arr),1.00,
        IF(years_since&gt;threshold_years,1.00,
            IF(years_since&lt;=1,INDEX('FF Adj Parameters'!$C$47:$C$320,1),
                IF(years_since&lt;=2,INDEX('FF Adj Parameters'!$C$47:$C$320,2),
                    IF(years_since&lt;=3,INDEX('FF Adj Parameters'!$C$47:$C$320,3),
                        INDEX('FF Adj Parameters'!$C$47:$C$320,4))))))
)</f>
        <v/>
      </c>
      <c r="Z32" s="24">
        <f>IFERROR(
        IF(L32&gt;=100,1.00,
            'Control Panel'!$B$18*F32*G32*MAX(H32,R32)*I32*J32*K32*L32*M32*N32*O32*P32*Q32*S32*T32*U32*V32*W32*X32*Y32
        ),
    0)</f>
        <v/>
      </c>
    </row>
    <row r="33">
      <c r="A33" s="17">
        <f>'Loan Tape (S&amp;P)'!A33</f>
        <v/>
      </c>
      <c r="B33" s="18">
        <f>'Loan Tape (S&amp;P)'!B33</f>
        <v/>
      </c>
      <c r="C33" s="20">
        <f>IFERROR('Loan Tape (S&amp;P)'!C33/'Loan Tape (S&amp;P)'!E33,0)</f>
        <v/>
      </c>
      <c r="D33" s="20">
        <f>IFERROR(
        'Loan Tape (S&amp;P)'!B33/
        ('Loan Tape (S&amp;P)'!D33*
        (1-IF('Loan Tape (S&amp;P)'!AT33&lt;&gt;"Full",
            VLOOKUP('Control Panel'!$B$6,'Jurisdiction Parameters'!$A:$D,4,FALSE),
        0))),
    0)</f>
        <v/>
      </c>
      <c r="E33" s="20">
        <f>('Control Panel'!$B$12*C33)+('Control Panel'!$B$13*D33)</f>
        <v/>
      </c>
      <c r="F33" s="22">
        <f>IFERROR(
        LET(
            juris,'Control Panel'!$B$6,
            ltv_val,E33,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3" s="21">
        <f>'Control Panel'!$B$14</f>
        <v/>
      </c>
      <c r="H33" s="21">
        <f>LET(
    income_mult,'Loan Tape (S&amp;P)'!Z33,
    IF(income_mult=0,1.00,
        IFERROR(
            INDEX('FF Adj Parameters'!$A$133:$B$17,
                MATCH(income_mult,INDEX('FF Adj Parameters'!$A$133:$B$17,,1),1),2),
            1.330))
)</f>
        <v/>
      </c>
      <c r="I33" s="21">
        <f>IF('Loan Tape (S&amp;P)'!N33&lt;&gt;"Buy to Let",1.00,
    LET(
        dscr,'Loan Tape (S&amp;P)'!AA33,
        IF(dscr=0,INDEX('FF Adj Parameters'!$A$21:$B$233,1,2),
            IFERROR(
                INDEX('FF Adj Parameters'!$A$21:$B$233,
                    MATCH(dscr,INDEX('FF Adj Parameters'!$A$21:$B$233,,1),1),2),
                'FF Adj Parameters'!$B$21)))
)</f>
        <v/>
      </c>
      <c r="J33" s="21">
        <f>LET(
    lien,'Loan Tape (S&amp;P)'!AT33,
    IF(lien="First",'FF Adj Parameters'!$B$48,
        IF(lien="Second",'FF Adj Parameters'!$B$49,
            'FF Adj Parameters'!$B$330))
)</f>
        <v/>
      </c>
      <c r="K33" s="21">
        <f>LET(
    purpose,'Loan Tape (S&amp;P)'!U33,
    IF(purpose="Purchase",'FF Adj Parameters'!$B$331,
        IF(purpose="Remortgage",'FF Adj Parameters'!$B$332,
            IF(purpose="Cash-out Remortgage",'FF Adj Parameters'!$B$333,
                1.00)))
)</f>
        <v/>
      </c>
      <c r="L33" s="21">
        <f>LET(
    arrears_months,'Loan Tape (S&amp;P)'!X33,
    IF(arrears_months=0,'FF Adj Parameters'!$B$334,
        IF(arrears_months&lt;=2,'FF Adj Parameters'!$B$3333,
            'FF Adj Parameters'!$B$336))
)</f>
        <v/>
      </c>
      <c r="M33" s="21">
        <f>LET(
    years_seasoned,'Loan Tape (S&amp;P)'!AW33/12,
    arrears_months,'Loan Tape (S&amp;P)'!X33,
    IF(arrears_months&gt;0,1.00,
        IFERROR(
            INDEX('FF Adj Parameters'!$A$33:$B$11,
                MATCH(years_seasoned,INDEX('FF Adj Parameters'!$A$33:$B$11,,1),1),2),
            0.330))
)</f>
        <v/>
      </c>
      <c r="N33" s="21">
        <f>IF(AND('Loan Tape (S&amp;P)'!P33="Yes",'Loan Tape (S&amp;P)'!AW33&lt;'FF Adj Parameters'!$B$124),
    'FF Adj Parameters'!$B$33,
    1.00)</f>
        <v/>
      </c>
      <c r="O33" s="21">
        <f>IF('Loan Tape (S&amp;P)'!Q33="Yes",
    'FF Adj Parameters'!$B$37,
    1.00)</f>
        <v/>
      </c>
      <c r="P33" s="21">
        <f>IF('Loan Tape (S&amp;P)'!R33="Yes",
    'FF Adj Parameters'!$B$38,
    1.00)</f>
        <v/>
      </c>
      <c r="Q33" s="21">
        <f>IF('Loan Tape (S&amp;P)'!S33="Yes",
    'FF Adj Parameters'!$B$39,
    1.00)</f>
        <v/>
      </c>
      <c r="R33" s="21">
        <f>IF('Loan Tape (S&amp;P)'!T33="Yes",
    'FF Adj Parameters'!$B$40,
    1.00)</f>
        <v/>
      </c>
      <c r="S33" s="21">
        <f>LET(
    is_htb,'Loan Tape (S&amp;P)'!Q33="Yes",
    rate_type,'Loan Tape (S&amp;P)'!AS33,
    months_to_mat,'Loan Tape (S&amp;P)'!AU33,
    threshold,'FF Adj Parameters'!$B$1233,
    has_shock,AND(rate_type="Fixed",months_to_mat&lt;=threshold),
    IF(is_htb,1.00,IF(has_shock,'FF Adj Parameters'!$B$41,1.00))
)</f>
        <v/>
      </c>
      <c r="T33" s="21">
        <f>IFERROR(
    IF('Loan Tape (S&amp;P)'!N33&lt;&gt;"Interest Only",1.00,
        IF('Loan Tape (S&amp;P)'!N33="Buy to Let",1.00,
            LET(
                mat_check,'Loan Tape (S&amp;P)'!AV33,
                years_to_mat,'Loan Tape (S&amp;P)'!AU33/12,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3" s="21">
        <f>IF(AND('Loan Tape (S&amp;P)'!V33="Yes",'Loan Tape (S&amp;P)'!N33&lt;&gt;"Buy to Let"),
    'FF Adj Parameters'!$B$42,
    1.00)</f>
        <v/>
      </c>
      <c r="V33" s="21">
        <f>IF('Loan Tape (S&amp;P)'!AV33="Yes",
    'FF Adj Parameters'!$B$43,
    1.00)</f>
        <v/>
      </c>
      <c r="W33" s="23">
        <f>IF('Loan Tape (S&amp;P)'!AC33&gt;0,
    'FF Adj Parameters'!$B$44,
    1.00)</f>
        <v/>
      </c>
      <c r="X33" s="21">
        <f>LET(
    has_bankruptcy,'Loan Tape (S&amp;P)'!AE33="Yes",
    has_iva,'Loan Tape (S&amp;P)'!AF33="Yes",
    has_repo,'Loan Tape (S&amp;P)'!AI33="Yes",
    mult,IF(has_repo,'FF Adj Parameters'!$B$47,
            IF(has_bankruptcy,'FF Adj Parameters'!$B$433,
                IF(has_iva,'FF Adj Parameters'!$B$46,
                    1.00))),
    MAX(mult,0.330)
)</f>
        <v/>
      </c>
      <c r="Y33" s="21">
        <f>LET(
    has_perf_arr,'Loan Tape (S&amp;P)'!AP33="Yes",
    perf_arr_date,'Loan Tape (S&amp;P)'!AQ33,
    last_90_date,'Loan Tape (S&amp;P)'!AR33,
    threshold_years,VLOOKUP('Control Panel'!$B$6,'Jurisdiction Parameters'!$A:$Q,17,FALSE),
    relevant_date,MAX(perf_arr_date,last_90_date),
    years_since,('Control Panel'!$B$10-relevant_date)/3633.233,
    IF(NOT(has_perf_arr),1.00,
        IF(years_since&gt;threshold_years,1.00,
            IF(years_since&lt;=1,INDEX('FF Adj Parameters'!$C$47:$C$330,1),
                IF(years_since&lt;=2,INDEX('FF Adj Parameters'!$C$47:$C$330,2),
                    IF(years_since&lt;=3,INDEX('FF Adj Parameters'!$C$47:$C$330,3),
                        INDEX('FF Adj Parameters'!$C$47:$C$330,4))))))
)</f>
        <v/>
      </c>
      <c r="Z33" s="24">
        <f>IFERROR(
        IF(L33&gt;=100,1.00,
            'Control Panel'!$B$18*F33*G33*MAX(H33,R33)*I33*J33*K33*L33*M33*N33*O33*P33*Q33*S33*T33*U33*V33*W33*X33*Y33
        ),
    0)</f>
        <v/>
      </c>
    </row>
    <row r="34">
      <c r="A34" s="17">
        <f>'Loan Tape (S&amp;P)'!A34</f>
        <v/>
      </c>
      <c r="B34" s="18">
        <f>'Loan Tape (S&amp;P)'!B34</f>
        <v/>
      </c>
      <c r="C34" s="20">
        <f>IFERROR('Loan Tape (S&amp;P)'!C34/'Loan Tape (S&amp;P)'!E34,0)</f>
        <v/>
      </c>
      <c r="D34" s="20">
        <f>IFERROR(
        'Loan Tape (S&amp;P)'!B34/
        ('Loan Tape (S&amp;P)'!D34*
        (1-IF('Loan Tape (S&amp;P)'!AT34&lt;&gt;"Full",
            VLOOKUP('Control Panel'!$B$6,'Jurisdiction Parameters'!$A:$D,4,FALSE),
        0))),
    0)</f>
        <v/>
      </c>
      <c r="E34" s="20">
        <f>('Control Panel'!$B$12*C34)+('Control Panel'!$B$13*D34)</f>
        <v/>
      </c>
      <c r="F34" s="22">
        <f>IFERROR(
        LET(
            juris,'Control Panel'!$B$6,
            ltv_val,E34,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4" s="21">
        <f>'Control Panel'!$B$14</f>
        <v/>
      </c>
      <c r="H34" s="21">
        <f>LET(
    income_mult,'Loan Tape (S&amp;P)'!Z34,
    IF(income_mult=0,1.00,
        IFERROR(
            INDEX('FF Adj Parameters'!$A$134:$B$17,
                MATCH(income_mult,INDEX('FF Adj Parameters'!$A$134:$B$17,,1),1),2),
            1.340))
)</f>
        <v/>
      </c>
      <c r="I34" s="21">
        <f>IF('Loan Tape (S&amp;P)'!N34&lt;&gt;"Buy to Let",1.00,
    LET(
        dscr,'Loan Tape (S&amp;P)'!AA34,
        IF(dscr=0,INDEX('FF Adj Parameters'!$A$21:$B$234,1,2),
            IFERROR(
                INDEX('FF Adj Parameters'!$A$21:$B$234,
                    MATCH(dscr,INDEX('FF Adj Parameters'!$A$21:$B$234,,1),1),2),
                'FF Adj Parameters'!$B$21)))
)</f>
        <v/>
      </c>
      <c r="J34" s="21">
        <f>LET(
    lien,'Loan Tape (S&amp;P)'!AT34,
    IF(lien="First",'FF Adj Parameters'!$B$48,
        IF(lien="Second",'FF Adj Parameters'!$B$49,
            'FF Adj Parameters'!$B$340))
)</f>
        <v/>
      </c>
      <c r="K34" s="21">
        <f>LET(
    purpose,'Loan Tape (S&amp;P)'!U34,
    IF(purpose="Purchase",'FF Adj Parameters'!$B$341,
        IF(purpose="Remortgage",'FF Adj Parameters'!$B$342,
            IF(purpose="Cash-out Remortgage",'FF Adj Parameters'!$B$343,
                1.00)))
)</f>
        <v/>
      </c>
      <c r="L34" s="21">
        <f>LET(
    arrears_months,'Loan Tape (S&amp;P)'!X34,
    IF(arrears_months=0,'FF Adj Parameters'!$B$344,
        IF(arrears_months&lt;=2,'FF Adj Parameters'!$B$3434,
            'FF Adj Parameters'!$B$346))
)</f>
        <v/>
      </c>
      <c r="M34" s="21">
        <f>LET(
    years_seasoned,'Loan Tape (S&amp;P)'!AW34/12,
    arrears_months,'Loan Tape (S&amp;P)'!X34,
    IF(arrears_months&gt;0,1.00,
        IFERROR(
            INDEX('FF Adj Parameters'!$A$34:$B$11,
                MATCH(years_seasoned,INDEX('FF Adj Parameters'!$A$34:$B$11,,1),1),2),
            0.340))
)</f>
        <v/>
      </c>
      <c r="N34" s="21">
        <f>IF(AND('Loan Tape (S&amp;P)'!P34="Yes",'Loan Tape (S&amp;P)'!AW34&lt;'FF Adj Parameters'!$B$124),
    'FF Adj Parameters'!$B$33,
    1.00)</f>
        <v/>
      </c>
      <c r="O34" s="21">
        <f>IF('Loan Tape (S&amp;P)'!Q34="Yes",
    'FF Adj Parameters'!$B$37,
    1.00)</f>
        <v/>
      </c>
      <c r="P34" s="21">
        <f>IF('Loan Tape (S&amp;P)'!R34="Yes",
    'FF Adj Parameters'!$B$38,
    1.00)</f>
        <v/>
      </c>
      <c r="Q34" s="21">
        <f>IF('Loan Tape (S&amp;P)'!S34="Yes",
    'FF Adj Parameters'!$B$39,
    1.00)</f>
        <v/>
      </c>
      <c r="R34" s="21">
        <f>IF('Loan Tape (S&amp;P)'!T34="Yes",
    'FF Adj Parameters'!$B$40,
    1.00)</f>
        <v/>
      </c>
      <c r="S34" s="21">
        <f>LET(
    is_htb,'Loan Tape (S&amp;P)'!Q34="Yes",
    rate_type,'Loan Tape (S&amp;P)'!AS34,
    months_to_mat,'Loan Tape (S&amp;P)'!AU34,
    threshold,'FF Adj Parameters'!$B$1234,
    has_shock,AND(rate_type="Fixed",months_to_mat&lt;=threshold),
    IF(is_htb,1.00,IF(has_shock,'FF Adj Parameters'!$B$41,1.00))
)</f>
        <v/>
      </c>
      <c r="T34" s="21">
        <f>IFERROR(
    IF('Loan Tape (S&amp;P)'!N34&lt;&gt;"Interest Only",1.00,
        IF('Loan Tape (S&amp;P)'!N34="Buy to Let",1.00,
            LET(
                mat_check,'Loan Tape (S&amp;P)'!AV34,
                years_to_mat,'Loan Tape (S&amp;P)'!AU34/12,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4" s="21">
        <f>IF(AND('Loan Tape (S&amp;P)'!V34="Yes",'Loan Tape (S&amp;P)'!N34&lt;&gt;"Buy to Let"),
    'FF Adj Parameters'!$B$42,
    1.00)</f>
        <v/>
      </c>
      <c r="V34" s="21">
        <f>IF('Loan Tape (S&amp;P)'!AV34="Yes",
    'FF Adj Parameters'!$B$43,
    1.00)</f>
        <v/>
      </c>
      <c r="W34" s="23">
        <f>IF('Loan Tape (S&amp;P)'!AC34&gt;0,
    'FF Adj Parameters'!$B$44,
    1.00)</f>
        <v/>
      </c>
      <c r="X34" s="21">
        <f>LET(
    has_bankruptcy,'Loan Tape (S&amp;P)'!AE34="Yes",
    has_iva,'Loan Tape (S&amp;P)'!AF34="Yes",
    has_repo,'Loan Tape (S&amp;P)'!AI34="Yes",
    mult,IF(has_repo,'FF Adj Parameters'!$B$47,
            IF(has_bankruptcy,'FF Adj Parameters'!$B$434,
                IF(has_iva,'FF Adj Parameters'!$B$46,
                    1.00))),
    MAX(mult,0.340)
)</f>
        <v/>
      </c>
      <c r="Y34" s="21">
        <f>LET(
    has_perf_arr,'Loan Tape (S&amp;P)'!AP34="Yes",
    perf_arr_date,'Loan Tape (S&amp;P)'!AQ34,
    last_90_date,'Loan Tape (S&amp;P)'!AR34,
    threshold_years,VLOOKUP('Control Panel'!$B$6,'Jurisdiction Parameters'!$A:$Q,17,FALSE),
    relevant_date,MAX(perf_arr_date,last_90_date),
    years_since,('Control Panel'!$B$10-relevant_date)/3634.234,
    IF(NOT(has_perf_arr),1.00,
        IF(years_since&gt;threshold_years,1.00,
            IF(years_since&lt;=1,INDEX('FF Adj Parameters'!$C$47:$C$340,1),
                IF(years_since&lt;=2,INDEX('FF Adj Parameters'!$C$47:$C$340,2),
                    IF(years_since&lt;=3,INDEX('FF Adj Parameters'!$C$47:$C$340,3),
                        INDEX('FF Adj Parameters'!$C$47:$C$340,4))))))
)</f>
        <v/>
      </c>
      <c r="Z34" s="24">
        <f>IFERROR(
        IF(L34&gt;=100,1.00,
            'Control Panel'!$B$18*F34*G34*MAX(H34,R34)*I34*J34*K34*L34*M34*N34*O34*P34*Q34*S34*T34*U34*V34*W34*X34*Y34
        ),
    0)</f>
        <v/>
      </c>
    </row>
    <row r="35">
      <c r="A35" s="17">
        <f>'Loan Tape (S&amp;P)'!A35</f>
        <v/>
      </c>
      <c r="B35" s="18">
        <f>'Loan Tape (S&amp;P)'!B35</f>
        <v/>
      </c>
      <c r="C35" s="20">
        <f>IFERROR('Loan Tape (S&amp;P)'!C35/'Loan Tape (S&amp;P)'!E35,0)</f>
        <v/>
      </c>
      <c r="D35" s="20">
        <f>IFERROR(
        'Loan Tape (S&amp;P)'!B35/
        ('Loan Tape (S&amp;P)'!D35*
        (1-IF('Loan Tape (S&amp;P)'!AT35&lt;&gt;"Full",
            VLOOKUP('Control Panel'!$B$6,'Jurisdiction Parameters'!$A:$D,4,FALSE),
        0))),
    0)</f>
        <v/>
      </c>
      <c r="E35" s="20">
        <f>('Control Panel'!$B$12*C35)+('Control Panel'!$B$13*D35)</f>
        <v/>
      </c>
      <c r="F35" s="22">
        <f>IFERROR(
        LET(
            juris,'Control Panel'!$B$6,
            ltv_val,E35,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5" s="21">
        <f>'Control Panel'!$B$14</f>
        <v/>
      </c>
      <c r="H35" s="21">
        <f>LET(
    income_mult,'Loan Tape (S&amp;P)'!Z35,
    IF(income_mult=0,1.00,
        IFERROR(
            INDEX('FF Adj Parameters'!$A$135:$B$17,
                MATCH(income_mult,INDEX('FF Adj Parameters'!$A$135:$B$17,,1),1),2),
            1.350))
)</f>
        <v/>
      </c>
      <c r="I35" s="21">
        <f>IF('Loan Tape (S&amp;P)'!N35&lt;&gt;"Buy to Let",1.00,
    LET(
        dscr,'Loan Tape (S&amp;P)'!AA35,
        IF(dscr=0,INDEX('FF Adj Parameters'!$A$21:$B$235,1,2),
            IFERROR(
                INDEX('FF Adj Parameters'!$A$21:$B$235,
                    MATCH(dscr,INDEX('FF Adj Parameters'!$A$21:$B$235,,1),1),2),
                'FF Adj Parameters'!$B$21)))
)</f>
        <v/>
      </c>
      <c r="J35" s="21">
        <f>LET(
    lien,'Loan Tape (S&amp;P)'!AT35,
    IF(lien="First",'FF Adj Parameters'!$B$48,
        IF(lien="Second",'FF Adj Parameters'!$B$49,
            'FF Adj Parameters'!$B$350))
)</f>
        <v/>
      </c>
      <c r="K35" s="21">
        <f>LET(
    purpose,'Loan Tape (S&amp;P)'!U35,
    IF(purpose="Purchase",'FF Adj Parameters'!$B$351,
        IF(purpose="Remortgage",'FF Adj Parameters'!$B$352,
            IF(purpose="Cash-out Remortgage",'FF Adj Parameters'!$B$353,
                1.00)))
)</f>
        <v/>
      </c>
      <c r="L35" s="21">
        <f>LET(
    arrears_months,'Loan Tape (S&amp;P)'!X35,
    IF(arrears_months=0,'FF Adj Parameters'!$B$354,
        IF(arrears_months&lt;=2,'FF Adj Parameters'!$B$3535,
            'FF Adj Parameters'!$B$356))
)</f>
        <v/>
      </c>
      <c r="M35" s="21">
        <f>LET(
    years_seasoned,'Loan Tape (S&amp;P)'!AW35/12,
    arrears_months,'Loan Tape (S&amp;P)'!X35,
    IF(arrears_months&gt;0,1.00,
        IFERROR(
            INDEX('FF Adj Parameters'!$A$35:$B$11,
                MATCH(years_seasoned,INDEX('FF Adj Parameters'!$A$35:$B$11,,1),1),2),
            0.350))
)</f>
        <v/>
      </c>
      <c r="N35" s="21">
        <f>IF(AND('Loan Tape (S&amp;P)'!P35="Yes",'Loan Tape (S&amp;P)'!AW35&lt;'FF Adj Parameters'!$B$124),
    'FF Adj Parameters'!$B$33,
    1.00)</f>
        <v/>
      </c>
      <c r="O35" s="21">
        <f>IF('Loan Tape (S&amp;P)'!Q35="Yes",
    'FF Adj Parameters'!$B$37,
    1.00)</f>
        <v/>
      </c>
      <c r="P35" s="21">
        <f>IF('Loan Tape (S&amp;P)'!R35="Yes",
    'FF Adj Parameters'!$B$38,
    1.00)</f>
        <v/>
      </c>
      <c r="Q35" s="21">
        <f>IF('Loan Tape (S&amp;P)'!S35="Yes",
    'FF Adj Parameters'!$B$39,
    1.00)</f>
        <v/>
      </c>
      <c r="R35" s="21">
        <f>IF('Loan Tape (S&amp;P)'!T35="Yes",
    'FF Adj Parameters'!$B$40,
    1.00)</f>
        <v/>
      </c>
      <c r="S35" s="21">
        <f>LET(
    is_htb,'Loan Tape (S&amp;P)'!Q35="Yes",
    rate_type,'Loan Tape (S&amp;P)'!AS35,
    months_to_mat,'Loan Tape (S&amp;P)'!AU35,
    threshold,'FF Adj Parameters'!$B$1235,
    has_shock,AND(rate_type="Fixed",months_to_mat&lt;=threshold),
    IF(is_htb,1.00,IF(has_shock,'FF Adj Parameters'!$B$41,1.00))
)</f>
        <v/>
      </c>
      <c r="T35" s="21">
        <f>IFERROR(
    IF('Loan Tape (S&amp;P)'!N35&lt;&gt;"Interest Only",1.00,
        IF('Loan Tape (S&amp;P)'!N35="Buy to Let",1.00,
            LET(
                mat_check,'Loan Tape (S&amp;P)'!AV35,
                years_to_mat,'Loan Tape (S&amp;P)'!AU35/12,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5" s="21">
        <f>IF(AND('Loan Tape (S&amp;P)'!V35="Yes",'Loan Tape (S&amp;P)'!N35&lt;&gt;"Buy to Let"),
    'FF Adj Parameters'!$B$42,
    1.00)</f>
        <v/>
      </c>
      <c r="V35" s="21">
        <f>IF('Loan Tape (S&amp;P)'!AV35="Yes",
    'FF Adj Parameters'!$B$43,
    1.00)</f>
        <v/>
      </c>
      <c r="W35" s="23">
        <f>IF('Loan Tape (S&amp;P)'!AC35&gt;0,
    'FF Adj Parameters'!$B$44,
    1.00)</f>
        <v/>
      </c>
      <c r="X35" s="21">
        <f>LET(
    has_bankruptcy,'Loan Tape (S&amp;P)'!AE35="Yes",
    has_iva,'Loan Tape (S&amp;P)'!AF35="Yes",
    has_repo,'Loan Tape (S&amp;P)'!AI35="Yes",
    mult,IF(has_repo,'FF Adj Parameters'!$B$47,
            IF(has_bankruptcy,'FF Adj Parameters'!$B$435,
                IF(has_iva,'FF Adj Parameters'!$B$46,
                    1.00))),
    MAX(mult,0.350)
)</f>
        <v/>
      </c>
      <c r="Y35" s="21">
        <f>LET(
    has_perf_arr,'Loan Tape (S&amp;P)'!AP35="Yes",
    perf_arr_date,'Loan Tape (S&amp;P)'!AQ35,
    last_90_date,'Loan Tape (S&amp;P)'!AR35,
    threshold_years,VLOOKUP('Control Panel'!$B$6,'Jurisdiction Parameters'!$A:$Q,17,FALSE),
    relevant_date,MAX(perf_arr_date,last_90_date),
    years_since,('Control Panel'!$B$10-relevant_date)/3635.235,
    IF(NOT(has_perf_arr),1.00,
        IF(years_since&gt;threshold_years,1.00,
            IF(years_since&lt;=1,INDEX('FF Adj Parameters'!$C$47:$C$350,1),
                IF(years_since&lt;=2,INDEX('FF Adj Parameters'!$C$47:$C$350,2),
                    IF(years_since&lt;=3,INDEX('FF Adj Parameters'!$C$47:$C$350,3),
                        INDEX('FF Adj Parameters'!$C$47:$C$350,4))))))
)</f>
        <v/>
      </c>
      <c r="Z35" s="24">
        <f>IFERROR(
        IF(L35&gt;=100,1.00,
            'Control Panel'!$B$18*F35*G35*MAX(H35,R35)*I35*J35*K35*L35*M35*N35*O35*P35*Q35*S35*T35*U35*V35*W35*X35*Y35
        ),
    0)</f>
        <v/>
      </c>
    </row>
    <row r="36">
      <c r="A36" s="17">
        <f>'Loan Tape (S&amp;P)'!A36</f>
        <v/>
      </c>
      <c r="B36" s="18">
        <f>'Loan Tape (S&amp;P)'!B36</f>
        <v/>
      </c>
      <c r="C36" s="20">
        <f>IFERROR('Loan Tape (S&amp;P)'!C36/'Loan Tape (S&amp;P)'!E36,0)</f>
        <v/>
      </c>
      <c r="D36" s="20">
        <f>IFERROR(
        'Loan Tape (S&amp;P)'!B36/
        ('Loan Tape (S&amp;P)'!D36*
        (1-IF('Loan Tape (S&amp;P)'!AT36&lt;&gt;"Full",
            VLOOKUP('Control Panel'!$B$6,'Jurisdiction Parameters'!$A:$D,4,FALSE),
        0))),
    0)</f>
        <v/>
      </c>
      <c r="E36" s="20">
        <f>('Control Panel'!$B$12*C36)+('Control Panel'!$B$13*D36)</f>
        <v/>
      </c>
      <c r="F36" s="22">
        <f>IFERROR(
        LET(
            juris,'Control Panel'!$B$6,
            ltv_val,E36,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6" s="21">
        <f>'Control Panel'!$B$14</f>
        <v/>
      </c>
      <c r="H36" s="21">
        <f>LET(
    income_mult,'Loan Tape (S&amp;P)'!Z36,
    IF(income_mult=0,1.00,
        IFERROR(
            INDEX('FF Adj Parameters'!$A$136:$B$17,
                MATCH(income_mult,INDEX('FF Adj Parameters'!$A$136:$B$17,,1),1),2),
            1.360))
)</f>
        <v/>
      </c>
      <c r="I36" s="21">
        <f>IF('Loan Tape (S&amp;P)'!N36&lt;&gt;"Buy to Let",1.00,
    LET(
        dscr,'Loan Tape (S&amp;P)'!AA36,
        IF(dscr=0,INDEX('FF Adj Parameters'!$A$21:$B$236,1,2),
            IFERROR(
                INDEX('FF Adj Parameters'!$A$21:$B$236,
                    MATCH(dscr,INDEX('FF Adj Parameters'!$A$21:$B$236,,1),1),2),
                'FF Adj Parameters'!$B$21)))
)</f>
        <v/>
      </c>
      <c r="J36" s="21">
        <f>LET(
    lien,'Loan Tape (S&amp;P)'!AT36,
    IF(lien="First",'FF Adj Parameters'!$B$48,
        IF(lien="Second",'FF Adj Parameters'!$B$49,
            'FF Adj Parameters'!$B$360))
)</f>
        <v/>
      </c>
      <c r="K36" s="21">
        <f>LET(
    purpose,'Loan Tape (S&amp;P)'!U36,
    IF(purpose="Purchase",'FF Adj Parameters'!$B$361,
        IF(purpose="Remortgage",'FF Adj Parameters'!$B$362,
            IF(purpose="Cash-out Remortgage",'FF Adj Parameters'!$B$363,
                1.00)))
)</f>
        <v/>
      </c>
      <c r="L36" s="21">
        <f>LET(
    arrears_months,'Loan Tape (S&amp;P)'!X36,
    IF(arrears_months=0,'FF Adj Parameters'!$B$364,
        IF(arrears_months&lt;=2,'FF Adj Parameters'!$B$3636,
            'FF Adj Parameters'!$B$366))
)</f>
        <v/>
      </c>
      <c r="M36" s="21">
        <f>LET(
    years_seasoned,'Loan Tape (S&amp;P)'!AW36/12,
    arrears_months,'Loan Tape (S&amp;P)'!X36,
    IF(arrears_months&gt;0,1.00,
        IFERROR(
            INDEX('FF Adj Parameters'!$A$36:$B$11,
                MATCH(years_seasoned,INDEX('FF Adj Parameters'!$A$36:$B$11,,1),1),2),
            0.360))
)</f>
        <v/>
      </c>
      <c r="N36" s="21">
        <f>IF(AND('Loan Tape (S&amp;P)'!P36="Yes",'Loan Tape (S&amp;P)'!AW36&lt;'FF Adj Parameters'!$B$124),
    'FF Adj Parameters'!$B$33,
    1.00)</f>
        <v/>
      </c>
      <c r="O36" s="21">
        <f>IF('Loan Tape (S&amp;P)'!Q36="Yes",
    'FF Adj Parameters'!$B$37,
    1.00)</f>
        <v/>
      </c>
      <c r="P36" s="21">
        <f>IF('Loan Tape (S&amp;P)'!R36="Yes",
    'FF Adj Parameters'!$B$38,
    1.00)</f>
        <v/>
      </c>
      <c r="Q36" s="21">
        <f>IF('Loan Tape (S&amp;P)'!S36="Yes",
    'FF Adj Parameters'!$B$39,
    1.00)</f>
        <v/>
      </c>
      <c r="R36" s="21">
        <f>IF('Loan Tape (S&amp;P)'!T36="Yes",
    'FF Adj Parameters'!$B$40,
    1.00)</f>
        <v/>
      </c>
      <c r="S36" s="21">
        <f>LET(
    is_htb,'Loan Tape (S&amp;P)'!Q36="Yes",
    rate_type,'Loan Tape (S&amp;P)'!AS36,
    months_to_mat,'Loan Tape (S&amp;P)'!AU36,
    threshold,'FF Adj Parameters'!$B$1236,
    has_shock,AND(rate_type="Fixed",months_to_mat&lt;=threshold),
    IF(is_htb,1.00,IF(has_shock,'FF Adj Parameters'!$B$41,1.00))
)</f>
        <v/>
      </c>
      <c r="T36" s="21">
        <f>IFERROR(
    IF('Loan Tape (S&amp;P)'!N36&lt;&gt;"Interest Only",1.00,
        IF('Loan Tape (S&amp;P)'!N36="Buy to Let",1.00,
            LET(
                mat_check,'Loan Tape (S&amp;P)'!AV36,
                years_to_mat,'Loan Tape (S&amp;P)'!AU36/12,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6" s="21">
        <f>IF(AND('Loan Tape (S&amp;P)'!V36="Yes",'Loan Tape (S&amp;P)'!N36&lt;&gt;"Buy to Let"),
    'FF Adj Parameters'!$B$42,
    1.00)</f>
        <v/>
      </c>
      <c r="V36" s="21">
        <f>IF('Loan Tape (S&amp;P)'!AV36="Yes",
    'FF Adj Parameters'!$B$43,
    1.00)</f>
        <v/>
      </c>
      <c r="W36" s="23">
        <f>IF('Loan Tape (S&amp;P)'!AC36&gt;0,
    'FF Adj Parameters'!$B$44,
    1.00)</f>
        <v/>
      </c>
      <c r="X36" s="21">
        <f>LET(
    has_bankruptcy,'Loan Tape (S&amp;P)'!AE36="Yes",
    has_iva,'Loan Tape (S&amp;P)'!AF36="Yes",
    has_repo,'Loan Tape (S&amp;P)'!AI36="Yes",
    mult,IF(has_repo,'FF Adj Parameters'!$B$47,
            IF(has_bankruptcy,'FF Adj Parameters'!$B$436,
                IF(has_iva,'FF Adj Parameters'!$B$46,
                    1.00))),
    MAX(mult,0.360)
)</f>
        <v/>
      </c>
      <c r="Y36" s="21">
        <f>LET(
    has_perf_arr,'Loan Tape (S&amp;P)'!AP36="Yes",
    perf_arr_date,'Loan Tape (S&amp;P)'!AQ36,
    last_90_date,'Loan Tape (S&amp;P)'!AR36,
    threshold_years,VLOOKUP('Control Panel'!$B$6,'Jurisdiction Parameters'!$A:$Q,17,FALSE),
    relevant_date,MAX(perf_arr_date,last_90_date),
    years_since,('Control Panel'!$B$10-relevant_date)/3636.236,
    IF(NOT(has_perf_arr),1.00,
        IF(years_since&gt;threshold_years,1.00,
            IF(years_since&lt;=1,INDEX('FF Adj Parameters'!$C$47:$C$360,1),
                IF(years_since&lt;=2,INDEX('FF Adj Parameters'!$C$47:$C$360,2),
                    IF(years_since&lt;=3,INDEX('FF Adj Parameters'!$C$47:$C$360,3),
                        INDEX('FF Adj Parameters'!$C$47:$C$360,4))))))
)</f>
        <v/>
      </c>
      <c r="Z36" s="24">
        <f>IFERROR(
        IF(L36&gt;=100,1.00,
            'Control Panel'!$B$18*F36*G36*MAX(H36,R36)*I36*J36*K36*L36*M36*N36*O36*P36*Q36*S36*T36*U36*V36*W36*X36*Y36
        ),
    0)</f>
        <v/>
      </c>
    </row>
    <row r="37">
      <c r="A37" s="17">
        <f>'Loan Tape (S&amp;P)'!A37</f>
        <v/>
      </c>
      <c r="B37" s="18">
        <f>'Loan Tape (S&amp;P)'!B37</f>
        <v/>
      </c>
      <c r="C37" s="20">
        <f>IFERROR('Loan Tape (S&amp;P)'!C37/'Loan Tape (S&amp;P)'!E37,0)</f>
        <v/>
      </c>
      <c r="D37" s="20">
        <f>IFERROR(
        'Loan Tape (S&amp;P)'!B37/
        ('Loan Tape (S&amp;P)'!D37*
        (1-IF('Loan Tape (S&amp;P)'!AT37&lt;&gt;"Full",
            VLOOKUP('Control Panel'!$B$6,'Jurisdiction Parameters'!$A:$D,4,FALSE),
        0))),
    0)</f>
        <v/>
      </c>
      <c r="E37" s="20">
        <f>('Control Panel'!$B$12*C37)+('Control Panel'!$B$13*D37)</f>
        <v/>
      </c>
      <c r="F37" s="22">
        <f>IFERROR(
        LET(
            juris,'Control Panel'!$B$6,
            ltv_val,E37,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7" s="21">
        <f>'Control Panel'!$B$14</f>
        <v/>
      </c>
      <c r="H37" s="21">
        <f>LET(
    income_mult,'Loan Tape (S&amp;P)'!Z37,
    IF(income_mult=0,1.00,
        IFERROR(
            INDEX('FF Adj Parameters'!$A$137:$B$17,
                MATCH(income_mult,INDEX('FF Adj Parameters'!$A$137:$B$17,,1),1),2),
            1.370))
)</f>
        <v/>
      </c>
      <c r="I37" s="21">
        <f>IF('Loan Tape (S&amp;P)'!N37&lt;&gt;"Buy to Let",1.00,
    LET(
        dscr,'Loan Tape (S&amp;P)'!AA37,
        IF(dscr=0,INDEX('FF Adj Parameters'!$A$21:$B$237,1,2),
            IFERROR(
                INDEX('FF Adj Parameters'!$A$21:$B$237,
                    MATCH(dscr,INDEX('FF Adj Parameters'!$A$21:$B$237,,1),1),2),
                'FF Adj Parameters'!$B$21)))
)</f>
        <v/>
      </c>
      <c r="J37" s="21">
        <f>LET(
    lien,'Loan Tape (S&amp;P)'!AT37,
    IF(lien="First",'FF Adj Parameters'!$B$48,
        IF(lien="Second",'FF Adj Parameters'!$B$49,
            'FF Adj Parameters'!$B$370))
)</f>
        <v/>
      </c>
      <c r="K37" s="21">
        <f>LET(
    purpose,'Loan Tape (S&amp;P)'!U37,
    IF(purpose="Purchase",'FF Adj Parameters'!$B$371,
        IF(purpose="Remortgage",'FF Adj Parameters'!$B$372,
            IF(purpose="Cash-out Remortgage",'FF Adj Parameters'!$B$373,
                1.00)))
)</f>
        <v/>
      </c>
      <c r="L37" s="21">
        <f>LET(
    arrears_months,'Loan Tape (S&amp;P)'!X37,
    IF(arrears_months=0,'FF Adj Parameters'!$B$374,
        IF(arrears_months&lt;=2,'FF Adj Parameters'!$B$3737,
            'FF Adj Parameters'!$B$376))
)</f>
        <v/>
      </c>
      <c r="M37" s="21">
        <f>LET(
    years_seasoned,'Loan Tape (S&amp;P)'!AW37/12,
    arrears_months,'Loan Tape (S&amp;P)'!X37,
    IF(arrears_months&gt;0,1.00,
        IFERROR(
            INDEX('FF Adj Parameters'!$A$37:$B$11,
                MATCH(years_seasoned,INDEX('FF Adj Parameters'!$A$37:$B$11,,1),1),2),
            0.370))
)</f>
        <v/>
      </c>
      <c r="N37" s="21">
        <f>IF(AND('Loan Tape (S&amp;P)'!P37="Yes",'Loan Tape (S&amp;P)'!AW37&lt;'FF Adj Parameters'!$B$124),
    'FF Adj Parameters'!$B$33,
    1.00)</f>
        <v/>
      </c>
      <c r="O37" s="21">
        <f>IF('Loan Tape (S&amp;P)'!Q37="Yes",
    'FF Adj Parameters'!$B$37,
    1.00)</f>
        <v/>
      </c>
      <c r="P37" s="21">
        <f>IF('Loan Tape (S&amp;P)'!R37="Yes",
    'FF Adj Parameters'!$B$38,
    1.00)</f>
        <v/>
      </c>
      <c r="Q37" s="21">
        <f>IF('Loan Tape (S&amp;P)'!S37="Yes",
    'FF Adj Parameters'!$B$39,
    1.00)</f>
        <v/>
      </c>
      <c r="R37" s="21">
        <f>IF('Loan Tape (S&amp;P)'!T37="Yes",
    'FF Adj Parameters'!$B$40,
    1.00)</f>
        <v/>
      </c>
      <c r="S37" s="21">
        <f>LET(
    is_htb,'Loan Tape (S&amp;P)'!Q37="Yes",
    rate_type,'Loan Tape (S&amp;P)'!AS37,
    months_to_mat,'Loan Tape (S&amp;P)'!AU37,
    threshold,'FF Adj Parameters'!$B$1237,
    has_shock,AND(rate_type="Fixed",months_to_mat&lt;=threshold),
    IF(is_htb,1.00,IF(has_shock,'FF Adj Parameters'!$B$41,1.00))
)</f>
        <v/>
      </c>
      <c r="T37" s="21">
        <f>IFERROR(
    IF('Loan Tape (S&amp;P)'!N37&lt;&gt;"Interest Only",1.00,
        IF('Loan Tape (S&amp;P)'!N37="Buy to Let",1.00,
            LET(
                mat_check,'Loan Tape (S&amp;P)'!AV37,
                years_to_mat,'Loan Tape (S&amp;P)'!AU37/12,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7" s="21">
        <f>IF(AND('Loan Tape (S&amp;P)'!V37="Yes",'Loan Tape (S&amp;P)'!N37&lt;&gt;"Buy to Let"),
    'FF Adj Parameters'!$B$42,
    1.00)</f>
        <v/>
      </c>
      <c r="V37" s="21">
        <f>IF('Loan Tape (S&amp;P)'!AV37="Yes",
    'FF Adj Parameters'!$B$43,
    1.00)</f>
        <v/>
      </c>
      <c r="W37" s="23">
        <f>IF('Loan Tape (S&amp;P)'!AC37&gt;0,
    'FF Adj Parameters'!$B$44,
    1.00)</f>
        <v/>
      </c>
      <c r="X37" s="21">
        <f>LET(
    has_bankruptcy,'Loan Tape (S&amp;P)'!AE37="Yes",
    has_iva,'Loan Tape (S&amp;P)'!AF37="Yes",
    has_repo,'Loan Tape (S&amp;P)'!AI37="Yes",
    mult,IF(has_repo,'FF Adj Parameters'!$B$47,
            IF(has_bankruptcy,'FF Adj Parameters'!$B$437,
                IF(has_iva,'FF Adj Parameters'!$B$46,
                    1.00))),
    MAX(mult,0.370)
)</f>
        <v/>
      </c>
      <c r="Y37" s="21">
        <f>LET(
    has_perf_arr,'Loan Tape (S&amp;P)'!AP37="Yes",
    perf_arr_date,'Loan Tape (S&amp;P)'!AQ37,
    last_90_date,'Loan Tape (S&amp;P)'!AR37,
    threshold_years,VLOOKUP('Control Panel'!$B$6,'Jurisdiction Parameters'!$A:$Q,17,FALSE),
    relevant_date,MAX(perf_arr_date,last_90_date),
    years_since,('Control Panel'!$B$10-relevant_date)/3637.237,
    IF(NOT(has_perf_arr),1.00,
        IF(years_since&gt;threshold_years,1.00,
            IF(years_since&lt;=1,INDEX('FF Adj Parameters'!$C$47:$C$370,1),
                IF(years_since&lt;=2,INDEX('FF Adj Parameters'!$C$47:$C$370,2),
                    IF(years_since&lt;=3,INDEX('FF Adj Parameters'!$C$47:$C$370,3),
                        INDEX('FF Adj Parameters'!$C$47:$C$370,4))))))
)</f>
        <v/>
      </c>
      <c r="Z37" s="24">
        <f>IFERROR(
        IF(L37&gt;=100,1.00,
            'Control Panel'!$B$18*F37*G37*MAX(H37,R37)*I37*J37*K37*L37*M37*N37*O37*P37*Q37*S37*T37*U37*V37*W37*X37*Y37
        ),
    0)</f>
        <v/>
      </c>
    </row>
    <row r="38">
      <c r="A38" s="17">
        <f>'Loan Tape (S&amp;P)'!A38</f>
        <v/>
      </c>
      <c r="B38" s="18">
        <f>'Loan Tape (S&amp;P)'!B38</f>
        <v/>
      </c>
      <c r="C38" s="20">
        <f>IFERROR('Loan Tape (S&amp;P)'!C38/'Loan Tape (S&amp;P)'!E38,0)</f>
        <v/>
      </c>
      <c r="D38" s="20">
        <f>IFERROR(
        'Loan Tape (S&amp;P)'!B38/
        ('Loan Tape (S&amp;P)'!D38*
        (1-IF('Loan Tape (S&amp;P)'!AT38&lt;&gt;"Full",
            VLOOKUP('Control Panel'!$B$6,'Jurisdiction Parameters'!$A:$D,4,FALSE),
        0))),
    0)</f>
        <v/>
      </c>
      <c r="E38" s="20">
        <f>('Control Panel'!$B$12*C38)+('Control Panel'!$B$13*D38)</f>
        <v/>
      </c>
      <c r="F38" s="22">
        <f>IFERROR(
        LET(
            juris,'Control Panel'!$B$6,
            ltv_val,E38,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8" s="21">
        <f>'Control Panel'!$B$14</f>
        <v/>
      </c>
      <c r="H38" s="21">
        <f>LET(
    income_mult,'Loan Tape (S&amp;P)'!Z38,
    IF(income_mult=0,1.00,
        IFERROR(
            INDEX('FF Adj Parameters'!$A$138:$B$17,
                MATCH(income_mult,INDEX('FF Adj Parameters'!$A$138:$B$17,,1),1),2),
            1.380))
)</f>
        <v/>
      </c>
      <c r="I38" s="21">
        <f>IF('Loan Tape (S&amp;P)'!N38&lt;&gt;"Buy to Let",1.00,
    LET(
        dscr,'Loan Tape (S&amp;P)'!AA38,
        IF(dscr=0,INDEX('FF Adj Parameters'!$A$21:$B$238,1,2),
            IFERROR(
                INDEX('FF Adj Parameters'!$A$21:$B$238,
                    MATCH(dscr,INDEX('FF Adj Parameters'!$A$21:$B$238,,1),1),2),
                'FF Adj Parameters'!$B$21)))
)</f>
        <v/>
      </c>
      <c r="J38" s="21">
        <f>LET(
    lien,'Loan Tape (S&amp;P)'!AT38,
    IF(lien="First",'FF Adj Parameters'!$B$48,
        IF(lien="Second",'FF Adj Parameters'!$B$49,
            'FF Adj Parameters'!$B$380))
)</f>
        <v/>
      </c>
      <c r="K38" s="21">
        <f>LET(
    purpose,'Loan Tape (S&amp;P)'!U38,
    IF(purpose="Purchase",'FF Adj Parameters'!$B$381,
        IF(purpose="Remortgage",'FF Adj Parameters'!$B$382,
            IF(purpose="Cash-out Remortgage",'FF Adj Parameters'!$B$383,
                1.00)))
)</f>
        <v/>
      </c>
      <c r="L38" s="21">
        <f>LET(
    arrears_months,'Loan Tape (S&amp;P)'!X38,
    IF(arrears_months=0,'FF Adj Parameters'!$B$384,
        IF(arrears_months&lt;=2,'FF Adj Parameters'!$B$3838,
            'FF Adj Parameters'!$B$386))
)</f>
        <v/>
      </c>
      <c r="M38" s="21">
        <f>LET(
    years_seasoned,'Loan Tape (S&amp;P)'!AW38/12,
    arrears_months,'Loan Tape (S&amp;P)'!X38,
    IF(arrears_months&gt;0,1.00,
        IFERROR(
            INDEX('FF Adj Parameters'!$A$38:$B$11,
                MATCH(years_seasoned,INDEX('FF Adj Parameters'!$A$38:$B$11,,1),1),2),
            0.380))
)</f>
        <v/>
      </c>
      <c r="N38" s="21">
        <f>IF(AND('Loan Tape (S&amp;P)'!P38="Yes",'Loan Tape (S&amp;P)'!AW38&lt;'FF Adj Parameters'!$B$124),
    'FF Adj Parameters'!$B$33,
    1.00)</f>
        <v/>
      </c>
      <c r="O38" s="21">
        <f>IF('Loan Tape (S&amp;P)'!Q38="Yes",
    'FF Adj Parameters'!$B$37,
    1.00)</f>
        <v/>
      </c>
      <c r="P38" s="21">
        <f>IF('Loan Tape (S&amp;P)'!R38="Yes",
    'FF Adj Parameters'!$B$38,
    1.00)</f>
        <v/>
      </c>
      <c r="Q38" s="21">
        <f>IF('Loan Tape (S&amp;P)'!S38="Yes",
    'FF Adj Parameters'!$B$39,
    1.00)</f>
        <v/>
      </c>
      <c r="R38" s="21">
        <f>IF('Loan Tape (S&amp;P)'!T38="Yes",
    'FF Adj Parameters'!$B$40,
    1.00)</f>
        <v/>
      </c>
      <c r="S38" s="21">
        <f>LET(
    is_htb,'Loan Tape (S&amp;P)'!Q38="Yes",
    rate_type,'Loan Tape (S&amp;P)'!AS38,
    months_to_mat,'Loan Tape (S&amp;P)'!AU38,
    threshold,'FF Adj Parameters'!$B$1238,
    has_shock,AND(rate_type="Fixed",months_to_mat&lt;=threshold),
    IF(is_htb,1.00,IF(has_shock,'FF Adj Parameters'!$B$41,1.00))
)</f>
        <v/>
      </c>
      <c r="T38" s="21">
        <f>IFERROR(
    IF('Loan Tape (S&amp;P)'!N38&lt;&gt;"Interest Only",1.00,
        IF('Loan Tape (S&amp;P)'!N38="Buy to Let",1.00,
            LET(
                mat_check,'Loan Tape (S&amp;P)'!AV38,
                years_to_mat,'Loan Tape (S&amp;P)'!AU38/12,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8" s="21">
        <f>IF(AND('Loan Tape (S&amp;P)'!V38="Yes",'Loan Tape (S&amp;P)'!N38&lt;&gt;"Buy to Let"),
    'FF Adj Parameters'!$B$42,
    1.00)</f>
        <v/>
      </c>
      <c r="V38" s="21">
        <f>IF('Loan Tape (S&amp;P)'!AV38="Yes",
    'FF Adj Parameters'!$B$43,
    1.00)</f>
        <v/>
      </c>
      <c r="W38" s="23">
        <f>IF('Loan Tape (S&amp;P)'!AC38&gt;0,
    'FF Adj Parameters'!$B$44,
    1.00)</f>
        <v/>
      </c>
      <c r="X38" s="21">
        <f>LET(
    has_bankruptcy,'Loan Tape (S&amp;P)'!AE38="Yes",
    has_iva,'Loan Tape (S&amp;P)'!AF38="Yes",
    has_repo,'Loan Tape (S&amp;P)'!AI38="Yes",
    mult,IF(has_repo,'FF Adj Parameters'!$B$47,
            IF(has_bankruptcy,'FF Adj Parameters'!$B$438,
                IF(has_iva,'FF Adj Parameters'!$B$46,
                    1.00))),
    MAX(mult,0.380)
)</f>
        <v/>
      </c>
      <c r="Y38" s="21">
        <f>LET(
    has_perf_arr,'Loan Tape (S&amp;P)'!AP38="Yes",
    perf_arr_date,'Loan Tape (S&amp;P)'!AQ38,
    last_90_date,'Loan Tape (S&amp;P)'!AR38,
    threshold_years,VLOOKUP('Control Panel'!$B$6,'Jurisdiction Parameters'!$A:$Q,17,FALSE),
    relevant_date,MAX(perf_arr_date,last_90_date),
    years_since,('Control Panel'!$B$10-relevant_date)/3638.238,
    IF(NOT(has_perf_arr),1.00,
        IF(years_since&gt;threshold_years,1.00,
            IF(years_since&lt;=1,INDEX('FF Adj Parameters'!$C$47:$C$380,1),
                IF(years_since&lt;=2,INDEX('FF Adj Parameters'!$C$47:$C$380,2),
                    IF(years_since&lt;=3,INDEX('FF Adj Parameters'!$C$47:$C$380,3),
                        INDEX('FF Adj Parameters'!$C$47:$C$380,4))))))
)</f>
        <v/>
      </c>
      <c r="Z38" s="24">
        <f>IFERROR(
        IF(L38&gt;=100,1.00,
            'Control Panel'!$B$18*F38*G38*MAX(H38,R38)*I38*J38*K38*L38*M38*N38*O38*P38*Q38*S38*T38*U38*V38*W38*X38*Y38
        ),
    0)</f>
        <v/>
      </c>
    </row>
    <row r="39">
      <c r="A39" s="17">
        <f>'Loan Tape (S&amp;P)'!A39</f>
        <v/>
      </c>
      <c r="B39" s="18">
        <f>'Loan Tape (S&amp;P)'!B39</f>
        <v/>
      </c>
      <c r="C39" s="20">
        <f>IFERROR('Loan Tape (S&amp;P)'!C39/'Loan Tape (S&amp;P)'!E39,0)</f>
        <v/>
      </c>
      <c r="D39" s="20">
        <f>IFERROR(
        'Loan Tape (S&amp;P)'!B39/
        ('Loan Tape (S&amp;P)'!D39*
        (1-IF('Loan Tape (S&amp;P)'!AT39&lt;&gt;"Full",
            VLOOKUP('Control Panel'!$B$6,'Jurisdiction Parameters'!$A:$D,4,FALSE),
        0))),
    0)</f>
        <v/>
      </c>
      <c r="E39" s="20">
        <f>('Control Panel'!$B$12*C39)+('Control Panel'!$B$13*D39)</f>
        <v/>
      </c>
      <c r="F39" s="22">
        <f>IFERROR(
        LET(
            juris,'Control Panel'!$B$6,
            ltv_val,E39,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9" s="21">
        <f>'Control Panel'!$B$14</f>
        <v/>
      </c>
      <c r="H39" s="21">
        <f>LET(
    income_mult,'Loan Tape (S&amp;P)'!Z39,
    IF(income_mult=0,1.00,
        IFERROR(
            INDEX('FF Adj Parameters'!$A$139:$B$17,
                MATCH(income_mult,INDEX('FF Adj Parameters'!$A$139:$B$17,,1),1),2),
            1.390))
)</f>
        <v/>
      </c>
      <c r="I39" s="21">
        <f>IF('Loan Tape (S&amp;P)'!N39&lt;&gt;"Buy to Let",1.00,
    LET(
        dscr,'Loan Tape (S&amp;P)'!AA39,
        IF(dscr=0,INDEX('FF Adj Parameters'!$A$21:$B$239,1,2),
            IFERROR(
                INDEX('FF Adj Parameters'!$A$21:$B$239,
                    MATCH(dscr,INDEX('FF Adj Parameters'!$A$21:$B$239,,1),1),2),
                'FF Adj Parameters'!$B$21)))
)</f>
        <v/>
      </c>
      <c r="J39" s="21">
        <f>LET(
    lien,'Loan Tape (S&amp;P)'!AT39,
    IF(lien="First",'FF Adj Parameters'!$B$48,
        IF(lien="Second",'FF Adj Parameters'!$B$49,
            'FF Adj Parameters'!$B$390))
)</f>
        <v/>
      </c>
      <c r="K39" s="21">
        <f>LET(
    purpose,'Loan Tape (S&amp;P)'!U39,
    IF(purpose="Purchase",'FF Adj Parameters'!$B$391,
        IF(purpose="Remortgage",'FF Adj Parameters'!$B$392,
            IF(purpose="Cash-out Remortgage",'FF Adj Parameters'!$B$393,
                1.00)))
)</f>
        <v/>
      </c>
      <c r="L39" s="21">
        <f>LET(
    arrears_months,'Loan Tape (S&amp;P)'!X39,
    IF(arrears_months=0,'FF Adj Parameters'!$B$394,
        IF(arrears_months&lt;=2,'FF Adj Parameters'!$B$3939,
            'FF Adj Parameters'!$B$396))
)</f>
        <v/>
      </c>
      <c r="M39" s="21">
        <f>LET(
    years_seasoned,'Loan Tape (S&amp;P)'!AW39/12,
    arrears_months,'Loan Tape (S&amp;P)'!X39,
    IF(arrears_months&gt;0,1.00,
        IFERROR(
            INDEX('FF Adj Parameters'!$A$39:$B$11,
                MATCH(years_seasoned,INDEX('FF Adj Parameters'!$A$39:$B$11,,1),1),2),
            0.390))
)</f>
        <v/>
      </c>
      <c r="N39" s="21">
        <f>IF(AND('Loan Tape (S&amp;P)'!P39="Yes",'Loan Tape (S&amp;P)'!AW39&lt;'FF Adj Parameters'!$B$124),
    'FF Adj Parameters'!$B$33,
    1.00)</f>
        <v/>
      </c>
      <c r="O39" s="21">
        <f>IF('Loan Tape (S&amp;P)'!Q39="Yes",
    'FF Adj Parameters'!$B$37,
    1.00)</f>
        <v/>
      </c>
      <c r="P39" s="21">
        <f>IF('Loan Tape (S&amp;P)'!R39="Yes",
    'FF Adj Parameters'!$B$38,
    1.00)</f>
        <v/>
      </c>
      <c r="Q39" s="21">
        <f>IF('Loan Tape (S&amp;P)'!S39="Yes",
    'FF Adj Parameters'!$B$39,
    1.00)</f>
        <v/>
      </c>
      <c r="R39" s="21">
        <f>IF('Loan Tape (S&amp;P)'!T39="Yes",
    'FF Adj Parameters'!$B$40,
    1.00)</f>
        <v/>
      </c>
      <c r="S39" s="21">
        <f>LET(
    is_htb,'Loan Tape (S&amp;P)'!Q39="Yes",
    rate_type,'Loan Tape (S&amp;P)'!AS39,
    months_to_mat,'Loan Tape (S&amp;P)'!AU39,
    threshold,'FF Adj Parameters'!$B$1239,
    has_shock,AND(rate_type="Fixed",months_to_mat&lt;=threshold),
    IF(is_htb,1.00,IF(has_shock,'FF Adj Parameters'!$B$41,1.00))
)</f>
        <v/>
      </c>
      <c r="T39" s="21">
        <f>IFERROR(
    IF('Loan Tape (S&amp;P)'!N39&lt;&gt;"Interest Only",1.00,
        IF('Loan Tape (S&amp;P)'!N39="Buy to Let",1.00,
            LET(
                mat_check,'Loan Tape (S&amp;P)'!AV39,
                years_to_mat,'Loan Tape (S&amp;P)'!AU39/12,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9" s="21">
        <f>IF(AND('Loan Tape (S&amp;P)'!V39="Yes",'Loan Tape (S&amp;P)'!N39&lt;&gt;"Buy to Let"),
    'FF Adj Parameters'!$B$42,
    1.00)</f>
        <v/>
      </c>
      <c r="V39" s="21">
        <f>IF('Loan Tape (S&amp;P)'!AV39="Yes",
    'FF Adj Parameters'!$B$43,
    1.00)</f>
        <v/>
      </c>
      <c r="W39" s="23">
        <f>IF('Loan Tape (S&amp;P)'!AC39&gt;0,
    'FF Adj Parameters'!$B$44,
    1.00)</f>
        <v/>
      </c>
      <c r="X39" s="21">
        <f>LET(
    has_bankruptcy,'Loan Tape (S&amp;P)'!AE39="Yes",
    has_iva,'Loan Tape (S&amp;P)'!AF39="Yes",
    has_repo,'Loan Tape (S&amp;P)'!AI39="Yes",
    mult,IF(has_repo,'FF Adj Parameters'!$B$47,
            IF(has_bankruptcy,'FF Adj Parameters'!$B$439,
                IF(has_iva,'FF Adj Parameters'!$B$46,
                    1.00))),
    MAX(mult,0.390)
)</f>
        <v/>
      </c>
      <c r="Y39" s="21">
        <f>LET(
    has_perf_arr,'Loan Tape (S&amp;P)'!AP39="Yes",
    perf_arr_date,'Loan Tape (S&amp;P)'!AQ39,
    last_90_date,'Loan Tape (S&amp;P)'!AR39,
    threshold_years,VLOOKUP('Control Panel'!$B$6,'Jurisdiction Parameters'!$A:$Q,17,FALSE),
    relevant_date,MAX(perf_arr_date,last_90_date),
    years_since,('Control Panel'!$B$10-relevant_date)/3639.239,
    IF(NOT(has_perf_arr),1.00,
        IF(years_since&gt;threshold_years,1.00,
            IF(years_since&lt;=1,INDEX('FF Adj Parameters'!$C$47:$C$390,1),
                IF(years_since&lt;=2,INDEX('FF Adj Parameters'!$C$47:$C$390,2),
                    IF(years_since&lt;=3,INDEX('FF Adj Parameters'!$C$47:$C$390,3),
                        INDEX('FF Adj Parameters'!$C$47:$C$390,4))))))
)</f>
        <v/>
      </c>
      <c r="Z39" s="24">
        <f>IFERROR(
        IF(L39&gt;=100,1.00,
            'Control Panel'!$B$18*F39*G39*MAX(H39,R39)*I39*J39*K39*L39*M39*N39*O39*P39*Q39*S39*T39*U39*V39*W39*X39*Y39
        ),
    0)</f>
        <v/>
      </c>
    </row>
    <row r="40">
      <c r="A40" s="17">
        <f>'Loan Tape (S&amp;P)'!A40</f>
        <v/>
      </c>
      <c r="B40" s="18">
        <f>'Loan Tape (S&amp;P)'!B40</f>
        <v/>
      </c>
      <c r="C40" s="20">
        <f>IFERROR('Loan Tape (S&amp;P)'!C40/'Loan Tape (S&amp;P)'!E40,0)</f>
        <v/>
      </c>
      <c r="D40" s="20">
        <f>IFERROR(
        'Loan Tape (S&amp;P)'!B40/
        ('Loan Tape (S&amp;P)'!D40*
        (1-IF('Loan Tape (S&amp;P)'!AT40&lt;&gt;"Full",
            VLOOKUP('Control Panel'!$B$6,'Jurisdiction Parameters'!$A:$D,4,FALSE),
        0))),
    0)</f>
        <v/>
      </c>
      <c r="E40" s="20">
        <f>('Control Panel'!$B$12*C40)+('Control Panel'!$B$13*D40)</f>
        <v/>
      </c>
      <c r="F40" s="22">
        <f>IFERROR(
        LET(
            juris,'Control Panel'!$B$6,
            ltv_val,E40,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0" s="21">
        <f>'Control Panel'!$B$14</f>
        <v/>
      </c>
      <c r="H40" s="21">
        <f>LET(
    income_mult,'Loan Tape (S&amp;P)'!Z40,
    IF(income_mult=0,1.00,
        IFERROR(
            INDEX('FF Adj Parameters'!$A$140:$B$17,
                MATCH(income_mult,INDEX('FF Adj Parameters'!$A$140:$B$17,,1),1),2),
            1.400))
)</f>
        <v/>
      </c>
      <c r="I40" s="21">
        <f>IF('Loan Tape (S&amp;P)'!N40&lt;&gt;"Buy to Let",1.00,
    LET(
        dscr,'Loan Tape (S&amp;P)'!AA40,
        IF(dscr=0,INDEX('FF Adj Parameters'!$A$21:$B$240,1,2),
            IFERROR(
                INDEX('FF Adj Parameters'!$A$21:$B$240,
                    MATCH(dscr,INDEX('FF Adj Parameters'!$A$21:$B$240,,1),1),2),
                'FF Adj Parameters'!$B$21)))
)</f>
        <v/>
      </c>
      <c r="J40" s="21">
        <f>LET(
    lien,'Loan Tape (S&amp;P)'!AT40,
    IF(lien="First",'FF Adj Parameters'!$B$48,
        IF(lien="Second",'FF Adj Parameters'!$B$49,
            'FF Adj Parameters'!$B$400))
)</f>
        <v/>
      </c>
      <c r="K40" s="21">
        <f>LET(
    purpose,'Loan Tape (S&amp;P)'!U40,
    IF(purpose="Purchase",'FF Adj Parameters'!$B$401,
        IF(purpose="Remortgage",'FF Adj Parameters'!$B$402,
            IF(purpose="Cash-out Remortgage",'FF Adj Parameters'!$B$403,
                1.00)))
)</f>
        <v/>
      </c>
      <c r="L40" s="21">
        <f>LET(
    arrears_months,'Loan Tape (S&amp;P)'!X40,
    IF(arrears_months=0,'FF Adj Parameters'!$B$404,
        IF(arrears_months&lt;=2,'FF Adj Parameters'!$B$4040,
            'FF Adj Parameters'!$B$406))
)</f>
        <v/>
      </c>
      <c r="M40" s="21">
        <f>LET(
    years_seasoned,'Loan Tape (S&amp;P)'!AW40/12,
    arrears_months,'Loan Tape (S&amp;P)'!X40,
    IF(arrears_months&gt;0,1.00,
        IFERROR(
            INDEX('FF Adj Parameters'!$A$40:$B$11,
                MATCH(years_seasoned,INDEX('FF Adj Parameters'!$A$40:$B$11,,1),1),2),
            0.400))
)</f>
        <v/>
      </c>
      <c r="N40" s="21">
        <f>IF(AND('Loan Tape (S&amp;P)'!P40="Yes",'Loan Tape (S&amp;P)'!AW40&lt;'FF Adj Parameters'!$B$124),
    'FF Adj Parameters'!$B$33,
    1.00)</f>
        <v/>
      </c>
      <c r="O40" s="21">
        <f>IF('Loan Tape (S&amp;P)'!Q40="Yes",
    'FF Adj Parameters'!$B$37,
    1.00)</f>
        <v/>
      </c>
      <c r="P40" s="21">
        <f>IF('Loan Tape (S&amp;P)'!R40="Yes",
    'FF Adj Parameters'!$B$38,
    1.00)</f>
        <v/>
      </c>
      <c r="Q40" s="21">
        <f>IF('Loan Tape (S&amp;P)'!S40="Yes",
    'FF Adj Parameters'!$B$39,
    1.00)</f>
        <v/>
      </c>
      <c r="R40" s="21">
        <f>IF('Loan Tape (S&amp;P)'!T40="Yes",
    'FF Adj Parameters'!$B$40,
    1.00)</f>
        <v/>
      </c>
      <c r="S40" s="21">
        <f>LET(
    is_htb,'Loan Tape (S&amp;P)'!Q40="Yes",
    rate_type,'Loan Tape (S&amp;P)'!AS40,
    months_to_mat,'Loan Tape (S&amp;P)'!AU40,
    threshold,'FF Adj Parameters'!$B$1240,
    has_shock,AND(rate_type="Fixed",months_to_mat&lt;=threshold),
    IF(is_htb,1.00,IF(has_shock,'FF Adj Parameters'!$B$41,1.00))
)</f>
        <v/>
      </c>
      <c r="T40" s="21">
        <f>IFERROR(
    IF('Loan Tape (S&amp;P)'!N40&lt;&gt;"Interest Only",1.00,
        IF('Loan Tape (S&amp;P)'!N40="Buy to Let",1.00,
            LET(
                mat_check,'Loan Tape (S&amp;P)'!AV40,
                years_to_mat,'Loan Tape (S&amp;P)'!AU40/12,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0" s="21">
        <f>IF(AND('Loan Tape (S&amp;P)'!V40="Yes",'Loan Tape (S&amp;P)'!N40&lt;&gt;"Buy to Let"),
    'FF Adj Parameters'!$B$42,
    1.00)</f>
        <v/>
      </c>
      <c r="V40" s="21">
        <f>IF('Loan Tape (S&amp;P)'!AV40="Yes",
    'FF Adj Parameters'!$B$43,
    1.00)</f>
        <v/>
      </c>
      <c r="W40" s="23">
        <f>IF('Loan Tape (S&amp;P)'!AC40&gt;0,
    'FF Adj Parameters'!$B$44,
    1.00)</f>
        <v/>
      </c>
      <c r="X40" s="21">
        <f>LET(
    has_bankruptcy,'Loan Tape (S&amp;P)'!AE40="Yes",
    has_iva,'Loan Tape (S&amp;P)'!AF40="Yes",
    has_repo,'Loan Tape (S&amp;P)'!AI40="Yes",
    mult,IF(has_repo,'FF Adj Parameters'!$B$47,
            IF(has_bankruptcy,'FF Adj Parameters'!$B$440,
                IF(has_iva,'FF Adj Parameters'!$B$46,
                    1.00))),
    MAX(mult,0.400)
)</f>
        <v/>
      </c>
      <c r="Y40" s="21">
        <f>LET(
    has_perf_arr,'Loan Tape (S&amp;P)'!AP40="Yes",
    perf_arr_date,'Loan Tape (S&amp;P)'!AQ40,
    last_90_date,'Loan Tape (S&amp;P)'!AR40,
    threshold_years,VLOOKUP('Control Panel'!$B$6,'Jurisdiction Parameters'!$A:$Q,17,FALSE),
    relevant_date,MAX(perf_arr_date,last_90_date),
    years_since,('Control Panel'!$B$10-relevant_date)/3640.240,
    IF(NOT(has_perf_arr),1.00,
        IF(years_since&gt;threshold_years,1.00,
            IF(years_since&lt;=1,INDEX('FF Adj Parameters'!$C$47:$C$400,1),
                IF(years_since&lt;=2,INDEX('FF Adj Parameters'!$C$47:$C$400,2),
                    IF(years_since&lt;=3,INDEX('FF Adj Parameters'!$C$47:$C$400,3),
                        INDEX('FF Adj Parameters'!$C$47:$C$400,4))))))
)</f>
        <v/>
      </c>
      <c r="Z40" s="24">
        <f>IFERROR(
        IF(L40&gt;=100,1.00,
            'Control Panel'!$B$18*F40*G40*MAX(H40,R40)*I40*J40*K40*L40*M40*N40*O40*P40*Q40*S40*T40*U40*V40*W40*X40*Y40
        ),
    0)</f>
        <v/>
      </c>
    </row>
    <row r="41">
      <c r="A41" s="17">
        <f>'Loan Tape (S&amp;P)'!A41</f>
        <v/>
      </c>
      <c r="B41" s="18">
        <f>'Loan Tape (S&amp;P)'!B41</f>
        <v/>
      </c>
      <c r="C41" s="20">
        <f>IFERROR('Loan Tape (S&amp;P)'!C41/'Loan Tape (S&amp;P)'!E41,0)</f>
        <v/>
      </c>
      <c r="D41" s="20">
        <f>IFERROR(
        'Loan Tape (S&amp;P)'!B41/
        ('Loan Tape (S&amp;P)'!D41*
        (1-IF('Loan Tape (S&amp;P)'!AT41&lt;&gt;"Full",
            VLOOKUP('Control Panel'!$B$6,'Jurisdiction Parameters'!$A:$D,4,FALSE),
        0))),
    0)</f>
        <v/>
      </c>
      <c r="E41" s="20">
        <f>('Control Panel'!$B$12*C41)+('Control Panel'!$B$13*D41)</f>
        <v/>
      </c>
      <c r="F41" s="22">
        <f>IFERROR(
        LET(
            juris,'Control Panel'!$B$6,
            ltv_val,E41,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1" s="21">
        <f>'Control Panel'!$B$14</f>
        <v/>
      </c>
      <c r="H41" s="21">
        <f>LET(
    income_mult,'Loan Tape (S&amp;P)'!Z41,
    IF(income_mult=0,1.00,
        IFERROR(
            INDEX('FF Adj Parameters'!$A$141:$B$17,
                MATCH(income_mult,INDEX('FF Adj Parameters'!$A$141:$B$17,,1),1),2),
            1.410))
)</f>
        <v/>
      </c>
      <c r="I41" s="21">
        <f>IF('Loan Tape (S&amp;P)'!N41&lt;&gt;"Buy to Let",1.00,
    LET(
        dscr,'Loan Tape (S&amp;P)'!AA41,
        IF(dscr=0,INDEX('FF Adj Parameters'!$A$21:$B$241,1,2),
            IFERROR(
                INDEX('FF Adj Parameters'!$A$21:$B$241,
                    MATCH(dscr,INDEX('FF Adj Parameters'!$A$21:$B$241,,1),1),2),
                'FF Adj Parameters'!$B$21)))
)</f>
        <v/>
      </c>
      <c r="J41" s="21">
        <f>LET(
    lien,'Loan Tape (S&amp;P)'!AT41,
    IF(lien="First",'FF Adj Parameters'!$B$48,
        IF(lien="Second",'FF Adj Parameters'!$B$49,
            'FF Adj Parameters'!$B$410))
)</f>
        <v/>
      </c>
      <c r="K41" s="21">
        <f>LET(
    purpose,'Loan Tape (S&amp;P)'!U41,
    IF(purpose="Purchase",'FF Adj Parameters'!$B$411,
        IF(purpose="Remortgage",'FF Adj Parameters'!$B$412,
            IF(purpose="Cash-out Remortgage",'FF Adj Parameters'!$B$413,
                1.00)))
)</f>
        <v/>
      </c>
      <c r="L41" s="21">
        <f>LET(
    arrears_months,'Loan Tape (S&amp;P)'!X41,
    IF(arrears_months=0,'FF Adj Parameters'!$B$414,
        IF(arrears_months&lt;=2,'FF Adj Parameters'!$B$4141,
            'FF Adj Parameters'!$B$416))
)</f>
        <v/>
      </c>
      <c r="M41" s="21">
        <f>LET(
    years_seasoned,'Loan Tape (S&amp;P)'!AW41/12,
    arrears_months,'Loan Tape (S&amp;P)'!X41,
    IF(arrears_months&gt;0,1.00,
        IFERROR(
            INDEX('FF Adj Parameters'!$A$41:$B$11,
                MATCH(years_seasoned,INDEX('FF Adj Parameters'!$A$41:$B$11,,1),1),2),
            0.410))
)</f>
        <v/>
      </c>
      <c r="N41" s="21">
        <f>IF(AND('Loan Tape (S&amp;P)'!P41="Yes",'Loan Tape (S&amp;P)'!AW41&lt;'FF Adj Parameters'!$B$124),
    'FF Adj Parameters'!$B$33,
    1.00)</f>
        <v/>
      </c>
      <c r="O41" s="21">
        <f>IF('Loan Tape (S&amp;P)'!Q41="Yes",
    'FF Adj Parameters'!$B$37,
    1.00)</f>
        <v/>
      </c>
      <c r="P41" s="21">
        <f>IF('Loan Tape (S&amp;P)'!R41="Yes",
    'FF Adj Parameters'!$B$38,
    1.00)</f>
        <v/>
      </c>
      <c r="Q41" s="21">
        <f>IF('Loan Tape (S&amp;P)'!S41="Yes",
    'FF Adj Parameters'!$B$39,
    1.00)</f>
        <v/>
      </c>
      <c r="R41" s="21">
        <f>IF('Loan Tape (S&amp;P)'!T41="Yes",
    'FF Adj Parameters'!$B$40,
    1.00)</f>
        <v/>
      </c>
      <c r="S41" s="21">
        <f>LET(
    is_htb,'Loan Tape (S&amp;P)'!Q41="Yes",
    rate_type,'Loan Tape (S&amp;P)'!AS41,
    months_to_mat,'Loan Tape (S&amp;P)'!AU41,
    threshold,'FF Adj Parameters'!$B$1241,
    has_shock,AND(rate_type="Fixed",months_to_mat&lt;=threshold),
    IF(is_htb,1.00,IF(has_shock,'FF Adj Parameters'!$B$41,1.00))
)</f>
        <v/>
      </c>
      <c r="T41" s="21">
        <f>IFERROR(
    IF('Loan Tape (S&amp;P)'!N41&lt;&gt;"Interest Only",1.00,
        IF('Loan Tape (S&amp;P)'!N41="Buy to Let",1.00,
            LET(
                mat_check,'Loan Tape (S&amp;P)'!AV41,
                years_to_mat,'Loan Tape (S&amp;P)'!AU41/12,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1" s="21">
        <f>IF(AND('Loan Tape (S&amp;P)'!V41="Yes",'Loan Tape (S&amp;P)'!N41&lt;&gt;"Buy to Let"),
    'FF Adj Parameters'!$B$42,
    1.00)</f>
        <v/>
      </c>
      <c r="V41" s="21">
        <f>IF('Loan Tape (S&amp;P)'!AV41="Yes",
    'FF Adj Parameters'!$B$43,
    1.00)</f>
        <v/>
      </c>
      <c r="W41" s="23">
        <f>IF('Loan Tape (S&amp;P)'!AC41&gt;0,
    'FF Adj Parameters'!$B$44,
    1.00)</f>
        <v/>
      </c>
      <c r="X41" s="21">
        <f>LET(
    has_bankruptcy,'Loan Tape (S&amp;P)'!AE41="Yes",
    has_iva,'Loan Tape (S&amp;P)'!AF41="Yes",
    has_repo,'Loan Tape (S&amp;P)'!AI41="Yes",
    mult,IF(has_repo,'FF Adj Parameters'!$B$47,
            IF(has_bankruptcy,'FF Adj Parameters'!$B$441,
                IF(has_iva,'FF Adj Parameters'!$B$46,
                    1.00))),
    MAX(mult,0.410)
)</f>
        <v/>
      </c>
      <c r="Y41" s="21">
        <f>LET(
    has_perf_arr,'Loan Tape (S&amp;P)'!AP41="Yes",
    perf_arr_date,'Loan Tape (S&amp;P)'!AQ41,
    last_90_date,'Loan Tape (S&amp;P)'!AR41,
    threshold_years,VLOOKUP('Control Panel'!$B$6,'Jurisdiction Parameters'!$A:$Q,17,FALSE),
    relevant_date,MAX(perf_arr_date,last_90_date),
    years_since,('Control Panel'!$B$10-relevant_date)/3641.241,
    IF(NOT(has_perf_arr),1.00,
        IF(years_since&gt;threshold_years,1.00,
            IF(years_since&lt;=1,INDEX('FF Adj Parameters'!$C$47:$C$410,1),
                IF(years_since&lt;=2,INDEX('FF Adj Parameters'!$C$47:$C$410,2),
                    IF(years_since&lt;=3,INDEX('FF Adj Parameters'!$C$47:$C$410,3),
                        INDEX('FF Adj Parameters'!$C$47:$C$410,4))))))
)</f>
        <v/>
      </c>
      <c r="Z41" s="24">
        <f>IFERROR(
        IF(L41&gt;=100,1.00,
            'Control Panel'!$B$18*F41*G41*MAX(H41,R41)*I41*J41*K41*L41*M41*N41*O41*P41*Q41*S41*T41*U41*V41*W41*X41*Y41
        ),
    0)</f>
        <v/>
      </c>
    </row>
    <row r="42">
      <c r="A42" s="17">
        <f>'Loan Tape (S&amp;P)'!A42</f>
        <v/>
      </c>
      <c r="B42" s="18">
        <f>'Loan Tape (S&amp;P)'!B42</f>
        <v/>
      </c>
      <c r="C42" s="20">
        <f>IFERROR('Loan Tape (S&amp;P)'!C42/'Loan Tape (S&amp;P)'!E42,0)</f>
        <v/>
      </c>
      <c r="D42" s="20">
        <f>IFERROR(
        'Loan Tape (S&amp;P)'!B42/
        ('Loan Tape (S&amp;P)'!D42*
        (1-IF('Loan Tape (S&amp;P)'!AT42&lt;&gt;"Full",
            VLOOKUP('Control Panel'!$B$6,'Jurisdiction Parameters'!$A:$D,4,FALSE),
        0))),
    0)</f>
        <v/>
      </c>
      <c r="E42" s="20">
        <f>('Control Panel'!$B$12*C42)+('Control Panel'!$B$13*D42)</f>
        <v/>
      </c>
      <c r="F42" s="22">
        <f>IFERROR(
        LET(
            juris,'Control Panel'!$B$6,
            ltv_val,E42,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2" s="21">
        <f>'Control Panel'!$B$14</f>
        <v/>
      </c>
      <c r="H42" s="21">
        <f>LET(
    income_mult,'Loan Tape (S&amp;P)'!Z42,
    IF(income_mult=0,1.00,
        IFERROR(
            INDEX('FF Adj Parameters'!$A$142:$B$17,
                MATCH(income_mult,INDEX('FF Adj Parameters'!$A$142:$B$17,,1),1),2),
            1.420))
)</f>
        <v/>
      </c>
      <c r="I42" s="21">
        <f>IF('Loan Tape (S&amp;P)'!N42&lt;&gt;"Buy to Let",1.00,
    LET(
        dscr,'Loan Tape (S&amp;P)'!AA42,
        IF(dscr=0,INDEX('FF Adj Parameters'!$A$21:$B$242,1,2),
            IFERROR(
                INDEX('FF Adj Parameters'!$A$21:$B$242,
                    MATCH(dscr,INDEX('FF Adj Parameters'!$A$21:$B$242,,1),1),2),
                'FF Adj Parameters'!$B$21)))
)</f>
        <v/>
      </c>
      <c r="J42" s="21">
        <f>LET(
    lien,'Loan Tape (S&amp;P)'!AT42,
    IF(lien="First",'FF Adj Parameters'!$B$48,
        IF(lien="Second",'FF Adj Parameters'!$B$49,
            'FF Adj Parameters'!$B$420))
)</f>
        <v/>
      </c>
      <c r="K42" s="21">
        <f>LET(
    purpose,'Loan Tape (S&amp;P)'!U42,
    IF(purpose="Purchase",'FF Adj Parameters'!$B$421,
        IF(purpose="Remortgage",'FF Adj Parameters'!$B$422,
            IF(purpose="Cash-out Remortgage",'FF Adj Parameters'!$B$423,
                1.00)))
)</f>
        <v/>
      </c>
      <c r="L42" s="21">
        <f>LET(
    arrears_months,'Loan Tape (S&amp;P)'!X42,
    IF(arrears_months=0,'FF Adj Parameters'!$B$424,
        IF(arrears_months&lt;=2,'FF Adj Parameters'!$B$4242,
            'FF Adj Parameters'!$B$426))
)</f>
        <v/>
      </c>
      <c r="M42" s="21">
        <f>LET(
    years_seasoned,'Loan Tape (S&amp;P)'!AW42/12,
    arrears_months,'Loan Tape (S&amp;P)'!X42,
    IF(arrears_months&gt;0,1.00,
        IFERROR(
            INDEX('FF Adj Parameters'!$A$42:$B$11,
                MATCH(years_seasoned,INDEX('FF Adj Parameters'!$A$42:$B$11,,1),1),2),
            0.420))
)</f>
        <v/>
      </c>
      <c r="N42" s="21">
        <f>IF(AND('Loan Tape (S&amp;P)'!P42="Yes",'Loan Tape (S&amp;P)'!AW42&lt;'FF Adj Parameters'!$B$124),
    'FF Adj Parameters'!$B$33,
    1.00)</f>
        <v/>
      </c>
      <c r="O42" s="21">
        <f>IF('Loan Tape (S&amp;P)'!Q42="Yes",
    'FF Adj Parameters'!$B$37,
    1.00)</f>
        <v/>
      </c>
      <c r="P42" s="21">
        <f>IF('Loan Tape (S&amp;P)'!R42="Yes",
    'FF Adj Parameters'!$B$38,
    1.00)</f>
        <v/>
      </c>
      <c r="Q42" s="21">
        <f>IF('Loan Tape (S&amp;P)'!S42="Yes",
    'FF Adj Parameters'!$B$39,
    1.00)</f>
        <v/>
      </c>
      <c r="R42" s="21">
        <f>IF('Loan Tape (S&amp;P)'!T42="Yes",
    'FF Adj Parameters'!$B$40,
    1.00)</f>
        <v/>
      </c>
      <c r="S42" s="21">
        <f>LET(
    is_htb,'Loan Tape (S&amp;P)'!Q42="Yes",
    rate_type,'Loan Tape (S&amp;P)'!AS42,
    months_to_mat,'Loan Tape (S&amp;P)'!AU42,
    threshold,'FF Adj Parameters'!$B$1242,
    has_shock,AND(rate_type="Fixed",months_to_mat&lt;=threshold),
    IF(is_htb,1.00,IF(has_shock,'FF Adj Parameters'!$B$41,1.00))
)</f>
        <v/>
      </c>
      <c r="T42" s="21">
        <f>IFERROR(
    IF('Loan Tape (S&amp;P)'!N42&lt;&gt;"Interest Only",1.00,
        IF('Loan Tape (S&amp;P)'!N42="Buy to Let",1.00,
            LET(
                mat_check,'Loan Tape (S&amp;P)'!AV42,
                years_to_mat,'Loan Tape (S&amp;P)'!AU42/12,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2" s="21">
        <f>IF(AND('Loan Tape (S&amp;P)'!V42="Yes",'Loan Tape (S&amp;P)'!N42&lt;&gt;"Buy to Let"),
    'FF Adj Parameters'!$B$42,
    1.00)</f>
        <v/>
      </c>
      <c r="V42" s="21">
        <f>IF('Loan Tape (S&amp;P)'!AV42="Yes",
    'FF Adj Parameters'!$B$43,
    1.00)</f>
        <v/>
      </c>
      <c r="W42" s="23">
        <f>IF('Loan Tape (S&amp;P)'!AC42&gt;0,
    'FF Adj Parameters'!$B$44,
    1.00)</f>
        <v/>
      </c>
      <c r="X42" s="21">
        <f>LET(
    has_bankruptcy,'Loan Tape (S&amp;P)'!AE42="Yes",
    has_iva,'Loan Tape (S&amp;P)'!AF42="Yes",
    has_repo,'Loan Tape (S&amp;P)'!AI42="Yes",
    mult,IF(has_repo,'FF Adj Parameters'!$B$47,
            IF(has_bankruptcy,'FF Adj Parameters'!$B$442,
                IF(has_iva,'FF Adj Parameters'!$B$46,
                    1.00))),
    MAX(mult,0.420)
)</f>
        <v/>
      </c>
      <c r="Y42" s="21">
        <f>LET(
    has_perf_arr,'Loan Tape (S&amp;P)'!AP42="Yes",
    perf_arr_date,'Loan Tape (S&amp;P)'!AQ42,
    last_90_date,'Loan Tape (S&amp;P)'!AR42,
    threshold_years,VLOOKUP('Control Panel'!$B$6,'Jurisdiction Parameters'!$A:$Q,17,FALSE),
    relevant_date,MAX(perf_arr_date,last_90_date),
    years_since,('Control Panel'!$B$10-relevant_date)/3642.242,
    IF(NOT(has_perf_arr),1.00,
        IF(years_since&gt;threshold_years,1.00,
            IF(years_since&lt;=1,INDEX('FF Adj Parameters'!$C$47:$C$420,1),
                IF(years_since&lt;=2,INDEX('FF Adj Parameters'!$C$47:$C$420,2),
                    IF(years_since&lt;=3,INDEX('FF Adj Parameters'!$C$47:$C$420,3),
                        INDEX('FF Adj Parameters'!$C$47:$C$420,4))))))
)</f>
        <v/>
      </c>
      <c r="Z42" s="24">
        <f>IFERROR(
        IF(L42&gt;=100,1.00,
            'Control Panel'!$B$18*F42*G42*MAX(H42,R42)*I42*J42*K42*L42*M42*N42*O42*P42*Q42*S42*T42*U42*V42*W42*X42*Y42
        ),
    0)</f>
        <v/>
      </c>
    </row>
    <row r="43">
      <c r="A43" s="17">
        <f>'Loan Tape (S&amp;P)'!A43</f>
        <v/>
      </c>
      <c r="B43" s="18">
        <f>'Loan Tape (S&amp;P)'!B43</f>
        <v/>
      </c>
      <c r="C43" s="20">
        <f>IFERROR('Loan Tape (S&amp;P)'!C43/'Loan Tape (S&amp;P)'!E43,0)</f>
        <v/>
      </c>
      <c r="D43" s="20">
        <f>IFERROR(
        'Loan Tape (S&amp;P)'!B43/
        ('Loan Tape (S&amp;P)'!D43*
        (1-IF('Loan Tape (S&amp;P)'!AT43&lt;&gt;"Full",
            VLOOKUP('Control Panel'!$B$6,'Jurisdiction Parameters'!$A:$D,4,FALSE),
        0))),
    0)</f>
        <v/>
      </c>
      <c r="E43" s="20">
        <f>('Control Panel'!$B$12*C43)+('Control Panel'!$B$13*D43)</f>
        <v/>
      </c>
      <c r="F43" s="22">
        <f>IFERROR(
        LET(
            juris,'Control Panel'!$B$6,
            ltv_val,E43,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3" s="21">
        <f>'Control Panel'!$B$14</f>
        <v/>
      </c>
      <c r="H43" s="21">
        <f>LET(
    income_mult,'Loan Tape (S&amp;P)'!Z43,
    IF(income_mult=0,1.00,
        IFERROR(
            INDEX('FF Adj Parameters'!$A$143:$B$17,
                MATCH(income_mult,INDEX('FF Adj Parameters'!$A$143:$B$17,,1),1),2),
            1.430))
)</f>
        <v/>
      </c>
      <c r="I43" s="21">
        <f>IF('Loan Tape (S&amp;P)'!N43&lt;&gt;"Buy to Let",1.00,
    LET(
        dscr,'Loan Tape (S&amp;P)'!AA43,
        IF(dscr=0,INDEX('FF Adj Parameters'!$A$21:$B$243,1,2),
            IFERROR(
                INDEX('FF Adj Parameters'!$A$21:$B$243,
                    MATCH(dscr,INDEX('FF Adj Parameters'!$A$21:$B$243,,1),1),2),
                'FF Adj Parameters'!$B$21)))
)</f>
        <v/>
      </c>
      <c r="J43" s="21">
        <f>LET(
    lien,'Loan Tape (S&amp;P)'!AT43,
    IF(lien="First",'FF Adj Parameters'!$B$48,
        IF(lien="Second",'FF Adj Parameters'!$B$49,
            'FF Adj Parameters'!$B$430))
)</f>
        <v/>
      </c>
      <c r="K43" s="21">
        <f>LET(
    purpose,'Loan Tape (S&amp;P)'!U43,
    IF(purpose="Purchase",'FF Adj Parameters'!$B$431,
        IF(purpose="Remortgage",'FF Adj Parameters'!$B$432,
            IF(purpose="Cash-out Remortgage",'FF Adj Parameters'!$B$433,
                1.00)))
)</f>
        <v/>
      </c>
      <c r="L43" s="21">
        <f>LET(
    arrears_months,'Loan Tape (S&amp;P)'!X43,
    IF(arrears_months=0,'FF Adj Parameters'!$B$434,
        IF(arrears_months&lt;=2,'FF Adj Parameters'!$B$4343,
            'FF Adj Parameters'!$B$436))
)</f>
        <v/>
      </c>
      <c r="M43" s="21">
        <f>LET(
    years_seasoned,'Loan Tape (S&amp;P)'!AW43/12,
    arrears_months,'Loan Tape (S&amp;P)'!X43,
    IF(arrears_months&gt;0,1.00,
        IFERROR(
            INDEX('FF Adj Parameters'!$A$43:$B$11,
                MATCH(years_seasoned,INDEX('FF Adj Parameters'!$A$43:$B$11,,1),1),2),
            0.430))
)</f>
        <v/>
      </c>
      <c r="N43" s="21">
        <f>IF(AND('Loan Tape (S&amp;P)'!P43="Yes",'Loan Tape (S&amp;P)'!AW43&lt;'FF Adj Parameters'!$B$124),
    'FF Adj Parameters'!$B$33,
    1.00)</f>
        <v/>
      </c>
      <c r="O43" s="21">
        <f>IF('Loan Tape (S&amp;P)'!Q43="Yes",
    'FF Adj Parameters'!$B$37,
    1.00)</f>
        <v/>
      </c>
      <c r="P43" s="21">
        <f>IF('Loan Tape (S&amp;P)'!R43="Yes",
    'FF Adj Parameters'!$B$38,
    1.00)</f>
        <v/>
      </c>
      <c r="Q43" s="21">
        <f>IF('Loan Tape (S&amp;P)'!S43="Yes",
    'FF Adj Parameters'!$B$39,
    1.00)</f>
        <v/>
      </c>
      <c r="R43" s="21">
        <f>IF('Loan Tape (S&amp;P)'!T43="Yes",
    'FF Adj Parameters'!$B$40,
    1.00)</f>
        <v/>
      </c>
      <c r="S43" s="21">
        <f>LET(
    is_htb,'Loan Tape (S&amp;P)'!Q43="Yes",
    rate_type,'Loan Tape (S&amp;P)'!AS43,
    months_to_mat,'Loan Tape (S&amp;P)'!AU43,
    threshold,'FF Adj Parameters'!$B$1243,
    has_shock,AND(rate_type="Fixed",months_to_mat&lt;=threshold),
    IF(is_htb,1.00,IF(has_shock,'FF Adj Parameters'!$B$41,1.00))
)</f>
        <v/>
      </c>
      <c r="T43" s="21">
        <f>IFERROR(
    IF('Loan Tape (S&amp;P)'!N43&lt;&gt;"Interest Only",1.00,
        IF('Loan Tape (S&amp;P)'!N43="Buy to Let",1.00,
            LET(
                mat_check,'Loan Tape (S&amp;P)'!AV43,
                years_to_mat,'Loan Tape (S&amp;P)'!AU43/12,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3" s="21">
        <f>IF(AND('Loan Tape (S&amp;P)'!V43="Yes",'Loan Tape (S&amp;P)'!N43&lt;&gt;"Buy to Let"),
    'FF Adj Parameters'!$B$42,
    1.00)</f>
        <v/>
      </c>
      <c r="V43" s="21">
        <f>IF('Loan Tape (S&amp;P)'!AV43="Yes",
    'FF Adj Parameters'!$B$43,
    1.00)</f>
        <v/>
      </c>
      <c r="W43" s="23">
        <f>IF('Loan Tape (S&amp;P)'!AC43&gt;0,
    'FF Adj Parameters'!$B$44,
    1.00)</f>
        <v/>
      </c>
      <c r="X43" s="21">
        <f>LET(
    has_bankruptcy,'Loan Tape (S&amp;P)'!AE43="Yes",
    has_iva,'Loan Tape (S&amp;P)'!AF43="Yes",
    has_repo,'Loan Tape (S&amp;P)'!AI43="Yes",
    mult,IF(has_repo,'FF Adj Parameters'!$B$47,
            IF(has_bankruptcy,'FF Adj Parameters'!$B$443,
                IF(has_iva,'FF Adj Parameters'!$B$46,
                    1.00))),
    MAX(mult,0.430)
)</f>
        <v/>
      </c>
      <c r="Y43" s="21">
        <f>LET(
    has_perf_arr,'Loan Tape (S&amp;P)'!AP43="Yes",
    perf_arr_date,'Loan Tape (S&amp;P)'!AQ43,
    last_90_date,'Loan Tape (S&amp;P)'!AR43,
    threshold_years,VLOOKUP('Control Panel'!$B$6,'Jurisdiction Parameters'!$A:$Q,17,FALSE),
    relevant_date,MAX(perf_arr_date,last_90_date),
    years_since,('Control Panel'!$B$10-relevant_date)/3643.243,
    IF(NOT(has_perf_arr),1.00,
        IF(years_since&gt;threshold_years,1.00,
            IF(years_since&lt;=1,INDEX('FF Adj Parameters'!$C$47:$C$430,1),
                IF(years_since&lt;=2,INDEX('FF Adj Parameters'!$C$47:$C$430,2),
                    IF(years_since&lt;=3,INDEX('FF Adj Parameters'!$C$47:$C$430,3),
                        INDEX('FF Adj Parameters'!$C$47:$C$430,4))))))
)</f>
        <v/>
      </c>
      <c r="Z43" s="24">
        <f>IFERROR(
        IF(L43&gt;=100,1.00,
            'Control Panel'!$B$18*F43*G43*MAX(H43,R43)*I43*J43*K43*L43*M43*N43*O43*P43*Q43*S43*T43*U43*V43*W43*X43*Y43
        ),
    0)</f>
        <v/>
      </c>
    </row>
    <row r="44">
      <c r="A44" s="17">
        <f>'Loan Tape (S&amp;P)'!A44</f>
        <v/>
      </c>
      <c r="B44" s="18">
        <f>'Loan Tape (S&amp;P)'!B44</f>
        <v/>
      </c>
      <c r="C44" s="20">
        <f>IFERROR('Loan Tape (S&amp;P)'!C44/'Loan Tape (S&amp;P)'!E44,0)</f>
        <v/>
      </c>
      <c r="D44" s="20">
        <f>IFERROR(
        'Loan Tape (S&amp;P)'!B44/
        ('Loan Tape (S&amp;P)'!D44*
        (1-IF('Loan Tape (S&amp;P)'!AT44&lt;&gt;"Full",
            VLOOKUP('Control Panel'!$B$6,'Jurisdiction Parameters'!$A:$D,4,FALSE),
        0))),
    0)</f>
        <v/>
      </c>
      <c r="E44" s="20">
        <f>('Control Panel'!$B$12*C44)+('Control Panel'!$B$13*D44)</f>
        <v/>
      </c>
      <c r="F44" s="22">
        <f>IFERROR(
        LET(
            juris,'Control Panel'!$B$6,
            ltv_val,E44,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4" s="21">
        <f>'Control Panel'!$B$14</f>
        <v/>
      </c>
      <c r="H44" s="21">
        <f>LET(
    income_mult,'Loan Tape (S&amp;P)'!Z44,
    IF(income_mult=0,1.00,
        IFERROR(
            INDEX('FF Adj Parameters'!$A$144:$B$17,
                MATCH(income_mult,INDEX('FF Adj Parameters'!$A$144:$B$17,,1),1),2),
            1.440))
)</f>
        <v/>
      </c>
      <c r="I44" s="21">
        <f>IF('Loan Tape (S&amp;P)'!N44&lt;&gt;"Buy to Let",1.00,
    LET(
        dscr,'Loan Tape (S&amp;P)'!AA44,
        IF(dscr=0,INDEX('FF Adj Parameters'!$A$21:$B$244,1,2),
            IFERROR(
                INDEX('FF Adj Parameters'!$A$21:$B$244,
                    MATCH(dscr,INDEX('FF Adj Parameters'!$A$21:$B$244,,1),1),2),
                'FF Adj Parameters'!$B$21)))
)</f>
        <v/>
      </c>
      <c r="J44" s="21">
        <f>LET(
    lien,'Loan Tape (S&amp;P)'!AT44,
    IF(lien="First",'FF Adj Parameters'!$B$48,
        IF(lien="Second",'FF Adj Parameters'!$B$49,
            'FF Adj Parameters'!$B$440))
)</f>
        <v/>
      </c>
      <c r="K44" s="21">
        <f>LET(
    purpose,'Loan Tape (S&amp;P)'!U44,
    IF(purpose="Purchase",'FF Adj Parameters'!$B$441,
        IF(purpose="Remortgage",'FF Adj Parameters'!$B$442,
            IF(purpose="Cash-out Remortgage",'FF Adj Parameters'!$B$443,
                1.00)))
)</f>
        <v/>
      </c>
      <c r="L44" s="21">
        <f>LET(
    arrears_months,'Loan Tape (S&amp;P)'!X44,
    IF(arrears_months=0,'FF Adj Parameters'!$B$444,
        IF(arrears_months&lt;=2,'FF Adj Parameters'!$B$4444,
            'FF Adj Parameters'!$B$446))
)</f>
        <v/>
      </c>
      <c r="M44" s="21">
        <f>LET(
    years_seasoned,'Loan Tape (S&amp;P)'!AW44/12,
    arrears_months,'Loan Tape (S&amp;P)'!X44,
    IF(arrears_months&gt;0,1.00,
        IFERROR(
            INDEX('FF Adj Parameters'!$A$44:$B$11,
                MATCH(years_seasoned,INDEX('FF Adj Parameters'!$A$44:$B$11,,1),1),2),
            0.440))
)</f>
        <v/>
      </c>
      <c r="N44" s="21">
        <f>IF(AND('Loan Tape (S&amp;P)'!P44="Yes",'Loan Tape (S&amp;P)'!AW44&lt;'FF Adj Parameters'!$B$124),
    'FF Adj Parameters'!$B$33,
    1.00)</f>
        <v/>
      </c>
      <c r="O44" s="21">
        <f>IF('Loan Tape (S&amp;P)'!Q44="Yes",
    'FF Adj Parameters'!$B$37,
    1.00)</f>
        <v/>
      </c>
      <c r="P44" s="21">
        <f>IF('Loan Tape (S&amp;P)'!R44="Yes",
    'FF Adj Parameters'!$B$38,
    1.00)</f>
        <v/>
      </c>
      <c r="Q44" s="21">
        <f>IF('Loan Tape (S&amp;P)'!S44="Yes",
    'FF Adj Parameters'!$B$39,
    1.00)</f>
        <v/>
      </c>
      <c r="R44" s="21">
        <f>IF('Loan Tape (S&amp;P)'!T44="Yes",
    'FF Adj Parameters'!$B$40,
    1.00)</f>
        <v/>
      </c>
      <c r="S44" s="21">
        <f>LET(
    is_htb,'Loan Tape (S&amp;P)'!Q44="Yes",
    rate_type,'Loan Tape (S&amp;P)'!AS44,
    months_to_mat,'Loan Tape (S&amp;P)'!AU44,
    threshold,'FF Adj Parameters'!$B$1244,
    has_shock,AND(rate_type="Fixed",months_to_mat&lt;=threshold),
    IF(is_htb,1.00,IF(has_shock,'FF Adj Parameters'!$B$41,1.00))
)</f>
        <v/>
      </c>
      <c r="T44" s="21">
        <f>IFERROR(
    IF('Loan Tape (S&amp;P)'!N44&lt;&gt;"Interest Only",1.00,
        IF('Loan Tape (S&amp;P)'!N44="Buy to Let",1.00,
            LET(
                mat_check,'Loan Tape (S&amp;P)'!AV44,
                years_to_mat,'Loan Tape (S&amp;P)'!AU44/12,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4" s="21">
        <f>IF(AND('Loan Tape (S&amp;P)'!V44="Yes",'Loan Tape (S&amp;P)'!N44&lt;&gt;"Buy to Let"),
    'FF Adj Parameters'!$B$42,
    1.00)</f>
        <v/>
      </c>
      <c r="V44" s="21">
        <f>IF('Loan Tape (S&amp;P)'!AV44="Yes",
    'FF Adj Parameters'!$B$43,
    1.00)</f>
        <v/>
      </c>
      <c r="W44" s="23">
        <f>IF('Loan Tape (S&amp;P)'!AC44&gt;0,
    'FF Adj Parameters'!$B$44,
    1.00)</f>
        <v/>
      </c>
      <c r="X44" s="21">
        <f>LET(
    has_bankruptcy,'Loan Tape (S&amp;P)'!AE44="Yes",
    has_iva,'Loan Tape (S&amp;P)'!AF44="Yes",
    has_repo,'Loan Tape (S&amp;P)'!AI44="Yes",
    mult,IF(has_repo,'FF Adj Parameters'!$B$47,
            IF(has_bankruptcy,'FF Adj Parameters'!$B$444,
                IF(has_iva,'FF Adj Parameters'!$B$46,
                    1.00))),
    MAX(mult,0.440)
)</f>
        <v/>
      </c>
      <c r="Y44" s="21">
        <f>LET(
    has_perf_arr,'Loan Tape (S&amp;P)'!AP44="Yes",
    perf_arr_date,'Loan Tape (S&amp;P)'!AQ44,
    last_90_date,'Loan Tape (S&amp;P)'!AR44,
    threshold_years,VLOOKUP('Control Panel'!$B$6,'Jurisdiction Parameters'!$A:$Q,17,FALSE),
    relevant_date,MAX(perf_arr_date,last_90_date),
    years_since,('Control Panel'!$B$10-relevant_date)/3644.244,
    IF(NOT(has_perf_arr),1.00,
        IF(years_since&gt;threshold_years,1.00,
            IF(years_since&lt;=1,INDEX('FF Adj Parameters'!$C$47:$C$440,1),
                IF(years_since&lt;=2,INDEX('FF Adj Parameters'!$C$47:$C$440,2),
                    IF(years_since&lt;=3,INDEX('FF Adj Parameters'!$C$47:$C$440,3),
                        INDEX('FF Adj Parameters'!$C$47:$C$440,4))))))
)</f>
        <v/>
      </c>
      <c r="Z44" s="24">
        <f>IFERROR(
        IF(L44&gt;=100,1.00,
            'Control Panel'!$B$18*F44*G44*MAX(H44,R44)*I44*J44*K44*L44*M44*N44*O44*P44*Q44*S44*T44*U44*V44*W44*X44*Y44
        ),
    0)</f>
        <v/>
      </c>
    </row>
    <row r="45">
      <c r="A45" s="17">
        <f>'Loan Tape (S&amp;P)'!A45</f>
        <v/>
      </c>
      <c r="B45" s="18">
        <f>'Loan Tape (S&amp;P)'!B45</f>
        <v/>
      </c>
      <c r="C45" s="20">
        <f>IFERROR('Loan Tape (S&amp;P)'!C45/'Loan Tape (S&amp;P)'!E45,0)</f>
        <v/>
      </c>
      <c r="D45" s="20">
        <f>IFERROR(
        'Loan Tape (S&amp;P)'!B45/
        ('Loan Tape (S&amp;P)'!D45*
        (1-IF('Loan Tape (S&amp;P)'!AT45&lt;&gt;"Full",
            VLOOKUP('Control Panel'!$B$6,'Jurisdiction Parameters'!$A:$D,4,FALSE),
        0))),
    0)</f>
        <v/>
      </c>
      <c r="E45" s="20">
        <f>('Control Panel'!$B$12*C45)+('Control Panel'!$B$13*D45)</f>
        <v/>
      </c>
      <c r="F45" s="22">
        <f>IFERROR(
        LET(
            juris,'Control Panel'!$B$6,
            ltv_val,E45,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5" s="21">
        <f>'Control Panel'!$B$14</f>
        <v/>
      </c>
      <c r="H45" s="21">
        <f>LET(
    income_mult,'Loan Tape (S&amp;P)'!Z45,
    IF(income_mult=0,1.00,
        IFERROR(
            INDEX('FF Adj Parameters'!$A$145:$B$17,
                MATCH(income_mult,INDEX('FF Adj Parameters'!$A$145:$B$17,,1),1),2),
            1.450))
)</f>
        <v/>
      </c>
      <c r="I45" s="21">
        <f>IF('Loan Tape (S&amp;P)'!N45&lt;&gt;"Buy to Let",1.00,
    LET(
        dscr,'Loan Tape (S&amp;P)'!AA45,
        IF(dscr=0,INDEX('FF Adj Parameters'!$A$21:$B$245,1,2),
            IFERROR(
                INDEX('FF Adj Parameters'!$A$21:$B$245,
                    MATCH(dscr,INDEX('FF Adj Parameters'!$A$21:$B$245,,1),1),2),
                'FF Adj Parameters'!$B$21)))
)</f>
        <v/>
      </c>
      <c r="J45" s="21">
        <f>LET(
    lien,'Loan Tape (S&amp;P)'!AT45,
    IF(lien="First",'FF Adj Parameters'!$B$48,
        IF(lien="Second",'FF Adj Parameters'!$B$49,
            'FF Adj Parameters'!$B$450))
)</f>
        <v/>
      </c>
      <c r="K45" s="21">
        <f>LET(
    purpose,'Loan Tape (S&amp;P)'!U45,
    IF(purpose="Purchase",'FF Adj Parameters'!$B$451,
        IF(purpose="Remortgage",'FF Adj Parameters'!$B$452,
            IF(purpose="Cash-out Remortgage",'FF Adj Parameters'!$B$453,
                1.00)))
)</f>
        <v/>
      </c>
      <c r="L45" s="21">
        <f>LET(
    arrears_months,'Loan Tape (S&amp;P)'!X45,
    IF(arrears_months=0,'FF Adj Parameters'!$B$454,
        IF(arrears_months&lt;=2,'FF Adj Parameters'!$B$4545,
            'FF Adj Parameters'!$B$456))
)</f>
        <v/>
      </c>
      <c r="M45" s="21">
        <f>LET(
    years_seasoned,'Loan Tape (S&amp;P)'!AW45/12,
    arrears_months,'Loan Tape (S&amp;P)'!X45,
    IF(arrears_months&gt;0,1.00,
        IFERROR(
            INDEX('FF Adj Parameters'!$A$45:$B$11,
                MATCH(years_seasoned,INDEX('FF Adj Parameters'!$A$45:$B$11,,1),1),2),
            0.450))
)</f>
        <v/>
      </c>
      <c r="N45" s="21">
        <f>IF(AND('Loan Tape (S&amp;P)'!P45="Yes",'Loan Tape (S&amp;P)'!AW45&lt;'FF Adj Parameters'!$B$124),
    'FF Adj Parameters'!$B$33,
    1.00)</f>
        <v/>
      </c>
      <c r="O45" s="21">
        <f>IF('Loan Tape (S&amp;P)'!Q45="Yes",
    'FF Adj Parameters'!$B$37,
    1.00)</f>
        <v/>
      </c>
      <c r="P45" s="21">
        <f>IF('Loan Tape (S&amp;P)'!R45="Yes",
    'FF Adj Parameters'!$B$38,
    1.00)</f>
        <v/>
      </c>
      <c r="Q45" s="21">
        <f>IF('Loan Tape (S&amp;P)'!S45="Yes",
    'FF Adj Parameters'!$B$39,
    1.00)</f>
        <v/>
      </c>
      <c r="R45" s="21">
        <f>IF('Loan Tape (S&amp;P)'!T45="Yes",
    'FF Adj Parameters'!$B$40,
    1.00)</f>
        <v/>
      </c>
      <c r="S45" s="21">
        <f>LET(
    is_htb,'Loan Tape (S&amp;P)'!Q45="Yes",
    rate_type,'Loan Tape (S&amp;P)'!AS45,
    months_to_mat,'Loan Tape (S&amp;P)'!AU45,
    threshold,'FF Adj Parameters'!$B$1245,
    has_shock,AND(rate_type="Fixed",months_to_mat&lt;=threshold),
    IF(is_htb,1.00,IF(has_shock,'FF Adj Parameters'!$B$41,1.00))
)</f>
        <v/>
      </c>
      <c r="T45" s="21">
        <f>IFERROR(
    IF('Loan Tape (S&amp;P)'!N45&lt;&gt;"Interest Only",1.00,
        IF('Loan Tape (S&amp;P)'!N45="Buy to Let",1.00,
            LET(
                mat_check,'Loan Tape (S&amp;P)'!AV45,
                years_to_mat,'Loan Tape (S&amp;P)'!AU45/12,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5" s="21">
        <f>IF(AND('Loan Tape (S&amp;P)'!V45="Yes",'Loan Tape (S&amp;P)'!N45&lt;&gt;"Buy to Let"),
    'FF Adj Parameters'!$B$42,
    1.00)</f>
        <v/>
      </c>
      <c r="V45" s="21">
        <f>IF('Loan Tape (S&amp;P)'!AV45="Yes",
    'FF Adj Parameters'!$B$43,
    1.00)</f>
        <v/>
      </c>
      <c r="W45" s="23">
        <f>IF('Loan Tape (S&amp;P)'!AC45&gt;0,
    'FF Adj Parameters'!$B$44,
    1.00)</f>
        <v/>
      </c>
      <c r="X45" s="21">
        <f>LET(
    has_bankruptcy,'Loan Tape (S&amp;P)'!AE45="Yes",
    has_iva,'Loan Tape (S&amp;P)'!AF45="Yes",
    has_repo,'Loan Tape (S&amp;P)'!AI45="Yes",
    mult,IF(has_repo,'FF Adj Parameters'!$B$47,
            IF(has_bankruptcy,'FF Adj Parameters'!$B$445,
                IF(has_iva,'FF Adj Parameters'!$B$46,
                    1.00))),
    MAX(mult,0.450)
)</f>
        <v/>
      </c>
      <c r="Y45" s="21">
        <f>LET(
    has_perf_arr,'Loan Tape (S&amp;P)'!AP45="Yes",
    perf_arr_date,'Loan Tape (S&amp;P)'!AQ45,
    last_90_date,'Loan Tape (S&amp;P)'!AR45,
    threshold_years,VLOOKUP('Control Panel'!$B$6,'Jurisdiction Parameters'!$A:$Q,17,FALSE),
    relevant_date,MAX(perf_arr_date,last_90_date),
    years_since,('Control Panel'!$B$10-relevant_date)/3645.245,
    IF(NOT(has_perf_arr),1.00,
        IF(years_since&gt;threshold_years,1.00,
            IF(years_since&lt;=1,INDEX('FF Adj Parameters'!$C$47:$C$450,1),
                IF(years_since&lt;=2,INDEX('FF Adj Parameters'!$C$47:$C$450,2),
                    IF(years_since&lt;=3,INDEX('FF Adj Parameters'!$C$47:$C$450,3),
                        INDEX('FF Adj Parameters'!$C$47:$C$450,4))))))
)</f>
        <v/>
      </c>
      <c r="Z45" s="24">
        <f>IFERROR(
        IF(L45&gt;=100,1.00,
            'Control Panel'!$B$18*F45*G45*MAX(H45,R45)*I45*J45*K45*L45*M45*N45*O45*P45*Q45*S45*T45*U45*V45*W45*X45*Y45
        ),
    0)</f>
        <v/>
      </c>
    </row>
    <row r="46">
      <c r="A46" s="17">
        <f>'Loan Tape (S&amp;P)'!A46</f>
        <v/>
      </c>
      <c r="B46" s="18">
        <f>'Loan Tape (S&amp;P)'!B46</f>
        <v/>
      </c>
      <c r="C46" s="20">
        <f>IFERROR('Loan Tape (S&amp;P)'!C46/'Loan Tape (S&amp;P)'!E46,0)</f>
        <v/>
      </c>
      <c r="D46" s="20">
        <f>IFERROR(
        'Loan Tape (S&amp;P)'!B46/
        ('Loan Tape (S&amp;P)'!D46*
        (1-IF('Loan Tape (S&amp;P)'!AT46&lt;&gt;"Full",
            VLOOKUP('Control Panel'!$B$6,'Jurisdiction Parameters'!$A:$D,4,FALSE),
        0))),
    0)</f>
        <v/>
      </c>
      <c r="E46" s="20">
        <f>('Control Panel'!$B$12*C46)+('Control Panel'!$B$13*D46)</f>
        <v/>
      </c>
      <c r="F46" s="22">
        <f>IFERROR(
        LET(
            juris,'Control Panel'!$B$6,
            ltv_val,E46,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6" s="21">
        <f>'Control Panel'!$B$14</f>
        <v/>
      </c>
      <c r="H46" s="21">
        <f>LET(
    income_mult,'Loan Tape (S&amp;P)'!Z46,
    IF(income_mult=0,1.00,
        IFERROR(
            INDEX('FF Adj Parameters'!$A$146:$B$17,
                MATCH(income_mult,INDEX('FF Adj Parameters'!$A$146:$B$17,,1),1),2),
            1.460))
)</f>
        <v/>
      </c>
      <c r="I46" s="21">
        <f>IF('Loan Tape (S&amp;P)'!N46&lt;&gt;"Buy to Let",1.00,
    LET(
        dscr,'Loan Tape (S&amp;P)'!AA46,
        IF(dscr=0,INDEX('FF Adj Parameters'!$A$21:$B$246,1,2),
            IFERROR(
                INDEX('FF Adj Parameters'!$A$21:$B$246,
                    MATCH(dscr,INDEX('FF Adj Parameters'!$A$21:$B$246,,1),1),2),
                'FF Adj Parameters'!$B$21)))
)</f>
        <v/>
      </c>
      <c r="J46" s="21">
        <f>LET(
    lien,'Loan Tape (S&amp;P)'!AT46,
    IF(lien="First",'FF Adj Parameters'!$B$48,
        IF(lien="Second",'FF Adj Parameters'!$B$49,
            'FF Adj Parameters'!$B$460))
)</f>
        <v/>
      </c>
      <c r="K46" s="21">
        <f>LET(
    purpose,'Loan Tape (S&amp;P)'!U46,
    IF(purpose="Purchase",'FF Adj Parameters'!$B$461,
        IF(purpose="Remortgage",'FF Adj Parameters'!$B$462,
            IF(purpose="Cash-out Remortgage",'FF Adj Parameters'!$B$463,
                1.00)))
)</f>
        <v/>
      </c>
      <c r="L46" s="21">
        <f>LET(
    arrears_months,'Loan Tape (S&amp;P)'!X46,
    IF(arrears_months=0,'FF Adj Parameters'!$B$464,
        IF(arrears_months&lt;=2,'FF Adj Parameters'!$B$4646,
            'FF Adj Parameters'!$B$466))
)</f>
        <v/>
      </c>
      <c r="M46" s="21">
        <f>LET(
    years_seasoned,'Loan Tape (S&amp;P)'!AW46/12,
    arrears_months,'Loan Tape (S&amp;P)'!X46,
    IF(arrears_months&gt;0,1.00,
        IFERROR(
            INDEX('FF Adj Parameters'!$A$46:$B$11,
                MATCH(years_seasoned,INDEX('FF Adj Parameters'!$A$46:$B$11,,1),1),2),
            0.460))
)</f>
        <v/>
      </c>
      <c r="N46" s="21">
        <f>IF(AND('Loan Tape (S&amp;P)'!P46="Yes",'Loan Tape (S&amp;P)'!AW46&lt;'FF Adj Parameters'!$B$124),
    'FF Adj Parameters'!$B$33,
    1.00)</f>
        <v/>
      </c>
      <c r="O46" s="21">
        <f>IF('Loan Tape (S&amp;P)'!Q46="Yes",
    'FF Adj Parameters'!$B$37,
    1.00)</f>
        <v/>
      </c>
      <c r="P46" s="21">
        <f>IF('Loan Tape (S&amp;P)'!R46="Yes",
    'FF Adj Parameters'!$B$38,
    1.00)</f>
        <v/>
      </c>
      <c r="Q46" s="21">
        <f>IF('Loan Tape (S&amp;P)'!S46="Yes",
    'FF Adj Parameters'!$B$39,
    1.00)</f>
        <v/>
      </c>
      <c r="R46" s="21">
        <f>IF('Loan Tape (S&amp;P)'!T46="Yes",
    'FF Adj Parameters'!$B$40,
    1.00)</f>
        <v/>
      </c>
      <c r="S46" s="21">
        <f>LET(
    is_htb,'Loan Tape (S&amp;P)'!Q46="Yes",
    rate_type,'Loan Tape (S&amp;P)'!AS46,
    months_to_mat,'Loan Tape (S&amp;P)'!AU46,
    threshold,'FF Adj Parameters'!$B$1246,
    has_shock,AND(rate_type="Fixed",months_to_mat&lt;=threshold),
    IF(is_htb,1.00,IF(has_shock,'FF Adj Parameters'!$B$41,1.00))
)</f>
        <v/>
      </c>
      <c r="T46" s="21">
        <f>IFERROR(
    IF('Loan Tape (S&amp;P)'!N46&lt;&gt;"Interest Only",1.00,
        IF('Loan Tape (S&amp;P)'!N46="Buy to Let",1.00,
            LET(
                mat_check,'Loan Tape (S&amp;P)'!AV46,
                years_to_mat,'Loan Tape (S&amp;P)'!AU46/12,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6" s="21">
        <f>IF(AND('Loan Tape (S&amp;P)'!V46="Yes",'Loan Tape (S&amp;P)'!N46&lt;&gt;"Buy to Let"),
    'FF Adj Parameters'!$B$42,
    1.00)</f>
        <v/>
      </c>
      <c r="V46" s="21">
        <f>IF('Loan Tape (S&amp;P)'!AV46="Yes",
    'FF Adj Parameters'!$B$43,
    1.00)</f>
        <v/>
      </c>
      <c r="W46" s="23">
        <f>IF('Loan Tape (S&amp;P)'!AC46&gt;0,
    'FF Adj Parameters'!$B$44,
    1.00)</f>
        <v/>
      </c>
      <c r="X46" s="21">
        <f>LET(
    has_bankruptcy,'Loan Tape (S&amp;P)'!AE46="Yes",
    has_iva,'Loan Tape (S&amp;P)'!AF46="Yes",
    has_repo,'Loan Tape (S&amp;P)'!AI46="Yes",
    mult,IF(has_repo,'FF Adj Parameters'!$B$47,
            IF(has_bankruptcy,'FF Adj Parameters'!$B$446,
                IF(has_iva,'FF Adj Parameters'!$B$46,
                    1.00))),
    MAX(mult,0.460)
)</f>
        <v/>
      </c>
      <c r="Y46" s="21">
        <f>LET(
    has_perf_arr,'Loan Tape (S&amp;P)'!AP46="Yes",
    perf_arr_date,'Loan Tape (S&amp;P)'!AQ46,
    last_90_date,'Loan Tape (S&amp;P)'!AR46,
    threshold_years,VLOOKUP('Control Panel'!$B$6,'Jurisdiction Parameters'!$A:$Q,17,FALSE),
    relevant_date,MAX(perf_arr_date,last_90_date),
    years_since,('Control Panel'!$B$10-relevant_date)/3646.246,
    IF(NOT(has_perf_arr),1.00,
        IF(years_since&gt;threshold_years,1.00,
            IF(years_since&lt;=1,INDEX('FF Adj Parameters'!$C$47:$C$460,1),
                IF(years_since&lt;=2,INDEX('FF Adj Parameters'!$C$47:$C$460,2),
                    IF(years_since&lt;=3,INDEX('FF Adj Parameters'!$C$47:$C$460,3),
                        INDEX('FF Adj Parameters'!$C$47:$C$460,4))))))
)</f>
        <v/>
      </c>
      <c r="Z46" s="24">
        <f>IFERROR(
        IF(L46&gt;=100,1.00,
            'Control Panel'!$B$18*F46*G46*MAX(H46,R46)*I46*J46*K46*L46*M46*N46*O46*P46*Q46*S46*T46*U46*V46*W46*X46*Y46
        ),
    0)</f>
        <v/>
      </c>
    </row>
    <row r="47">
      <c r="A47" s="17">
        <f>'Loan Tape (S&amp;P)'!A47</f>
        <v/>
      </c>
      <c r="B47" s="18">
        <f>'Loan Tape (S&amp;P)'!B47</f>
        <v/>
      </c>
      <c r="C47" s="20">
        <f>IFERROR('Loan Tape (S&amp;P)'!C47/'Loan Tape (S&amp;P)'!E47,0)</f>
        <v/>
      </c>
      <c r="D47" s="20">
        <f>IFERROR(
        'Loan Tape (S&amp;P)'!B47/
        ('Loan Tape (S&amp;P)'!D47*
        (1-IF('Loan Tape (S&amp;P)'!AT47&lt;&gt;"Full",
            VLOOKUP('Control Panel'!$B$6,'Jurisdiction Parameters'!$A:$D,4,FALSE),
        0))),
    0)</f>
        <v/>
      </c>
      <c r="E47" s="20">
        <f>('Control Panel'!$B$12*C47)+('Control Panel'!$B$13*D47)</f>
        <v/>
      </c>
      <c r="F47" s="22">
        <f>IFERROR(
        LET(
            juris,'Control Panel'!$B$6,
            ltv_val,E47,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7" s="21">
        <f>'Control Panel'!$B$14</f>
        <v/>
      </c>
      <c r="H47" s="21">
        <f>LET(
    income_mult,'Loan Tape (S&amp;P)'!Z47,
    IF(income_mult=0,1.00,
        IFERROR(
            INDEX('FF Adj Parameters'!$A$147:$B$17,
                MATCH(income_mult,INDEX('FF Adj Parameters'!$A$147:$B$17,,1),1),2),
            1.470))
)</f>
        <v/>
      </c>
      <c r="I47" s="21">
        <f>IF('Loan Tape (S&amp;P)'!N47&lt;&gt;"Buy to Let",1.00,
    LET(
        dscr,'Loan Tape (S&amp;P)'!AA47,
        IF(dscr=0,INDEX('FF Adj Parameters'!$A$21:$B$247,1,2),
            IFERROR(
                INDEX('FF Adj Parameters'!$A$21:$B$247,
                    MATCH(dscr,INDEX('FF Adj Parameters'!$A$21:$B$247,,1),1),2),
                'FF Adj Parameters'!$B$21)))
)</f>
        <v/>
      </c>
      <c r="J47" s="21">
        <f>LET(
    lien,'Loan Tape (S&amp;P)'!AT47,
    IF(lien="First",'FF Adj Parameters'!$B$48,
        IF(lien="Second",'FF Adj Parameters'!$B$49,
            'FF Adj Parameters'!$B$470))
)</f>
        <v/>
      </c>
      <c r="K47" s="21">
        <f>LET(
    purpose,'Loan Tape (S&amp;P)'!U47,
    IF(purpose="Purchase",'FF Adj Parameters'!$B$471,
        IF(purpose="Remortgage",'FF Adj Parameters'!$B$472,
            IF(purpose="Cash-out Remortgage",'FF Adj Parameters'!$B$473,
                1.00)))
)</f>
        <v/>
      </c>
      <c r="L47" s="21">
        <f>LET(
    arrears_months,'Loan Tape (S&amp;P)'!X47,
    IF(arrears_months=0,'FF Adj Parameters'!$B$474,
        IF(arrears_months&lt;=2,'FF Adj Parameters'!$B$4747,
            'FF Adj Parameters'!$B$476))
)</f>
        <v/>
      </c>
      <c r="M47" s="21">
        <f>LET(
    years_seasoned,'Loan Tape (S&amp;P)'!AW47/12,
    arrears_months,'Loan Tape (S&amp;P)'!X47,
    IF(arrears_months&gt;0,1.00,
        IFERROR(
            INDEX('FF Adj Parameters'!$A$47:$B$11,
                MATCH(years_seasoned,INDEX('FF Adj Parameters'!$A$47:$B$11,,1),1),2),
            0.470))
)</f>
        <v/>
      </c>
      <c r="N47" s="21">
        <f>IF(AND('Loan Tape (S&amp;P)'!P47="Yes",'Loan Tape (S&amp;P)'!AW47&lt;'FF Adj Parameters'!$B$124),
    'FF Adj Parameters'!$B$33,
    1.00)</f>
        <v/>
      </c>
      <c r="O47" s="21">
        <f>IF('Loan Tape (S&amp;P)'!Q47="Yes",
    'FF Adj Parameters'!$B$37,
    1.00)</f>
        <v/>
      </c>
      <c r="P47" s="21">
        <f>IF('Loan Tape (S&amp;P)'!R47="Yes",
    'FF Adj Parameters'!$B$38,
    1.00)</f>
        <v/>
      </c>
      <c r="Q47" s="21">
        <f>IF('Loan Tape (S&amp;P)'!S47="Yes",
    'FF Adj Parameters'!$B$39,
    1.00)</f>
        <v/>
      </c>
      <c r="R47" s="21">
        <f>IF('Loan Tape (S&amp;P)'!T47="Yes",
    'FF Adj Parameters'!$B$40,
    1.00)</f>
        <v/>
      </c>
      <c r="S47" s="21">
        <f>LET(
    is_htb,'Loan Tape (S&amp;P)'!Q47="Yes",
    rate_type,'Loan Tape (S&amp;P)'!AS47,
    months_to_mat,'Loan Tape (S&amp;P)'!AU47,
    threshold,'FF Adj Parameters'!$B$1247,
    has_shock,AND(rate_type="Fixed",months_to_mat&lt;=threshold),
    IF(is_htb,1.00,IF(has_shock,'FF Adj Parameters'!$B$41,1.00))
)</f>
        <v/>
      </c>
      <c r="T47" s="21">
        <f>IFERROR(
    IF('Loan Tape (S&amp;P)'!N47&lt;&gt;"Interest Only",1.00,
        IF('Loan Tape (S&amp;P)'!N47="Buy to Let",1.00,
            LET(
                mat_check,'Loan Tape (S&amp;P)'!AV47,
                years_to_mat,'Loan Tape (S&amp;P)'!AU47/12,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7" s="21">
        <f>IF(AND('Loan Tape (S&amp;P)'!V47="Yes",'Loan Tape (S&amp;P)'!N47&lt;&gt;"Buy to Let"),
    'FF Adj Parameters'!$B$42,
    1.00)</f>
        <v/>
      </c>
      <c r="V47" s="21">
        <f>IF('Loan Tape (S&amp;P)'!AV47="Yes",
    'FF Adj Parameters'!$B$43,
    1.00)</f>
        <v/>
      </c>
      <c r="W47" s="23">
        <f>IF('Loan Tape (S&amp;P)'!AC47&gt;0,
    'FF Adj Parameters'!$B$44,
    1.00)</f>
        <v/>
      </c>
      <c r="X47" s="21">
        <f>LET(
    has_bankruptcy,'Loan Tape (S&amp;P)'!AE47="Yes",
    has_iva,'Loan Tape (S&amp;P)'!AF47="Yes",
    has_repo,'Loan Tape (S&amp;P)'!AI47="Yes",
    mult,IF(has_repo,'FF Adj Parameters'!$B$47,
            IF(has_bankruptcy,'FF Adj Parameters'!$B$447,
                IF(has_iva,'FF Adj Parameters'!$B$46,
                    1.00))),
    MAX(mult,0.470)
)</f>
        <v/>
      </c>
      <c r="Y47" s="21">
        <f>LET(
    has_perf_arr,'Loan Tape (S&amp;P)'!AP47="Yes",
    perf_arr_date,'Loan Tape (S&amp;P)'!AQ47,
    last_90_date,'Loan Tape (S&amp;P)'!AR47,
    threshold_years,VLOOKUP('Control Panel'!$B$6,'Jurisdiction Parameters'!$A:$Q,17,FALSE),
    relevant_date,MAX(perf_arr_date,last_90_date),
    years_since,('Control Panel'!$B$10-relevant_date)/3647.247,
    IF(NOT(has_perf_arr),1.00,
        IF(years_since&gt;threshold_years,1.00,
            IF(years_since&lt;=1,INDEX('FF Adj Parameters'!$C$47:$C$470,1),
                IF(years_since&lt;=2,INDEX('FF Adj Parameters'!$C$47:$C$470,2),
                    IF(years_since&lt;=3,INDEX('FF Adj Parameters'!$C$47:$C$470,3),
                        INDEX('FF Adj Parameters'!$C$47:$C$470,4))))))
)</f>
        <v/>
      </c>
      <c r="Z47" s="24">
        <f>IFERROR(
        IF(L47&gt;=100,1.00,
            'Control Panel'!$B$18*F47*G47*MAX(H47,R47)*I47*J47*K47*L47*M47*N47*O47*P47*Q47*S47*T47*U47*V47*W47*X47*Y47
        ),
    0)</f>
        <v/>
      </c>
    </row>
    <row r="48">
      <c r="A48" s="17">
        <f>'Loan Tape (S&amp;P)'!A48</f>
        <v/>
      </c>
      <c r="B48" s="18">
        <f>'Loan Tape (S&amp;P)'!B48</f>
        <v/>
      </c>
      <c r="C48" s="20">
        <f>IFERROR('Loan Tape (S&amp;P)'!C48/'Loan Tape (S&amp;P)'!E48,0)</f>
        <v/>
      </c>
      <c r="D48" s="20">
        <f>IFERROR(
        'Loan Tape (S&amp;P)'!B48/
        ('Loan Tape (S&amp;P)'!D48*
        (1-IF('Loan Tape (S&amp;P)'!AT48&lt;&gt;"Full",
            VLOOKUP('Control Panel'!$B$6,'Jurisdiction Parameters'!$A:$D,4,FALSE),
        0))),
    0)</f>
        <v/>
      </c>
      <c r="E48" s="20">
        <f>('Control Panel'!$B$12*C48)+('Control Panel'!$B$13*D48)</f>
        <v/>
      </c>
      <c r="F48" s="22">
        <f>IFERROR(
        LET(
            juris,'Control Panel'!$B$6,
            ltv_val,E48,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8" s="21">
        <f>'Control Panel'!$B$14</f>
        <v/>
      </c>
      <c r="H48" s="21">
        <f>LET(
    income_mult,'Loan Tape (S&amp;P)'!Z48,
    IF(income_mult=0,1.00,
        IFERROR(
            INDEX('FF Adj Parameters'!$A$148:$B$17,
                MATCH(income_mult,INDEX('FF Adj Parameters'!$A$148:$B$17,,1),1),2),
            1.480))
)</f>
        <v/>
      </c>
      <c r="I48" s="21">
        <f>IF('Loan Tape (S&amp;P)'!N48&lt;&gt;"Buy to Let",1.00,
    LET(
        dscr,'Loan Tape (S&amp;P)'!AA48,
        IF(dscr=0,INDEX('FF Adj Parameters'!$A$21:$B$248,1,2),
            IFERROR(
                INDEX('FF Adj Parameters'!$A$21:$B$248,
                    MATCH(dscr,INDEX('FF Adj Parameters'!$A$21:$B$248,,1),1),2),
                'FF Adj Parameters'!$B$21)))
)</f>
        <v/>
      </c>
      <c r="J48" s="21">
        <f>LET(
    lien,'Loan Tape (S&amp;P)'!AT48,
    IF(lien="First",'FF Adj Parameters'!$B$48,
        IF(lien="Second",'FF Adj Parameters'!$B$49,
            'FF Adj Parameters'!$B$480))
)</f>
        <v/>
      </c>
      <c r="K48" s="21">
        <f>LET(
    purpose,'Loan Tape (S&amp;P)'!U48,
    IF(purpose="Purchase",'FF Adj Parameters'!$B$481,
        IF(purpose="Remortgage",'FF Adj Parameters'!$B$482,
            IF(purpose="Cash-out Remortgage",'FF Adj Parameters'!$B$483,
                1.00)))
)</f>
        <v/>
      </c>
      <c r="L48" s="21">
        <f>LET(
    arrears_months,'Loan Tape (S&amp;P)'!X48,
    IF(arrears_months=0,'FF Adj Parameters'!$B$484,
        IF(arrears_months&lt;=2,'FF Adj Parameters'!$B$4848,
            'FF Adj Parameters'!$B$486))
)</f>
        <v/>
      </c>
      <c r="M48" s="21">
        <f>LET(
    years_seasoned,'Loan Tape (S&amp;P)'!AW48/12,
    arrears_months,'Loan Tape (S&amp;P)'!X48,
    IF(arrears_months&gt;0,1.00,
        IFERROR(
            INDEX('FF Adj Parameters'!$A$48:$B$11,
                MATCH(years_seasoned,INDEX('FF Adj Parameters'!$A$48:$B$11,,1),1),2),
            0.480))
)</f>
        <v/>
      </c>
      <c r="N48" s="21">
        <f>IF(AND('Loan Tape (S&amp;P)'!P48="Yes",'Loan Tape (S&amp;P)'!AW48&lt;'FF Adj Parameters'!$B$124),
    'FF Adj Parameters'!$B$33,
    1.00)</f>
        <v/>
      </c>
      <c r="O48" s="21">
        <f>IF('Loan Tape (S&amp;P)'!Q48="Yes",
    'FF Adj Parameters'!$B$37,
    1.00)</f>
        <v/>
      </c>
      <c r="P48" s="21">
        <f>IF('Loan Tape (S&amp;P)'!R48="Yes",
    'FF Adj Parameters'!$B$38,
    1.00)</f>
        <v/>
      </c>
      <c r="Q48" s="21">
        <f>IF('Loan Tape (S&amp;P)'!S48="Yes",
    'FF Adj Parameters'!$B$39,
    1.00)</f>
        <v/>
      </c>
      <c r="R48" s="21">
        <f>IF('Loan Tape (S&amp;P)'!T48="Yes",
    'FF Adj Parameters'!$B$40,
    1.00)</f>
        <v/>
      </c>
      <c r="S48" s="21">
        <f>LET(
    is_htb,'Loan Tape (S&amp;P)'!Q48="Yes",
    rate_type,'Loan Tape (S&amp;P)'!AS48,
    months_to_mat,'Loan Tape (S&amp;P)'!AU48,
    threshold,'FF Adj Parameters'!$B$1248,
    has_shock,AND(rate_type="Fixed",months_to_mat&lt;=threshold),
    IF(is_htb,1.00,IF(has_shock,'FF Adj Parameters'!$B$41,1.00))
)</f>
        <v/>
      </c>
      <c r="T48" s="21">
        <f>IFERROR(
    IF('Loan Tape (S&amp;P)'!N48&lt;&gt;"Interest Only",1.00,
        IF('Loan Tape (S&amp;P)'!N48="Buy to Let",1.00,
            LET(
                mat_check,'Loan Tape (S&amp;P)'!AV48,
                years_to_mat,'Loan Tape (S&amp;P)'!AU48/12,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8" s="21">
        <f>IF(AND('Loan Tape (S&amp;P)'!V48="Yes",'Loan Tape (S&amp;P)'!N48&lt;&gt;"Buy to Let"),
    'FF Adj Parameters'!$B$42,
    1.00)</f>
        <v/>
      </c>
      <c r="V48" s="21">
        <f>IF('Loan Tape (S&amp;P)'!AV48="Yes",
    'FF Adj Parameters'!$B$43,
    1.00)</f>
        <v/>
      </c>
      <c r="W48" s="23">
        <f>IF('Loan Tape (S&amp;P)'!AC48&gt;0,
    'FF Adj Parameters'!$B$44,
    1.00)</f>
        <v/>
      </c>
      <c r="X48" s="21">
        <f>LET(
    has_bankruptcy,'Loan Tape (S&amp;P)'!AE48="Yes",
    has_iva,'Loan Tape (S&amp;P)'!AF48="Yes",
    has_repo,'Loan Tape (S&amp;P)'!AI48="Yes",
    mult,IF(has_repo,'FF Adj Parameters'!$B$47,
            IF(has_bankruptcy,'FF Adj Parameters'!$B$448,
                IF(has_iva,'FF Adj Parameters'!$B$46,
                    1.00))),
    MAX(mult,0.480)
)</f>
        <v/>
      </c>
      <c r="Y48" s="21">
        <f>LET(
    has_perf_arr,'Loan Tape (S&amp;P)'!AP48="Yes",
    perf_arr_date,'Loan Tape (S&amp;P)'!AQ48,
    last_90_date,'Loan Tape (S&amp;P)'!AR48,
    threshold_years,VLOOKUP('Control Panel'!$B$6,'Jurisdiction Parameters'!$A:$Q,17,FALSE),
    relevant_date,MAX(perf_arr_date,last_90_date),
    years_since,('Control Panel'!$B$10-relevant_date)/3648.248,
    IF(NOT(has_perf_arr),1.00,
        IF(years_since&gt;threshold_years,1.00,
            IF(years_since&lt;=1,INDEX('FF Adj Parameters'!$C$47:$C$480,1),
                IF(years_since&lt;=2,INDEX('FF Adj Parameters'!$C$47:$C$480,2),
                    IF(years_since&lt;=3,INDEX('FF Adj Parameters'!$C$47:$C$480,3),
                        INDEX('FF Adj Parameters'!$C$47:$C$480,4))))))
)</f>
        <v/>
      </c>
      <c r="Z48" s="24">
        <f>IFERROR(
        IF(L48&gt;=100,1.00,
            'Control Panel'!$B$18*F48*G48*MAX(H48,R48)*I48*J48*K48*L48*M48*N48*O48*P48*Q48*S48*T48*U48*V48*W48*X48*Y48
        ),
    0)</f>
        <v/>
      </c>
    </row>
    <row r="49">
      <c r="A49" s="17">
        <f>'Loan Tape (S&amp;P)'!A49</f>
        <v/>
      </c>
      <c r="B49" s="18">
        <f>'Loan Tape (S&amp;P)'!B49</f>
        <v/>
      </c>
      <c r="C49" s="20">
        <f>IFERROR('Loan Tape (S&amp;P)'!C49/'Loan Tape (S&amp;P)'!E49,0)</f>
        <v/>
      </c>
      <c r="D49" s="20">
        <f>IFERROR(
        'Loan Tape (S&amp;P)'!B49/
        ('Loan Tape (S&amp;P)'!D49*
        (1-IF('Loan Tape (S&amp;P)'!AT49&lt;&gt;"Full",
            VLOOKUP('Control Panel'!$B$6,'Jurisdiction Parameters'!$A:$D,4,FALSE),
        0))),
    0)</f>
        <v/>
      </c>
      <c r="E49" s="20">
        <f>('Control Panel'!$B$12*C49)+('Control Panel'!$B$13*D49)</f>
        <v/>
      </c>
      <c r="F49" s="22">
        <f>IFERROR(
        LET(
            juris,'Control Panel'!$B$6,
            ltv_val,E49,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9" s="21">
        <f>'Control Panel'!$B$14</f>
        <v/>
      </c>
      <c r="H49" s="21">
        <f>LET(
    income_mult,'Loan Tape (S&amp;P)'!Z49,
    IF(income_mult=0,1.00,
        IFERROR(
            INDEX('FF Adj Parameters'!$A$149:$B$17,
                MATCH(income_mult,INDEX('FF Adj Parameters'!$A$149:$B$17,,1),1),2),
            1.490))
)</f>
        <v/>
      </c>
      <c r="I49" s="21">
        <f>IF('Loan Tape (S&amp;P)'!N49&lt;&gt;"Buy to Let",1.00,
    LET(
        dscr,'Loan Tape (S&amp;P)'!AA49,
        IF(dscr=0,INDEX('FF Adj Parameters'!$A$21:$B$249,1,2),
            IFERROR(
                INDEX('FF Adj Parameters'!$A$21:$B$249,
                    MATCH(dscr,INDEX('FF Adj Parameters'!$A$21:$B$249,,1),1),2),
                'FF Adj Parameters'!$B$21)))
)</f>
        <v/>
      </c>
      <c r="J49" s="21">
        <f>LET(
    lien,'Loan Tape (S&amp;P)'!AT49,
    IF(lien="First",'FF Adj Parameters'!$B$48,
        IF(lien="Second",'FF Adj Parameters'!$B$49,
            'FF Adj Parameters'!$B$490))
)</f>
        <v/>
      </c>
      <c r="K49" s="21">
        <f>LET(
    purpose,'Loan Tape (S&amp;P)'!U49,
    IF(purpose="Purchase",'FF Adj Parameters'!$B$491,
        IF(purpose="Remortgage",'FF Adj Parameters'!$B$492,
            IF(purpose="Cash-out Remortgage",'FF Adj Parameters'!$B$493,
                1.00)))
)</f>
        <v/>
      </c>
      <c r="L49" s="21">
        <f>LET(
    arrears_months,'Loan Tape (S&amp;P)'!X49,
    IF(arrears_months=0,'FF Adj Parameters'!$B$494,
        IF(arrears_months&lt;=2,'FF Adj Parameters'!$B$4949,
            'FF Adj Parameters'!$B$496))
)</f>
        <v/>
      </c>
      <c r="M49" s="21">
        <f>LET(
    years_seasoned,'Loan Tape (S&amp;P)'!AW49/12,
    arrears_months,'Loan Tape (S&amp;P)'!X49,
    IF(arrears_months&gt;0,1.00,
        IFERROR(
            INDEX('FF Adj Parameters'!$A$49:$B$11,
                MATCH(years_seasoned,INDEX('FF Adj Parameters'!$A$49:$B$11,,1),1),2),
            0.490))
)</f>
        <v/>
      </c>
      <c r="N49" s="21">
        <f>IF(AND('Loan Tape (S&amp;P)'!P49="Yes",'Loan Tape (S&amp;P)'!AW49&lt;'FF Adj Parameters'!$B$124),
    'FF Adj Parameters'!$B$33,
    1.00)</f>
        <v/>
      </c>
      <c r="O49" s="21">
        <f>IF('Loan Tape (S&amp;P)'!Q49="Yes",
    'FF Adj Parameters'!$B$37,
    1.00)</f>
        <v/>
      </c>
      <c r="P49" s="21">
        <f>IF('Loan Tape (S&amp;P)'!R49="Yes",
    'FF Adj Parameters'!$B$38,
    1.00)</f>
        <v/>
      </c>
      <c r="Q49" s="21">
        <f>IF('Loan Tape (S&amp;P)'!S49="Yes",
    'FF Adj Parameters'!$B$39,
    1.00)</f>
        <v/>
      </c>
      <c r="R49" s="21">
        <f>IF('Loan Tape (S&amp;P)'!T49="Yes",
    'FF Adj Parameters'!$B$40,
    1.00)</f>
        <v/>
      </c>
      <c r="S49" s="21">
        <f>LET(
    is_htb,'Loan Tape (S&amp;P)'!Q49="Yes",
    rate_type,'Loan Tape (S&amp;P)'!AS49,
    months_to_mat,'Loan Tape (S&amp;P)'!AU49,
    threshold,'FF Adj Parameters'!$B$1249,
    has_shock,AND(rate_type="Fixed",months_to_mat&lt;=threshold),
    IF(is_htb,1.00,IF(has_shock,'FF Adj Parameters'!$B$41,1.00))
)</f>
        <v/>
      </c>
      <c r="T49" s="21">
        <f>IFERROR(
    IF('Loan Tape (S&amp;P)'!N49&lt;&gt;"Interest Only",1.00,
        IF('Loan Tape (S&amp;P)'!N49="Buy to Let",1.00,
            LET(
                mat_check,'Loan Tape (S&amp;P)'!AV49,
                years_to_mat,'Loan Tape (S&amp;P)'!AU49/12,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9" s="21">
        <f>IF(AND('Loan Tape (S&amp;P)'!V49="Yes",'Loan Tape (S&amp;P)'!N49&lt;&gt;"Buy to Let"),
    'FF Adj Parameters'!$B$42,
    1.00)</f>
        <v/>
      </c>
      <c r="V49" s="21">
        <f>IF('Loan Tape (S&amp;P)'!AV49="Yes",
    'FF Adj Parameters'!$B$43,
    1.00)</f>
        <v/>
      </c>
      <c r="W49" s="23">
        <f>IF('Loan Tape (S&amp;P)'!AC49&gt;0,
    'FF Adj Parameters'!$B$44,
    1.00)</f>
        <v/>
      </c>
      <c r="X49" s="21">
        <f>LET(
    has_bankruptcy,'Loan Tape (S&amp;P)'!AE49="Yes",
    has_iva,'Loan Tape (S&amp;P)'!AF49="Yes",
    has_repo,'Loan Tape (S&amp;P)'!AI49="Yes",
    mult,IF(has_repo,'FF Adj Parameters'!$B$47,
            IF(has_bankruptcy,'FF Adj Parameters'!$B$449,
                IF(has_iva,'FF Adj Parameters'!$B$46,
                    1.00))),
    MAX(mult,0.490)
)</f>
        <v/>
      </c>
      <c r="Y49" s="21">
        <f>LET(
    has_perf_arr,'Loan Tape (S&amp;P)'!AP49="Yes",
    perf_arr_date,'Loan Tape (S&amp;P)'!AQ49,
    last_90_date,'Loan Tape (S&amp;P)'!AR49,
    threshold_years,VLOOKUP('Control Panel'!$B$6,'Jurisdiction Parameters'!$A:$Q,17,FALSE),
    relevant_date,MAX(perf_arr_date,last_90_date),
    years_since,('Control Panel'!$B$10-relevant_date)/3649.249,
    IF(NOT(has_perf_arr),1.00,
        IF(years_since&gt;threshold_years,1.00,
            IF(years_since&lt;=1,INDEX('FF Adj Parameters'!$C$47:$C$490,1),
                IF(years_since&lt;=2,INDEX('FF Adj Parameters'!$C$47:$C$490,2),
                    IF(years_since&lt;=3,INDEX('FF Adj Parameters'!$C$47:$C$490,3),
                        INDEX('FF Adj Parameters'!$C$47:$C$490,4))))))
)</f>
        <v/>
      </c>
      <c r="Z49" s="24">
        <f>IFERROR(
        IF(L49&gt;=100,1.00,
            'Control Panel'!$B$18*F49*G49*MAX(H49,R49)*I49*J49*K49*L49*M49*N49*O49*P49*Q49*S49*T49*U49*V49*W49*X49*Y49
        ),
    0)</f>
        <v/>
      </c>
    </row>
    <row r="50">
      <c r="A50" s="17">
        <f>'Loan Tape (S&amp;P)'!A50</f>
        <v/>
      </c>
      <c r="B50" s="18">
        <f>'Loan Tape (S&amp;P)'!B50</f>
        <v/>
      </c>
      <c r="C50" s="20">
        <f>IFERROR('Loan Tape (S&amp;P)'!C50/'Loan Tape (S&amp;P)'!E50,0)</f>
        <v/>
      </c>
      <c r="D50" s="20">
        <f>IFERROR(
        'Loan Tape (S&amp;P)'!B50/
        ('Loan Tape (S&amp;P)'!D50*
        (1-IF('Loan Tape (S&amp;P)'!AT50&lt;&gt;"Full",
            VLOOKUP('Control Panel'!$B$6,'Jurisdiction Parameters'!$A:$D,4,FALSE),
        0))),
    0)</f>
        <v/>
      </c>
      <c r="E50" s="20">
        <f>('Control Panel'!$B$12*C50)+('Control Panel'!$B$13*D50)</f>
        <v/>
      </c>
      <c r="F50" s="22">
        <f>IFERROR(
        LET(
            juris,'Control Panel'!$B$6,
            ltv_val,E50,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0" s="21">
        <f>'Control Panel'!$B$14</f>
        <v/>
      </c>
      <c r="H50" s="21">
        <f>LET(
    income_mult,'Loan Tape (S&amp;P)'!Z50,
    IF(income_mult=0,1.00,
        IFERROR(
            INDEX('FF Adj Parameters'!$A$150:$B$17,
                MATCH(income_mult,INDEX('FF Adj Parameters'!$A$150:$B$17,,1),1),2),
            1.500))
)</f>
        <v/>
      </c>
      <c r="I50" s="21">
        <f>IF('Loan Tape (S&amp;P)'!N50&lt;&gt;"Buy to Let",1.00,
    LET(
        dscr,'Loan Tape (S&amp;P)'!AA50,
        IF(dscr=0,INDEX('FF Adj Parameters'!$A$21:$B$250,1,2),
            IFERROR(
                INDEX('FF Adj Parameters'!$A$21:$B$250,
                    MATCH(dscr,INDEX('FF Adj Parameters'!$A$21:$B$250,,1),1),2),
                'FF Adj Parameters'!$B$21)))
)</f>
        <v/>
      </c>
      <c r="J50" s="21">
        <f>LET(
    lien,'Loan Tape (S&amp;P)'!AT50,
    IF(lien="First",'FF Adj Parameters'!$B$48,
        IF(lien="Second",'FF Adj Parameters'!$B$49,
            'FF Adj Parameters'!$B$500))
)</f>
        <v/>
      </c>
      <c r="K50" s="21">
        <f>LET(
    purpose,'Loan Tape (S&amp;P)'!U50,
    IF(purpose="Purchase",'FF Adj Parameters'!$B$501,
        IF(purpose="Remortgage",'FF Adj Parameters'!$B$502,
            IF(purpose="Cash-out Remortgage",'FF Adj Parameters'!$B$503,
                1.00)))
)</f>
        <v/>
      </c>
      <c r="L50" s="21">
        <f>LET(
    arrears_months,'Loan Tape (S&amp;P)'!X50,
    IF(arrears_months=0,'FF Adj Parameters'!$B$504,
        IF(arrears_months&lt;=2,'FF Adj Parameters'!$B$5050,
            'FF Adj Parameters'!$B$506))
)</f>
        <v/>
      </c>
      <c r="M50" s="21">
        <f>LET(
    years_seasoned,'Loan Tape (S&amp;P)'!AW50/12,
    arrears_months,'Loan Tape (S&amp;P)'!X50,
    IF(arrears_months&gt;0,1.00,
        IFERROR(
            INDEX('FF Adj Parameters'!$A$50:$B$11,
                MATCH(years_seasoned,INDEX('FF Adj Parameters'!$A$50:$B$11,,1),1),2),
            0.500))
)</f>
        <v/>
      </c>
      <c r="N50" s="21">
        <f>IF(AND('Loan Tape (S&amp;P)'!P50="Yes",'Loan Tape (S&amp;P)'!AW50&lt;'FF Adj Parameters'!$B$124),
    'FF Adj Parameters'!$B$33,
    1.00)</f>
        <v/>
      </c>
      <c r="O50" s="21">
        <f>IF('Loan Tape (S&amp;P)'!Q50="Yes",
    'FF Adj Parameters'!$B$37,
    1.00)</f>
        <v/>
      </c>
      <c r="P50" s="21">
        <f>IF('Loan Tape (S&amp;P)'!R50="Yes",
    'FF Adj Parameters'!$B$38,
    1.00)</f>
        <v/>
      </c>
      <c r="Q50" s="21">
        <f>IF('Loan Tape (S&amp;P)'!S50="Yes",
    'FF Adj Parameters'!$B$39,
    1.00)</f>
        <v/>
      </c>
      <c r="R50" s="21">
        <f>IF('Loan Tape (S&amp;P)'!T50="Yes",
    'FF Adj Parameters'!$B$40,
    1.00)</f>
        <v/>
      </c>
      <c r="S50" s="21">
        <f>LET(
    is_htb,'Loan Tape (S&amp;P)'!Q50="Yes",
    rate_type,'Loan Tape (S&amp;P)'!AS50,
    months_to_mat,'Loan Tape (S&amp;P)'!AU50,
    threshold,'FF Adj Parameters'!$B$1250,
    has_shock,AND(rate_type="Fixed",months_to_mat&lt;=threshold),
    IF(is_htb,1.00,IF(has_shock,'FF Adj Parameters'!$B$41,1.00))
)</f>
        <v/>
      </c>
      <c r="T50" s="21">
        <f>IFERROR(
    IF('Loan Tape (S&amp;P)'!N50&lt;&gt;"Interest Only",1.00,
        IF('Loan Tape (S&amp;P)'!N50="Buy to Let",1.00,
            LET(
                mat_check,'Loan Tape (S&amp;P)'!AV50,
                years_to_mat,'Loan Tape (S&amp;P)'!AU50/12,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0" s="21">
        <f>IF(AND('Loan Tape (S&amp;P)'!V50="Yes",'Loan Tape (S&amp;P)'!N50&lt;&gt;"Buy to Let"),
    'FF Adj Parameters'!$B$42,
    1.00)</f>
        <v/>
      </c>
      <c r="V50" s="21">
        <f>IF('Loan Tape (S&amp;P)'!AV50="Yes",
    'FF Adj Parameters'!$B$43,
    1.00)</f>
        <v/>
      </c>
      <c r="W50" s="23">
        <f>IF('Loan Tape (S&amp;P)'!AC50&gt;0,
    'FF Adj Parameters'!$B$44,
    1.00)</f>
        <v/>
      </c>
      <c r="X50" s="21">
        <f>LET(
    has_bankruptcy,'Loan Tape (S&amp;P)'!AE50="Yes",
    has_iva,'Loan Tape (S&amp;P)'!AF50="Yes",
    has_repo,'Loan Tape (S&amp;P)'!AI50="Yes",
    mult,IF(has_repo,'FF Adj Parameters'!$B$47,
            IF(has_bankruptcy,'FF Adj Parameters'!$B$450,
                IF(has_iva,'FF Adj Parameters'!$B$46,
                    1.00))),
    MAX(mult,0.500)
)</f>
        <v/>
      </c>
      <c r="Y50" s="21">
        <f>LET(
    has_perf_arr,'Loan Tape (S&amp;P)'!AP50="Yes",
    perf_arr_date,'Loan Tape (S&amp;P)'!AQ50,
    last_90_date,'Loan Tape (S&amp;P)'!AR50,
    threshold_years,VLOOKUP('Control Panel'!$B$6,'Jurisdiction Parameters'!$A:$Q,17,FALSE),
    relevant_date,MAX(perf_arr_date,last_90_date),
    years_since,('Control Panel'!$B$10-relevant_date)/3650.250,
    IF(NOT(has_perf_arr),1.00,
        IF(years_since&gt;threshold_years,1.00,
            IF(years_since&lt;=1,INDEX('FF Adj Parameters'!$C$47:$C$500,1),
                IF(years_since&lt;=2,INDEX('FF Adj Parameters'!$C$47:$C$500,2),
                    IF(years_since&lt;=3,INDEX('FF Adj Parameters'!$C$47:$C$500,3),
                        INDEX('FF Adj Parameters'!$C$47:$C$500,4))))))
)</f>
        <v/>
      </c>
      <c r="Z50" s="24">
        <f>IFERROR(
        IF(L50&gt;=100,1.00,
            'Control Panel'!$B$18*F50*G50*MAX(H50,R50)*I50*J50*K50*L50*M50*N50*O50*P50*Q50*S50*T50*U50*V50*W50*X50*Y50
        ),
    0)</f>
        <v/>
      </c>
    </row>
    <row r="51">
      <c r="A51" s="17">
        <f>'Loan Tape (S&amp;P)'!A51</f>
        <v/>
      </c>
      <c r="B51" s="18">
        <f>'Loan Tape (S&amp;P)'!B51</f>
        <v/>
      </c>
      <c r="C51" s="20">
        <f>IFERROR('Loan Tape (S&amp;P)'!C51/'Loan Tape (S&amp;P)'!E51,0)</f>
        <v/>
      </c>
      <c r="D51" s="20">
        <f>IFERROR(
        'Loan Tape (S&amp;P)'!B51/
        ('Loan Tape (S&amp;P)'!D51*
        (1-IF('Loan Tape (S&amp;P)'!AT51&lt;&gt;"Full",
            VLOOKUP('Control Panel'!$B$6,'Jurisdiction Parameters'!$A:$D,4,FALSE),
        0))),
    0)</f>
        <v/>
      </c>
      <c r="E51" s="20">
        <f>('Control Panel'!$B$12*C51)+('Control Panel'!$B$13*D51)</f>
        <v/>
      </c>
      <c r="F51" s="22">
        <f>IFERROR(
        LET(
            juris,'Control Panel'!$B$6,
            ltv_val,E51,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1" s="21">
        <f>'Control Panel'!$B$14</f>
        <v/>
      </c>
      <c r="H51" s="21">
        <f>LET(
    income_mult,'Loan Tape (S&amp;P)'!Z51,
    IF(income_mult=0,1.00,
        IFERROR(
            INDEX('FF Adj Parameters'!$A$151:$B$17,
                MATCH(income_mult,INDEX('FF Adj Parameters'!$A$151:$B$17,,1),1),2),
            1.510))
)</f>
        <v/>
      </c>
      <c r="I51" s="21">
        <f>IF('Loan Tape (S&amp;P)'!N51&lt;&gt;"Buy to Let",1.00,
    LET(
        dscr,'Loan Tape (S&amp;P)'!AA51,
        IF(dscr=0,INDEX('FF Adj Parameters'!$A$21:$B$251,1,2),
            IFERROR(
                INDEX('FF Adj Parameters'!$A$21:$B$251,
                    MATCH(dscr,INDEX('FF Adj Parameters'!$A$21:$B$251,,1),1),2),
                'FF Adj Parameters'!$B$21)))
)</f>
        <v/>
      </c>
      <c r="J51" s="21">
        <f>LET(
    lien,'Loan Tape (S&amp;P)'!AT51,
    IF(lien="First",'FF Adj Parameters'!$B$48,
        IF(lien="Second",'FF Adj Parameters'!$B$49,
            'FF Adj Parameters'!$B$510))
)</f>
        <v/>
      </c>
      <c r="K51" s="21">
        <f>LET(
    purpose,'Loan Tape (S&amp;P)'!U51,
    IF(purpose="Purchase",'FF Adj Parameters'!$B$511,
        IF(purpose="Remortgage",'FF Adj Parameters'!$B$512,
            IF(purpose="Cash-out Remortgage",'FF Adj Parameters'!$B$513,
                1.00)))
)</f>
        <v/>
      </c>
      <c r="L51" s="21">
        <f>LET(
    arrears_months,'Loan Tape (S&amp;P)'!X51,
    IF(arrears_months=0,'FF Adj Parameters'!$B$514,
        IF(arrears_months&lt;=2,'FF Adj Parameters'!$B$5151,
            'FF Adj Parameters'!$B$516))
)</f>
        <v/>
      </c>
      <c r="M51" s="21">
        <f>LET(
    years_seasoned,'Loan Tape (S&amp;P)'!AW51/12,
    arrears_months,'Loan Tape (S&amp;P)'!X51,
    IF(arrears_months&gt;0,1.00,
        IFERROR(
            INDEX('FF Adj Parameters'!$A$51:$B$11,
                MATCH(years_seasoned,INDEX('FF Adj Parameters'!$A$51:$B$11,,1),1),2),
            0.510))
)</f>
        <v/>
      </c>
      <c r="N51" s="21">
        <f>IF(AND('Loan Tape (S&amp;P)'!P51="Yes",'Loan Tape (S&amp;P)'!AW51&lt;'FF Adj Parameters'!$B$124),
    'FF Adj Parameters'!$B$33,
    1.00)</f>
        <v/>
      </c>
      <c r="O51" s="21">
        <f>IF('Loan Tape (S&amp;P)'!Q51="Yes",
    'FF Adj Parameters'!$B$37,
    1.00)</f>
        <v/>
      </c>
      <c r="P51" s="21">
        <f>IF('Loan Tape (S&amp;P)'!R51="Yes",
    'FF Adj Parameters'!$B$38,
    1.00)</f>
        <v/>
      </c>
      <c r="Q51" s="21">
        <f>IF('Loan Tape (S&amp;P)'!S51="Yes",
    'FF Adj Parameters'!$B$39,
    1.00)</f>
        <v/>
      </c>
      <c r="R51" s="21">
        <f>IF('Loan Tape (S&amp;P)'!T51="Yes",
    'FF Adj Parameters'!$B$40,
    1.00)</f>
        <v/>
      </c>
      <c r="S51" s="21">
        <f>LET(
    is_htb,'Loan Tape (S&amp;P)'!Q51="Yes",
    rate_type,'Loan Tape (S&amp;P)'!AS51,
    months_to_mat,'Loan Tape (S&amp;P)'!AU51,
    threshold,'FF Adj Parameters'!$B$1251,
    has_shock,AND(rate_type="Fixed",months_to_mat&lt;=threshold),
    IF(is_htb,1.00,IF(has_shock,'FF Adj Parameters'!$B$41,1.00))
)</f>
        <v/>
      </c>
      <c r="T51" s="21">
        <f>IFERROR(
    IF('Loan Tape (S&amp;P)'!N51&lt;&gt;"Interest Only",1.00,
        IF('Loan Tape (S&amp;P)'!N51="Buy to Let",1.00,
            LET(
                mat_check,'Loan Tape (S&amp;P)'!AV51,
                years_to_mat,'Loan Tape (S&amp;P)'!AU51/12,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1" s="21">
        <f>IF(AND('Loan Tape (S&amp;P)'!V51="Yes",'Loan Tape (S&amp;P)'!N51&lt;&gt;"Buy to Let"),
    'FF Adj Parameters'!$B$42,
    1.00)</f>
        <v/>
      </c>
      <c r="V51" s="21">
        <f>IF('Loan Tape (S&amp;P)'!AV51="Yes",
    'FF Adj Parameters'!$B$43,
    1.00)</f>
        <v/>
      </c>
      <c r="W51" s="23">
        <f>IF('Loan Tape (S&amp;P)'!AC51&gt;0,
    'FF Adj Parameters'!$B$44,
    1.00)</f>
        <v/>
      </c>
      <c r="X51" s="21">
        <f>LET(
    has_bankruptcy,'Loan Tape (S&amp;P)'!AE51="Yes",
    has_iva,'Loan Tape (S&amp;P)'!AF51="Yes",
    has_repo,'Loan Tape (S&amp;P)'!AI51="Yes",
    mult,IF(has_repo,'FF Adj Parameters'!$B$47,
            IF(has_bankruptcy,'FF Adj Parameters'!$B$451,
                IF(has_iva,'FF Adj Parameters'!$B$46,
                    1.00))),
    MAX(mult,0.510)
)</f>
        <v/>
      </c>
      <c r="Y51" s="21">
        <f>LET(
    has_perf_arr,'Loan Tape (S&amp;P)'!AP51="Yes",
    perf_arr_date,'Loan Tape (S&amp;P)'!AQ51,
    last_90_date,'Loan Tape (S&amp;P)'!AR51,
    threshold_years,VLOOKUP('Control Panel'!$B$6,'Jurisdiction Parameters'!$A:$Q,17,FALSE),
    relevant_date,MAX(perf_arr_date,last_90_date),
    years_since,('Control Panel'!$B$10-relevant_date)/3651.251,
    IF(NOT(has_perf_arr),1.00,
        IF(years_since&gt;threshold_years,1.00,
            IF(years_since&lt;=1,INDEX('FF Adj Parameters'!$C$47:$C$510,1),
                IF(years_since&lt;=2,INDEX('FF Adj Parameters'!$C$47:$C$510,2),
                    IF(years_since&lt;=3,INDEX('FF Adj Parameters'!$C$47:$C$510,3),
                        INDEX('FF Adj Parameters'!$C$47:$C$510,4))))))
)</f>
        <v/>
      </c>
      <c r="Z51" s="24">
        <f>IFERROR(
        IF(L51&gt;=100,1.00,
            'Control Panel'!$B$18*F51*G51*MAX(H51,R51)*I51*J51*K51*L51*M51*N51*O51*P51*Q51*S51*T51*U51*V51*W51*X51*Y51
        ),
    0)</f>
        <v/>
      </c>
    </row>
    <row r="52">
      <c r="A52" s="17">
        <f>'Loan Tape (S&amp;P)'!A52</f>
        <v/>
      </c>
      <c r="B52" s="18">
        <f>'Loan Tape (S&amp;P)'!B52</f>
        <v/>
      </c>
      <c r="C52" s="20">
        <f>IFERROR('Loan Tape (S&amp;P)'!C52/'Loan Tape (S&amp;P)'!E52,0)</f>
        <v/>
      </c>
      <c r="D52" s="20">
        <f>IFERROR(
        'Loan Tape (S&amp;P)'!B52/
        ('Loan Tape (S&amp;P)'!D52*
        (1-IF('Loan Tape (S&amp;P)'!AT52&lt;&gt;"Full",
            VLOOKUP('Control Panel'!$B$6,'Jurisdiction Parameters'!$A:$D,4,FALSE),
        0))),
    0)</f>
        <v/>
      </c>
      <c r="E52" s="20">
        <f>('Control Panel'!$B$12*C52)+('Control Panel'!$B$13*D52)</f>
        <v/>
      </c>
      <c r="F52" s="22">
        <f>IFERROR(
        LET(
            juris,'Control Panel'!$B$6,
            ltv_val,E52,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2" s="21">
        <f>'Control Panel'!$B$14</f>
        <v/>
      </c>
      <c r="H52" s="21">
        <f>LET(
    income_mult,'Loan Tape (S&amp;P)'!Z52,
    IF(income_mult=0,1.00,
        IFERROR(
            INDEX('FF Adj Parameters'!$A$152:$B$17,
                MATCH(income_mult,INDEX('FF Adj Parameters'!$A$152:$B$17,,1),1),2),
            1.520))
)</f>
        <v/>
      </c>
      <c r="I52" s="21">
        <f>IF('Loan Tape (S&amp;P)'!N52&lt;&gt;"Buy to Let",1.00,
    LET(
        dscr,'Loan Tape (S&amp;P)'!AA52,
        IF(dscr=0,INDEX('FF Adj Parameters'!$A$21:$B$252,1,2),
            IFERROR(
                INDEX('FF Adj Parameters'!$A$21:$B$252,
                    MATCH(dscr,INDEX('FF Adj Parameters'!$A$21:$B$252,,1),1),2),
                'FF Adj Parameters'!$B$21)))
)</f>
        <v/>
      </c>
      <c r="J52" s="21">
        <f>LET(
    lien,'Loan Tape (S&amp;P)'!AT52,
    IF(lien="First",'FF Adj Parameters'!$B$48,
        IF(lien="Second",'FF Adj Parameters'!$B$49,
            'FF Adj Parameters'!$B$520))
)</f>
        <v/>
      </c>
      <c r="K52" s="21">
        <f>LET(
    purpose,'Loan Tape (S&amp;P)'!U52,
    IF(purpose="Purchase",'FF Adj Parameters'!$B$521,
        IF(purpose="Remortgage",'FF Adj Parameters'!$B$522,
            IF(purpose="Cash-out Remortgage",'FF Adj Parameters'!$B$523,
                1.00)))
)</f>
        <v/>
      </c>
      <c r="L52" s="21">
        <f>LET(
    arrears_months,'Loan Tape (S&amp;P)'!X52,
    IF(arrears_months=0,'FF Adj Parameters'!$B$524,
        IF(arrears_months&lt;=2,'FF Adj Parameters'!$B$5252,
            'FF Adj Parameters'!$B$526))
)</f>
        <v/>
      </c>
      <c r="M52" s="21">
        <f>LET(
    years_seasoned,'Loan Tape (S&amp;P)'!AW52/12,
    arrears_months,'Loan Tape (S&amp;P)'!X52,
    IF(arrears_months&gt;0,1.00,
        IFERROR(
            INDEX('FF Adj Parameters'!$A$52:$B$11,
                MATCH(years_seasoned,INDEX('FF Adj Parameters'!$A$52:$B$11,,1),1),2),
            0.520))
)</f>
        <v/>
      </c>
      <c r="N52" s="21">
        <f>IF(AND('Loan Tape (S&amp;P)'!P52="Yes",'Loan Tape (S&amp;P)'!AW52&lt;'FF Adj Parameters'!$B$124),
    'FF Adj Parameters'!$B$33,
    1.00)</f>
        <v/>
      </c>
      <c r="O52" s="21">
        <f>IF('Loan Tape (S&amp;P)'!Q52="Yes",
    'FF Adj Parameters'!$B$37,
    1.00)</f>
        <v/>
      </c>
      <c r="P52" s="21">
        <f>IF('Loan Tape (S&amp;P)'!R52="Yes",
    'FF Adj Parameters'!$B$38,
    1.00)</f>
        <v/>
      </c>
      <c r="Q52" s="21">
        <f>IF('Loan Tape (S&amp;P)'!S52="Yes",
    'FF Adj Parameters'!$B$39,
    1.00)</f>
        <v/>
      </c>
      <c r="R52" s="21">
        <f>IF('Loan Tape (S&amp;P)'!T52="Yes",
    'FF Adj Parameters'!$B$40,
    1.00)</f>
        <v/>
      </c>
      <c r="S52" s="21">
        <f>LET(
    is_htb,'Loan Tape (S&amp;P)'!Q52="Yes",
    rate_type,'Loan Tape (S&amp;P)'!AS52,
    months_to_mat,'Loan Tape (S&amp;P)'!AU52,
    threshold,'FF Adj Parameters'!$B$1252,
    has_shock,AND(rate_type="Fixed",months_to_mat&lt;=threshold),
    IF(is_htb,1.00,IF(has_shock,'FF Adj Parameters'!$B$41,1.00))
)</f>
        <v/>
      </c>
      <c r="T52" s="21">
        <f>IFERROR(
    IF('Loan Tape (S&amp;P)'!N52&lt;&gt;"Interest Only",1.00,
        IF('Loan Tape (S&amp;P)'!N52="Buy to Let",1.00,
            LET(
                mat_check,'Loan Tape (S&amp;P)'!AV52,
                years_to_mat,'Loan Tape (S&amp;P)'!AU52/12,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2" s="21">
        <f>IF(AND('Loan Tape (S&amp;P)'!V52="Yes",'Loan Tape (S&amp;P)'!N52&lt;&gt;"Buy to Let"),
    'FF Adj Parameters'!$B$42,
    1.00)</f>
        <v/>
      </c>
      <c r="V52" s="21">
        <f>IF('Loan Tape (S&amp;P)'!AV52="Yes",
    'FF Adj Parameters'!$B$43,
    1.00)</f>
        <v/>
      </c>
      <c r="W52" s="23">
        <f>IF('Loan Tape (S&amp;P)'!AC52&gt;0,
    'FF Adj Parameters'!$B$44,
    1.00)</f>
        <v/>
      </c>
      <c r="X52" s="21">
        <f>LET(
    has_bankruptcy,'Loan Tape (S&amp;P)'!AE52="Yes",
    has_iva,'Loan Tape (S&amp;P)'!AF52="Yes",
    has_repo,'Loan Tape (S&amp;P)'!AI52="Yes",
    mult,IF(has_repo,'FF Adj Parameters'!$B$47,
            IF(has_bankruptcy,'FF Adj Parameters'!$B$452,
                IF(has_iva,'FF Adj Parameters'!$B$46,
                    1.00))),
    MAX(mult,0.520)
)</f>
        <v/>
      </c>
      <c r="Y52" s="21">
        <f>LET(
    has_perf_arr,'Loan Tape (S&amp;P)'!AP52="Yes",
    perf_arr_date,'Loan Tape (S&amp;P)'!AQ52,
    last_90_date,'Loan Tape (S&amp;P)'!AR52,
    threshold_years,VLOOKUP('Control Panel'!$B$6,'Jurisdiction Parameters'!$A:$Q,17,FALSE),
    relevant_date,MAX(perf_arr_date,last_90_date),
    years_since,('Control Panel'!$B$10-relevant_date)/3652.252,
    IF(NOT(has_perf_arr),1.00,
        IF(years_since&gt;threshold_years,1.00,
            IF(years_since&lt;=1,INDEX('FF Adj Parameters'!$C$47:$C$520,1),
                IF(years_since&lt;=2,INDEX('FF Adj Parameters'!$C$47:$C$520,2),
                    IF(years_since&lt;=3,INDEX('FF Adj Parameters'!$C$47:$C$520,3),
                        INDEX('FF Adj Parameters'!$C$47:$C$520,4))))))
)</f>
        <v/>
      </c>
      <c r="Z52" s="24">
        <f>IFERROR(
        IF(L52&gt;=100,1.00,
            'Control Panel'!$B$18*F52*G52*MAX(H52,R52)*I52*J52*K52*L52*M52*N52*O52*P52*Q52*S52*T52*U52*V52*W52*X52*Y52
        ),
    0)</f>
        <v/>
      </c>
    </row>
    <row r="53">
      <c r="A53" s="17">
        <f>'Loan Tape (S&amp;P)'!A53</f>
        <v/>
      </c>
      <c r="B53" s="18">
        <f>'Loan Tape (S&amp;P)'!B53</f>
        <v/>
      </c>
      <c r="C53" s="20">
        <f>IFERROR('Loan Tape (S&amp;P)'!C53/'Loan Tape (S&amp;P)'!E53,0)</f>
        <v/>
      </c>
      <c r="D53" s="20">
        <f>IFERROR(
        'Loan Tape (S&amp;P)'!B53/
        ('Loan Tape (S&amp;P)'!D53*
        (1-IF('Loan Tape (S&amp;P)'!AT53&lt;&gt;"Full",
            VLOOKUP('Control Panel'!$B$6,'Jurisdiction Parameters'!$A:$D,4,FALSE),
        0))),
    0)</f>
        <v/>
      </c>
      <c r="E53" s="20">
        <f>('Control Panel'!$B$12*C53)+('Control Panel'!$B$13*D53)</f>
        <v/>
      </c>
      <c r="F53" s="22">
        <f>IFERROR(
        LET(
            juris,'Control Panel'!$B$6,
            ltv_val,E53,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3" s="21">
        <f>'Control Panel'!$B$14</f>
        <v/>
      </c>
      <c r="H53" s="21">
        <f>LET(
    income_mult,'Loan Tape (S&amp;P)'!Z53,
    IF(income_mult=0,1.00,
        IFERROR(
            INDEX('FF Adj Parameters'!$A$153:$B$17,
                MATCH(income_mult,INDEX('FF Adj Parameters'!$A$153:$B$17,,1),1),2),
            1.530))
)</f>
        <v/>
      </c>
      <c r="I53" s="21">
        <f>IF('Loan Tape (S&amp;P)'!N53&lt;&gt;"Buy to Let",1.00,
    LET(
        dscr,'Loan Tape (S&amp;P)'!AA53,
        IF(dscr=0,INDEX('FF Adj Parameters'!$A$21:$B$253,1,2),
            IFERROR(
                INDEX('FF Adj Parameters'!$A$21:$B$253,
                    MATCH(dscr,INDEX('FF Adj Parameters'!$A$21:$B$253,,1),1),2),
                'FF Adj Parameters'!$B$21)))
)</f>
        <v/>
      </c>
      <c r="J53" s="21">
        <f>LET(
    lien,'Loan Tape (S&amp;P)'!AT53,
    IF(lien="First",'FF Adj Parameters'!$B$48,
        IF(lien="Second",'FF Adj Parameters'!$B$49,
            'FF Adj Parameters'!$B$530))
)</f>
        <v/>
      </c>
      <c r="K53" s="21">
        <f>LET(
    purpose,'Loan Tape (S&amp;P)'!U53,
    IF(purpose="Purchase",'FF Adj Parameters'!$B$531,
        IF(purpose="Remortgage",'FF Adj Parameters'!$B$532,
            IF(purpose="Cash-out Remortgage",'FF Adj Parameters'!$B$533,
                1.00)))
)</f>
        <v/>
      </c>
      <c r="L53" s="21">
        <f>LET(
    arrears_months,'Loan Tape (S&amp;P)'!X53,
    IF(arrears_months=0,'FF Adj Parameters'!$B$534,
        IF(arrears_months&lt;=2,'FF Adj Parameters'!$B$5353,
            'FF Adj Parameters'!$B$536))
)</f>
        <v/>
      </c>
      <c r="M53" s="21">
        <f>LET(
    years_seasoned,'Loan Tape (S&amp;P)'!AW53/12,
    arrears_months,'Loan Tape (S&amp;P)'!X53,
    IF(arrears_months&gt;0,1.00,
        IFERROR(
            INDEX('FF Adj Parameters'!$A$53:$B$11,
                MATCH(years_seasoned,INDEX('FF Adj Parameters'!$A$53:$B$11,,1),1),2),
            0.530))
)</f>
        <v/>
      </c>
      <c r="N53" s="21">
        <f>IF(AND('Loan Tape (S&amp;P)'!P53="Yes",'Loan Tape (S&amp;P)'!AW53&lt;'FF Adj Parameters'!$B$124),
    'FF Adj Parameters'!$B$33,
    1.00)</f>
        <v/>
      </c>
      <c r="O53" s="21">
        <f>IF('Loan Tape (S&amp;P)'!Q53="Yes",
    'FF Adj Parameters'!$B$37,
    1.00)</f>
        <v/>
      </c>
      <c r="P53" s="21">
        <f>IF('Loan Tape (S&amp;P)'!R53="Yes",
    'FF Adj Parameters'!$B$38,
    1.00)</f>
        <v/>
      </c>
      <c r="Q53" s="21">
        <f>IF('Loan Tape (S&amp;P)'!S53="Yes",
    'FF Adj Parameters'!$B$39,
    1.00)</f>
        <v/>
      </c>
      <c r="R53" s="21">
        <f>IF('Loan Tape (S&amp;P)'!T53="Yes",
    'FF Adj Parameters'!$B$40,
    1.00)</f>
        <v/>
      </c>
      <c r="S53" s="21">
        <f>LET(
    is_htb,'Loan Tape (S&amp;P)'!Q53="Yes",
    rate_type,'Loan Tape (S&amp;P)'!AS53,
    months_to_mat,'Loan Tape (S&amp;P)'!AU53,
    threshold,'FF Adj Parameters'!$B$1253,
    has_shock,AND(rate_type="Fixed",months_to_mat&lt;=threshold),
    IF(is_htb,1.00,IF(has_shock,'FF Adj Parameters'!$B$41,1.00))
)</f>
        <v/>
      </c>
      <c r="T53" s="21">
        <f>IFERROR(
    IF('Loan Tape (S&amp;P)'!N53&lt;&gt;"Interest Only",1.00,
        IF('Loan Tape (S&amp;P)'!N53="Buy to Let",1.00,
            LET(
                mat_check,'Loan Tape (S&amp;P)'!AV53,
                years_to_mat,'Loan Tape (S&amp;P)'!AU53/12,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3" s="21">
        <f>IF(AND('Loan Tape (S&amp;P)'!V53="Yes",'Loan Tape (S&amp;P)'!N53&lt;&gt;"Buy to Let"),
    'FF Adj Parameters'!$B$42,
    1.00)</f>
        <v/>
      </c>
      <c r="V53" s="21">
        <f>IF('Loan Tape (S&amp;P)'!AV53="Yes",
    'FF Adj Parameters'!$B$43,
    1.00)</f>
        <v/>
      </c>
      <c r="W53" s="23">
        <f>IF('Loan Tape (S&amp;P)'!AC53&gt;0,
    'FF Adj Parameters'!$B$44,
    1.00)</f>
        <v/>
      </c>
      <c r="X53" s="21">
        <f>LET(
    has_bankruptcy,'Loan Tape (S&amp;P)'!AE53="Yes",
    has_iva,'Loan Tape (S&amp;P)'!AF53="Yes",
    has_repo,'Loan Tape (S&amp;P)'!AI53="Yes",
    mult,IF(has_repo,'FF Adj Parameters'!$B$47,
            IF(has_bankruptcy,'FF Adj Parameters'!$B$453,
                IF(has_iva,'FF Adj Parameters'!$B$46,
                    1.00))),
    MAX(mult,0.530)
)</f>
        <v/>
      </c>
      <c r="Y53" s="21">
        <f>LET(
    has_perf_arr,'Loan Tape (S&amp;P)'!AP53="Yes",
    perf_arr_date,'Loan Tape (S&amp;P)'!AQ53,
    last_90_date,'Loan Tape (S&amp;P)'!AR53,
    threshold_years,VLOOKUP('Control Panel'!$B$6,'Jurisdiction Parameters'!$A:$Q,17,FALSE),
    relevant_date,MAX(perf_arr_date,last_90_date),
    years_since,('Control Panel'!$B$10-relevant_date)/3653.253,
    IF(NOT(has_perf_arr),1.00,
        IF(years_since&gt;threshold_years,1.00,
            IF(years_since&lt;=1,INDEX('FF Adj Parameters'!$C$47:$C$530,1),
                IF(years_since&lt;=2,INDEX('FF Adj Parameters'!$C$47:$C$530,2),
                    IF(years_since&lt;=3,INDEX('FF Adj Parameters'!$C$47:$C$530,3),
                        INDEX('FF Adj Parameters'!$C$47:$C$530,4))))))
)</f>
        <v/>
      </c>
      <c r="Z53" s="24">
        <f>IFERROR(
        IF(L53&gt;=100,1.00,
            'Control Panel'!$B$18*F53*G53*MAX(H53,R53)*I53*J53*K53*L53*M53*N53*O53*P53*Q53*S53*T53*U53*V53*W53*X53*Y53
        ),
    0)</f>
        <v/>
      </c>
    </row>
    <row r="54">
      <c r="A54" s="17">
        <f>'Loan Tape (S&amp;P)'!A54</f>
        <v/>
      </c>
      <c r="B54" s="18">
        <f>'Loan Tape (S&amp;P)'!B54</f>
        <v/>
      </c>
      <c r="C54" s="20">
        <f>IFERROR('Loan Tape (S&amp;P)'!C54/'Loan Tape (S&amp;P)'!E54,0)</f>
        <v/>
      </c>
      <c r="D54" s="20">
        <f>IFERROR(
        'Loan Tape (S&amp;P)'!B54/
        ('Loan Tape (S&amp;P)'!D54*
        (1-IF('Loan Tape (S&amp;P)'!AT54&lt;&gt;"Full",
            VLOOKUP('Control Panel'!$B$6,'Jurisdiction Parameters'!$A:$D,4,FALSE),
        0))),
    0)</f>
        <v/>
      </c>
      <c r="E54" s="20">
        <f>('Control Panel'!$B$12*C54)+('Control Panel'!$B$13*D54)</f>
        <v/>
      </c>
      <c r="F54" s="22">
        <f>IFERROR(
        LET(
            juris,'Control Panel'!$B$6,
            ltv_val,E54,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4" s="21">
        <f>'Control Panel'!$B$14</f>
        <v/>
      </c>
      <c r="H54" s="21">
        <f>LET(
    income_mult,'Loan Tape (S&amp;P)'!Z54,
    IF(income_mult=0,1.00,
        IFERROR(
            INDEX('FF Adj Parameters'!$A$154:$B$17,
                MATCH(income_mult,INDEX('FF Adj Parameters'!$A$154:$B$17,,1),1),2),
            1.540))
)</f>
        <v/>
      </c>
      <c r="I54" s="21">
        <f>IF('Loan Tape (S&amp;P)'!N54&lt;&gt;"Buy to Let",1.00,
    LET(
        dscr,'Loan Tape (S&amp;P)'!AA54,
        IF(dscr=0,INDEX('FF Adj Parameters'!$A$21:$B$254,1,2),
            IFERROR(
                INDEX('FF Adj Parameters'!$A$21:$B$254,
                    MATCH(dscr,INDEX('FF Adj Parameters'!$A$21:$B$254,,1),1),2),
                'FF Adj Parameters'!$B$21)))
)</f>
        <v/>
      </c>
      <c r="J54" s="21">
        <f>LET(
    lien,'Loan Tape (S&amp;P)'!AT54,
    IF(lien="First",'FF Adj Parameters'!$B$48,
        IF(lien="Second",'FF Adj Parameters'!$B$49,
            'FF Adj Parameters'!$B$540))
)</f>
        <v/>
      </c>
      <c r="K54" s="21">
        <f>LET(
    purpose,'Loan Tape (S&amp;P)'!U54,
    IF(purpose="Purchase",'FF Adj Parameters'!$B$541,
        IF(purpose="Remortgage",'FF Adj Parameters'!$B$542,
            IF(purpose="Cash-out Remortgage",'FF Adj Parameters'!$B$543,
                1.00)))
)</f>
        <v/>
      </c>
      <c r="L54" s="21">
        <f>LET(
    arrears_months,'Loan Tape (S&amp;P)'!X54,
    IF(arrears_months=0,'FF Adj Parameters'!$B$544,
        IF(arrears_months&lt;=2,'FF Adj Parameters'!$B$5454,
            'FF Adj Parameters'!$B$546))
)</f>
        <v/>
      </c>
      <c r="M54" s="21">
        <f>LET(
    years_seasoned,'Loan Tape (S&amp;P)'!AW54/12,
    arrears_months,'Loan Tape (S&amp;P)'!X54,
    IF(arrears_months&gt;0,1.00,
        IFERROR(
            INDEX('FF Adj Parameters'!$A$54:$B$11,
                MATCH(years_seasoned,INDEX('FF Adj Parameters'!$A$54:$B$11,,1),1),2),
            0.540))
)</f>
        <v/>
      </c>
      <c r="N54" s="21">
        <f>IF(AND('Loan Tape (S&amp;P)'!P54="Yes",'Loan Tape (S&amp;P)'!AW54&lt;'FF Adj Parameters'!$B$124),
    'FF Adj Parameters'!$B$33,
    1.00)</f>
        <v/>
      </c>
      <c r="O54" s="21">
        <f>IF('Loan Tape (S&amp;P)'!Q54="Yes",
    'FF Adj Parameters'!$B$37,
    1.00)</f>
        <v/>
      </c>
      <c r="P54" s="21">
        <f>IF('Loan Tape (S&amp;P)'!R54="Yes",
    'FF Adj Parameters'!$B$38,
    1.00)</f>
        <v/>
      </c>
      <c r="Q54" s="21">
        <f>IF('Loan Tape (S&amp;P)'!S54="Yes",
    'FF Adj Parameters'!$B$39,
    1.00)</f>
        <v/>
      </c>
      <c r="R54" s="21">
        <f>IF('Loan Tape (S&amp;P)'!T54="Yes",
    'FF Adj Parameters'!$B$40,
    1.00)</f>
        <v/>
      </c>
      <c r="S54" s="21">
        <f>LET(
    is_htb,'Loan Tape (S&amp;P)'!Q54="Yes",
    rate_type,'Loan Tape (S&amp;P)'!AS54,
    months_to_mat,'Loan Tape (S&amp;P)'!AU54,
    threshold,'FF Adj Parameters'!$B$1254,
    has_shock,AND(rate_type="Fixed",months_to_mat&lt;=threshold),
    IF(is_htb,1.00,IF(has_shock,'FF Adj Parameters'!$B$41,1.00))
)</f>
        <v/>
      </c>
      <c r="T54" s="21">
        <f>IFERROR(
    IF('Loan Tape (S&amp;P)'!N54&lt;&gt;"Interest Only",1.00,
        IF('Loan Tape (S&amp;P)'!N54="Buy to Let",1.00,
            LET(
                mat_check,'Loan Tape (S&amp;P)'!AV54,
                years_to_mat,'Loan Tape (S&amp;P)'!AU54/12,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4" s="21">
        <f>IF(AND('Loan Tape (S&amp;P)'!V54="Yes",'Loan Tape (S&amp;P)'!N54&lt;&gt;"Buy to Let"),
    'FF Adj Parameters'!$B$42,
    1.00)</f>
        <v/>
      </c>
      <c r="V54" s="21">
        <f>IF('Loan Tape (S&amp;P)'!AV54="Yes",
    'FF Adj Parameters'!$B$43,
    1.00)</f>
        <v/>
      </c>
      <c r="W54" s="23">
        <f>IF('Loan Tape (S&amp;P)'!AC54&gt;0,
    'FF Adj Parameters'!$B$44,
    1.00)</f>
        <v/>
      </c>
      <c r="X54" s="21">
        <f>LET(
    has_bankruptcy,'Loan Tape (S&amp;P)'!AE54="Yes",
    has_iva,'Loan Tape (S&amp;P)'!AF54="Yes",
    has_repo,'Loan Tape (S&amp;P)'!AI54="Yes",
    mult,IF(has_repo,'FF Adj Parameters'!$B$47,
            IF(has_bankruptcy,'FF Adj Parameters'!$B$454,
                IF(has_iva,'FF Adj Parameters'!$B$46,
                    1.00))),
    MAX(mult,0.540)
)</f>
        <v/>
      </c>
      <c r="Y54" s="21">
        <f>LET(
    has_perf_arr,'Loan Tape (S&amp;P)'!AP54="Yes",
    perf_arr_date,'Loan Tape (S&amp;P)'!AQ54,
    last_90_date,'Loan Tape (S&amp;P)'!AR54,
    threshold_years,VLOOKUP('Control Panel'!$B$6,'Jurisdiction Parameters'!$A:$Q,17,FALSE),
    relevant_date,MAX(perf_arr_date,last_90_date),
    years_since,('Control Panel'!$B$10-relevant_date)/3654.254,
    IF(NOT(has_perf_arr),1.00,
        IF(years_since&gt;threshold_years,1.00,
            IF(years_since&lt;=1,INDEX('FF Adj Parameters'!$C$47:$C$540,1),
                IF(years_since&lt;=2,INDEX('FF Adj Parameters'!$C$47:$C$540,2),
                    IF(years_since&lt;=3,INDEX('FF Adj Parameters'!$C$47:$C$540,3),
                        INDEX('FF Adj Parameters'!$C$47:$C$540,4))))))
)</f>
        <v/>
      </c>
      <c r="Z54" s="24">
        <f>IFERROR(
        IF(L54&gt;=100,1.00,
            'Control Panel'!$B$18*F54*G54*MAX(H54,R54)*I54*J54*K54*L54*M54*N54*O54*P54*Q54*S54*T54*U54*V54*W54*X54*Y54
        ),
    0)</f>
        <v/>
      </c>
    </row>
    <row r="55">
      <c r="A55" s="17">
        <f>'Loan Tape (S&amp;P)'!A55</f>
        <v/>
      </c>
      <c r="B55" s="18">
        <f>'Loan Tape (S&amp;P)'!B55</f>
        <v/>
      </c>
      <c r="C55" s="20">
        <f>IFERROR('Loan Tape (S&amp;P)'!C55/'Loan Tape (S&amp;P)'!E55,0)</f>
        <v/>
      </c>
      <c r="D55" s="20">
        <f>IFERROR(
        'Loan Tape (S&amp;P)'!B55/
        ('Loan Tape (S&amp;P)'!D55*
        (1-IF('Loan Tape (S&amp;P)'!AT55&lt;&gt;"Full",
            VLOOKUP('Control Panel'!$B$6,'Jurisdiction Parameters'!$A:$D,4,FALSE),
        0))),
    0)</f>
        <v/>
      </c>
      <c r="E55" s="20">
        <f>('Control Panel'!$B$12*C55)+('Control Panel'!$B$13*D55)</f>
        <v/>
      </c>
      <c r="F55" s="22">
        <f>IFERROR(
        LET(
            juris,'Control Panel'!$B$6,
            ltv_val,E55,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5" s="21">
        <f>'Control Panel'!$B$14</f>
        <v/>
      </c>
      <c r="H55" s="21">
        <f>LET(
    income_mult,'Loan Tape (S&amp;P)'!Z55,
    IF(income_mult=0,1.00,
        IFERROR(
            INDEX('FF Adj Parameters'!$A$155:$B$17,
                MATCH(income_mult,INDEX('FF Adj Parameters'!$A$155:$B$17,,1),1),2),
            1.550))
)</f>
        <v/>
      </c>
      <c r="I55" s="21">
        <f>IF('Loan Tape (S&amp;P)'!N55&lt;&gt;"Buy to Let",1.00,
    LET(
        dscr,'Loan Tape (S&amp;P)'!AA55,
        IF(dscr=0,INDEX('FF Adj Parameters'!$A$21:$B$255,1,2),
            IFERROR(
                INDEX('FF Adj Parameters'!$A$21:$B$255,
                    MATCH(dscr,INDEX('FF Adj Parameters'!$A$21:$B$255,,1),1),2),
                'FF Adj Parameters'!$B$21)))
)</f>
        <v/>
      </c>
      <c r="J55" s="21">
        <f>LET(
    lien,'Loan Tape (S&amp;P)'!AT55,
    IF(lien="First",'FF Adj Parameters'!$B$48,
        IF(lien="Second",'FF Adj Parameters'!$B$49,
            'FF Adj Parameters'!$B$550))
)</f>
        <v/>
      </c>
      <c r="K55" s="21">
        <f>LET(
    purpose,'Loan Tape (S&amp;P)'!U55,
    IF(purpose="Purchase",'FF Adj Parameters'!$B$551,
        IF(purpose="Remortgage",'FF Adj Parameters'!$B$552,
            IF(purpose="Cash-out Remortgage",'FF Adj Parameters'!$B$553,
                1.00)))
)</f>
        <v/>
      </c>
      <c r="L55" s="21">
        <f>LET(
    arrears_months,'Loan Tape (S&amp;P)'!X55,
    IF(arrears_months=0,'FF Adj Parameters'!$B$554,
        IF(arrears_months&lt;=2,'FF Adj Parameters'!$B$5555,
            'FF Adj Parameters'!$B$556))
)</f>
        <v/>
      </c>
      <c r="M55" s="21">
        <f>LET(
    years_seasoned,'Loan Tape (S&amp;P)'!AW55/12,
    arrears_months,'Loan Tape (S&amp;P)'!X55,
    IF(arrears_months&gt;0,1.00,
        IFERROR(
            INDEX('FF Adj Parameters'!$A$55:$B$11,
                MATCH(years_seasoned,INDEX('FF Adj Parameters'!$A$55:$B$11,,1),1),2),
            0.550))
)</f>
        <v/>
      </c>
      <c r="N55" s="21">
        <f>IF(AND('Loan Tape (S&amp;P)'!P55="Yes",'Loan Tape (S&amp;P)'!AW55&lt;'FF Adj Parameters'!$B$124),
    'FF Adj Parameters'!$B$33,
    1.00)</f>
        <v/>
      </c>
      <c r="O55" s="21">
        <f>IF('Loan Tape (S&amp;P)'!Q55="Yes",
    'FF Adj Parameters'!$B$37,
    1.00)</f>
        <v/>
      </c>
      <c r="P55" s="21">
        <f>IF('Loan Tape (S&amp;P)'!R55="Yes",
    'FF Adj Parameters'!$B$38,
    1.00)</f>
        <v/>
      </c>
      <c r="Q55" s="21">
        <f>IF('Loan Tape (S&amp;P)'!S55="Yes",
    'FF Adj Parameters'!$B$39,
    1.00)</f>
        <v/>
      </c>
      <c r="R55" s="21">
        <f>IF('Loan Tape (S&amp;P)'!T55="Yes",
    'FF Adj Parameters'!$B$40,
    1.00)</f>
        <v/>
      </c>
      <c r="S55" s="21">
        <f>LET(
    is_htb,'Loan Tape (S&amp;P)'!Q55="Yes",
    rate_type,'Loan Tape (S&amp;P)'!AS55,
    months_to_mat,'Loan Tape (S&amp;P)'!AU55,
    threshold,'FF Adj Parameters'!$B$1255,
    has_shock,AND(rate_type="Fixed",months_to_mat&lt;=threshold),
    IF(is_htb,1.00,IF(has_shock,'FF Adj Parameters'!$B$41,1.00))
)</f>
        <v/>
      </c>
      <c r="T55" s="21">
        <f>IFERROR(
    IF('Loan Tape (S&amp;P)'!N55&lt;&gt;"Interest Only",1.00,
        IF('Loan Tape (S&amp;P)'!N55="Buy to Let",1.00,
            LET(
                mat_check,'Loan Tape (S&amp;P)'!AV55,
                years_to_mat,'Loan Tape (S&amp;P)'!AU55/12,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5" s="21">
        <f>IF(AND('Loan Tape (S&amp;P)'!V55="Yes",'Loan Tape (S&amp;P)'!N55&lt;&gt;"Buy to Let"),
    'FF Adj Parameters'!$B$42,
    1.00)</f>
        <v/>
      </c>
      <c r="V55" s="21">
        <f>IF('Loan Tape (S&amp;P)'!AV55="Yes",
    'FF Adj Parameters'!$B$43,
    1.00)</f>
        <v/>
      </c>
      <c r="W55" s="23">
        <f>IF('Loan Tape (S&amp;P)'!AC55&gt;0,
    'FF Adj Parameters'!$B$44,
    1.00)</f>
        <v/>
      </c>
      <c r="X55" s="21">
        <f>LET(
    has_bankruptcy,'Loan Tape (S&amp;P)'!AE55="Yes",
    has_iva,'Loan Tape (S&amp;P)'!AF55="Yes",
    has_repo,'Loan Tape (S&amp;P)'!AI55="Yes",
    mult,IF(has_repo,'FF Adj Parameters'!$B$47,
            IF(has_bankruptcy,'FF Adj Parameters'!$B$455,
                IF(has_iva,'FF Adj Parameters'!$B$46,
                    1.00))),
    MAX(mult,0.550)
)</f>
        <v/>
      </c>
      <c r="Y55" s="21">
        <f>LET(
    has_perf_arr,'Loan Tape (S&amp;P)'!AP55="Yes",
    perf_arr_date,'Loan Tape (S&amp;P)'!AQ55,
    last_90_date,'Loan Tape (S&amp;P)'!AR55,
    threshold_years,VLOOKUP('Control Panel'!$B$6,'Jurisdiction Parameters'!$A:$Q,17,FALSE),
    relevant_date,MAX(perf_arr_date,last_90_date),
    years_since,('Control Panel'!$B$10-relevant_date)/3655.255,
    IF(NOT(has_perf_arr),1.00,
        IF(years_since&gt;threshold_years,1.00,
            IF(years_since&lt;=1,INDEX('FF Adj Parameters'!$C$47:$C$550,1),
                IF(years_since&lt;=2,INDEX('FF Adj Parameters'!$C$47:$C$550,2),
                    IF(years_since&lt;=3,INDEX('FF Adj Parameters'!$C$47:$C$550,3),
                        INDEX('FF Adj Parameters'!$C$47:$C$550,4))))))
)</f>
        <v/>
      </c>
      <c r="Z55" s="24">
        <f>IFERROR(
        IF(L55&gt;=100,1.00,
            'Control Panel'!$B$18*F55*G55*MAX(H55,R55)*I55*J55*K55*L55*M55*N55*O55*P55*Q55*S55*T55*U55*V55*W55*X55*Y55
        ),
    0)</f>
        <v/>
      </c>
    </row>
    <row r="56">
      <c r="A56" s="17">
        <f>'Loan Tape (S&amp;P)'!A56</f>
        <v/>
      </c>
      <c r="B56" s="18">
        <f>'Loan Tape (S&amp;P)'!B56</f>
        <v/>
      </c>
      <c r="C56" s="20">
        <f>IFERROR('Loan Tape (S&amp;P)'!C56/'Loan Tape (S&amp;P)'!E56,0)</f>
        <v/>
      </c>
      <c r="D56" s="20">
        <f>IFERROR(
        'Loan Tape (S&amp;P)'!B56/
        ('Loan Tape (S&amp;P)'!D56*
        (1-IF('Loan Tape (S&amp;P)'!AT56&lt;&gt;"Full",
            VLOOKUP('Control Panel'!$B$6,'Jurisdiction Parameters'!$A:$D,4,FALSE),
        0))),
    0)</f>
        <v/>
      </c>
      <c r="E56" s="20">
        <f>('Control Panel'!$B$12*C56)+('Control Panel'!$B$13*D56)</f>
        <v/>
      </c>
      <c r="F56" s="22">
        <f>IFERROR(
        LET(
            juris,'Control Panel'!$B$6,
            ltv_val,E56,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6" s="21">
        <f>'Control Panel'!$B$14</f>
        <v/>
      </c>
      <c r="H56" s="21">
        <f>LET(
    income_mult,'Loan Tape (S&amp;P)'!Z56,
    IF(income_mult=0,1.00,
        IFERROR(
            INDEX('FF Adj Parameters'!$A$156:$B$17,
                MATCH(income_mult,INDEX('FF Adj Parameters'!$A$156:$B$17,,1),1),2),
            1.560))
)</f>
        <v/>
      </c>
      <c r="I56" s="21">
        <f>IF('Loan Tape (S&amp;P)'!N56&lt;&gt;"Buy to Let",1.00,
    LET(
        dscr,'Loan Tape (S&amp;P)'!AA56,
        IF(dscr=0,INDEX('FF Adj Parameters'!$A$21:$B$256,1,2),
            IFERROR(
                INDEX('FF Adj Parameters'!$A$21:$B$256,
                    MATCH(dscr,INDEX('FF Adj Parameters'!$A$21:$B$256,,1),1),2),
                'FF Adj Parameters'!$B$21)))
)</f>
        <v/>
      </c>
      <c r="J56" s="21">
        <f>LET(
    lien,'Loan Tape (S&amp;P)'!AT56,
    IF(lien="First",'FF Adj Parameters'!$B$48,
        IF(lien="Second",'FF Adj Parameters'!$B$49,
            'FF Adj Parameters'!$B$560))
)</f>
        <v/>
      </c>
      <c r="K56" s="21">
        <f>LET(
    purpose,'Loan Tape (S&amp;P)'!U56,
    IF(purpose="Purchase",'FF Adj Parameters'!$B$561,
        IF(purpose="Remortgage",'FF Adj Parameters'!$B$562,
            IF(purpose="Cash-out Remortgage",'FF Adj Parameters'!$B$563,
                1.00)))
)</f>
        <v/>
      </c>
      <c r="L56" s="21">
        <f>LET(
    arrears_months,'Loan Tape (S&amp;P)'!X56,
    IF(arrears_months=0,'FF Adj Parameters'!$B$564,
        IF(arrears_months&lt;=2,'FF Adj Parameters'!$B$5656,
            'FF Adj Parameters'!$B$566))
)</f>
        <v/>
      </c>
      <c r="M56" s="21">
        <f>LET(
    years_seasoned,'Loan Tape (S&amp;P)'!AW56/12,
    arrears_months,'Loan Tape (S&amp;P)'!X56,
    IF(arrears_months&gt;0,1.00,
        IFERROR(
            INDEX('FF Adj Parameters'!$A$56:$B$11,
                MATCH(years_seasoned,INDEX('FF Adj Parameters'!$A$56:$B$11,,1),1),2),
            0.560))
)</f>
        <v/>
      </c>
      <c r="N56" s="21">
        <f>IF(AND('Loan Tape (S&amp;P)'!P56="Yes",'Loan Tape (S&amp;P)'!AW56&lt;'FF Adj Parameters'!$B$124),
    'FF Adj Parameters'!$B$33,
    1.00)</f>
        <v/>
      </c>
      <c r="O56" s="21">
        <f>IF('Loan Tape (S&amp;P)'!Q56="Yes",
    'FF Adj Parameters'!$B$37,
    1.00)</f>
        <v/>
      </c>
      <c r="P56" s="21">
        <f>IF('Loan Tape (S&amp;P)'!R56="Yes",
    'FF Adj Parameters'!$B$38,
    1.00)</f>
        <v/>
      </c>
      <c r="Q56" s="21">
        <f>IF('Loan Tape (S&amp;P)'!S56="Yes",
    'FF Adj Parameters'!$B$39,
    1.00)</f>
        <v/>
      </c>
      <c r="R56" s="21">
        <f>IF('Loan Tape (S&amp;P)'!T56="Yes",
    'FF Adj Parameters'!$B$40,
    1.00)</f>
        <v/>
      </c>
      <c r="S56" s="21">
        <f>LET(
    is_htb,'Loan Tape (S&amp;P)'!Q56="Yes",
    rate_type,'Loan Tape (S&amp;P)'!AS56,
    months_to_mat,'Loan Tape (S&amp;P)'!AU56,
    threshold,'FF Adj Parameters'!$B$1256,
    has_shock,AND(rate_type="Fixed",months_to_mat&lt;=threshold),
    IF(is_htb,1.00,IF(has_shock,'FF Adj Parameters'!$B$41,1.00))
)</f>
        <v/>
      </c>
      <c r="T56" s="21">
        <f>IFERROR(
    IF('Loan Tape (S&amp;P)'!N56&lt;&gt;"Interest Only",1.00,
        IF('Loan Tape (S&amp;P)'!N56="Buy to Let",1.00,
            LET(
                mat_check,'Loan Tape (S&amp;P)'!AV56,
                years_to_mat,'Loan Tape (S&amp;P)'!AU56/12,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6" s="21">
        <f>IF(AND('Loan Tape (S&amp;P)'!V56="Yes",'Loan Tape (S&amp;P)'!N56&lt;&gt;"Buy to Let"),
    'FF Adj Parameters'!$B$42,
    1.00)</f>
        <v/>
      </c>
      <c r="V56" s="21">
        <f>IF('Loan Tape (S&amp;P)'!AV56="Yes",
    'FF Adj Parameters'!$B$43,
    1.00)</f>
        <v/>
      </c>
      <c r="W56" s="23">
        <f>IF('Loan Tape (S&amp;P)'!AC56&gt;0,
    'FF Adj Parameters'!$B$44,
    1.00)</f>
        <v/>
      </c>
      <c r="X56" s="21">
        <f>LET(
    has_bankruptcy,'Loan Tape (S&amp;P)'!AE56="Yes",
    has_iva,'Loan Tape (S&amp;P)'!AF56="Yes",
    has_repo,'Loan Tape (S&amp;P)'!AI56="Yes",
    mult,IF(has_repo,'FF Adj Parameters'!$B$47,
            IF(has_bankruptcy,'FF Adj Parameters'!$B$456,
                IF(has_iva,'FF Adj Parameters'!$B$46,
                    1.00))),
    MAX(mult,0.560)
)</f>
        <v/>
      </c>
      <c r="Y56" s="21">
        <f>LET(
    has_perf_arr,'Loan Tape (S&amp;P)'!AP56="Yes",
    perf_arr_date,'Loan Tape (S&amp;P)'!AQ56,
    last_90_date,'Loan Tape (S&amp;P)'!AR56,
    threshold_years,VLOOKUP('Control Panel'!$B$6,'Jurisdiction Parameters'!$A:$Q,17,FALSE),
    relevant_date,MAX(perf_arr_date,last_90_date),
    years_since,('Control Panel'!$B$10-relevant_date)/3656.256,
    IF(NOT(has_perf_arr),1.00,
        IF(years_since&gt;threshold_years,1.00,
            IF(years_since&lt;=1,INDEX('FF Adj Parameters'!$C$47:$C$560,1),
                IF(years_since&lt;=2,INDEX('FF Adj Parameters'!$C$47:$C$560,2),
                    IF(years_since&lt;=3,INDEX('FF Adj Parameters'!$C$47:$C$560,3),
                        INDEX('FF Adj Parameters'!$C$47:$C$560,4))))))
)</f>
        <v/>
      </c>
      <c r="Z56" s="24">
        <f>IFERROR(
        IF(L56&gt;=100,1.00,
            'Control Panel'!$B$18*F56*G56*MAX(H56,R56)*I56*J56*K56*L56*M56*N56*O56*P56*Q56*S56*T56*U56*V56*W56*X56*Y56
        ),
    0)</f>
        <v/>
      </c>
    </row>
    <row r="57">
      <c r="A57" s="17">
        <f>'Loan Tape (S&amp;P)'!A57</f>
        <v/>
      </c>
      <c r="B57" s="18">
        <f>'Loan Tape (S&amp;P)'!B57</f>
        <v/>
      </c>
      <c r="C57" s="20">
        <f>IFERROR('Loan Tape (S&amp;P)'!C57/'Loan Tape (S&amp;P)'!E57,0)</f>
        <v/>
      </c>
      <c r="D57" s="20">
        <f>IFERROR(
        'Loan Tape (S&amp;P)'!B57/
        ('Loan Tape (S&amp;P)'!D57*
        (1-IF('Loan Tape (S&amp;P)'!AT57&lt;&gt;"Full",
            VLOOKUP('Control Panel'!$B$6,'Jurisdiction Parameters'!$A:$D,4,FALSE),
        0))),
    0)</f>
        <v/>
      </c>
      <c r="E57" s="20">
        <f>('Control Panel'!$B$12*C57)+('Control Panel'!$B$13*D57)</f>
        <v/>
      </c>
      <c r="F57" s="22">
        <f>IFERROR(
        LET(
            juris,'Control Panel'!$B$6,
            ltv_val,E57,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7" s="21">
        <f>'Control Panel'!$B$14</f>
        <v/>
      </c>
      <c r="H57" s="21">
        <f>LET(
    income_mult,'Loan Tape (S&amp;P)'!Z57,
    IF(income_mult=0,1.00,
        IFERROR(
            INDEX('FF Adj Parameters'!$A$157:$B$17,
                MATCH(income_mult,INDEX('FF Adj Parameters'!$A$157:$B$17,,1),1),2),
            1.570))
)</f>
        <v/>
      </c>
      <c r="I57" s="21">
        <f>IF('Loan Tape (S&amp;P)'!N57&lt;&gt;"Buy to Let",1.00,
    LET(
        dscr,'Loan Tape (S&amp;P)'!AA57,
        IF(dscr=0,INDEX('FF Adj Parameters'!$A$21:$B$257,1,2),
            IFERROR(
                INDEX('FF Adj Parameters'!$A$21:$B$257,
                    MATCH(dscr,INDEX('FF Adj Parameters'!$A$21:$B$257,,1),1),2),
                'FF Adj Parameters'!$B$21)))
)</f>
        <v/>
      </c>
      <c r="J57" s="21">
        <f>LET(
    lien,'Loan Tape (S&amp;P)'!AT57,
    IF(lien="First",'FF Adj Parameters'!$B$48,
        IF(lien="Second",'FF Adj Parameters'!$B$49,
            'FF Adj Parameters'!$B$570))
)</f>
        <v/>
      </c>
      <c r="K57" s="21">
        <f>LET(
    purpose,'Loan Tape (S&amp;P)'!U57,
    IF(purpose="Purchase",'FF Adj Parameters'!$B$571,
        IF(purpose="Remortgage",'FF Adj Parameters'!$B$572,
            IF(purpose="Cash-out Remortgage",'FF Adj Parameters'!$B$573,
                1.00)))
)</f>
        <v/>
      </c>
      <c r="L57" s="21">
        <f>LET(
    arrears_months,'Loan Tape (S&amp;P)'!X57,
    IF(arrears_months=0,'FF Adj Parameters'!$B$574,
        IF(arrears_months&lt;=2,'FF Adj Parameters'!$B$5757,
            'FF Adj Parameters'!$B$576))
)</f>
        <v/>
      </c>
      <c r="M57" s="21">
        <f>LET(
    years_seasoned,'Loan Tape (S&amp;P)'!AW57/12,
    arrears_months,'Loan Tape (S&amp;P)'!X57,
    IF(arrears_months&gt;0,1.00,
        IFERROR(
            INDEX('FF Adj Parameters'!$A$57:$B$11,
                MATCH(years_seasoned,INDEX('FF Adj Parameters'!$A$57:$B$11,,1),1),2),
            0.570))
)</f>
        <v/>
      </c>
      <c r="N57" s="21">
        <f>IF(AND('Loan Tape (S&amp;P)'!P57="Yes",'Loan Tape (S&amp;P)'!AW57&lt;'FF Adj Parameters'!$B$124),
    'FF Adj Parameters'!$B$33,
    1.00)</f>
        <v/>
      </c>
      <c r="O57" s="21">
        <f>IF('Loan Tape (S&amp;P)'!Q57="Yes",
    'FF Adj Parameters'!$B$37,
    1.00)</f>
        <v/>
      </c>
      <c r="P57" s="21">
        <f>IF('Loan Tape (S&amp;P)'!R57="Yes",
    'FF Adj Parameters'!$B$38,
    1.00)</f>
        <v/>
      </c>
      <c r="Q57" s="21">
        <f>IF('Loan Tape (S&amp;P)'!S57="Yes",
    'FF Adj Parameters'!$B$39,
    1.00)</f>
        <v/>
      </c>
      <c r="R57" s="21">
        <f>IF('Loan Tape (S&amp;P)'!T57="Yes",
    'FF Adj Parameters'!$B$40,
    1.00)</f>
        <v/>
      </c>
      <c r="S57" s="21">
        <f>LET(
    is_htb,'Loan Tape (S&amp;P)'!Q57="Yes",
    rate_type,'Loan Tape (S&amp;P)'!AS57,
    months_to_mat,'Loan Tape (S&amp;P)'!AU57,
    threshold,'FF Adj Parameters'!$B$1257,
    has_shock,AND(rate_type="Fixed",months_to_mat&lt;=threshold),
    IF(is_htb,1.00,IF(has_shock,'FF Adj Parameters'!$B$41,1.00))
)</f>
        <v/>
      </c>
      <c r="T57" s="21">
        <f>IFERROR(
    IF('Loan Tape (S&amp;P)'!N57&lt;&gt;"Interest Only",1.00,
        IF('Loan Tape (S&amp;P)'!N57="Buy to Let",1.00,
            LET(
                mat_check,'Loan Tape (S&amp;P)'!AV57,
                years_to_mat,'Loan Tape (S&amp;P)'!AU57/12,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7" s="21">
        <f>IF(AND('Loan Tape (S&amp;P)'!V57="Yes",'Loan Tape (S&amp;P)'!N57&lt;&gt;"Buy to Let"),
    'FF Adj Parameters'!$B$42,
    1.00)</f>
        <v/>
      </c>
      <c r="V57" s="21">
        <f>IF('Loan Tape (S&amp;P)'!AV57="Yes",
    'FF Adj Parameters'!$B$43,
    1.00)</f>
        <v/>
      </c>
      <c r="W57" s="23">
        <f>IF('Loan Tape (S&amp;P)'!AC57&gt;0,
    'FF Adj Parameters'!$B$44,
    1.00)</f>
        <v/>
      </c>
      <c r="X57" s="21">
        <f>LET(
    has_bankruptcy,'Loan Tape (S&amp;P)'!AE57="Yes",
    has_iva,'Loan Tape (S&amp;P)'!AF57="Yes",
    has_repo,'Loan Tape (S&amp;P)'!AI57="Yes",
    mult,IF(has_repo,'FF Adj Parameters'!$B$47,
            IF(has_bankruptcy,'FF Adj Parameters'!$B$457,
                IF(has_iva,'FF Adj Parameters'!$B$46,
                    1.00))),
    MAX(mult,0.570)
)</f>
        <v/>
      </c>
      <c r="Y57" s="21">
        <f>LET(
    has_perf_arr,'Loan Tape (S&amp;P)'!AP57="Yes",
    perf_arr_date,'Loan Tape (S&amp;P)'!AQ57,
    last_90_date,'Loan Tape (S&amp;P)'!AR57,
    threshold_years,VLOOKUP('Control Panel'!$B$6,'Jurisdiction Parameters'!$A:$Q,17,FALSE),
    relevant_date,MAX(perf_arr_date,last_90_date),
    years_since,('Control Panel'!$B$10-relevant_date)/3657.257,
    IF(NOT(has_perf_arr),1.00,
        IF(years_since&gt;threshold_years,1.00,
            IF(years_since&lt;=1,INDEX('FF Adj Parameters'!$C$47:$C$570,1),
                IF(years_since&lt;=2,INDEX('FF Adj Parameters'!$C$47:$C$570,2),
                    IF(years_since&lt;=3,INDEX('FF Adj Parameters'!$C$47:$C$570,3),
                        INDEX('FF Adj Parameters'!$C$47:$C$570,4))))))
)</f>
        <v/>
      </c>
      <c r="Z57" s="24">
        <f>IFERROR(
        IF(L57&gt;=100,1.00,
            'Control Panel'!$B$18*F57*G57*MAX(H57,R57)*I57*J57*K57*L57*M57*N57*O57*P57*Q57*S57*T57*U57*V57*W57*X57*Y57
        ),
    0)</f>
        <v/>
      </c>
    </row>
    <row r="58">
      <c r="A58" s="17">
        <f>'Loan Tape (S&amp;P)'!A58</f>
        <v/>
      </c>
      <c r="B58" s="18">
        <f>'Loan Tape (S&amp;P)'!B58</f>
        <v/>
      </c>
      <c r="C58" s="20">
        <f>IFERROR('Loan Tape (S&amp;P)'!C58/'Loan Tape (S&amp;P)'!E58,0)</f>
        <v/>
      </c>
      <c r="D58" s="20">
        <f>IFERROR(
        'Loan Tape (S&amp;P)'!B58/
        ('Loan Tape (S&amp;P)'!D58*
        (1-IF('Loan Tape (S&amp;P)'!AT58&lt;&gt;"Full",
            VLOOKUP('Control Panel'!$B$6,'Jurisdiction Parameters'!$A:$D,4,FALSE),
        0))),
    0)</f>
        <v/>
      </c>
      <c r="E58" s="20">
        <f>('Control Panel'!$B$12*C58)+('Control Panel'!$B$13*D58)</f>
        <v/>
      </c>
      <c r="F58" s="22">
        <f>IFERROR(
        LET(
            juris,'Control Panel'!$B$6,
            ltv_val,E58,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8" s="21">
        <f>'Control Panel'!$B$14</f>
        <v/>
      </c>
      <c r="H58" s="21">
        <f>LET(
    income_mult,'Loan Tape (S&amp;P)'!Z58,
    IF(income_mult=0,1.00,
        IFERROR(
            INDEX('FF Adj Parameters'!$A$158:$B$17,
                MATCH(income_mult,INDEX('FF Adj Parameters'!$A$158:$B$17,,1),1),2),
            1.580))
)</f>
        <v/>
      </c>
      <c r="I58" s="21">
        <f>IF('Loan Tape (S&amp;P)'!N58&lt;&gt;"Buy to Let",1.00,
    LET(
        dscr,'Loan Tape (S&amp;P)'!AA58,
        IF(dscr=0,INDEX('FF Adj Parameters'!$A$21:$B$258,1,2),
            IFERROR(
                INDEX('FF Adj Parameters'!$A$21:$B$258,
                    MATCH(dscr,INDEX('FF Adj Parameters'!$A$21:$B$258,,1),1),2),
                'FF Adj Parameters'!$B$21)))
)</f>
        <v/>
      </c>
      <c r="J58" s="21">
        <f>LET(
    lien,'Loan Tape (S&amp;P)'!AT58,
    IF(lien="First",'FF Adj Parameters'!$B$48,
        IF(lien="Second",'FF Adj Parameters'!$B$49,
            'FF Adj Parameters'!$B$580))
)</f>
        <v/>
      </c>
      <c r="K58" s="21">
        <f>LET(
    purpose,'Loan Tape (S&amp;P)'!U58,
    IF(purpose="Purchase",'FF Adj Parameters'!$B$581,
        IF(purpose="Remortgage",'FF Adj Parameters'!$B$582,
            IF(purpose="Cash-out Remortgage",'FF Adj Parameters'!$B$583,
                1.00)))
)</f>
        <v/>
      </c>
      <c r="L58" s="21">
        <f>LET(
    arrears_months,'Loan Tape (S&amp;P)'!X58,
    IF(arrears_months=0,'FF Adj Parameters'!$B$584,
        IF(arrears_months&lt;=2,'FF Adj Parameters'!$B$5858,
            'FF Adj Parameters'!$B$586))
)</f>
        <v/>
      </c>
      <c r="M58" s="21">
        <f>LET(
    years_seasoned,'Loan Tape (S&amp;P)'!AW58/12,
    arrears_months,'Loan Tape (S&amp;P)'!X58,
    IF(arrears_months&gt;0,1.00,
        IFERROR(
            INDEX('FF Adj Parameters'!$A$58:$B$11,
                MATCH(years_seasoned,INDEX('FF Adj Parameters'!$A$58:$B$11,,1),1),2),
            0.580))
)</f>
        <v/>
      </c>
      <c r="N58" s="21">
        <f>IF(AND('Loan Tape (S&amp;P)'!P58="Yes",'Loan Tape (S&amp;P)'!AW58&lt;'FF Adj Parameters'!$B$124),
    'FF Adj Parameters'!$B$33,
    1.00)</f>
        <v/>
      </c>
      <c r="O58" s="21">
        <f>IF('Loan Tape (S&amp;P)'!Q58="Yes",
    'FF Adj Parameters'!$B$37,
    1.00)</f>
        <v/>
      </c>
      <c r="P58" s="21">
        <f>IF('Loan Tape (S&amp;P)'!R58="Yes",
    'FF Adj Parameters'!$B$38,
    1.00)</f>
        <v/>
      </c>
      <c r="Q58" s="21">
        <f>IF('Loan Tape (S&amp;P)'!S58="Yes",
    'FF Adj Parameters'!$B$39,
    1.00)</f>
        <v/>
      </c>
      <c r="R58" s="21">
        <f>IF('Loan Tape (S&amp;P)'!T58="Yes",
    'FF Adj Parameters'!$B$40,
    1.00)</f>
        <v/>
      </c>
      <c r="S58" s="21">
        <f>LET(
    is_htb,'Loan Tape (S&amp;P)'!Q58="Yes",
    rate_type,'Loan Tape (S&amp;P)'!AS58,
    months_to_mat,'Loan Tape (S&amp;P)'!AU58,
    threshold,'FF Adj Parameters'!$B$1258,
    has_shock,AND(rate_type="Fixed",months_to_mat&lt;=threshold),
    IF(is_htb,1.00,IF(has_shock,'FF Adj Parameters'!$B$41,1.00))
)</f>
        <v/>
      </c>
      <c r="T58" s="21">
        <f>IFERROR(
    IF('Loan Tape (S&amp;P)'!N58&lt;&gt;"Interest Only",1.00,
        IF('Loan Tape (S&amp;P)'!N58="Buy to Let",1.00,
            LET(
                mat_check,'Loan Tape (S&amp;P)'!AV58,
                years_to_mat,'Loan Tape (S&amp;P)'!AU58/12,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8" s="21">
        <f>IF(AND('Loan Tape (S&amp;P)'!V58="Yes",'Loan Tape (S&amp;P)'!N58&lt;&gt;"Buy to Let"),
    'FF Adj Parameters'!$B$42,
    1.00)</f>
        <v/>
      </c>
      <c r="V58" s="21">
        <f>IF('Loan Tape (S&amp;P)'!AV58="Yes",
    'FF Adj Parameters'!$B$43,
    1.00)</f>
        <v/>
      </c>
      <c r="W58" s="23">
        <f>IF('Loan Tape (S&amp;P)'!AC58&gt;0,
    'FF Adj Parameters'!$B$44,
    1.00)</f>
        <v/>
      </c>
      <c r="X58" s="21">
        <f>LET(
    has_bankruptcy,'Loan Tape (S&amp;P)'!AE58="Yes",
    has_iva,'Loan Tape (S&amp;P)'!AF58="Yes",
    has_repo,'Loan Tape (S&amp;P)'!AI58="Yes",
    mult,IF(has_repo,'FF Adj Parameters'!$B$47,
            IF(has_bankruptcy,'FF Adj Parameters'!$B$458,
                IF(has_iva,'FF Adj Parameters'!$B$46,
                    1.00))),
    MAX(mult,0.580)
)</f>
        <v/>
      </c>
      <c r="Y58" s="21">
        <f>LET(
    has_perf_arr,'Loan Tape (S&amp;P)'!AP58="Yes",
    perf_arr_date,'Loan Tape (S&amp;P)'!AQ58,
    last_90_date,'Loan Tape (S&amp;P)'!AR58,
    threshold_years,VLOOKUP('Control Panel'!$B$6,'Jurisdiction Parameters'!$A:$Q,17,FALSE),
    relevant_date,MAX(perf_arr_date,last_90_date),
    years_since,('Control Panel'!$B$10-relevant_date)/3658.258,
    IF(NOT(has_perf_arr),1.00,
        IF(years_since&gt;threshold_years,1.00,
            IF(years_since&lt;=1,INDEX('FF Adj Parameters'!$C$47:$C$580,1),
                IF(years_since&lt;=2,INDEX('FF Adj Parameters'!$C$47:$C$580,2),
                    IF(years_since&lt;=3,INDEX('FF Adj Parameters'!$C$47:$C$580,3),
                        INDEX('FF Adj Parameters'!$C$47:$C$580,4))))))
)</f>
        <v/>
      </c>
      <c r="Z58" s="24">
        <f>IFERROR(
        IF(L58&gt;=100,1.00,
            'Control Panel'!$B$18*F58*G58*MAX(H58,R58)*I58*J58*K58*L58*M58*N58*O58*P58*Q58*S58*T58*U58*V58*W58*X58*Y58
        ),
    0)</f>
        <v/>
      </c>
    </row>
    <row r="59">
      <c r="A59" s="17">
        <f>'Loan Tape (S&amp;P)'!A59</f>
        <v/>
      </c>
      <c r="B59" s="18">
        <f>'Loan Tape (S&amp;P)'!B59</f>
        <v/>
      </c>
      <c r="C59" s="20">
        <f>IFERROR('Loan Tape (S&amp;P)'!C59/'Loan Tape (S&amp;P)'!E59,0)</f>
        <v/>
      </c>
      <c r="D59" s="20">
        <f>IFERROR(
        'Loan Tape (S&amp;P)'!B59/
        ('Loan Tape (S&amp;P)'!D59*
        (1-IF('Loan Tape (S&amp;P)'!AT59&lt;&gt;"Full",
            VLOOKUP('Control Panel'!$B$6,'Jurisdiction Parameters'!$A:$D,4,FALSE),
        0))),
    0)</f>
        <v/>
      </c>
      <c r="E59" s="20">
        <f>('Control Panel'!$B$12*C59)+('Control Panel'!$B$13*D59)</f>
        <v/>
      </c>
      <c r="F59" s="22">
        <f>IFERROR(
        LET(
            juris,'Control Panel'!$B$6,
            ltv_val,E59,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9" s="21">
        <f>'Control Panel'!$B$14</f>
        <v/>
      </c>
      <c r="H59" s="21">
        <f>LET(
    income_mult,'Loan Tape (S&amp;P)'!Z59,
    IF(income_mult=0,1.00,
        IFERROR(
            INDEX('FF Adj Parameters'!$A$159:$B$17,
                MATCH(income_mult,INDEX('FF Adj Parameters'!$A$159:$B$17,,1),1),2),
            1.590))
)</f>
        <v/>
      </c>
      <c r="I59" s="21">
        <f>IF('Loan Tape (S&amp;P)'!N59&lt;&gt;"Buy to Let",1.00,
    LET(
        dscr,'Loan Tape (S&amp;P)'!AA59,
        IF(dscr=0,INDEX('FF Adj Parameters'!$A$21:$B$259,1,2),
            IFERROR(
                INDEX('FF Adj Parameters'!$A$21:$B$259,
                    MATCH(dscr,INDEX('FF Adj Parameters'!$A$21:$B$259,,1),1),2),
                'FF Adj Parameters'!$B$21)))
)</f>
        <v/>
      </c>
      <c r="J59" s="21">
        <f>LET(
    lien,'Loan Tape (S&amp;P)'!AT59,
    IF(lien="First",'FF Adj Parameters'!$B$48,
        IF(lien="Second",'FF Adj Parameters'!$B$49,
            'FF Adj Parameters'!$B$590))
)</f>
        <v/>
      </c>
      <c r="K59" s="21">
        <f>LET(
    purpose,'Loan Tape (S&amp;P)'!U59,
    IF(purpose="Purchase",'FF Adj Parameters'!$B$591,
        IF(purpose="Remortgage",'FF Adj Parameters'!$B$592,
            IF(purpose="Cash-out Remortgage",'FF Adj Parameters'!$B$593,
                1.00)))
)</f>
        <v/>
      </c>
      <c r="L59" s="21">
        <f>LET(
    arrears_months,'Loan Tape (S&amp;P)'!X59,
    IF(arrears_months=0,'FF Adj Parameters'!$B$594,
        IF(arrears_months&lt;=2,'FF Adj Parameters'!$B$5959,
            'FF Adj Parameters'!$B$596))
)</f>
        <v/>
      </c>
      <c r="M59" s="21">
        <f>LET(
    years_seasoned,'Loan Tape (S&amp;P)'!AW59/12,
    arrears_months,'Loan Tape (S&amp;P)'!X59,
    IF(arrears_months&gt;0,1.00,
        IFERROR(
            INDEX('FF Adj Parameters'!$A$59:$B$11,
                MATCH(years_seasoned,INDEX('FF Adj Parameters'!$A$59:$B$11,,1),1),2),
            0.590))
)</f>
        <v/>
      </c>
      <c r="N59" s="21">
        <f>IF(AND('Loan Tape (S&amp;P)'!P59="Yes",'Loan Tape (S&amp;P)'!AW59&lt;'FF Adj Parameters'!$B$124),
    'FF Adj Parameters'!$B$33,
    1.00)</f>
        <v/>
      </c>
      <c r="O59" s="21">
        <f>IF('Loan Tape (S&amp;P)'!Q59="Yes",
    'FF Adj Parameters'!$B$37,
    1.00)</f>
        <v/>
      </c>
      <c r="P59" s="21">
        <f>IF('Loan Tape (S&amp;P)'!R59="Yes",
    'FF Adj Parameters'!$B$38,
    1.00)</f>
        <v/>
      </c>
      <c r="Q59" s="21">
        <f>IF('Loan Tape (S&amp;P)'!S59="Yes",
    'FF Adj Parameters'!$B$39,
    1.00)</f>
        <v/>
      </c>
      <c r="R59" s="21">
        <f>IF('Loan Tape (S&amp;P)'!T59="Yes",
    'FF Adj Parameters'!$B$40,
    1.00)</f>
        <v/>
      </c>
      <c r="S59" s="21">
        <f>LET(
    is_htb,'Loan Tape (S&amp;P)'!Q59="Yes",
    rate_type,'Loan Tape (S&amp;P)'!AS59,
    months_to_mat,'Loan Tape (S&amp;P)'!AU59,
    threshold,'FF Adj Parameters'!$B$1259,
    has_shock,AND(rate_type="Fixed",months_to_mat&lt;=threshold),
    IF(is_htb,1.00,IF(has_shock,'FF Adj Parameters'!$B$41,1.00))
)</f>
        <v/>
      </c>
      <c r="T59" s="21">
        <f>IFERROR(
    IF('Loan Tape (S&amp;P)'!N59&lt;&gt;"Interest Only",1.00,
        IF('Loan Tape (S&amp;P)'!N59="Buy to Let",1.00,
            LET(
                mat_check,'Loan Tape (S&amp;P)'!AV59,
                years_to_mat,'Loan Tape (S&amp;P)'!AU59/12,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9" s="21">
        <f>IF(AND('Loan Tape (S&amp;P)'!V59="Yes",'Loan Tape (S&amp;P)'!N59&lt;&gt;"Buy to Let"),
    'FF Adj Parameters'!$B$42,
    1.00)</f>
        <v/>
      </c>
      <c r="V59" s="21">
        <f>IF('Loan Tape (S&amp;P)'!AV59="Yes",
    'FF Adj Parameters'!$B$43,
    1.00)</f>
        <v/>
      </c>
      <c r="W59" s="23">
        <f>IF('Loan Tape (S&amp;P)'!AC59&gt;0,
    'FF Adj Parameters'!$B$44,
    1.00)</f>
        <v/>
      </c>
      <c r="X59" s="21">
        <f>LET(
    has_bankruptcy,'Loan Tape (S&amp;P)'!AE59="Yes",
    has_iva,'Loan Tape (S&amp;P)'!AF59="Yes",
    has_repo,'Loan Tape (S&amp;P)'!AI59="Yes",
    mult,IF(has_repo,'FF Adj Parameters'!$B$47,
            IF(has_bankruptcy,'FF Adj Parameters'!$B$459,
                IF(has_iva,'FF Adj Parameters'!$B$46,
                    1.00))),
    MAX(mult,0.590)
)</f>
        <v/>
      </c>
      <c r="Y59" s="21">
        <f>LET(
    has_perf_arr,'Loan Tape (S&amp;P)'!AP59="Yes",
    perf_arr_date,'Loan Tape (S&amp;P)'!AQ59,
    last_90_date,'Loan Tape (S&amp;P)'!AR59,
    threshold_years,VLOOKUP('Control Panel'!$B$6,'Jurisdiction Parameters'!$A:$Q,17,FALSE),
    relevant_date,MAX(perf_arr_date,last_90_date),
    years_since,('Control Panel'!$B$10-relevant_date)/3659.259,
    IF(NOT(has_perf_arr),1.00,
        IF(years_since&gt;threshold_years,1.00,
            IF(years_since&lt;=1,INDEX('FF Adj Parameters'!$C$47:$C$590,1),
                IF(years_since&lt;=2,INDEX('FF Adj Parameters'!$C$47:$C$590,2),
                    IF(years_since&lt;=3,INDEX('FF Adj Parameters'!$C$47:$C$590,3),
                        INDEX('FF Adj Parameters'!$C$47:$C$590,4))))))
)</f>
        <v/>
      </c>
      <c r="Z59" s="24">
        <f>IFERROR(
        IF(L59&gt;=100,1.00,
            'Control Panel'!$B$18*F59*G59*MAX(H59,R59)*I59*J59*K59*L59*M59*N59*O59*P59*Q59*S59*T59*U59*V59*W59*X59*Y59
        ),
    0)</f>
        <v/>
      </c>
    </row>
    <row r="60">
      <c r="A60" s="17">
        <f>'Loan Tape (S&amp;P)'!A60</f>
        <v/>
      </c>
      <c r="B60" s="18">
        <f>'Loan Tape (S&amp;P)'!B60</f>
        <v/>
      </c>
      <c r="C60" s="20">
        <f>IFERROR('Loan Tape (S&amp;P)'!C60/'Loan Tape (S&amp;P)'!E60,0)</f>
        <v/>
      </c>
      <c r="D60" s="20">
        <f>IFERROR(
        'Loan Tape (S&amp;P)'!B60/
        ('Loan Tape (S&amp;P)'!D60*
        (1-IF('Loan Tape (S&amp;P)'!AT60&lt;&gt;"Full",
            VLOOKUP('Control Panel'!$B$6,'Jurisdiction Parameters'!$A:$D,4,FALSE),
        0))),
    0)</f>
        <v/>
      </c>
      <c r="E60" s="20">
        <f>('Control Panel'!$B$12*C60)+('Control Panel'!$B$13*D60)</f>
        <v/>
      </c>
      <c r="F60" s="22">
        <f>IFERROR(
        LET(
            juris,'Control Panel'!$B$6,
            ltv_val,E60,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0" s="21">
        <f>'Control Panel'!$B$14</f>
        <v/>
      </c>
      <c r="H60" s="21">
        <f>LET(
    income_mult,'Loan Tape (S&amp;P)'!Z60,
    IF(income_mult=0,1.00,
        IFERROR(
            INDEX('FF Adj Parameters'!$A$160:$B$17,
                MATCH(income_mult,INDEX('FF Adj Parameters'!$A$160:$B$17,,1),1),2),
            1.600))
)</f>
        <v/>
      </c>
      <c r="I60" s="21">
        <f>IF('Loan Tape (S&amp;P)'!N60&lt;&gt;"Buy to Let",1.00,
    LET(
        dscr,'Loan Tape (S&amp;P)'!AA60,
        IF(dscr=0,INDEX('FF Adj Parameters'!$A$21:$B$260,1,2),
            IFERROR(
                INDEX('FF Adj Parameters'!$A$21:$B$260,
                    MATCH(dscr,INDEX('FF Adj Parameters'!$A$21:$B$260,,1),1),2),
                'FF Adj Parameters'!$B$21)))
)</f>
        <v/>
      </c>
      <c r="J60" s="21">
        <f>LET(
    lien,'Loan Tape (S&amp;P)'!AT60,
    IF(lien="First",'FF Adj Parameters'!$B$48,
        IF(lien="Second",'FF Adj Parameters'!$B$49,
            'FF Adj Parameters'!$B$600))
)</f>
        <v/>
      </c>
      <c r="K60" s="21">
        <f>LET(
    purpose,'Loan Tape (S&amp;P)'!U60,
    IF(purpose="Purchase",'FF Adj Parameters'!$B$601,
        IF(purpose="Remortgage",'FF Adj Parameters'!$B$602,
            IF(purpose="Cash-out Remortgage",'FF Adj Parameters'!$B$603,
                1.00)))
)</f>
        <v/>
      </c>
      <c r="L60" s="21">
        <f>LET(
    arrears_months,'Loan Tape (S&amp;P)'!X60,
    IF(arrears_months=0,'FF Adj Parameters'!$B$604,
        IF(arrears_months&lt;=2,'FF Adj Parameters'!$B$6060,
            'FF Adj Parameters'!$B$606))
)</f>
        <v/>
      </c>
      <c r="M60" s="21">
        <f>LET(
    years_seasoned,'Loan Tape (S&amp;P)'!AW60/12,
    arrears_months,'Loan Tape (S&amp;P)'!X60,
    IF(arrears_months&gt;0,1.00,
        IFERROR(
            INDEX('FF Adj Parameters'!$A$60:$B$11,
                MATCH(years_seasoned,INDEX('FF Adj Parameters'!$A$60:$B$11,,1),1),2),
            0.600))
)</f>
        <v/>
      </c>
      <c r="N60" s="21">
        <f>IF(AND('Loan Tape (S&amp;P)'!P60="Yes",'Loan Tape (S&amp;P)'!AW60&lt;'FF Adj Parameters'!$B$124),
    'FF Adj Parameters'!$B$33,
    1.00)</f>
        <v/>
      </c>
      <c r="O60" s="21">
        <f>IF('Loan Tape (S&amp;P)'!Q60="Yes",
    'FF Adj Parameters'!$B$37,
    1.00)</f>
        <v/>
      </c>
      <c r="P60" s="21">
        <f>IF('Loan Tape (S&amp;P)'!R60="Yes",
    'FF Adj Parameters'!$B$38,
    1.00)</f>
        <v/>
      </c>
      <c r="Q60" s="21">
        <f>IF('Loan Tape (S&amp;P)'!S60="Yes",
    'FF Adj Parameters'!$B$39,
    1.00)</f>
        <v/>
      </c>
      <c r="R60" s="21">
        <f>IF('Loan Tape (S&amp;P)'!T60="Yes",
    'FF Adj Parameters'!$B$40,
    1.00)</f>
        <v/>
      </c>
      <c r="S60" s="21">
        <f>LET(
    is_htb,'Loan Tape (S&amp;P)'!Q60="Yes",
    rate_type,'Loan Tape (S&amp;P)'!AS60,
    months_to_mat,'Loan Tape (S&amp;P)'!AU60,
    threshold,'FF Adj Parameters'!$B$1260,
    has_shock,AND(rate_type="Fixed",months_to_mat&lt;=threshold),
    IF(is_htb,1.00,IF(has_shock,'FF Adj Parameters'!$B$41,1.00))
)</f>
        <v/>
      </c>
      <c r="T60" s="21">
        <f>IFERROR(
    IF('Loan Tape (S&amp;P)'!N60&lt;&gt;"Interest Only",1.00,
        IF('Loan Tape (S&amp;P)'!N60="Buy to Let",1.00,
            LET(
                mat_check,'Loan Tape (S&amp;P)'!AV60,
                years_to_mat,'Loan Tape (S&amp;P)'!AU60/12,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0" s="21">
        <f>IF(AND('Loan Tape (S&amp;P)'!V60="Yes",'Loan Tape (S&amp;P)'!N60&lt;&gt;"Buy to Let"),
    'FF Adj Parameters'!$B$42,
    1.00)</f>
        <v/>
      </c>
      <c r="V60" s="21">
        <f>IF('Loan Tape (S&amp;P)'!AV60="Yes",
    'FF Adj Parameters'!$B$43,
    1.00)</f>
        <v/>
      </c>
      <c r="W60" s="23">
        <f>IF('Loan Tape (S&amp;P)'!AC60&gt;0,
    'FF Adj Parameters'!$B$44,
    1.00)</f>
        <v/>
      </c>
      <c r="X60" s="21">
        <f>LET(
    has_bankruptcy,'Loan Tape (S&amp;P)'!AE60="Yes",
    has_iva,'Loan Tape (S&amp;P)'!AF60="Yes",
    has_repo,'Loan Tape (S&amp;P)'!AI60="Yes",
    mult,IF(has_repo,'FF Adj Parameters'!$B$47,
            IF(has_bankruptcy,'FF Adj Parameters'!$B$460,
                IF(has_iva,'FF Adj Parameters'!$B$46,
                    1.00))),
    MAX(mult,0.600)
)</f>
        <v/>
      </c>
      <c r="Y60" s="21">
        <f>LET(
    has_perf_arr,'Loan Tape (S&amp;P)'!AP60="Yes",
    perf_arr_date,'Loan Tape (S&amp;P)'!AQ60,
    last_90_date,'Loan Tape (S&amp;P)'!AR60,
    threshold_years,VLOOKUP('Control Panel'!$B$6,'Jurisdiction Parameters'!$A:$Q,17,FALSE),
    relevant_date,MAX(perf_arr_date,last_90_date),
    years_since,('Control Panel'!$B$10-relevant_date)/3660.260,
    IF(NOT(has_perf_arr),1.00,
        IF(years_since&gt;threshold_years,1.00,
            IF(years_since&lt;=1,INDEX('FF Adj Parameters'!$C$47:$C$600,1),
                IF(years_since&lt;=2,INDEX('FF Adj Parameters'!$C$47:$C$600,2),
                    IF(years_since&lt;=3,INDEX('FF Adj Parameters'!$C$47:$C$600,3),
                        INDEX('FF Adj Parameters'!$C$47:$C$600,4))))))
)</f>
        <v/>
      </c>
      <c r="Z60" s="24">
        <f>IFERROR(
        IF(L60&gt;=100,1.00,
            'Control Panel'!$B$18*F60*G60*MAX(H60,R60)*I60*J60*K60*L60*M60*N60*O60*P60*Q60*S60*T60*U60*V60*W60*X60*Y60
        ),
    0)</f>
        <v/>
      </c>
    </row>
    <row r="61">
      <c r="A61" s="17">
        <f>'Loan Tape (S&amp;P)'!A61</f>
        <v/>
      </c>
      <c r="B61" s="18">
        <f>'Loan Tape (S&amp;P)'!B61</f>
        <v/>
      </c>
      <c r="C61" s="20">
        <f>IFERROR('Loan Tape (S&amp;P)'!C61/'Loan Tape (S&amp;P)'!E61,0)</f>
        <v/>
      </c>
      <c r="D61" s="20">
        <f>IFERROR(
        'Loan Tape (S&amp;P)'!B61/
        ('Loan Tape (S&amp;P)'!D61*
        (1-IF('Loan Tape (S&amp;P)'!AT61&lt;&gt;"Full",
            VLOOKUP('Control Panel'!$B$6,'Jurisdiction Parameters'!$A:$D,4,FALSE),
        0))),
    0)</f>
        <v/>
      </c>
      <c r="E61" s="20">
        <f>('Control Panel'!$B$12*C61)+('Control Panel'!$B$13*D61)</f>
        <v/>
      </c>
      <c r="F61" s="22">
        <f>IFERROR(
        LET(
            juris,'Control Panel'!$B$6,
            ltv_val,E61,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1" s="21">
        <f>'Control Panel'!$B$14</f>
        <v/>
      </c>
      <c r="H61" s="21">
        <f>LET(
    income_mult,'Loan Tape (S&amp;P)'!Z61,
    IF(income_mult=0,1.00,
        IFERROR(
            INDEX('FF Adj Parameters'!$A$161:$B$17,
                MATCH(income_mult,INDEX('FF Adj Parameters'!$A$161:$B$17,,1),1),2),
            1.610))
)</f>
        <v/>
      </c>
      <c r="I61" s="21">
        <f>IF('Loan Tape (S&amp;P)'!N61&lt;&gt;"Buy to Let",1.00,
    LET(
        dscr,'Loan Tape (S&amp;P)'!AA61,
        IF(dscr=0,INDEX('FF Adj Parameters'!$A$21:$B$261,1,2),
            IFERROR(
                INDEX('FF Adj Parameters'!$A$21:$B$261,
                    MATCH(dscr,INDEX('FF Adj Parameters'!$A$21:$B$261,,1),1),2),
                'FF Adj Parameters'!$B$21)))
)</f>
        <v/>
      </c>
      <c r="J61" s="21">
        <f>LET(
    lien,'Loan Tape (S&amp;P)'!AT61,
    IF(lien="First",'FF Adj Parameters'!$B$48,
        IF(lien="Second",'FF Adj Parameters'!$B$49,
            'FF Adj Parameters'!$B$610))
)</f>
        <v/>
      </c>
      <c r="K61" s="21">
        <f>LET(
    purpose,'Loan Tape (S&amp;P)'!U61,
    IF(purpose="Purchase",'FF Adj Parameters'!$B$611,
        IF(purpose="Remortgage",'FF Adj Parameters'!$B$612,
            IF(purpose="Cash-out Remortgage",'FF Adj Parameters'!$B$613,
                1.00)))
)</f>
        <v/>
      </c>
      <c r="L61" s="21">
        <f>LET(
    arrears_months,'Loan Tape (S&amp;P)'!X61,
    IF(arrears_months=0,'FF Adj Parameters'!$B$614,
        IF(arrears_months&lt;=2,'FF Adj Parameters'!$B$6161,
            'FF Adj Parameters'!$B$616))
)</f>
        <v/>
      </c>
      <c r="M61" s="21">
        <f>LET(
    years_seasoned,'Loan Tape (S&amp;P)'!AW61/12,
    arrears_months,'Loan Tape (S&amp;P)'!X61,
    IF(arrears_months&gt;0,1.00,
        IFERROR(
            INDEX('FF Adj Parameters'!$A$61:$B$11,
                MATCH(years_seasoned,INDEX('FF Adj Parameters'!$A$61:$B$11,,1),1),2),
            0.610))
)</f>
        <v/>
      </c>
      <c r="N61" s="21">
        <f>IF(AND('Loan Tape (S&amp;P)'!P61="Yes",'Loan Tape (S&amp;P)'!AW61&lt;'FF Adj Parameters'!$B$124),
    'FF Adj Parameters'!$B$33,
    1.00)</f>
        <v/>
      </c>
      <c r="O61" s="21">
        <f>IF('Loan Tape (S&amp;P)'!Q61="Yes",
    'FF Adj Parameters'!$B$37,
    1.00)</f>
        <v/>
      </c>
      <c r="P61" s="21">
        <f>IF('Loan Tape (S&amp;P)'!R61="Yes",
    'FF Adj Parameters'!$B$38,
    1.00)</f>
        <v/>
      </c>
      <c r="Q61" s="21">
        <f>IF('Loan Tape (S&amp;P)'!S61="Yes",
    'FF Adj Parameters'!$B$39,
    1.00)</f>
        <v/>
      </c>
      <c r="R61" s="21">
        <f>IF('Loan Tape (S&amp;P)'!T61="Yes",
    'FF Adj Parameters'!$B$40,
    1.00)</f>
        <v/>
      </c>
      <c r="S61" s="21">
        <f>LET(
    is_htb,'Loan Tape (S&amp;P)'!Q61="Yes",
    rate_type,'Loan Tape (S&amp;P)'!AS61,
    months_to_mat,'Loan Tape (S&amp;P)'!AU61,
    threshold,'FF Adj Parameters'!$B$1261,
    has_shock,AND(rate_type="Fixed",months_to_mat&lt;=threshold),
    IF(is_htb,1.00,IF(has_shock,'FF Adj Parameters'!$B$41,1.00))
)</f>
        <v/>
      </c>
      <c r="T61" s="21">
        <f>IFERROR(
    IF('Loan Tape (S&amp;P)'!N61&lt;&gt;"Interest Only",1.00,
        IF('Loan Tape (S&amp;P)'!N61="Buy to Let",1.00,
            LET(
                mat_check,'Loan Tape (S&amp;P)'!AV61,
                years_to_mat,'Loan Tape (S&amp;P)'!AU61/12,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1" s="21">
        <f>IF(AND('Loan Tape (S&amp;P)'!V61="Yes",'Loan Tape (S&amp;P)'!N61&lt;&gt;"Buy to Let"),
    'FF Adj Parameters'!$B$42,
    1.00)</f>
        <v/>
      </c>
      <c r="V61" s="21">
        <f>IF('Loan Tape (S&amp;P)'!AV61="Yes",
    'FF Adj Parameters'!$B$43,
    1.00)</f>
        <v/>
      </c>
      <c r="W61" s="23">
        <f>IF('Loan Tape (S&amp;P)'!AC61&gt;0,
    'FF Adj Parameters'!$B$44,
    1.00)</f>
        <v/>
      </c>
      <c r="X61" s="21">
        <f>LET(
    has_bankruptcy,'Loan Tape (S&amp;P)'!AE61="Yes",
    has_iva,'Loan Tape (S&amp;P)'!AF61="Yes",
    has_repo,'Loan Tape (S&amp;P)'!AI61="Yes",
    mult,IF(has_repo,'FF Adj Parameters'!$B$47,
            IF(has_bankruptcy,'FF Adj Parameters'!$B$461,
                IF(has_iva,'FF Adj Parameters'!$B$46,
                    1.00))),
    MAX(mult,0.610)
)</f>
        <v/>
      </c>
      <c r="Y61" s="21">
        <f>LET(
    has_perf_arr,'Loan Tape (S&amp;P)'!AP61="Yes",
    perf_arr_date,'Loan Tape (S&amp;P)'!AQ61,
    last_90_date,'Loan Tape (S&amp;P)'!AR61,
    threshold_years,VLOOKUP('Control Panel'!$B$6,'Jurisdiction Parameters'!$A:$Q,17,FALSE),
    relevant_date,MAX(perf_arr_date,last_90_date),
    years_since,('Control Panel'!$B$10-relevant_date)/3661.261,
    IF(NOT(has_perf_arr),1.00,
        IF(years_since&gt;threshold_years,1.00,
            IF(years_since&lt;=1,INDEX('FF Adj Parameters'!$C$47:$C$610,1),
                IF(years_since&lt;=2,INDEX('FF Adj Parameters'!$C$47:$C$610,2),
                    IF(years_since&lt;=3,INDEX('FF Adj Parameters'!$C$47:$C$610,3),
                        INDEX('FF Adj Parameters'!$C$47:$C$610,4))))))
)</f>
        <v/>
      </c>
      <c r="Z61" s="24">
        <f>IFERROR(
        IF(L61&gt;=100,1.00,
            'Control Panel'!$B$18*F61*G61*MAX(H61,R61)*I61*J61*K61*L61*M61*N61*O61*P61*Q61*S61*T61*U61*V61*W61*X61*Y61
        ),
    0)</f>
        <v/>
      </c>
    </row>
    <row r="62">
      <c r="A62" s="17">
        <f>'Loan Tape (S&amp;P)'!A62</f>
        <v/>
      </c>
      <c r="B62" s="18">
        <f>'Loan Tape (S&amp;P)'!B62</f>
        <v/>
      </c>
      <c r="C62" s="20">
        <f>IFERROR('Loan Tape (S&amp;P)'!C62/'Loan Tape (S&amp;P)'!E62,0)</f>
        <v/>
      </c>
      <c r="D62" s="20">
        <f>IFERROR(
        'Loan Tape (S&amp;P)'!B62/
        ('Loan Tape (S&amp;P)'!D62*
        (1-IF('Loan Tape (S&amp;P)'!AT62&lt;&gt;"Full",
            VLOOKUP('Control Panel'!$B$6,'Jurisdiction Parameters'!$A:$D,4,FALSE),
        0))),
    0)</f>
        <v/>
      </c>
      <c r="E62" s="20">
        <f>('Control Panel'!$B$12*C62)+('Control Panel'!$B$13*D62)</f>
        <v/>
      </c>
      <c r="F62" s="22">
        <f>IFERROR(
        LET(
            juris,'Control Panel'!$B$6,
            ltv_val,E62,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2" s="21">
        <f>'Control Panel'!$B$14</f>
        <v/>
      </c>
      <c r="H62" s="21">
        <f>LET(
    income_mult,'Loan Tape (S&amp;P)'!Z62,
    IF(income_mult=0,1.00,
        IFERROR(
            INDEX('FF Adj Parameters'!$A$162:$B$17,
                MATCH(income_mult,INDEX('FF Adj Parameters'!$A$162:$B$17,,1),1),2),
            1.620))
)</f>
        <v/>
      </c>
      <c r="I62" s="21">
        <f>IF('Loan Tape (S&amp;P)'!N62&lt;&gt;"Buy to Let",1.00,
    LET(
        dscr,'Loan Tape (S&amp;P)'!AA62,
        IF(dscr=0,INDEX('FF Adj Parameters'!$A$21:$B$262,1,2),
            IFERROR(
                INDEX('FF Adj Parameters'!$A$21:$B$262,
                    MATCH(dscr,INDEX('FF Adj Parameters'!$A$21:$B$262,,1),1),2),
                'FF Adj Parameters'!$B$21)))
)</f>
        <v/>
      </c>
      <c r="J62" s="21">
        <f>LET(
    lien,'Loan Tape (S&amp;P)'!AT62,
    IF(lien="First",'FF Adj Parameters'!$B$48,
        IF(lien="Second",'FF Adj Parameters'!$B$49,
            'FF Adj Parameters'!$B$620))
)</f>
        <v/>
      </c>
      <c r="K62" s="21">
        <f>LET(
    purpose,'Loan Tape (S&amp;P)'!U62,
    IF(purpose="Purchase",'FF Adj Parameters'!$B$621,
        IF(purpose="Remortgage",'FF Adj Parameters'!$B$622,
            IF(purpose="Cash-out Remortgage",'FF Adj Parameters'!$B$623,
                1.00)))
)</f>
        <v/>
      </c>
      <c r="L62" s="21">
        <f>LET(
    arrears_months,'Loan Tape (S&amp;P)'!X62,
    IF(arrears_months=0,'FF Adj Parameters'!$B$624,
        IF(arrears_months&lt;=2,'FF Adj Parameters'!$B$6262,
            'FF Adj Parameters'!$B$626))
)</f>
        <v/>
      </c>
      <c r="M62" s="21">
        <f>LET(
    years_seasoned,'Loan Tape (S&amp;P)'!AW62/12,
    arrears_months,'Loan Tape (S&amp;P)'!X62,
    IF(arrears_months&gt;0,1.00,
        IFERROR(
            INDEX('FF Adj Parameters'!$A$62:$B$11,
                MATCH(years_seasoned,INDEX('FF Adj Parameters'!$A$62:$B$11,,1),1),2),
            0.620))
)</f>
        <v/>
      </c>
      <c r="N62" s="21">
        <f>IF(AND('Loan Tape (S&amp;P)'!P62="Yes",'Loan Tape (S&amp;P)'!AW62&lt;'FF Adj Parameters'!$B$124),
    'FF Adj Parameters'!$B$33,
    1.00)</f>
        <v/>
      </c>
      <c r="O62" s="21">
        <f>IF('Loan Tape (S&amp;P)'!Q62="Yes",
    'FF Adj Parameters'!$B$37,
    1.00)</f>
        <v/>
      </c>
      <c r="P62" s="21">
        <f>IF('Loan Tape (S&amp;P)'!R62="Yes",
    'FF Adj Parameters'!$B$38,
    1.00)</f>
        <v/>
      </c>
      <c r="Q62" s="21">
        <f>IF('Loan Tape (S&amp;P)'!S62="Yes",
    'FF Adj Parameters'!$B$39,
    1.00)</f>
        <v/>
      </c>
      <c r="R62" s="21">
        <f>IF('Loan Tape (S&amp;P)'!T62="Yes",
    'FF Adj Parameters'!$B$40,
    1.00)</f>
        <v/>
      </c>
      <c r="S62" s="21">
        <f>LET(
    is_htb,'Loan Tape (S&amp;P)'!Q62="Yes",
    rate_type,'Loan Tape (S&amp;P)'!AS62,
    months_to_mat,'Loan Tape (S&amp;P)'!AU62,
    threshold,'FF Adj Parameters'!$B$1262,
    has_shock,AND(rate_type="Fixed",months_to_mat&lt;=threshold),
    IF(is_htb,1.00,IF(has_shock,'FF Adj Parameters'!$B$41,1.00))
)</f>
        <v/>
      </c>
      <c r="T62" s="21">
        <f>IFERROR(
    IF('Loan Tape (S&amp;P)'!N62&lt;&gt;"Interest Only",1.00,
        IF('Loan Tape (S&amp;P)'!N62="Buy to Let",1.00,
            LET(
                mat_check,'Loan Tape (S&amp;P)'!AV62,
                years_to_mat,'Loan Tape (S&amp;P)'!AU62/12,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2" s="21">
        <f>IF(AND('Loan Tape (S&amp;P)'!V62="Yes",'Loan Tape (S&amp;P)'!N62&lt;&gt;"Buy to Let"),
    'FF Adj Parameters'!$B$42,
    1.00)</f>
        <v/>
      </c>
      <c r="V62" s="21">
        <f>IF('Loan Tape (S&amp;P)'!AV62="Yes",
    'FF Adj Parameters'!$B$43,
    1.00)</f>
        <v/>
      </c>
      <c r="W62" s="23">
        <f>IF('Loan Tape (S&amp;P)'!AC62&gt;0,
    'FF Adj Parameters'!$B$44,
    1.00)</f>
        <v/>
      </c>
      <c r="X62" s="21">
        <f>LET(
    has_bankruptcy,'Loan Tape (S&amp;P)'!AE62="Yes",
    has_iva,'Loan Tape (S&amp;P)'!AF62="Yes",
    has_repo,'Loan Tape (S&amp;P)'!AI62="Yes",
    mult,IF(has_repo,'FF Adj Parameters'!$B$47,
            IF(has_bankruptcy,'FF Adj Parameters'!$B$462,
                IF(has_iva,'FF Adj Parameters'!$B$46,
                    1.00))),
    MAX(mult,0.620)
)</f>
        <v/>
      </c>
      <c r="Y62" s="21">
        <f>LET(
    has_perf_arr,'Loan Tape (S&amp;P)'!AP62="Yes",
    perf_arr_date,'Loan Tape (S&amp;P)'!AQ62,
    last_90_date,'Loan Tape (S&amp;P)'!AR62,
    threshold_years,VLOOKUP('Control Panel'!$B$6,'Jurisdiction Parameters'!$A:$Q,17,FALSE),
    relevant_date,MAX(perf_arr_date,last_90_date),
    years_since,('Control Panel'!$B$10-relevant_date)/3662.262,
    IF(NOT(has_perf_arr),1.00,
        IF(years_since&gt;threshold_years,1.00,
            IF(years_since&lt;=1,INDEX('FF Adj Parameters'!$C$47:$C$620,1),
                IF(years_since&lt;=2,INDEX('FF Adj Parameters'!$C$47:$C$620,2),
                    IF(years_since&lt;=3,INDEX('FF Adj Parameters'!$C$47:$C$620,3),
                        INDEX('FF Adj Parameters'!$C$47:$C$620,4))))))
)</f>
        <v/>
      </c>
      <c r="Z62" s="24">
        <f>IFERROR(
        IF(L62&gt;=100,1.00,
            'Control Panel'!$B$18*F62*G62*MAX(H62,R62)*I62*J62*K62*L62*M62*N62*O62*P62*Q62*S62*T62*U62*V62*W62*X62*Y62
        ),
    0)</f>
        <v/>
      </c>
    </row>
    <row r="63">
      <c r="A63" s="17">
        <f>'Loan Tape (S&amp;P)'!A63</f>
        <v/>
      </c>
      <c r="B63" s="18">
        <f>'Loan Tape (S&amp;P)'!B63</f>
        <v/>
      </c>
      <c r="C63" s="20">
        <f>IFERROR('Loan Tape (S&amp;P)'!C63/'Loan Tape (S&amp;P)'!E63,0)</f>
        <v/>
      </c>
      <c r="D63" s="20">
        <f>IFERROR(
        'Loan Tape (S&amp;P)'!B63/
        ('Loan Tape (S&amp;P)'!D63*
        (1-IF('Loan Tape (S&amp;P)'!AT63&lt;&gt;"Full",
            VLOOKUP('Control Panel'!$B$6,'Jurisdiction Parameters'!$A:$D,4,FALSE),
        0))),
    0)</f>
        <v/>
      </c>
      <c r="E63" s="20">
        <f>('Control Panel'!$B$12*C63)+('Control Panel'!$B$13*D63)</f>
        <v/>
      </c>
      <c r="F63" s="22">
        <f>IFERROR(
        LET(
            juris,'Control Panel'!$B$6,
            ltv_val,E63,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3" s="21">
        <f>'Control Panel'!$B$14</f>
        <v/>
      </c>
      <c r="H63" s="21">
        <f>LET(
    income_mult,'Loan Tape (S&amp;P)'!Z63,
    IF(income_mult=0,1.00,
        IFERROR(
            INDEX('FF Adj Parameters'!$A$163:$B$17,
                MATCH(income_mult,INDEX('FF Adj Parameters'!$A$163:$B$17,,1),1),2),
            1.630))
)</f>
        <v/>
      </c>
      <c r="I63" s="21">
        <f>IF('Loan Tape (S&amp;P)'!N63&lt;&gt;"Buy to Let",1.00,
    LET(
        dscr,'Loan Tape (S&amp;P)'!AA63,
        IF(dscr=0,INDEX('FF Adj Parameters'!$A$21:$B$263,1,2),
            IFERROR(
                INDEX('FF Adj Parameters'!$A$21:$B$263,
                    MATCH(dscr,INDEX('FF Adj Parameters'!$A$21:$B$263,,1),1),2),
                'FF Adj Parameters'!$B$21)))
)</f>
        <v/>
      </c>
      <c r="J63" s="21">
        <f>LET(
    lien,'Loan Tape (S&amp;P)'!AT63,
    IF(lien="First",'FF Adj Parameters'!$B$48,
        IF(lien="Second",'FF Adj Parameters'!$B$49,
            'FF Adj Parameters'!$B$630))
)</f>
        <v/>
      </c>
      <c r="K63" s="21">
        <f>LET(
    purpose,'Loan Tape (S&amp;P)'!U63,
    IF(purpose="Purchase",'FF Adj Parameters'!$B$631,
        IF(purpose="Remortgage",'FF Adj Parameters'!$B$632,
            IF(purpose="Cash-out Remortgage",'FF Adj Parameters'!$B$633,
                1.00)))
)</f>
        <v/>
      </c>
      <c r="L63" s="21">
        <f>LET(
    arrears_months,'Loan Tape (S&amp;P)'!X63,
    IF(arrears_months=0,'FF Adj Parameters'!$B$634,
        IF(arrears_months&lt;=2,'FF Adj Parameters'!$B$6363,
            'FF Adj Parameters'!$B$636))
)</f>
        <v/>
      </c>
      <c r="M63" s="21">
        <f>LET(
    years_seasoned,'Loan Tape (S&amp;P)'!AW63/12,
    arrears_months,'Loan Tape (S&amp;P)'!X63,
    IF(arrears_months&gt;0,1.00,
        IFERROR(
            INDEX('FF Adj Parameters'!$A$63:$B$11,
                MATCH(years_seasoned,INDEX('FF Adj Parameters'!$A$63:$B$11,,1),1),2),
            0.630))
)</f>
        <v/>
      </c>
      <c r="N63" s="21">
        <f>IF(AND('Loan Tape (S&amp;P)'!P63="Yes",'Loan Tape (S&amp;P)'!AW63&lt;'FF Adj Parameters'!$B$124),
    'FF Adj Parameters'!$B$33,
    1.00)</f>
        <v/>
      </c>
      <c r="O63" s="21">
        <f>IF('Loan Tape (S&amp;P)'!Q63="Yes",
    'FF Adj Parameters'!$B$37,
    1.00)</f>
        <v/>
      </c>
      <c r="P63" s="21">
        <f>IF('Loan Tape (S&amp;P)'!R63="Yes",
    'FF Adj Parameters'!$B$38,
    1.00)</f>
        <v/>
      </c>
      <c r="Q63" s="21">
        <f>IF('Loan Tape (S&amp;P)'!S63="Yes",
    'FF Adj Parameters'!$B$39,
    1.00)</f>
        <v/>
      </c>
      <c r="R63" s="21">
        <f>IF('Loan Tape (S&amp;P)'!T63="Yes",
    'FF Adj Parameters'!$B$40,
    1.00)</f>
        <v/>
      </c>
      <c r="S63" s="21">
        <f>LET(
    is_htb,'Loan Tape (S&amp;P)'!Q63="Yes",
    rate_type,'Loan Tape (S&amp;P)'!AS63,
    months_to_mat,'Loan Tape (S&amp;P)'!AU63,
    threshold,'FF Adj Parameters'!$B$1263,
    has_shock,AND(rate_type="Fixed",months_to_mat&lt;=threshold),
    IF(is_htb,1.00,IF(has_shock,'FF Adj Parameters'!$B$41,1.00))
)</f>
        <v/>
      </c>
      <c r="T63" s="21">
        <f>IFERROR(
    IF('Loan Tape (S&amp;P)'!N63&lt;&gt;"Interest Only",1.00,
        IF('Loan Tape (S&amp;P)'!N63="Buy to Let",1.00,
            LET(
                mat_check,'Loan Tape (S&amp;P)'!AV63,
                years_to_mat,'Loan Tape (S&amp;P)'!AU63/12,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3" s="21">
        <f>IF(AND('Loan Tape (S&amp;P)'!V63="Yes",'Loan Tape (S&amp;P)'!N63&lt;&gt;"Buy to Let"),
    'FF Adj Parameters'!$B$42,
    1.00)</f>
        <v/>
      </c>
      <c r="V63" s="21">
        <f>IF('Loan Tape (S&amp;P)'!AV63="Yes",
    'FF Adj Parameters'!$B$43,
    1.00)</f>
        <v/>
      </c>
      <c r="W63" s="23">
        <f>IF('Loan Tape (S&amp;P)'!AC63&gt;0,
    'FF Adj Parameters'!$B$44,
    1.00)</f>
        <v/>
      </c>
      <c r="X63" s="21">
        <f>LET(
    has_bankruptcy,'Loan Tape (S&amp;P)'!AE63="Yes",
    has_iva,'Loan Tape (S&amp;P)'!AF63="Yes",
    has_repo,'Loan Tape (S&amp;P)'!AI63="Yes",
    mult,IF(has_repo,'FF Adj Parameters'!$B$47,
            IF(has_bankruptcy,'FF Adj Parameters'!$B$463,
                IF(has_iva,'FF Adj Parameters'!$B$46,
                    1.00))),
    MAX(mult,0.630)
)</f>
        <v/>
      </c>
      <c r="Y63" s="21">
        <f>LET(
    has_perf_arr,'Loan Tape (S&amp;P)'!AP63="Yes",
    perf_arr_date,'Loan Tape (S&amp;P)'!AQ63,
    last_90_date,'Loan Tape (S&amp;P)'!AR63,
    threshold_years,VLOOKUP('Control Panel'!$B$6,'Jurisdiction Parameters'!$A:$Q,17,FALSE),
    relevant_date,MAX(perf_arr_date,last_90_date),
    years_since,('Control Panel'!$B$10-relevant_date)/3663.263,
    IF(NOT(has_perf_arr),1.00,
        IF(years_since&gt;threshold_years,1.00,
            IF(years_since&lt;=1,INDEX('FF Adj Parameters'!$C$47:$C$630,1),
                IF(years_since&lt;=2,INDEX('FF Adj Parameters'!$C$47:$C$630,2),
                    IF(years_since&lt;=3,INDEX('FF Adj Parameters'!$C$47:$C$630,3),
                        INDEX('FF Adj Parameters'!$C$47:$C$630,4))))))
)</f>
        <v/>
      </c>
      <c r="Z63" s="24">
        <f>IFERROR(
        IF(L63&gt;=100,1.00,
            'Control Panel'!$B$18*F63*G63*MAX(H63,R63)*I63*J63*K63*L63*M63*N63*O63*P63*Q63*S63*T63*U63*V63*W63*X63*Y63
        ),
    0)</f>
        <v/>
      </c>
    </row>
    <row r="64">
      <c r="A64" s="17">
        <f>'Loan Tape (S&amp;P)'!A64</f>
        <v/>
      </c>
      <c r="B64" s="18">
        <f>'Loan Tape (S&amp;P)'!B64</f>
        <v/>
      </c>
      <c r="C64" s="20">
        <f>IFERROR('Loan Tape (S&amp;P)'!C64/'Loan Tape (S&amp;P)'!E64,0)</f>
        <v/>
      </c>
      <c r="D64" s="20">
        <f>IFERROR(
        'Loan Tape (S&amp;P)'!B64/
        ('Loan Tape (S&amp;P)'!D64*
        (1-IF('Loan Tape (S&amp;P)'!AT64&lt;&gt;"Full",
            VLOOKUP('Control Panel'!$B$6,'Jurisdiction Parameters'!$A:$D,4,FALSE),
        0))),
    0)</f>
        <v/>
      </c>
      <c r="E64" s="20">
        <f>('Control Panel'!$B$12*C64)+('Control Panel'!$B$13*D64)</f>
        <v/>
      </c>
      <c r="F64" s="22">
        <f>IFERROR(
        LET(
            juris,'Control Panel'!$B$6,
            ltv_val,E64,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4" s="21">
        <f>'Control Panel'!$B$14</f>
        <v/>
      </c>
      <c r="H64" s="21">
        <f>LET(
    income_mult,'Loan Tape (S&amp;P)'!Z64,
    IF(income_mult=0,1.00,
        IFERROR(
            INDEX('FF Adj Parameters'!$A$164:$B$17,
                MATCH(income_mult,INDEX('FF Adj Parameters'!$A$164:$B$17,,1),1),2),
            1.640))
)</f>
        <v/>
      </c>
      <c r="I64" s="21">
        <f>IF('Loan Tape (S&amp;P)'!N64&lt;&gt;"Buy to Let",1.00,
    LET(
        dscr,'Loan Tape (S&amp;P)'!AA64,
        IF(dscr=0,INDEX('FF Adj Parameters'!$A$21:$B$264,1,2),
            IFERROR(
                INDEX('FF Adj Parameters'!$A$21:$B$264,
                    MATCH(dscr,INDEX('FF Adj Parameters'!$A$21:$B$264,,1),1),2),
                'FF Adj Parameters'!$B$21)))
)</f>
        <v/>
      </c>
      <c r="J64" s="21">
        <f>LET(
    lien,'Loan Tape (S&amp;P)'!AT64,
    IF(lien="First",'FF Adj Parameters'!$B$48,
        IF(lien="Second",'FF Adj Parameters'!$B$49,
            'FF Adj Parameters'!$B$640))
)</f>
        <v/>
      </c>
      <c r="K64" s="21">
        <f>LET(
    purpose,'Loan Tape (S&amp;P)'!U64,
    IF(purpose="Purchase",'FF Adj Parameters'!$B$641,
        IF(purpose="Remortgage",'FF Adj Parameters'!$B$642,
            IF(purpose="Cash-out Remortgage",'FF Adj Parameters'!$B$643,
                1.00)))
)</f>
        <v/>
      </c>
      <c r="L64" s="21">
        <f>LET(
    arrears_months,'Loan Tape (S&amp;P)'!X64,
    IF(arrears_months=0,'FF Adj Parameters'!$B$644,
        IF(arrears_months&lt;=2,'FF Adj Parameters'!$B$6464,
            'FF Adj Parameters'!$B$646))
)</f>
        <v/>
      </c>
      <c r="M64" s="21">
        <f>LET(
    years_seasoned,'Loan Tape (S&amp;P)'!AW64/12,
    arrears_months,'Loan Tape (S&amp;P)'!X64,
    IF(arrears_months&gt;0,1.00,
        IFERROR(
            INDEX('FF Adj Parameters'!$A$64:$B$11,
                MATCH(years_seasoned,INDEX('FF Adj Parameters'!$A$64:$B$11,,1),1),2),
            0.640))
)</f>
        <v/>
      </c>
      <c r="N64" s="21">
        <f>IF(AND('Loan Tape (S&amp;P)'!P64="Yes",'Loan Tape (S&amp;P)'!AW64&lt;'FF Adj Parameters'!$B$124),
    'FF Adj Parameters'!$B$33,
    1.00)</f>
        <v/>
      </c>
      <c r="O64" s="21">
        <f>IF('Loan Tape (S&amp;P)'!Q64="Yes",
    'FF Adj Parameters'!$B$37,
    1.00)</f>
        <v/>
      </c>
      <c r="P64" s="21">
        <f>IF('Loan Tape (S&amp;P)'!R64="Yes",
    'FF Adj Parameters'!$B$38,
    1.00)</f>
        <v/>
      </c>
      <c r="Q64" s="21">
        <f>IF('Loan Tape (S&amp;P)'!S64="Yes",
    'FF Adj Parameters'!$B$39,
    1.00)</f>
        <v/>
      </c>
      <c r="R64" s="21">
        <f>IF('Loan Tape (S&amp;P)'!T64="Yes",
    'FF Adj Parameters'!$B$40,
    1.00)</f>
        <v/>
      </c>
      <c r="S64" s="21">
        <f>LET(
    is_htb,'Loan Tape (S&amp;P)'!Q64="Yes",
    rate_type,'Loan Tape (S&amp;P)'!AS64,
    months_to_mat,'Loan Tape (S&amp;P)'!AU64,
    threshold,'FF Adj Parameters'!$B$1264,
    has_shock,AND(rate_type="Fixed",months_to_mat&lt;=threshold),
    IF(is_htb,1.00,IF(has_shock,'FF Adj Parameters'!$B$41,1.00))
)</f>
        <v/>
      </c>
      <c r="T64" s="21">
        <f>IFERROR(
    IF('Loan Tape (S&amp;P)'!N64&lt;&gt;"Interest Only",1.00,
        IF('Loan Tape (S&amp;P)'!N64="Buy to Let",1.00,
            LET(
                mat_check,'Loan Tape (S&amp;P)'!AV64,
                years_to_mat,'Loan Tape (S&amp;P)'!AU64/12,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4" s="21">
        <f>IF(AND('Loan Tape (S&amp;P)'!V64="Yes",'Loan Tape (S&amp;P)'!N64&lt;&gt;"Buy to Let"),
    'FF Adj Parameters'!$B$42,
    1.00)</f>
        <v/>
      </c>
      <c r="V64" s="21">
        <f>IF('Loan Tape (S&amp;P)'!AV64="Yes",
    'FF Adj Parameters'!$B$43,
    1.00)</f>
        <v/>
      </c>
      <c r="W64" s="23">
        <f>IF('Loan Tape (S&amp;P)'!AC64&gt;0,
    'FF Adj Parameters'!$B$44,
    1.00)</f>
        <v/>
      </c>
      <c r="X64" s="21">
        <f>LET(
    has_bankruptcy,'Loan Tape (S&amp;P)'!AE64="Yes",
    has_iva,'Loan Tape (S&amp;P)'!AF64="Yes",
    has_repo,'Loan Tape (S&amp;P)'!AI64="Yes",
    mult,IF(has_repo,'FF Adj Parameters'!$B$47,
            IF(has_bankruptcy,'FF Adj Parameters'!$B$464,
                IF(has_iva,'FF Adj Parameters'!$B$46,
                    1.00))),
    MAX(mult,0.640)
)</f>
        <v/>
      </c>
      <c r="Y64" s="21">
        <f>LET(
    has_perf_arr,'Loan Tape (S&amp;P)'!AP64="Yes",
    perf_arr_date,'Loan Tape (S&amp;P)'!AQ64,
    last_90_date,'Loan Tape (S&amp;P)'!AR64,
    threshold_years,VLOOKUP('Control Panel'!$B$6,'Jurisdiction Parameters'!$A:$Q,17,FALSE),
    relevant_date,MAX(perf_arr_date,last_90_date),
    years_since,('Control Panel'!$B$10-relevant_date)/3664.264,
    IF(NOT(has_perf_arr),1.00,
        IF(years_since&gt;threshold_years,1.00,
            IF(years_since&lt;=1,INDEX('FF Adj Parameters'!$C$47:$C$640,1),
                IF(years_since&lt;=2,INDEX('FF Adj Parameters'!$C$47:$C$640,2),
                    IF(years_since&lt;=3,INDEX('FF Adj Parameters'!$C$47:$C$640,3),
                        INDEX('FF Adj Parameters'!$C$47:$C$640,4))))))
)</f>
        <v/>
      </c>
      <c r="Z64" s="24">
        <f>IFERROR(
        IF(L64&gt;=100,1.00,
            'Control Panel'!$B$18*F64*G64*MAX(H64,R64)*I64*J64*K64*L64*M64*N64*O64*P64*Q64*S64*T64*U64*V64*W64*X64*Y64
        ),
    0)</f>
        <v/>
      </c>
    </row>
    <row r="65">
      <c r="A65" s="17">
        <f>'Loan Tape (S&amp;P)'!A65</f>
        <v/>
      </c>
      <c r="B65" s="18">
        <f>'Loan Tape (S&amp;P)'!B65</f>
        <v/>
      </c>
      <c r="C65" s="20">
        <f>IFERROR('Loan Tape (S&amp;P)'!C65/'Loan Tape (S&amp;P)'!E65,0)</f>
        <v/>
      </c>
      <c r="D65" s="20">
        <f>IFERROR(
        'Loan Tape (S&amp;P)'!B65/
        ('Loan Tape (S&amp;P)'!D65*
        (1-IF('Loan Tape (S&amp;P)'!AT65&lt;&gt;"Full",
            VLOOKUP('Control Panel'!$B$6,'Jurisdiction Parameters'!$A:$D,4,FALSE),
        0))),
    0)</f>
        <v/>
      </c>
      <c r="E65" s="20">
        <f>('Control Panel'!$B$12*C65)+('Control Panel'!$B$13*D65)</f>
        <v/>
      </c>
      <c r="F65" s="22">
        <f>IFERROR(
        LET(
            juris,'Control Panel'!$B$6,
            ltv_val,E65,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5" s="21">
        <f>'Control Panel'!$B$14</f>
        <v/>
      </c>
      <c r="H65" s="21">
        <f>LET(
    income_mult,'Loan Tape (S&amp;P)'!Z65,
    IF(income_mult=0,1.00,
        IFERROR(
            INDEX('FF Adj Parameters'!$A$165:$B$17,
                MATCH(income_mult,INDEX('FF Adj Parameters'!$A$165:$B$17,,1),1),2),
            1.650))
)</f>
        <v/>
      </c>
      <c r="I65" s="21">
        <f>IF('Loan Tape (S&amp;P)'!N65&lt;&gt;"Buy to Let",1.00,
    LET(
        dscr,'Loan Tape (S&amp;P)'!AA65,
        IF(dscr=0,INDEX('FF Adj Parameters'!$A$21:$B$265,1,2),
            IFERROR(
                INDEX('FF Adj Parameters'!$A$21:$B$265,
                    MATCH(dscr,INDEX('FF Adj Parameters'!$A$21:$B$265,,1),1),2),
                'FF Adj Parameters'!$B$21)))
)</f>
        <v/>
      </c>
      <c r="J65" s="21">
        <f>LET(
    lien,'Loan Tape (S&amp;P)'!AT65,
    IF(lien="First",'FF Adj Parameters'!$B$48,
        IF(lien="Second",'FF Adj Parameters'!$B$49,
            'FF Adj Parameters'!$B$650))
)</f>
        <v/>
      </c>
      <c r="K65" s="21">
        <f>LET(
    purpose,'Loan Tape (S&amp;P)'!U65,
    IF(purpose="Purchase",'FF Adj Parameters'!$B$651,
        IF(purpose="Remortgage",'FF Adj Parameters'!$B$652,
            IF(purpose="Cash-out Remortgage",'FF Adj Parameters'!$B$653,
                1.00)))
)</f>
        <v/>
      </c>
      <c r="L65" s="21">
        <f>LET(
    arrears_months,'Loan Tape (S&amp;P)'!X65,
    IF(arrears_months=0,'FF Adj Parameters'!$B$654,
        IF(arrears_months&lt;=2,'FF Adj Parameters'!$B$6565,
            'FF Adj Parameters'!$B$656))
)</f>
        <v/>
      </c>
      <c r="M65" s="21">
        <f>LET(
    years_seasoned,'Loan Tape (S&amp;P)'!AW65/12,
    arrears_months,'Loan Tape (S&amp;P)'!X65,
    IF(arrears_months&gt;0,1.00,
        IFERROR(
            INDEX('FF Adj Parameters'!$A$65:$B$11,
                MATCH(years_seasoned,INDEX('FF Adj Parameters'!$A$65:$B$11,,1),1),2),
            0.650))
)</f>
        <v/>
      </c>
      <c r="N65" s="21">
        <f>IF(AND('Loan Tape (S&amp;P)'!P65="Yes",'Loan Tape (S&amp;P)'!AW65&lt;'FF Adj Parameters'!$B$124),
    'FF Adj Parameters'!$B$33,
    1.00)</f>
        <v/>
      </c>
      <c r="O65" s="21">
        <f>IF('Loan Tape (S&amp;P)'!Q65="Yes",
    'FF Adj Parameters'!$B$37,
    1.00)</f>
        <v/>
      </c>
      <c r="P65" s="21">
        <f>IF('Loan Tape (S&amp;P)'!R65="Yes",
    'FF Adj Parameters'!$B$38,
    1.00)</f>
        <v/>
      </c>
      <c r="Q65" s="21">
        <f>IF('Loan Tape (S&amp;P)'!S65="Yes",
    'FF Adj Parameters'!$B$39,
    1.00)</f>
        <v/>
      </c>
      <c r="R65" s="21">
        <f>IF('Loan Tape (S&amp;P)'!T65="Yes",
    'FF Adj Parameters'!$B$40,
    1.00)</f>
        <v/>
      </c>
      <c r="S65" s="21">
        <f>LET(
    is_htb,'Loan Tape (S&amp;P)'!Q65="Yes",
    rate_type,'Loan Tape (S&amp;P)'!AS65,
    months_to_mat,'Loan Tape (S&amp;P)'!AU65,
    threshold,'FF Adj Parameters'!$B$1265,
    has_shock,AND(rate_type="Fixed",months_to_mat&lt;=threshold),
    IF(is_htb,1.00,IF(has_shock,'FF Adj Parameters'!$B$41,1.00))
)</f>
        <v/>
      </c>
      <c r="T65" s="21">
        <f>IFERROR(
    IF('Loan Tape (S&amp;P)'!N65&lt;&gt;"Interest Only",1.00,
        IF('Loan Tape (S&amp;P)'!N65="Buy to Let",1.00,
            LET(
                mat_check,'Loan Tape (S&amp;P)'!AV65,
                years_to_mat,'Loan Tape (S&amp;P)'!AU65/12,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5" s="21">
        <f>IF(AND('Loan Tape (S&amp;P)'!V65="Yes",'Loan Tape (S&amp;P)'!N65&lt;&gt;"Buy to Let"),
    'FF Adj Parameters'!$B$42,
    1.00)</f>
        <v/>
      </c>
      <c r="V65" s="21">
        <f>IF('Loan Tape (S&amp;P)'!AV65="Yes",
    'FF Adj Parameters'!$B$43,
    1.00)</f>
        <v/>
      </c>
      <c r="W65" s="23">
        <f>IF('Loan Tape (S&amp;P)'!AC65&gt;0,
    'FF Adj Parameters'!$B$44,
    1.00)</f>
        <v/>
      </c>
      <c r="X65" s="21">
        <f>LET(
    has_bankruptcy,'Loan Tape (S&amp;P)'!AE65="Yes",
    has_iva,'Loan Tape (S&amp;P)'!AF65="Yes",
    has_repo,'Loan Tape (S&amp;P)'!AI65="Yes",
    mult,IF(has_repo,'FF Adj Parameters'!$B$47,
            IF(has_bankruptcy,'FF Adj Parameters'!$B$465,
                IF(has_iva,'FF Adj Parameters'!$B$46,
                    1.00))),
    MAX(mult,0.650)
)</f>
        <v/>
      </c>
      <c r="Y65" s="21">
        <f>LET(
    has_perf_arr,'Loan Tape (S&amp;P)'!AP65="Yes",
    perf_arr_date,'Loan Tape (S&amp;P)'!AQ65,
    last_90_date,'Loan Tape (S&amp;P)'!AR65,
    threshold_years,VLOOKUP('Control Panel'!$B$6,'Jurisdiction Parameters'!$A:$Q,17,FALSE),
    relevant_date,MAX(perf_arr_date,last_90_date),
    years_since,('Control Panel'!$B$10-relevant_date)/3665.265,
    IF(NOT(has_perf_arr),1.00,
        IF(years_since&gt;threshold_years,1.00,
            IF(years_since&lt;=1,INDEX('FF Adj Parameters'!$C$47:$C$650,1),
                IF(years_since&lt;=2,INDEX('FF Adj Parameters'!$C$47:$C$650,2),
                    IF(years_since&lt;=3,INDEX('FF Adj Parameters'!$C$47:$C$650,3),
                        INDEX('FF Adj Parameters'!$C$47:$C$650,4))))))
)</f>
        <v/>
      </c>
      <c r="Z65" s="24">
        <f>IFERROR(
        IF(L65&gt;=100,1.00,
            'Control Panel'!$B$18*F65*G65*MAX(H65,R65)*I65*J65*K65*L65*M65*N65*O65*P65*Q65*S65*T65*U65*V65*W65*X65*Y65
        ),
    0)</f>
        <v/>
      </c>
    </row>
    <row r="66">
      <c r="A66" s="17">
        <f>'Loan Tape (S&amp;P)'!A66</f>
        <v/>
      </c>
      <c r="B66" s="18">
        <f>'Loan Tape (S&amp;P)'!B66</f>
        <v/>
      </c>
      <c r="C66" s="20">
        <f>IFERROR('Loan Tape (S&amp;P)'!C66/'Loan Tape (S&amp;P)'!E66,0)</f>
        <v/>
      </c>
      <c r="D66" s="20">
        <f>IFERROR(
        'Loan Tape (S&amp;P)'!B66/
        ('Loan Tape (S&amp;P)'!D66*
        (1-IF('Loan Tape (S&amp;P)'!AT66&lt;&gt;"Full",
            VLOOKUP('Control Panel'!$B$6,'Jurisdiction Parameters'!$A:$D,4,FALSE),
        0))),
    0)</f>
        <v/>
      </c>
      <c r="E66" s="20">
        <f>('Control Panel'!$B$12*C66)+('Control Panel'!$B$13*D66)</f>
        <v/>
      </c>
      <c r="F66" s="22">
        <f>IFERROR(
        LET(
            juris,'Control Panel'!$B$6,
            ltv_val,E66,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6" s="21">
        <f>'Control Panel'!$B$14</f>
        <v/>
      </c>
      <c r="H66" s="21">
        <f>LET(
    income_mult,'Loan Tape (S&amp;P)'!Z66,
    IF(income_mult=0,1.00,
        IFERROR(
            INDEX('FF Adj Parameters'!$A$166:$B$17,
                MATCH(income_mult,INDEX('FF Adj Parameters'!$A$166:$B$17,,1),1),2),
            1.660))
)</f>
        <v/>
      </c>
      <c r="I66" s="21">
        <f>IF('Loan Tape (S&amp;P)'!N66&lt;&gt;"Buy to Let",1.00,
    LET(
        dscr,'Loan Tape (S&amp;P)'!AA66,
        IF(dscr=0,INDEX('FF Adj Parameters'!$A$21:$B$266,1,2),
            IFERROR(
                INDEX('FF Adj Parameters'!$A$21:$B$266,
                    MATCH(dscr,INDEX('FF Adj Parameters'!$A$21:$B$266,,1),1),2),
                'FF Adj Parameters'!$B$21)))
)</f>
        <v/>
      </c>
      <c r="J66" s="21">
        <f>LET(
    lien,'Loan Tape (S&amp;P)'!AT66,
    IF(lien="First",'FF Adj Parameters'!$B$48,
        IF(lien="Second",'FF Adj Parameters'!$B$49,
            'FF Adj Parameters'!$B$660))
)</f>
        <v/>
      </c>
      <c r="K66" s="21">
        <f>LET(
    purpose,'Loan Tape (S&amp;P)'!U66,
    IF(purpose="Purchase",'FF Adj Parameters'!$B$661,
        IF(purpose="Remortgage",'FF Adj Parameters'!$B$662,
            IF(purpose="Cash-out Remortgage",'FF Adj Parameters'!$B$663,
                1.00)))
)</f>
        <v/>
      </c>
      <c r="L66" s="21">
        <f>LET(
    arrears_months,'Loan Tape (S&amp;P)'!X66,
    IF(arrears_months=0,'FF Adj Parameters'!$B$664,
        IF(arrears_months&lt;=2,'FF Adj Parameters'!$B$6666,
            'FF Adj Parameters'!$B$666))
)</f>
        <v/>
      </c>
      <c r="M66" s="21">
        <f>LET(
    years_seasoned,'Loan Tape (S&amp;P)'!AW66/12,
    arrears_months,'Loan Tape (S&amp;P)'!X66,
    IF(arrears_months&gt;0,1.00,
        IFERROR(
            INDEX('FF Adj Parameters'!$A$66:$B$11,
                MATCH(years_seasoned,INDEX('FF Adj Parameters'!$A$66:$B$11,,1),1),2),
            0.660))
)</f>
        <v/>
      </c>
      <c r="N66" s="21">
        <f>IF(AND('Loan Tape (S&amp;P)'!P66="Yes",'Loan Tape (S&amp;P)'!AW66&lt;'FF Adj Parameters'!$B$124),
    'FF Adj Parameters'!$B$33,
    1.00)</f>
        <v/>
      </c>
      <c r="O66" s="21">
        <f>IF('Loan Tape (S&amp;P)'!Q66="Yes",
    'FF Adj Parameters'!$B$37,
    1.00)</f>
        <v/>
      </c>
      <c r="P66" s="21">
        <f>IF('Loan Tape (S&amp;P)'!R66="Yes",
    'FF Adj Parameters'!$B$38,
    1.00)</f>
        <v/>
      </c>
      <c r="Q66" s="21">
        <f>IF('Loan Tape (S&amp;P)'!S66="Yes",
    'FF Adj Parameters'!$B$39,
    1.00)</f>
        <v/>
      </c>
      <c r="R66" s="21">
        <f>IF('Loan Tape (S&amp;P)'!T66="Yes",
    'FF Adj Parameters'!$B$40,
    1.00)</f>
        <v/>
      </c>
      <c r="S66" s="21">
        <f>LET(
    is_htb,'Loan Tape (S&amp;P)'!Q66="Yes",
    rate_type,'Loan Tape (S&amp;P)'!AS66,
    months_to_mat,'Loan Tape (S&amp;P)'!AU66,
    threshold,'FF Adj Parameters'!$B$1266,
    has_shock,AND(rate_type="Fixed",months_to_mat&lt;=threshold),
    IF(is_htb,1.00,IF(has_shock,'FF Adj Parameters'!$B$41,1.00))
)</f>
        <v/>
      </c>
      <c r="T66" s="21">
        <f>IFERROR(
    IF('Loan Tape (S&amp;P)'!N66&lt;&gt;"Interest Only",1.00,
        IF('Loan Tape (S&amp;P)'!N66="Buy to Let",1.00,
            LET(
                mat_check,'Loan Tape (S&amp;P)'!AV66,
                years_to_mat,'Loan Tape (S&amp;P)'!AU66/12,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6" s="21">
        <f>IF(AND('Loan Tape (S&amp;P)'!V66="Yes",'Loan Tape (S&amp;P)'!N66&lt;&gt;"Buy to Let"),
    'FF Adj Parameters'!$B$42,
    1.00)</f>
        <v/>
      </c>
      <c r="V66" s="21">
        <f>IF('Loan Tape (S&amp;P)'!AV66="Yes",
    'FF Adj Parameters'!$B$43,
    1.00)</f>
        <v/>
      </c>
      <c r="W66" s="23">
        <f>IF('Loan Tape (S&amp;P)'!AC66&gt;0,
    'FF Adj Parameters'!$B$44,
    1.00)</f>
        <v/>
      </c>
      <c r="X66" s="21">
        <f>LET(
    has_bankruptcy,'Loan Tape (S&amp;P)'!AE66="Yes",
    has_iva,'Loan Tape (S&amp;P)'!AF66="Yes",
    has_repo,'Loan Tape (S&amp;P)'!AI66="Yes",
    mult,IF(has_repo,'FF Adj Parameters'!$B$47,
            IF(has_bankruptcy,'FF Adj Parameters'!$B$466,
                IF(has_iva,'FF Adj Parameters'!$B$46,
                    1.00))),
    MAX(mult,0.660)
)</f>
        <v/>
      </c>
      <c r="Y66" s="21">
        <f>LET(
    has_perf_arr,'Loan Tape (S&amp;P)'!AP66="Yes",
    perf_arr_date,'Loan Tape (S&amp;P)'!AQ66,
    last_90_date,'Loan Tape (S&amp;P)'!AR66,
    threshold_years,VLOOKUP('Control Panel'!$B$6,'Jurisdiction Parameters'!$A:$Q,17,FALSE),
    relevant_date,MAX(perf_arr_date,last_90_date),
    years_since,('Control Panel'!$B$10-relevant_date)/3666.266,
    IF(NOT(has_perf_arr),1.00,
        IF(years_since&gt;threshold_years,1.00,
            IF(years_since&lt;=1,INDEX('FF Adj Parameters'!$C$47:$C$660,1),
                IF(years_since&lt;=2,INDEX('FF Adj Parameters'!$C$47:$C$660,2),
                    IF(years_since&lt;=3,INDEX('FF Adj Parameters'!$C$47:$C$660,3),
                        INDEX('FF Adj Parameters'!$C$47:$C$660,4))))))
)</f>
        <v/>
      </c>
      <c r="Z66" s="24">
        <f>IFERROR(
        IF(L66&gt;=100,1.00,
            'Control Panel'!$B$18*F66*G66*MAX(H66,R66)*I66*J66*K66*L66*M66*N66*O66*P66*Q66*S66*T66*U66*V66*W66*X66*Y66
        ),
    0)</f>
        <v/>
      </c>
    </row>
    <row r="67">
      <c r="A67" s="17">
        <f>'Loan Tape (S&amp;P)'!A67</f>
        <v/>
      </c>
      <c r="B67" s="18">
        <f>'Loan Tape (S&amp;P)'!B67</f>
        <v/>
      </c>
      <c r="C67" s="20">
        <f>IFERROR('Loan Tape (S&amp;P)'!C67/'Loan Tape (S&amp;P)'!E67,0)</f>
        <v/>
      </c>
      <c r="D67" s="20">
        <f>IFERROR(
        'Loan Tape (S&amp;P)'!B67/
        ('Loan Tape (S&amp;P)'!D67*
        (1-IF('Loan Tape (S&amp;P)'!AT67&lt;&gt;"Full",
            VLOOKUP('Control Panel'!$B$6,'Jurisdiction Parameters'!$A:$D,4,FALSE),
        0))),
    0)</f>
        <v/>
      </c>
      <c r="E67" s="20">
        <f>('Control Panel'!$B$12*C67)+('Control Panel'!$B$13*D67)</f>
        <v/>
      </c>
      <c r="F67" s="22">
        <f>IFERROR(
        LET(
            juris,'Control Panel'!$B$6,
            ltv_val,E67,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7" s="21">
        <f>'Control Panel'!$B$14</f>
        <v/>
      </c>
      <c r="H67" s="21">
        <f>LET(
    income_mult,'Loan Tape (S&amp;P)'!Z67,
    IF(income_mult=0,1.00,
        IFERROR(
            INDEX('FF Adj Parameters'!$A$167:$B$17,
                MATCH(income_mult,INDEX('FF Adj Parameters'!$A$167:$B$17,,1),1),2),
            1.670))
)</f>
        <v/>
      </c>
      <c r="I67" s="21">
        <f>IF('Loan Tape (S&amp;P)'!N67&lt;&gt;"Buy to Let",1.00,
    LET(
        dscr,'Loan Tape (S&amp;P)'!AA67,
        IF(dscr=0,INDEX('FF Adj Parameters'!$A$21:$B$267,1,2),
            IFERROR(
                INDEX('FF Adj Parameters'!$A$21:$B$267,
                    MATCH(dscr,INDEX('FF Adj Parameters'!$A$21:$B$267,,1),1),2),
                'FF Adj Parameters'!$B$21)))
)</f>
        <v/>
      </c>
      <c r="J67" s="21">
        <f>LET(
    lien,'Loan Tape (S&amp;P)'!AT67,
    IF(lien="First",'FF Adj Parameters'!$B$48,
        IF(lien="Second",'FF Adj Parameters'!$B$49,
            'FF Adj Parameters'!$B$670))
)</f>
        <v/>
      </c>
      <c r="K67" s="21">
        <f>LET(
    purpose,'Loan Tape (S&amp;P)'!U67,
    IF(purpose="Purchase",'FF Adj Parameters'!$B$671,
        IF(purpose="Remortgage",'FF Adj Parameters'!$B$672,
            IF(purpose="Cash-out Remortgage",'FF Adj Parameters'!$B$673,
                1.00)))
)</f>
        <v/>
      </c>
      <c r="L67" s="21">
        <f>LET(
    arrears_months,'Loan Tape (S&amp;P)'!X67,
    IF(arrears_months=0,'FF Adj Parameters'!$B$674,
        IF(arrears_months&lt;=2,'FF Adj Parameters'!$B$6767,
            'FF Adj Parameters'!$B$676))
)</f>
        <v/>
      </c>
      <c r="M67" s="21">
        <f>LET(
    years_seasoned,'Loan Tape (S&amp;P)'!AW67/12,
    arrears_months,'Loan Tape (S&amp;P)'!X67,
    IF(arrears_months&gt;0,1.00,
        IFERROR(
            INDEX('FF Adj Parameters'!$A$67:$B$11,
                MATCH(years_seasoned,INDEX('FF Adj Parameters'!$A$67:$B$11,,1),1),2),
            0.670))
)</f>
        <v/>
      </c>
      <c r="N67" s="21">
        <f>IF(AND('Loan Tape (S&amp;P)'!P67="Yes",'Loan Tape (S&amp;P)'!AW67&lt;'FF Adj Parameters'!$B$124),
    'FF Adj Parameters'!$B$33,
    1.00)</f>
        <v/>
      </c>
      <c r="O67" s="21">
        <f>IF('Loan Tape (S&amp;P)'!Q67="Yes",
    'FF Adj Parameters'!$B$37,
    1.00)</f>
        <v/>
      </c>
      <c r="P67" s="21">
        <f>IF('Loan Tape (S&amp;P)'!R67="Yes",
    'FF Adj Parameters'!$B$38,
    1.00)</f>
        <v/>
      </c>
      <c r="Q67" s="21">
        <f>IF('Loan Tape (S&amp;P)'!S67="Yes",
    'FF Adj Parameters'!$B$39,
    1.00)</f>
        <v/>
      </c>
      <c r="R67" s="21">
        <f>IF('Loan Tape (S&amp;P)'!T67="Yes",
    'FF Adj Parameters'!$B$40,
    1.00)</f>
        <v/>
      </c>
      <c r="S67" s="21">
        <f>LET(
    is_htb,'Loan Tape (S&amp;P)'!Q67="Yes",
    rate_type,'Loan Tape (S&amp;P)'!AS67,
    months_to_mat,'Loan Tape (S&amp;P)'!AU67,
    threshold,'FF Adj Parameters'!$B$1267,
    has_shock,AND(rate_type="Fixed",months_to_mat&lt;=threshold),
    IF(is_htb,1.00,IF(has_shock,'FF Adj Parameters'!$B$41,1.00))
)</f>
        <v/>
      </c>
      <c r="T67" s="21">
        <f>IFERROR(
    IF('Loan Tape (S&amp;P)'!N67&lt;&gt;"Interest Only",1.00,
        IF('Loan Tape (S&amp;P)'!N67="Buy to Let",1.00,
            LET(
                mat_check,'Loan Tape (S&amp;P)'!AV67,
                years_to_mat,'Loan Tape (S&amp;P)'!AU67/12,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7" s="21">
        <f>IF(AND('Loan Tape (S&amp;P)'!V67="Yes",'Loan Tape (S&amp;P)'!N67&lt;&gt;"Buy to Let"),
    'FF Adj Parameters'!$B$42,
    1.00)</f>
        <v/>
      </c>
      <c r="V67" s="21">
        <f>IF('Loan Tape (S&amp;P)'!AV67="Yes",
    'FF Adj Parameters'!$B$43,
    1.00)</f>
        <v/>
      </c>
      <c r="W67" s="23">
        <f>IF('Loan Tape (S&amp;P)'!AC67&gt;0,
    'FF Adj Parameters'!$B$44,
    1.00)</f>
        <v/>
      </c>
      <c r="X67" s="21">
        <f>LET(
    has_bankruptcy,'Loan Tape (S&amp;P)'!AE67="Yes",
    has_iva,'Loan Tape (S&amp;P)'!AF67="Yes",
    has_repo,'Loan Tape (S&amp;P)'!AI67="Yes",
    mult,IF(has_repo,'FF Adj Parameters'!$B$47,
            IF(has_bankruptcy,'FF Adj Parameters'!$B$467,
                IF(has_iva,'FF Adj Parameters'!$B$46,
                    1.00))),
    MAX(mult,0.670)
)</f>
        <v/>
      </c>
      <c r="Y67" s="21">
        <f>LET(
    has_perf_arr,'Loan Tape (S&amp;P)'!AP67="Yes",
    perf_arr_date,'Loan Tape (S&amp;P)'!AQ67,
    last_90_date,'Loan Tape (S&amp;P)'!AR67,
    threshold_years,VLOOKUP('Control Panel'!$B$6,'Jurisdiction Parameters'!$A:$Q,17,FALSE),
    relevant_date,MAX(perf_arr_date,last_90_date),
    years_since,('Control Panel'!$B$10-relevant_date)/3667.267,
    IF(NOT(has_perf_arr),1.00,
        IF(years_since&gt;threshold_years,1.00,
            IF(years_since&lt;=1,INDEX('FF Adj Parameters'!$C$47:$C$670,1),
                IF(years_since&lt;=2,INDEX('FF Adj Parameters'!$C$47:$C$670,2),
                    IF(years_since&lt;=3,INDEX('FF Adj Parameters'!$C$47:$C$670,3),
                        INDEX('FF Adj Parameters'!$C$47:$C$670,4))))))
)</f>
        <v/>
      </c>
      <c r="Z67" s="24">
        <f>IFERROR(
        IF(L67&gt;=100,1.00,
            'Control Panel'!$B$18*F67*G67*MAX(H67,R67)*I67*J67*K67*L67*M67*N67*O67*P67*Q67*S67*T67*U67*V67*W67*X67*Y67
        ),
    0)</f>
        <v/>
      </c>
    </row>
    <row r="68">
      <c r="A68" s="17">
        <f>'Loan Tape (S&amp;P)'!A68</f>
        <v/>
      </c>
      <c r="B68" s="18">
        <f>'Loan Tape (S&amp;P)'!B68</f>
        <v/>
      </c>
      <c r="C68" s="20">
        <f>IFERROR('Loan Tape (S&amp;P)'!C68/'Loan Tape (S&amp;P)'!E68,0)</f>
        <v/>
      </c>
      <c r="D68" s="20">
        <f>IFERROR(
        'Loan Tape (S&amp;P)'!B68/
        ('Loan Tape (S&amp;P)'!D68*
        (1-IF('Loan Tape (S&amp;P)'!AT68&lt;&gt;"Full",
            VLOOKUP('Control Panel'!$B$6,'Jurisdiction Parameters'!$A:$D,4,FALSE),
        0))),
    0)</f>
        <v/>
      </c>
      <c r="E68" s="20">
        <f>('Control Panel'!$B$12*C68)+('Control Panel'!$B$13*D68)</f>
        <v/>
      </c>
      <c r="F68" s="22">
        <f>IFERROR(
        LET(
            juris,'Control Panel'!$B$6,
            ltv_val,E68,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8" s="21">
        <f>'Control Panel'!$B$14</f>
        <v/>
      </c>
      <c r="H68" s="21">
        <f>LET(
    income_mult,'Loan Tape (S&amp;P)'!Z68,
    IF(income_mult=0,1.00,
        IFERROR(
            INDEX('FF Adj Parameters'!$A$168:$B$17,
                MATCH(income_mult,INDEX('FF Adj Parameters'!$A$168:$B$17,,1),1),2),
            1.680))
)</f>
        <v/>
      </c>
      <c r="I68" s="21">
        <f>IF('Loan Tape (S&amp;P)'!N68&lt;&gt;"Buy to Let",1.00,
    LET(
        dscr,'Loan Tape (S&amp;P)'!AA68,
        IF(dscr=0,INDEX('FF Adj Parameters'!$A$21:$B$268,1,2),
            IFERROR(
                INDEX('FF Adj Parameters'!$A$21:$B$268,
                    MATCH(dscr,INDEX('FF Adj Parameters'!$A$21:$B$268,,1),1),2),
                'FF Adj Parameters'!$B$21)))
)</f>
        <v/>
      </c>
      <c r="J68" s="21">
        <f>LET(
    lien,'Loan Tape (S&amp;P)'!AT68,
    IF(lien="First",'FF Adj Parameters'!$B$48,
        IF(lien="Second",'FF Adj Parameters'!$B$49,
            'FF Adj Parameters'!$B$680))
)</f>
        <v/>
      </c>
      <c r="K68" s="21">
        <f>LET(
    purpose,'Loan Tape (S&amp;P)'!U68,
    IF(purpose="Purchase",'FF Adj Parameters'!$B$681,
        IF(purpose="Remortgage",'FF Adj Parameters'!$B$682,
            IF(purpose="Cash-out Remortgage",'FF Adj Parameters'!$B$683,
                1.00)))
)</f>
        <v/>
      </c>
      <c r="L68" s="21">
        <f>LET(
    arrears_months,'Loan Tape (S&amp;P)'!X68,
    IF(arrears_months=0,'FF Adj Parameters'!$B$684,
        IF(arrears_months&lt;=2,'FF Adj Parameters'!$B$6868,
            'FF Adj Parameters'!$B$686))
)</f>
        <v/>
      </c>
      <c r="M68" s="21">
        <f>LET(
    years_seasoned,'Loan Tape (S&amp;P)'!AW68/12,
    arrears_months,'Loan Tape (S&amp;P)'!X68,
    IF(arrears_months&gt;0,1.00,
        IFERROR(
            INDEX('FF Adj Parameters'!$A$68:$B$11,
                MATCH(years_seasoned,INDEX('FF Adj Parameters'!$A$68:$B$11,,1),1),2),
            0.680))
)</f>
        <v/>
      </c>
      <c r="N68" s="21">
        <f>IF(AND('Loan Tape (S&amp;P)'!P68="Yes",'Loan Tape (S&amp;P)'!AW68&lt;'FF Adj Parameters'!$B$124),
    'FF Adj Parameters'!$B$33,
    1.00)</f>
        <v/>
      </c>
      <c r="O68" s="21">
        <f>IF('Loan Tape (S&amp;P)'!Q68="Yes",
    'FF Adj Parameters'!$B$37,
    1.00)</f>
        <v/>
      </c>
      <c r="P68" s="21">
        <f>IF('Loan Tape (S&amp;P)'!R68="Yes",
    'FF Adj Parameters'!$B$38,
    1.00)</f>
        <v/>
      </c>
      <c r="Q68" s="21">
        <f>IF('Loan Tape (S&amp;P)'!S68="Yes",
    'FF Adj Parameters'!$B$39,
    1.00)</f>
        <v/>
      </c>
      <c r="R68" s="21">
        <f>IF('Loan Tape (S&amp;P)'!T68="Yes",
    'FF Adj Parameters'!$B$40,
    1.00)</f>
        <v/>
      </c>
      <c r="S68" s="21">
        <f>LET(
    is_htb,'Loan Tape (S&amp;P)'!Q68="Yes",
    rate_type,'Loan Tape (S&amp;P)'!AS68,
    months_to_mat,'Loan Tape (S&amp;P)'!AU68,
    threshold,'FF Adj Parameters'!$B$1268,
    has_shock,AND(rate_type="Fixed",months_to_mat&lt;=threshold),
    IF(is_htb,1.00,IF(has_shock,'FF Adj Parameters'!$B$41,1.00))
)</f>
        <v/>
      </c>
      <c r="T68" s="21">
        <f>IFERROR(
    IF('Loan Tape (S&amp;P)'!N68&lt;&gt;"Interest Only",1.00,
        IF('Loan Tape (S&amp;P)'!N68="Buy to Let",1.00,
            LET(
                mat_check,'Loan Tape (S&amp;P)'!AV68,
                years_to_mat,'Loan Tape (S&amp;P)'!AU68/12,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8" s="21">
        <f>IF(AND('Loan Tape (S&amp;P)'!V68="Yes",'Loan Tape (S&amp;P)'!N68&lt;&gt;"Buy to Let"),
    'FF Adj Parameters'!$B$42,
    1.00)</f>
        <v/>
      </c>
      <c r="V68" s="21">
        <f>IF('Loan Tape (S&amp;P)'!AV68="Yes",
    'FF Adj Parameters'!$B$43,
    1.00)</f>
        <v/>
      </c>
      <c r="W68" s="23">
        <f>IF('Loan Tape (S&amp;P)'!AC68&gt;0,
    'FF Adj Parameters'!$B$44,
    1.00)</f>
        <v/>
      </c>
      <c r="X68" s="21">
        <f>LET(
    has_bankruptcy,'Loan Tape (S&amp;P)'!AE68="Yes",
    has_iva,'Loan Tape (S&amp;P)'!AF68="Yes",
    has_repo,'Loan Tape (S&amp;P)'!AI68="Yes",
    mult,IF(has_repo,'FF Adj Parameters'!$B$47,
            IF(has_bankruptcy,'FF Adj Parameters'!$B$468,
                IF(has_iva,'FF Adj Parameters'!$B$46,
                    1.00))),
    MAX(mult,0.680)
)</f>
        <v/>
      </c>
      <c r="Y68" s="21">
        <f>LET(
    has_perf_arr,'Loan Tape (S&amp;P)'!AP68="Yes",
    perf_arr_date,'Loan Tape (S&amp;P)'!AQ68,
    last_90_date,'Loan Tape (S&amp;P)'!AR68,
    threshold_years,VLOOKUP('Control Panel'!$B$6,'Jurisdiction Parameters'!$A:$Q,17,FALSE),
    relevant_date,MAX(perf_arr_date,last_90_date),
    years_since,('Control Panel'!$B$10-relevant_date)/3668.268,
    IF(NOT(has_perf_arr),1.00,
        IF(years_since&gt;threshold_years,1.00,
            IF(years_since&lt;=1,INDEX('FF Adj Parameters'!$C$47:$C$680,1),
                IF(years_since&lt;=2,INDEX('FF Adj Parameters'!$C$47:$C$680,2),
                    IF(years_since&lt;=3,INDEX('FF Adj Parameters'!$C$47:$C$680,3),
                        INDEX('FF Adj Parameters'!$C$47:$C$680,4))))))
)</f>
        <v/>
      </c>
      <c r="Z68" s="24">
        <f>IFERROR(
        IF(L68&gt;=100,1.00,
            'Control Panel'!$B$18*F68*G68*MAX(H68,R68)*I68*J68*K68*L68*M68*N68*O68*P68*Q68*S68*T68*U68*V68*W68*X68*Y68
        ),
    0)</f>
        <v/>
      </c>
    </row>
    <row r="69">
      <c r="A69" s="17">
        <f>'Loan Tape (S&amp;P)'!A69</f>
        <v/>
      </c>
      <c r="B69" s="18">
        <f>'Loan Tape (S&amp;P)'!B69</f>
        <v/>
      </c>
      <c r="C69" s="20">
        <f>IFERROR('Loan Tape (S&amp;P)'!C69/'Loan Tape (S&amp;P)'!E69,0)</f>
        <v/>
      </c>
      <c r="D69" s="20">
        <f>IFERROR(
        'Loan Tape (S&amp;P)'!B69/
        ('Loan Tape (S&amp;P)'!D69*
        (1-IF('Loan Tape (S&amp;P)'!AT69&lt;&gt;"Full",
            VLOOKUP('Control Panel'!$B$6,'Jurisdiction Parameters'!$A:$D,4,FALSE),
        0))),
    0)</f>
        <v/>
      </c>
      <c r="E69" s="20">
        <f>('Control Panel'!$B$12*C69)+('Control Panel'!$B$13*D69)</f>
        <v/>
      </c>
      <c r="F69" s="22">
        <f>IFERROR(
        LET(
            juris,'Control Panel'!$B$6,
            ltv_val,E69,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9" s="21">
        <f>'Control Panel'!$B$14</f>
        <v/>
      </c>
      <c r="H69" s="21">
        <f>LET(
    income_mult,'Loan Tape (S&amp;P)'!Z69,
    IF(income_mult=0,1.00,
        IFERROR(
            INDEX('FF Adj Parameters'!$A$169:$B$17,
                MATCH(income_mult,INDEX('FF Adj Parameters'!$A$169:$B$17,,1),1),2),
            1.690))
)</f>
        <v/>
      </c>
      <c r="I69" s="21">
        <f>IF('Loan Tape (S&amp;P)'!N69&lt;&gt;"Buy to Let",1.00,
    LET(
        dscr,'Loan Tape (S&amp;P)'!AA69,
        IF(dscr=0,INDEX('FF Adj Parameters'!$A$21:$B$269,1,2),
            IFERROR(
                INDEX('FF Adj Parameters'!$A$21:$B$269,
                    MATCH(dscr,INDEX('FF Adj Parameters'!$A$21:$B$269,,1),1),2),
                'FF Adj Parameters'!$B$21)))
)</f>
        <v/>
      </c>
      <c r="J69" s="21">
        <f>LET(
    lien,'Loan Tape (S&amp;P)'!AT69,
    IF(lien="First",'FF Adj Parameters'!$B$48,
        IF(lien="Second",'FF Adj Parameters'!$B$49,
            'FF Adj Parameters'!$B$690))
)</f>
        <v/>
      </c>
      <c r="K69" s="21">
        <f>LET(
    purpose,'Loan Tape (S&amp;P)'!U69,
    IF(purpose="Purchase",'FF Adj Parameters'!$B$691,
        IF(purpose="Remortgage",'FF Adj Parameters'!$B$692,
            IF(purpose="Cash-out Remortgage",'FF Adj Parameters'!$B$693,
                1.00)))
)</f>
        <v/>
      </c>
      <c r="L69" s="21">
        <f>LET(
    arrears_months,'Loan Tape (S&amp;P)'!X69,
    IF(arrears_months=0,'FF Adj Parameters'!$B$694,
        IF(arrears_months&lt;=2,'FF Adj Parameters'!$B$6969,
            'FF Adj Parameters'!$B$696))
)</f>
        <v/>
      </c>
      <c r="M69" s="21">
        <f>LET(
    years_seasoned,'Loan Tape (S&amp;P)'!AW69/12,
    arrears_months,'Loan Tape (S&amp;P)'!X69,
    IF(arrears_months&gt;0,1.00,
        IFERROR(
            INDEX('FF Adj Parameters'!$A$69:$B$11,
                MATCH(years_seasoned,INDEX('FF Adj Parameters'!$A$69:$B$11,,1),1),2),
            0.690))
)</f>
        <v/>
      </c>
      <c r="N69" s="21">
        <f>IF(AND('Loan Tape (S&amp;P)'!P69="Yes",'Loan Tape (S&amp;P)'!AW69&lt;'FF Adj Parameters'!$B$124),
    'FF Adj Parameters'!$B$33,
    1.00)</f>
        <v/>
      </c>
      <c r="O69" s="21">
        <f>IF('Loan Tape (S&amp;P)'!Q69="Yes",
    'FF Adj Parameters'!$B$37,
    1.00)</f>
        <v/>
      </c>
      <c r="P69" s="21">
        <f>IF('Loan Tape (S&amp;P)'!R69="Yes",
    'FF Adj Parameters'!$B$38,
    1.00)</f>
        <v/>
      </c>
      <c r="Q69" s="21">
        <f>IF('Loan Tape (S&amp;P)'!S69="Yes",
    'FF Adj Parameters'!$B$39,
    1.00)</f>
        <v/>
      </c>
      <c r="R69" s="21">
        <f>IF('Loan Tape (S&amp;P)'!T69="Yes",
    'FF Adj Parameters'!$B$40,
    1.00)</f>
        <v/>
      </c>
      <c r="S69" s="21">
        <f>LET(
    is_htb,'Loan Tape (S&amp;P)'!Q69="Yes",
    rate_type,'Loan Tape (S&amp;P)'!AS69,
    months_to_mat,'Loan Tape (S&amp;P)'!AU69,
    threshold,'FF Adj Parameters'!$B$1269,
    has_shock,AND(rate_type="Fixed",months_to_mat&lt;=threshold),
    IF(is_htb,1.00,IF(has_shock,'FF Adj Parameters'!$B$41,1.00))
)</f>
        <v/>
      </c>
      <c r="T69" s="21">
        <f>IFERROR(
    IF('Loan Tape (S&amp;P)'!N69&lt;&gt;"Interest Only",1.00,
        IF('Loan Tape (S&amp;P)'!N69="Buy to Let",1.00,
            LET(
                mat_check,'Loan Tape (S&amp;P)'!AV69,
                years_to_mat,'Loan Tape (S&amp;P)'!AU69/12,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9" s="21">
        <f>IF(AND('Loan Tape (S&amp;P)'!V69="Yes",'Loan Tape (S&amp;P)'!N69&lt;&gt;"Buy to Let"),
    'FF Adj Parameters'!$B$42,
    1.00)</f>
        <v/>
      </c>
      <c r="V69" s="21">
        <f>IF('Loan Tape (S&amp;P)'!AV69="Yes",
    'FF Adj Parameters'!$B$43,
    1.00)</f>
        <v/>
      </c>
      <c r="W69" s="23">
        <f>IF('Loan Tape (S&amp;P)'!AC69&gt;0,
    'FF Adj Parameters'!$B$44,
    1.00)</f>
        <v/>
      </c>
      <c r="X69" s="21">
        <f>LET(
    has_bankruptcy,'Loan Tape (S&amp;P)'!AE69="Yes",
    has_iva,'Loan Tape (S&amp;P)'!AF69="Yes",
    has_repo,'Loan Tape (S&amp;P)'!AI69="Yes",
    mult,IF(has_repo,'FF Adj Parameters'!$B$47,
            IF(has_bankruptcy,'FF Adj Parameters'!$B$469,
                IF(has_iva,'FF Adj Parameters'!$B$46,
                    1.00))),
    MAX(mult,0.690)
)</f>
        <v/>
      </c>
      <c r="Y69" s="21">
        <f>LET(
    has_perf_arr,'Loan Tape (S&amp;P)'!AP69="Yes",
    perf_arr_date,'Loan Tape (S&amp;P)'!AQ69,
    last_90_date,'Loan Tape (S&amp;P)'!AR69,
    threshold_years,VLOOKUP('Control Panel'!$B$6,'Jurisdiction Parameters'!$A:$Q,17,FALSE),
    relevant_date,MAX(perf_arr_date,last_90_date),
    years_since,('Control Panel'!$B$10-relevant_date)/3669.269,
    IF(NOT(has_perf_arr),1.00,
        IF(years_since&gt;threshold_years,1.00,
            IF(years_since&lt;=1,INDEX('FF Adj Parameters'!$C$47:$C$690,1),
                IF(years_since&lt;=2,INDEX('FF Adj Parameters'!$C$47:$C$690,2),
                    IF(years_since&lt;=3,INDEX('FF Adj Parameters'!$C$47:$C$690,3),
                        INDEX('FF Adj Parameters'!$C$47:$C$690,4))))))
)</f>
        <v/>
      </c>
      <c r="Z69" s="24">
        <f>IFERROR(
        IF(L69&gt;=100,1.00,
            'Control Panel'!$B$18*F69*G69*MAX(H69,R69)*I69*J69*K69*L69*M69*N69*O69*P69*Q69*S69*T69*U69*V69*W69*X69*Y69
        ),
    0)</f>
        <v/>
      </c>
    </row>
    <row r="70">
      <c r="A70" s="17">
        <f>'Loan Tape (S&amp;P)'!A70</f>
        <v/>
      </c>
      <c r="B70" s="18">
        <f>'Loan Tape (S&amp;P)'!B70</f>
        <v/>
      </c>
      <c r="C70" s="20">
        <f>IFERROR('Loan Tape (S&amp;P)'!C70/'Loan Tape (S&amp;P)'!E70,0)</f>
        <v/>
      </c>
      <c r="D70" s="20">
        <f>IFERROR(
        'Loan Tape (S&amp;P)'!B70/
        ('Loan Tape (S&amp;P)'!D70*
        (1-IF('Loan Tape (S&amp;P)'!AT70&lt;&gt;"Full",
            VLOOKUP('Control Panel'!$B$6,'Jurisdiction Parameters'!$A:$D,4,FALSE),
        0))),
    0)</f>
        <v/>
      </c>
      <c r="E70" s="20">
        <f>('Control Panel'!$B$12*C70)+('Control Panel'!$B$13*D70)</f>
        <v/>
      </c>
      <c r="F70" s="22">
        <f>IFERROR(
        LET(
            juris,'Control Panel'!$B$6,
            ltv_val,E70,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0" s="21">
        <f>'Control Panel'!$B$14</f>
        <v/>
      </c>
      <c r="H70" s="21">
        <f>LET(
    income_mult,'Loan Tape (S&amp;P)'!Z70,
    IF(income_mult=0,1.00,
        IFERROR(
            INDEX('FF Adj Parameters'!$A$170:$B$17,
                MATCH(income_mult,INDEX('FF Adj Parameters'!$A$170:$B$17,,1),1),2),
            1.700))
)</f>
        <v/>
      </c>
      <c r="I70" s="21">
        <f>IF('Loan Tape (S&amp;P)'!N70&lt;&gt;"Buy to Let",1.00,
    LET(
        dscr,'Loan Tape (S&amp;P)'!AA70,
        IF(dscr=0,INDEX('FF Adj Parameters'!$A$21:$B$270,1,2),
            IFERROR(
                INDEX('FF Adj Parameters'!$A$21:$B$270,
                    MATCH(dscr,INDEX('FF Adj Parameters'!$A$21:$B$270,,1),1),2),
                'FF Adj Parameters'!$B$21)))
)</f>
        <v/>
      </c>
      <c r="J70" s="21">
        <f>LET(
    lien,'Loan Tape (S&amp;P)'!AT70,
    IF(lien="First",'FF Adj Parameters'!$B$48,
        IF(lien="Second",'FF Adj Parameters'!$B$49,
            'FF Adj Parameters'!$B$700))
)</f>
        <v/>
      </c>
      <c r="K70" s="21">
        <f>LET(
    purpose,'Loan Tape (S&amp;P)'!U70,
    IF(purpose="Purchase",'FF Adj Parameters'!$B$701,
        IF(purpose="Remortgage",'FF Adj Parameters'!$B$702,
            IF(purpose="Cash-out Remortgage",'FF Adj Parameters'!$B$703,
                1.00)))
)</f>
        <v/>
      </c>
      <c r="L70" s="21">
        <f>LET(
    arrears_months,'Loan Tape (S&amp;P)'!X70,
    IF(arrears_months=0,'FF Adj Parameters'!$B$704,
        IF(arrears_months&lt;=2,'FF Adj Parameters'!$B$7070,
            'FF Adj Parameters'!$B$706))
)</f>
        <v/>
      </c>
      <c r="M70" s="21">
        <f>LET(
    years_seasoned,'Loan Tape (S&amp;P)'!AW70/12,
    arrears_months,'Loan Tape (S&amp;P)'!X70,
    IF(arrears_months&gt;0,1.00,
        IFERROR(
            INDEX('FF Adj Parameters'!$A$70:$B$11,
                MATCH(years_seasoned,INDEX('FF Adj Parameters'!$A$70:$B$11,,1),1),2),
            0.700))
)</f>
        <v/>
      </c>
      <c r="N70" s="21">
        <f>IF(AND('Loan Tape (S&amp;P)'!P70="Yes",'Loan Tape (S&amp;P)'!AW70&lt;'FF Adj Parameters'!$B$124),
    'FF Adj Parameters'!$B$33,
    1.00)</f>
        <v/>
      </c>
      <c r="O70" s="21">
        <f>IF('Loan Tape (S&amp;P)'!Q70="Yes",
    'FF Adj Parameters'!$B$37,
    1.00)</f>
        <v/>
      </c>
      <c r="P70" s="21">
        <f>IF('Loan Tape (S&amp;P)'!R70="Yes",
    'FF Adj Parameters'!$B$38,
    1.00)</f>
        <v/>
      </c>
      <c r="Q70" s="21">
        <f>IF('Loan Tape (S&amp;P)'!S70="Yes",
    'FF Adj Parameters'!$B$39,
    1.00)</f>
        <v/>
      </c>
      <c r="R70" s="21">
        <f>IF('Loan Tape (S&amp;P)'!T70="Yes",
    'FF Adj Parameters'!$B$40,
    1.00)</f>
        <v/>
      </c>
      <c r="S70" s="21">
        <f>LET(
    is_htb,'Loan Tape (S&amp;P)'!Q70="Yes",
    rate_type,'Loan Tape (S&amp;P)'!AS70,
    months_to_mat,'Loan Tape (S&amp;P)'!AU70,
    threshold,'FF Adj Parameters'!$B$1270,
    has_shock,AND(rate_type="Fixed",months_to_mat&lt;=threshold),
    IF(is_htb,1.00,IF(has_shock,'FF Adj Parameters'!$B$41,1.00))
)</f>
        <v/>
      </c>
      <c r="T70" s="21">
        <f>IFERROR(
    IF('Loan Tape (S&amp;P)'!N70&lt;&gt;"Interest Only",1.00,
        IF('Loan Tape (S&amp;P)'!N70="Buy to Let",1.00,
            LET(
                mat_check,'Loan Tape (S&amp;P)'!AV70,
                years_to_mat,'Loan Tape (S&amp;P)'!AU70/12,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0" s="21">
        <f>IF(AND('Loan Tape (S&amp;P)'!V70="Yes",'Loan Tape (S&amp;P)'!N70&lt;&gt;"Buy to Let"),
    'FF Adj Parameters'!$B$42,
    1.00)</f>
        <v/>
      </c>
      <c r="V70" s="21">
        <f>IF('Loan Tape (S&amp;P)'!AV70="Yes",
    'FF Adj Parameters'!$B$43,
    1.00)</f>
        <v/>
      </c>
      <c r="W70" s="23">
        <f>IF('Loan Tape (S&amp;P)'!AC70&gt;0,
    'FF Adj Parameters'!$B$44,
    1.00)</f>
        <v/>
      </c>
      <c r="X70" s="21">
        <f>LET(
    has_bankruptcy,'Loan Tape (S&amp;P)'!AE70="Yes",
    has_iva,'Loan Tape (S&amp;P)'!AF70="Yes",
    has_repo,'Loan Tape (S&amp;P)'!AI70="Yes",
    mult,IF(has_repo,'FF Adj Parameters'!$B$47,
            IF(has_bankruptcy,'FF Adj Parameters'!$B$470,
                IF(has_iva,'FF Adj Parameters'!$B$46,
                    1.00))),
    MAX(mult,0.700)
)</f>
        <v/>
      </c>
      <c r="Y70" s="21">
        <f>LET(
    has_perf_arr,'Loan Tape (S&amp;P)'!AP70="Yes",
    perf_arr_date,'Loan Tape (S&amp;P)'!AQ70,
    last_90_date,'Loan Tape (S&amp;P)'!AR70,
    threshold_years,VLOOKUP('Control Panel'!$B$6,'Jurisdiction Parameters'!$A:$Q,17,FALSE),
    relevant_date,MAX(perf_arr_date,last_90_date),
    years_since,('Control Panel'!$B$10-relevant_date)/3670.270,
    IF(NOT(has_perf_arr),1.00,
        IF(years_since&gt;threshold_years,1.00,
            IF(years_since&lt;=1,INDEX('FF Adj Parameters'!$C$47:$C$700,1),
                IF(years_since&lt;=2,INDEX('FF Adj Parameters'!$C$47:$C$700,2),
                    IF(years_since&lt;=3,INDEX('FF Adj Parameters'!$C$47:$C$700,3),
                        INDEX('FF Adj Parameters'!$C$47:$C$700,4))))))
)</f>
        <v/>
      </c>
      <c r="Z70" s="24">
        <f>IFERROR(
        IF(L70&gt;=100,1.00,
            'Control Panel'!$B$18*F70*G70*MAX(H70,R70)*I70*J70*K70*L70*M70*N70*O70*P70*Q70*S70*T70*U70*V70*W70*X70*Y70
        ),
    0)</f>
        <v/>
      </c>
    </row>
    <row r="71">
      <c r="A71" s="17">
        <f>'Loan Tape (S&amp;P)'!A71</f>
        <v/>
      </c>
      <c r="B71" s="18">
        <f>'Loan Tape (S&amp;P)'!B71</f>
        <v/>
      </c>
      <c r="C71" s="20">
        <f>IFERROR('Loan Tape (S&amp;P)'!C71/'Loan Tape (S&amp;P)'!E71,0)</f>
        <v/>
      </c>
      <c r="D71" s="20">
        <f>IFERROR(
        'Loan Tape (S&amp;P)'!B71/
        ('Loan Tape (S&amp;P)'!D71*
        (1-IF('Loan Tape (S&amp;P)'!AT71&lt;&gt;"Full",
            VLOOKUP('Control Panel'!$B$6,'Jurisdiction Parameters'!$A:$D,4,FALSE),
        0))),
    0)</f>
        <v/>
      </c>
      <c r="E71" s="20">
        <f>('Control Panel'!$B$12*C71)+('Control Panel'!$B$13*D71)</f>
        <v/>
      </c>
      <c r="F71" s="22">
        <f>IFERROR(
        LET(
            juris,'Control Panel'!$B$6,
            ltv_val,E71,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1" s="21">
        <f>'Control Panel'!$B$14</f>
        <v/>
      </c>
      <c r="H71" s="21">
        <f>LET(
    income_mult,'Loan Tape (S&amp;P)'!Z71,
    IF(income_mult=0,1.00,
        IFERROR(
            INDEX('FF Adj Parameters'!$A$171:$B$17,
                MATCH(income_mult,INDEX('FF Adj Parameters'!$A$171:$B$17,,1),1),2),
            1.710))
)</f>
        <v/>
      </c>
      <c r="I71" s="21">
        <f>IF('Loan Tape (S&amp;P)'!N71&lt;&gt;"Buy to Let",1.00,
    LET(
        dscr,'Loan Tape (S&amp;P)'!AA71,
        IF(dscr=0,INDEX('FF Adj Parameters'!$A$21:$B$271,1,2),
            IFERROR(
                INDEX('FF Adj Parameters'!$A$21:$B$271,
                    MATCH(dscr,INDEX('FF Adj Parameters'!$A$21:$B$271,,1),1),2),
                'FF Adj Parameters'!$B$21)))
)</f>
        <v/>
      </c>
      <c r="J71" s="21">
        <f>LET(
    lien,'Loan Tape (S&amp;P)'!AT71,
    IF(lien="First",'FF Adj Parameters'!$B$48,
        IF(lien="Second",'FF Adj Parameters'!$B$49,
            'FF Adj Parameters'!$B$710))
)</f>
        <v/>
      </c>
      <c r="K71" s="21">
        <f>LET(
    purpose,'Loan Tape (S&amp;P)'!U71,
    IF(purpose="Purchase",'FF Adj Parameters'!$B$711,
        IF(purpose="Remortgage",'FF Adj Parameters'!$B$712,
            IF(purpose="Cash-out Remortgage",'FF Adj Parameters'!$B$713,
                1.00)))
)</f>
        <v/>
      </c>
      <c r="L71" s="21">
        <f>LET(
    arrears_months,'Loan Tape (S&amp;P)'!X71,
    IF(arrears_months=0,'FF Adj Parameters'!$B$714,
        IF(arrears_months&lt;=2,'FF Adj Parameters'!$B$7171,
            'FF Adj Parameters'!$B$716))
)</f>
        <v/>
      </c>
      <c r="M71" s="21">
        <f>LET(
    years_seasoned,'Loan Tape (S&amp;P)'!AW71/12,
    arrears_months,'Loan Tape (S&amp;P)'!X71,
    IF(arrears_months&gt;0,1.00,
        IFERROR(
            INDEX('FF Adj Parameters'!$A$71:$B$11,
                MATCH(years_seasoned,INDEX('FF Adj Parameters'!$A$71:$B$11,,1),1),2),
            0.710))
)</f>
        <v/>
      </c>
      <c r="N71" s="21">
        <f>IF(AND('Loan Tape (S&amp;P)'!P71="Yes",'Loan Tape (S&amp;P)'!AW71&lt;'FF Adj Parameters'!$B$124),
    'FF Adj Parameters'!$B$33,
    1.00)</f>
        <v/>
      </c>
      <c r="O71" s="21">
        <f>IF('Loan Tape (S&amp;P)'!Q71="Yes",
    'FF Adj Parameters'!$B$37,
    1.00)</f>
        <v/>
      </c>
      <c r="P71" s="21">
        <f>IF('Loan Tape (S&amp;P)'!R71="Yes",
    'FF Adj Parameters'!$B$38,
    1.00)</f>
        <v/>
      </c>
      <c r="Q71" s="21">
        <f>IF('Loan Tape (S&amp;P)'!S71="Yes",
    'FF Adj Parameters'!$B$39,
    1.00)</f>
        <v/>
      </c>
      <c r="R71" s="21">
        <f>IF('Loan Tape (S&amp;P)'!T71="Yes",
    'FF Adj Parameters'!$B$40,
    1.00)</f>
        <v/>
      </c>
      <c r="S71" s="21">
        <f>LET(
    is_htb,'Loan Tape (S&amp;P)'!Q71="Yes",
    rate_type,'Loan Tape (S&amp;P)'!AS71,
    months_to_mat,'Loan Tape (S&amp;P)'!AU71,
    threshold,'FF Adj Parameters'!$B$1271,
    has_shock,AND(rate_type="Fixed",months_to_mat&lt;=threshold),
    IF(is_htb,1.00,IF(has_shock,'FF Adj Parameters'!$B$41,1.00))
)</f>
        <v/>
      </c>
      <c r="T71" s="21">
        <f>IFERROR(
    IF('Loan Tape (S&amp;P)'!N71&lt;&gt;"Interest Only",1.00,
        IF('Loan Tape (S&amp;P)'!N71="Buy to Let",1.00,
            LET(
                mat_check,'Loan Tape (S&amp;P)'!AV71,
                years_to_mat,'Loan Tape (S&amp;P)'!AU71/12,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1" s="21">
        <f>IF(AND('Loan Tape (S&amp;P)'!V71="Yes",'Loan Tape (S&amp;P)'!N71&lt;&gt;"Buy to Let"),
    'FF Adj Parameters'!$B$42,
    1.00)</f>
        <v/>
      </c>
      <c r="V71" s="21">
        <f>IF('Loan Tape (S&amp;P)'!AV71="Yes",
    'FF Adj Parameters'!$B$43,
    1.00)</f>
        <v/>
      </c>
      <c r="W71" s="23">
        <f>IF('Loan Tape (S&amp;P)'!AC71&gt;0,
    'FF Adj Parameters'!$B$44,
    1.00)</f>
        <v/>
      </c>
      <c r="X71" s="21">
        <f>LET(
    has_bankruptcy,'Loan Tape (S&amp;P)'!AE71="Yes",
    has_iva,'Loan Tape (S&amp;P)'!AF71="Yes",
    has_repo,'Loan Tape (S&amp;P)'!AI71="Yes",
    mult,IF(has_repo,'FF Adj Parameters'!$B$47,
            IF(has_bankruptcy,'FF Adj Parameters'!$B$471,
                IF(has_iva,'FF Adj Parameters'!$B$46,
                    1.00))),
    MAX(mult,0.710)
)</f>
        <v/>
      </c>
      <c r="Y71" s="21">
        <f>LET(
    has_perf_arr,'Loan Tape (S&amp;P)'!AP71="Yes",
    perf_arr_date,'Loan Tape (S&amp;P)'!AQ71,
    last_90_date,'Loan Tape (S&amp;P)'!AR71,
    threshold_years,VLOOKUP('Control Panel'!$B$6,'Jurisdiction Parameters'!$A:$Q,17,FALSE),
    relevant_date,MAX(perf_arr_date,last_90_date),
    years_since,('Control Panel'!$B$10-relevant_date)/3671.271,
    IF(NOT(has_perf_arr),1.00,
        IF(years_since&gt;threshold_years,1.00,
            IF(years_since&lt;=1,INDEX('FF Adj Parameters'!$C$47:$C$710,1),
                IF(years_since&lt;=2,INDEX('FF Adj Parameters'!$C$47:$C$710,2),
                    IF(years_since&lt;=3,INDEX('FF Adj Parameters'!$C$47:$C$710,3),
                        INDEX('FF Adj Parameters'!$C$47:$C$710,4))))))
)</f>
        <v/>
      </c>
      <c r="Z71" s="24">
        <f>IFERROR(
        IF(L71&gt;=100,1.00,
            'Control Panel'!$B$18*F71*G71*MAX(H71,R71)*I71*J71*K71*L71*M71*N71*O71*P71*Q71*S71*T71*U71*V71*W71*X71*Y71
        ),
    0)</f>
        <v/>
      </c>
    </row>
    <row r="72">
      <c r="A72" s="17">
        <f>'Loan Tape (S&amp;P)'!A72</f>
        <v/>
      </c>
      <c r="B72" s="18">
        <f>'Loan Tape (S&amp;P)'!B72</f>
        <v/>
      </c>
      <c r="C72" s="20">
        <f>IFERROR('Loan Tape (S&amp;P)'!C72/'Loan Tape (S&amp;P)'!E72,0)</f>
        <v/>
      </c>
      <c r="D72" s="20">
        <f>IFERROR(
        'Loan Tape (S&amp;P)'!B72/
        ('Loan Tape (S&amp;P)'!D72*
        (1-IF('Loan Tape (S&amp;P)'!AT72&lt;&gt;"Full",
            VLOOKUP('Control Panel'!$B$6,'Jurisdiction Parameters'!$A:$D,4,FALSE),
        0))),
    0)</f>
        <v/>
      </c>
      <c r="E72" s="20">
        <f>('Control Panel'!$B$12*C72)+('Control Panel'!$B$13*D72)</f>
        <v/>
      </c>
      <c r="F72" s="22">
        <f>IFERROR(
        LET(
            juris,'Control Panel'!$B$6,
            ltv_val,E72,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2" s="21">
        <f>'Control Panel'!$B$14</f>
        <v/>
      </c>
      <c r="H72" s="21">
        <f>LET(
    income_mult,'Loan Tape (S&amp;P)'!Z72,
    IF(income_mult=0,1.00,
        IFERROR(
            INDEX('FF Adj Parameters'!$A$172:$B$17,
                MATCH(income_mult,INDEX('FF Adj Parameters'!$A$172:$B$17,,1),1),2),
            1.720))
)</f>
        <v/>
      </c>
      <c r="I72" s="21">
        <f>IF('Loan Tape (S&amp;P)'!N72&lt;&gt;"Buy to Let",1.00,
    LET(
        dscr,'Loan Tape (S&amp;P)'!AA72,
        IF(dscr=0,INDEX('FF Adj Parameters'!$A$21:$B$272,1,2),
            IFERROR(
                INDEX('FF Adj Parameters'!$A$21:$B$272,
                    MATCH(dscr,INDEX('FF Adj Parameters'!$A$21:$B$272,,1),1),2),
                'FF Adj Parameters'!$B$21)))
)</f>
        <v/>
      </c>
      <c r="J72" s="21">
        <f>LET(
    lien,'Loan Tape (S&amp;P)'!AT72,
    IF(lien="First",'FF Adj Parameters'!$B$48,
        IF(lien="Second",'FF Adj Parameters'!$B$49,
            'FF Adj Parameters'!$B$720))
)</f>
        <v/>
      </c>
      <c r="K72" s="21">
        <f>LET(
    purpose,'Loan Tape (S&amp;P)'!U72,
    IF(purpose="Purchase",'FF Adj Parameters'!$B$721,
        IF(purpose="Remortgage",'FF Adj Parameters'!$B$722,
            IF(purpose="Cash-out Remortgage",'FF Adj Parameters'!$B$723,
                1.00)))
)</f>
        <v/>
      </c>
      <c r="L72" s="21">
        <f>LET(
    arrears_months,'Loan Tape (S&amp;P)'!X72,
    IF(arrears_months=0,'FF Adj Parameters'!$B$724,
        IF(arrears_months&lt;=2,'FF Adj Parameters'!$B$7272,
            'FF Adj Parameters'!$B$726))
)</f>
        <v/>
      </c>
      <c r="M72" s="21">
        <f>LET(
    years_seasoned,'Loan Tape (S&amp;P)'!AW72/12,
    arrears_months,'Loan Tape (S&amp;P)'!X72,
    IF(arrears_months&gt;0,1.00,
        IFERROR(
            INDEX('FF Adj Parameters'!$A$72:$B$11,
                MATCH(years_seasoned,INDEX('FF Adj Parameters'!$A$72:$B$11,,1),1),2),
            0.720))
)</f>
        <v/>
      </c>
      <c r="N72" s="21">
        <f>IF(AND('Loan Tape (S&amp;P)'!P72="Yes",'Loan Tape (S&amp;P)'!AW72&lt;'FF Adj Parameters'!$B$124),
    'FF Adj Parameters'!$B$33,
    1.00)</f>
        <v/>
      </c>
      <c r="O72" s="21">
        <f>IF('Loan Tape (S&amp;P)'!Q72="Yes",
    'FF Adj Parameters'!$B$37,
    1.00)</f>
        <v/>
      </c>
      <c r="P72" s="21">
        <f>IF('Loan Tape (S&amp;P)'!R72="Yes",
    'FF Adj Parameters'!$B$38,
    1.00)</f>
        <v/>
      </c>
      <c r="Q72" s="21">
        <f>IF('Loan Tape (S&amp;P)'!S72="Yes",
    'FF Adj Parameters'!$B$39,
    1.00)</f>
        <v/>
      </c>
      <c r="R72" s="21">
        <f>IF('Loan Tape (S&amp;P)'!T72="Yes",
    'FF Adj Parameters'!$B$40,
    1.00)</f>
        <v/>
      </c>
      <c r="S72" s="21">
        <f>LET(
    is_htb,'Loan Tape (S&amp;P)'!Q72="Yes",
    rate_type,'Loan Tape (S&amp;P)'!AS72,
    months_to_mat,'Loan Tape (S&amp;P)'!AU72,
    threshold,'FF Adj Parameters'!$B$1272,
    has_shock,AND(rate_type="Fixed",months_to_mat&lt;=threshold),
    IF(is_htb,1.00,IF(has_shock,'FF Adj Parameters'!$B$41,1.00))
)</f>
        <v/>
      </c>
      <c r="T72" s="21">
        <f>IFERROR(
    IF('Loan Tape (S&amp;P)'!N72&lt;&gt;"Interest Only",1.00,
        IF('Loan Tape (S&amp;P)'!N72="Buy to Let",1.00,
            LET(
                mat_check,'Loan Tape (S&amp;P)'!AV72,
                years_to_mat,'Loan Tape (S&amp;P)'!AU72/12,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2" s="21">
        <f>IF(AND('Loan Tape (S&amp;P)'!V72="Yes",'Loan Tape (S&amp;P)'!N72&lt;&gt;"Buy to Let"),
    'FF Adj Parameters'!$B$42,
    1.00)</f>
        <v/>
      </c>
      <c r="V72" s="21">
        <f>IF('Loan Tape (S&amp;P)'!AV72="Yes",
    'FF Adj Parameters'!$B$43,
    1.00)</f>
        <v/>
      </c>
      <c r="W72" s="23">
        <f>IF('Loan Tape (S&amp;P)'!AC72&gt;0,
    'FF Adj Parameters'!$B$44,
    1.00)</f>
        <v/>
      </c>
      <c r="X72" s="21">
        <f>LET(
    has_bankruptcy,'Loan Tape (S&amp;P)'!AE72="Yes",
    has_iva,'Loan Tape (S&amp;P)'!AF72="Yes",
    has_repo,'Loan Tape (S&amp;P)'!AI72="Yes",
    mult,IF(has_repo,'FF Adj Parameters'!$B$47,
            IF(has_bankruptcy,'FF Adj Parameters'!$B$472,
                IF(has_iva,'FF Adj Parameters'!$B$46,
                    1.00))),
    MAX(mult,0.720)
)</f>
        <v/>
      </c>
      <c r="Y72" s="21">
        <f>LET(
    has_perf_arr,'Loan Tape (S&amp;P)'!AP72="Yes",
    perf_arr_date,'Loan Tape (S&amp;P)'!AQ72,
    last_90_date,'Loan Tape (S&amp;P)'!AR72,
    threshold_years,VLOOKUP('Control Panel'!$B$6,'Jurisdiction Parameters'!$A:$Q,17,FALSE),
    relevant_date,MAX(perf_arr_date,last_90_date),
    years_since,('Control Panel'!$B$10-relevant_date)/3672.272,
    IF(NOT(has_perf_arr),1.00,
        IF(years_since&gt;threshold_years,1.00,
            IF(years_since&lt;=1,INDEX('FF Adj Parameters'!$C$47:$C$720,1),
                IF(years_since&lt;=2,INDEX('FF Adj Parameters'!$C$47:$C$720,2),
                    IF(years_since&lt;=3,INDEX('FF Adj Parameters'!$C$47:$C$720,3),
                        INDEX('FF Adj Parameters'!$C$47:$C$720,4))))))
)</f>
        <v/>
      </c>
      <c r="Z72" s="24">
        <f>IFERROR(
        IF(L72&gt;=100,1.00,
            'Control Panel'!$B$18*F72*G72*MAX(H72,R72)*I72*J72*K72*L72*M72*N72*O72*P72*Q72*S72*T72*U72*V72*W72*X72*Y72
        ),
    0)</f>
        <v/>
      </c>
    </row>
    <row r="73">
      <c r="A73" s="17">
        <f>'Loan Tape (S&amp;P)'!A73</f>
        <v/>
      </c>
      <c r="B73" s="18">
        <f>'Loan Tape (S&amp;P)'!B73</f>
        <v/>
      </c>
      <c r="C73" s="20">
        <f>IFERROR('Loan Tape (S&amp;P)'!C73/'Loan Tape (S&amp;P)'!E73,0)</f>
        <v/>
      </c>
      <c r="D73" s="20">
        <f>IFERROR(
        'Loan Tape (S&amp;P)'!B73/
        ('Loan Tape (S&amp;P)'!D73*
        (1-IF('Loan Tape (S&amp;P)'!AT73&lt;&gt;"Full",
            VLOOKUP('Control Panel'!$B$6,'Jurisdiction Parameters'!$A:$D,4,FALSE),
        0))),
    0)</f>
        <v/>
      </c>
      <c r="E73" s="20">
        <f>('Control Panel'!$B$12*C73)+('Control Panel'!$B$13*D73)</f>
        <v/>
      </c>
      <c r="F73" s="22">
        <f>IFERROR(
        LET(
            juris,'Control Panel'!$B$6,
            ltv_val,E73,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3" s="21">
        <f>'Control Panel'!$B$14</f>
        <v/>
      </c>
      <c r="H73" s="21">
        <f>LET(
    income_mult,'Loan Tape (S&amp;P)'!Z73,
    IF(income_mult=0,1.00,
        IFERROR(
            INDEX('FF Adj Parameters'!$A$173:$B$17,
                MATCH(income_mult,INDEX('FF Adj Parameters'!$A$173:$B$17,,1),1),2),
            1.730))
)</f>
        <v/>
      </c>
      <c r="I73" s="21">
        <f>IF('Loan Tape (S&amp;P)'!N73&lt;&gt;"Buy to Let",1.00,
    LET(
        dscr,'Loan Tape (S&amp;P)'!AA73,
        IF(dscr=0,INDEX('FF Adj Parameters'!$A$21:$B$273,1,2),
            IFERROR(
                INDEX('FF Adj Parameters'!$A$21:$B$273,
                    MATCH(dscr,INDEX('FF Adj Parameters'!$A$21:$B$273,,1),1),2),
                'FF Adj Parameters'!$B$21)))
)</f>
        <v/>
      </c>
      <c r="J73" s="21">
        <f>LET(
    lien,'Loan Tape (S&amp;P)'!AT73,
    IF(lien="First",'FF Adj Parameters'!$B$48,
        IF(lien="Second",'FF Adj Parameters'!$B$49,
            'FF Adj Parameters'!$B$730))
)</f>
        <v/>
      </c>
      <c r="K73" s="21">
        <f>LET(
    purpose,'Loan Tape (S&amp;P)'!U73,
    IF(purpose="Purchase",'FF Adj Parameters'!$B$731,
        IF(purpose="Remortgage",'FF Adj Parameters'!$B$732,
            IF(purpose="Cash-out Remortgage",'FF Adj Parameters'!$B$733,
                1.00)))
)</f>
        <v/>
      </c>
      <c r="L73" s="21">
        <f>LET(
    arrears_months,'Loan Tape (S&amp;P)'!X73,
    IF(arrears_months=0,'FF Adj Parameters'!$B$734,
        IF(arrears_months&lt;=2,'FF Adj Parameters'!$B$7373,
            'FF Adj Parameters'!$B$736))
)</f>
        <v/>
      </c>
      <c r="M73" s="21">
        <f>LET(
    years_seasoned,'Loan Tape (S&amp;P)'!AW73/12,
    arrears_months,'Loan Tape (S&amp;P)'!X73,
    IF(arrears_months&gt;0,1.00,
        IFERROR(
            INDEX('FF Adj Parameters'!$A$73:$B$11,
                MATCH(years_seasoned,INDEX('FF Adj Parameters'!$A$73:$B$11,,1),1),2),
            0.730))
)</f>
        <v/>
      </c>
      <c r="N73" s="21">
        <f>IF(AND('Loan Tape (S&amp;P)'!P73="Yes",'Loan Tape (S&amp;P)'!AW73&lt;'FF Adj Parameters'!$B$124),
    'FF Adj Parameters'!$B$33,
    1.00)</f>
        <v/>
      </c>
      <c r="O73" s="21">
        <f>IF('Loan Tape (S&amp;P)'!Q73="Yes",
    'FF Adj Parameters'!$B$37,
    1.00)</f>
        <v/>
      </c>
      <c r="P73" s="21">
        <f>IF('Loan Tape (S&amp;P)'!R73="Yes",
    'FF Adj Parameters'!$B$38,
    1.00)</f>
        <v/>
      </c>
      <c r="Q73" s="21">
        <f>IF('Loan Tape (S&amp;P)'!S73="Yes",
    'FF Adj Parameters'!$B$39,
    1.00)</f>
        <v/>
      </c>
      <c r="R73" s="21">
        <f>IF('Loan Tape (S&amp;P)'!T73="Yes",
    'FF Adj Parameters'!$B$40,
    1.00)</f>
        <v/>
      </c>
      <c r="S73" s="21">
        <f>LET(
    is_htb,'Loan Tape (S&amp;P)'!Q73="Yes",
    rate_type,'Loan Tape (S&amp;P)'!AS73,
    months_to_mat,'Loan Tape (S&amp;P)'!AU73,
    threshold,'FF Adj Parameters'!$B$1273,
    has_shock,AND(rate_type="Fixed",months_to_mat&lt;=threshold),
    IF(is_htb,1.00,IF(has_shock,'FF Adj Parameters'!$B$41,1.00))
)</f>
        <v/>
      </c>
      <c r="T73" s="21">
        <f>IFERROR(
    IF('Loan Tape (S&amp;P)'!N73&lt;&gt;"Interest Only",1.00,
        IF('Loan Tape (S&amp;P)'!N73="Buy to Let",1.00,
            LET(
                mat_check,'Loan Tape (S&amp;P)'!AV73,
                years_to_mat,'Loan Tape (S&amp;P)'!AU73/12,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3" s="21">
        <f>IF(AND('Loan Tape (S&amp;P)'!V73="Yes",'Loan Tape (S&amp;P)'!N73&lt;&gt;"Buy to Let"),
    'FF Adj Parameters'!$B$42,
    1.00)</f>
        <v/>
      </c>
      <c r="V73" s="21">
        <f>IF('Loan Tape (S&amp;P)'!AV73="Yes",
    'FF Adj Parameters'!$B$43,
    1.00)</f>
        <v/>
      </c>
      <c r="W73" s="23">
        <f>IF('Loan Tape (S&amp;P)'!AC73&gt;0,
    'FF Adj Parameters'!$B$44,
    1.00)</f>
        <v/>
      </c>
      <c r="X73" s="21">
        <f>LET(
    has_bankruptcy,'Loan Tape (S&amp;P)'!AE73="Yes",
    has_iva,'Loan Tape (S&amp;P)'!AF73="Yes",
    has_repo,'Loan Tape (S&amp;P)'!AI73="Yes",
    mult,IF(has_repo,'FF Adj Parameters'!$B$47,
            IF(has_bankruptcy,'FF Adj Parameters'!$B$473,
                IF(has_iva,'FF Adj Parameters'!$B$46,
                    1.00))),
    MAX(mult,0.730)
)</f>
        <v/>
      </c>
      <c r="Y73" s="21">
        <f>LET(
    has_perf_arr,'Loan Tape (S&amp;P)'!AP73="Yes",
    perf_arr_date,'Loan Tape (S&amp;P)'!AQ73,
    last_90_date,'Loan Tape (S&amp;P)'!AR73,
    threshold_years,VLOOKUP('Control Panel'!$B$6,'Jurisdiction Parameters'!$A:$Q,17,FALSE),
    relevant_date,MAX(perf_arr_date,last_90_date),
    years_since,('Control Panel'!$B$10-relevant_date)/3673.273,
    IF(NOT(has_perf_arr),1.00,
        IF(years_since&gt;threshold_years,1.00,
            IF(years_since&lt;=1,INDEX('FF Adj Parameters'!$C$47:$C$730,1),
                IF(years_since&lt;=2,INDEX('FF Adj Parameters'!$C$47:$C$730,2),
                    IF(years_since&lt;=3,INDEX('FF Adj Parameters'!$C$47:$C$730,3),
                        INDEX('FF Adj Parameters'!$C$47:$C$730,4))))))
)</f>
        <v/>
      </c>
      <c r="Z73" s="24">
        <f>IFERROR(
        IF(L73&gt;=100,1.00,
            'Control Panel'!$B$18*F73*G73*MAX(H73,R73)*I73*J73*K73*L73*M73*N73*O73*P73*Q73*S73*T73*U73*V73*W73*X73*Y73
        ),
    0)</f>
        <v/>
      </c>
    </row>
    <row r="74">
      <c r="A74" s="17">
        <f>'Loan Tape (S&amp;P)'!A74</f>
        <v/>
      </c>
      <c r="B74" s="18">
        <f>'Loan Tape (S&amp;P)'!B74</f>
        <v/>
      </c>
      <c r="C74" s="20">
        <f>IFERROR('Loan Tape (S&amp;P)'!C74/'Loan Tape (S&amp;P)'!E74,0)</f>
        <v/>
      </c>
      <c r="D74" s="20">
        <f>IFERROR(
        'Loan Tape (S&amp;P)'!B74/
        ('Loan Tape (S&amp;P)'!D74*
        (1-IF('Loan Tape (S&amp;P)'!AT74&lt;&gt;"Full",
            VLOOKUP('Control Panel'!$B$6,'Jurisdiction Parameters'!$A:$D,4,FALSE),
        0))),
    0)</f>
        <v/>
      </c>
      <c r="E74" s="20">
        <f>('Control Panel'!$B$12*C74)+('Control Panel'!$B$13*D74)</f>
        <v/>
      </c>
      <c r="F74" s="22">
        <f>IFERROR(
        LET(
            juris,'Control Panel'!$B$6,
            ltv_val,E74,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4" s="21">
        <f>'Control Panel'!$B$14</f>
        <v/>
      </c>
      <c r="H74" s="21">
        <f>LET(
    income_mult,'Loan Tape (S&amp;P)'!Z74,
    IF(income_mult=0,1.00,
        IFERROR(
            INDEX('FF Adj Parameters'!$A$174:$B$17,
                MATCH(income_mult,INDEX('FF Adj Parameters'!$A$174:$B$17,,1),1),2),
            1.740))
)</f>
        <v/>
      </c>
      <c r="I74" s="21">
        <f>IF('Loan Tape (S&amp;P)'!N74&lt;&gt;"Buy to Let",1.00,
    LET(
        dscr,'Loan Tape (S&amp;P)'!AA74,
        IF(dscr=0,INDEX('FF Adj Parameters'!$A$21:$B$274,1,2),
            IFERROR(
                INDEX('FF Adj Parameters'!$A$21:$B$274,
                    MATCH(dscr,INDEX('FF Adj Parameters'!$A$21:$B$274,,1),1),2),
                'FF Adj Parameters'!$B$21)))
)</f>
        <v/>
      </c>
      <c r="J74" s="21">
        <f>LET(
    lien,'Loan Tape (S&amp;P)'!AT74,
    IF(lien="First",'FF Adj Parameters'!$B$48,
        IF(lien="Second",'FF Adj Parameters'!$B$49,
            'FF Adj Parameters'!$B$740))
)</f>
        <v/>
      </c>
      <c r="K74" s="21">
        <f>LET(
    purpose,'Loan Tape (S&amp;P)'!U74,
    IF(purpose="Purchase",'FF Adj Parameters'!$B$741,
        IF(purpose="Remortgage",'FF Adj Parameters'!$B$742,
            IF(purpose="Cash-out Remortgage",'FF Adj Parameters'!$B$743,
                1.00)))
)</f>
        <v/>
      </c>
      <c r="L74" s="21">
        <f>LET(
    arrears_months,'Loan Tape (S&amp;P)'!X74,
    IF(arrears_months=0,'FF Adj Parameters'!$B$744,
        IF(arrears_months&lt;=2,'FF Adj Parameters'!$B$7474,
            'FF Adj Parameters'!$B$746))
)</f>
        <v/>
      </c>
      <c r="M74" s="21">
        <f>LET(
    years_seasoned,'Loan Tape (S&amp;P)'!AW74/12,
    arrears_months,'Loan Tape (S&amp;P)'!X74,
    IF(arrears_months&gt;0,1.00,
        IFERROR(
            INDEX('FF Adj Parameters'!$A$74:$B$11,
                MATCH(years_seasoned,INDEX('FF Adj Parameters'!$A$74:$B$11,,1),1),2),
            0.740))
)</f>
        <v/>
      </c>
      <c r="N74" s="21">
        <f>IF(AND('Loan Tape (S&amp;P)'!P74="Yes",'Loan Tape (S&amp;P)'!AW74&lt;'FF Adj Parameters'!$B$124),
    'FF Adj Parameters'!$B$33,
    1.00)</f>
        <v/>
      </c>
      <c r="O74" s="21">
        <f>IF('Loan Tape (S&amp;P)'!Q74="Yes",
    'FF Adj Parameters'!$B$37,
    1.00)</f>
        <v/>
      </c>
      <c r="P74" s="21">
        <f>IF('Loan Tape (S&amp;P)'!R74="Yes",
    'FF Adj Parameters'!$B$38,
    1.00)</f>
        <v/>
      </c>
      <c r="Q74" s="21">
        <f>IF('Loan Tape (S&amp;P)'!S74="Yes",
    'FF Adj Parameters'!$B$39,
    1.00)</f>
        <v/>
      </c>
      <c r="R74" s="21">
        <f>IF('Loan Tape (S&amp;P)'!T74="Yes",
    'FF Adj Parameters'!$B$40,
    1.00)</f>
        <v/>
      </c>
      <c r="S74" s="21">
        <f>LET(
    is_htb,'Loan Tape (S&amp;P)'!Q74="Yes",
    rate_type,'Loan Tape (S&amp;P)'!AS74,
    months_to_mat,'Loan Tape (S&amp;P)'!AU74,
    threshold,'FF Adj Parameters'!$B$1274,
    has_shock,AND(rate_type="Fixed",months_to_mat&lt;=threshold),
    IF(is_htb,1.00,IF(has_shock,'FF Adj Parameters'!$B$41,1.00))
)</f>
        <v/>
      </c>
      <c r="T74" s="21">
        <f>IFERROR(
    IF('Loan Tape (S&amp;P)'!N74&lt;&gt;"Interest Only",1.00,
        IF('Loan Tape (S&amp;P)'!N74="Buy to Let",1.00,
            LET(
                mat_check,'Loan Tape (S&amp;P)'!AV74,
                years_to_mat,'Loan Tape (S&amp;P)'!AU74/12,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4" s="21">
        <f>IF(AND('Loan Tape (S&amp;P)'!V74="Yes",'Loan Tape (S&amp;P)'!N74&lt;&gt;"Buy to Let"),
    'FF Adj Parameters'!$B$42,
    1.00)</f>
        <v/>
      </c>
      <c r="V74" s="21">
        <f>IF('Loan Tape (S&amp;P)'!AV74="Yes",
    'FF Adj Parameters'!$B$43,
    1.00)</f>
        <v/>
      </c>
      <c r="W74" s="23">
        <f>IF('Loan Tape (S&amp;P)'!AC74&gt;0,
    'FF Adj Parameters'!$B$44,
    1.00)</f>
        <v/>
      </c>
      <c r="X74" s="21">
        <f>LET(
    has_bankruptcy,'Loan Tape (S&amp;P)'!AE74="Yes",
    has_iva,'Loan Tape (S&amp;P)'!AF74="Yes",
    has_repo,'Loan Tape (S&amp;P)'!AI74="Yes",
    mult,IF(has_repo,'FF Adj Parameters'!$B$47,
            IF(has_bankruptcy,'FF Adj Parameters'!$B$474,
                IF(has_iva,'FF Adj Parameters'!$B$46,
                    1.00))),
    MAX(mult,0.740)
)</f>
        <v/>
      </c>
      <c r="Y74" s="21">
        <f>LET(
    has_perf_arr,'Loan Tape (S&amp;P)'!AP74="Yes",
    perf_arr_date,'Loan Tape (S&amp;P)'!AQ74,
    last_90_date,'Loan Tape (S&amp;P)'!AR74,
    threshold_years,VLOOKUP('Control Panel'!$B$6,'Jurisdiction Parameters'!$A:$Q,17,FALSE),
    relevant_date,MAX(perf_arr_date,last_90_date),
    years_since,('Control Panel'!$B$10-relevant_date)/3674.274,
    IF(NOT(has_perf_arr),1.00,
        IF(years_since&gt;threshold_years,1.00,
            IF(years_since&lt;=1,INDEX('FF Adj Parameters'!$C$47:$C$740,1),
                IF(years_since&lt;=2,INDEX('FF Adj Parameters'!$C$47:$C$740,2),
                    IF(years_since&lt;=3,INDEX('FF Adj Parameters'!$C$47:$C$740,3),
                        INDEX('FF Adj Parameters'!$C$47:$C$740,4))))))
)</f>
        <v/>
      </c>
      <c r="Z74" s="24">
        <f>IFERROR(
        IF(L74&gt;=100,1.00,
            'Control Panel'!$B$18*F74*G74*MAX(H74,R74)*I74*J74*K74*L74*M74*N74*O74*P74*Q74*S74*T74*U74*V74*W74*X74*Y74
        ),
    0)</f>
        <v/>
      </c>
    </row>
    <row r="75">
      <c r="A75" s="17">
        <f>'Loan Tape (S&amp;P)'!A75</f>
        <v/>
      </c>
      <c r="B75" s="18">
        <f>'Loan Tape (S&amp;P)'!B75</f>
        <v/>
      </c>
      <c r="C75" s="20">
        <f>IFERROR('Loan Tape (S&amp;P)'!C75/'Loan Tape (S&amp;P)'!E75,0)</f>
        <v/>
      </c>
      <c r="D75" s="20">
        <f>IFERROR(
        'Loan Tape (S&amp;P)'!B75/
        ('Loan Tape (S&amp;P)'!D75*
        (1-IF('Loan Tape (S&amp;P)'!AT75&lt;&gt;"Full",
            VLOOKUP('Control Panel'!$B$6,'Jurisdiction Parameters'!$A:$D,4,FALSE),
        0))),
    0)</f>
        <v/>
      </c>
      <c r="E75" s="20">
        <f>('Control Panel'!$B$12*C75)+('Control Panel'!$B$13*D75)</f>
        <v/>
      </c>
      <c r="F75" s="22">
        <f>IFERROR(
        LET(
            juris,'Control Panel'!$B$6,
            ltv_val,E75,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5" s="21">
        <f>'Control Panel'!$B$14</f>
        <v/>
      </c>
      <c r="H75" s="21">
        <f>LET(
    income_mult,'Loan Tape (S&amp;P)'!Z75,
    IF(income_mult=0,1.00,
        IFERROR(
            INDEX('FF Adj Parameters'!$A$175:$B$17,
                MATCH(income_mult,INDEX('FF Adj Parameters'!$A$175:$B$17,,1),1),2),
            1.750))
)</f>
        <v/>
      </c>
      <c r="I75" s="21">
        <f>IF('Loan Tape (S&amp;P)'!N75&lt;&gt;"Buy to Let",1.00,
    LET(
        dscr,'Loan Tape (S&amp;P)'!AA75,
        IF(dscr=0,INDEX('FF Adj Parameters'!$A$21:$B$275,1,2),
            IFERROR(
                INDEX('FF Adj Parameters'!$A$21:$B$275,
                    MATCH(dscr,INDEX('FF Adj Parameters'!$A$21:$B$275,,1),1),2),
                'FF Adj Parameters'!$B$21)))
)</f>
        <v/>
      </c>
      <c r="J75" s="21">
        <f>LET(
    lien,'Loan Tape (S&amp;P)'!AT75,
    IF(lien="First",'FF Adj Parameters'!$B$48,
        IF(lien="Second",'FF Adj Parameters'!$B$49,
            'FF Adj Parameters'!$B$750))
)</f>
        <v/>
      </c>
      <c r="K75" s="21">
        <f>LET(
    purpose,'Loan Tape (S&amp;P)'!U75,
    IF(purpose="Purchase",'FF Adj Parameters'!$B$751,
        IF(purpose="Remortgage",'FF Adj Parameters'!$B$752,
            IF(purpose="Cash-out Remortgage",'FF Adj Parameters'!$B$753,
                1.00)))
)</f>
        <v/>
      </c>
      <c r="L75" s="21">
        <f>LET(
    arrears_months,'Loan Tape (S&amp;P)'!X75,
    IF(arrears_months=0,'FF Adj Parameters'!$B$754,
        IF(arrears_months&lt;=2,'FF Adj Parameters'!$B$7575,
            'FF Adj Parameters'!$B$756))
)</f>
        <v/>
      </c>
      <c r="M75" s="21">
        <f>LET(
    years_seasoned,'Loan Tape (S&amp;P)'!AW75/12,
    arrears_months,'Loan Tape (S&amp;P)'!X75,
    IF(arrears_months&gt;0,1.00,
        IFERROR(
            INDEX('FF Adj Parameters'!$A$75:$B$11,
                MATCH(years_seasoned,INDEX('FF Adj Parameters'!$A$75:$B$11,,1),1),2),
            0.750))
)</f>
        <v/>
      </c>
      <c r="N75" s="21">
        <f>IF(AND('Loan Tape (S&amp;P)'!P75="Yes",'Loan Tape (S&amp;P)'!AW75&lt;'FF Adj Parameters'!$B$124),
    'FF Adj Parameters'!$B$33,
    1.00)</f>
        <v/>
      </c>
      <c r="O75" s="21">
        <f>IF('Loan Tape (S&amp;P)'!Q75="Yes",
    'FF Adj Parameters'!$B$37,
    1.00)</f>
        <v/>
      </c>
      <c r="P75" s="21">
        <f>IF('Loan Tape (S&amp;P)'!R75="Yes",
    'FF Adj Parameters'!$B$38,
    1.00)</f>
        <v/>
      </c>
      <c r="Q75" s="21">
        <f>IF('Loan Tape (S&amp;P)'!S75="Yes",
    'FF Adj Parameters'!$B$39,
    1.00)</f>
        <v/>
      </c>
      <c r="R75" s="21">
        <f>IF('Loan Tape (S&amp;P)'!T75="Yes",
    'FF Adj Parameters'!$B$40,
    1.00)</f>
        <v/>
      </c>
      <c r="S75" s="21">
        <f>LET(
    is_htb,'Loan Tape (S&amp;P)'!Q75="Yes",
    rate_type,'Loan Tape (S&amp;P)'!AS75,
    months_to_mat,'Loan Tape (S&amp;P)'!AU75,
    threshold,'FF Adj Parameters'!$B$1275,
    has_shock,AND(rate_type="Fixed",months_to_mat&lt;=threshold),
    IF(is_htb,1.00,IF(has_shock,'FF Adj Parameters'!$B$41,1.00))
)</f>
        <v/>
      </c>
      <c r="T75" s="21">
        <f>IFERROR(
    IF('Loan Tape (S&amp;P)'!N75&lt;&gt;"Interest Only",1.00,
        IF('Loan Tape (S&amp;P)'!N75="Buy to Let",1.00,
            LET(
                mat_check,'Loan Tape (S&amp;P)'!AV75,
                years_to_mat,'Loan Tape (S&amp;P)'!AU75/12,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5" s="21">
        <f>IF(AND('Loan Tape (S&amp;P)'!V75="Yes",'Loan Tape (S&amp;P)'!N75&lt;&gt;"Buy to Let"),
    'FF Adj Parameters'!$B$42,
    1.00)</f>
        <v/>
      </c>
      <c r="V75" s="21">
        <f>IF('Loan Tape (S&amp;P)'!AV75="Yes",
    'FF Adj Parameters'!$B$43,
    1.00)</f>
        <v/>
      </c>
      <c r="W75" s="23">
        <f>IF('Loan Tape (S&amp;P)'!AC75&gt;0,
    'FF Adj Parameters'!$B$44,
    1.00)</f>
        <v/>
      </c>
      <c r="X75" s="21">
        <f>LET(
    has_bankruptcy,'Loan Tape (S&amp;P)'!AE75="Yes",
    has_iva,'Loan Tape (S&amp;P)'!AF75="Yes",
    has_repo,'Loan Tape (S&amp;P)'!AI75="Yes",
    mult,IF(has_repo,'FF Adj Parameters'!$B$47,
            IF(has_bankruptcy,'FF Adj Parameters'!$B$475,
                IF(has_iva,'FF Adj Parameters'!$B$46,
                    1.00))),
    MAX(mult,0.750)
)</f>
        <v/>
      </c>
      <c r="Y75" s="21">
        <f>LET(
    has_perf_arr,'Loan Tape (S&amp;P)'!AP75="Yes",
    perf_arr_date,'Loan Tape (S&amp;P)'!AQ75,
    last_90_date,'Loan Tape (S&amp;P)'!AR75,
    threshold_years,VLOOKUP('Control Panel'!$B$6,'Jurisdiction Parameters'!$A:$Q,17,FALSE),
    relevant_date,MAX(perf_arr_date,last_90_date),
    years_since,('Control Panel'!$B$10-relevant_date)/3675.275,
    IF(NOT(has_perf_arr),1.00,
        IF(years_since&gt;threshold_years,1.00,
            IF(years_since&lt;=1,INDEX('FF Adj Parameters'!$C$47:$C$750,1),
                IF(years_since&lt;=2,INDEX('FF Adj Parameters'!$C$47:$C$750,2),
                    IF(years_since&lt;=3,INDEX('FF Adj Parameters'!$C$47:$C$750,3),
                        INDEX('FF Adj Parameters'!$C$47:$C$750,4))))))
)</f>
        <v/>
      </c>
      <c r="Z75" s="24">
        <f>IFERROR(
        IF(L75&gt;=100,1.00,
            'Control Panel'!$B$18*F75*G75*MAX(H75,R75)*I75*J75*K75*L75*M75*N75*O75*P75*Q75*S75*T75*U75*V75*W75*X75*Y75
        ),
    0)</f>
        <v/>
      </c>
    </row>
    <row r="76">
      <c r="A76" s="17">
        <f>'Loan Tape (S&amp;P)'!A76</f>
        <v/>
      </c>
      <c r="B76" s="18">
        <f>'Loan Tape (S&amp;P)'!B76</f>
        <v/>
      </c>
      <c r="C76" s="20">
        <f>IFERROR('Loan Tape (S&amp;P)'!C76/'Loan Tape (S&amp;P)'!E76,0)</f>
        <v/>
      </c>
      <c r="D76" s="20">
        <f>IFERROR(
        'Loan Tape (S&amp;P)'!B76/
        ('Loan Tape (S&amp;P)'!D76*
        (1-IF('Loan Tape (S&amp;P)'!AT76&lt;&gt;"Full",
            VLOOKUP('Control Panel'!$B$6,'Jurisdiction Parameters'!$A:$D,4,FALSE),
        0))),
    0)</f>
        <v/>
      </c>
      <c r="E76" s="20">
        <f>('Control Panel'!$B$12*C76)+('Control Panel'!$B$13*D76)</f>
        <v/>
      </c>
      <c r="F76" s="22">
        <f>IFERROR(
        LET(
            juris,'Control Panel'!$B$6,
            ltv_val,E76,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6" s="21">
        <f>'Control Panel'!$B$14</f>
        <v/>
      </c>
      <c r="H76" s="21">
        <f>LET(
    income_mult,'Loan Tape (S&amp;P)'!Z76,
    IF(income_mult=0,1.00,
        IFERROR(
            INDEX('FF Adj Parameters'!$A$176:$B$17,
                MATCH(income_mult,INDEX('FF Adj Parameters'!$A$176:$B$17,,1),1),2),
            1.760))
)</f>
        <v/>
      </c>
      <c r="I76" s="21">
        <f>IF('Loan Tape (S&amp;P)'!N76&lt;&gt;"Buy to Let",1.00,
    LET(
        dscr,'Loan Tape (S&amp;P)'!AA76,
        IF(dscr=0,INDEX('FF Adj Parameters'!$A$21:$B$276,1,2),
            IFERROR(
                INDEX('FF Adj Parameters'!$A$21:$B$276,
                    MATCH(dscr,INDEX('FF Adj Parameters'!$A$21:$B$276,,1),1),2),
                'FF Adj Parameters'!$B$21)))
)</f>
        <v/>
      </c>
      <c r="J76" s="21">
        <f>LET(
    lien,'Loan Tape (S&amp;P)'!AT76,
    IF(lien="First",'FF Adj Parameters'!$B$48,
        IF(lien="Second",'FF Adj Parameters'!$B$49,
            'FF Adj Parameters'!$B$760))
)</f>
        <v/>
      </c>
      <c r="K76" s="21">
        <f>LET(
    purpose,'Loan Tape (S&amp;P)'!U76,
    IF(purpose="Purchase",'FF Adj Parameters'!$B$761,
        IF(purpose="Remortgage",'FF Adj Parameters'!$B$762,
            IF(purpose="Cash-out Remortgage",'FF Adj Parameters'!$B$763,
                1.00)))
)</f>
        <v/>
      </c>
      <c r="L76" s="21">
        <f>LET(
    arrears_months,'Loan Tape (S&amp;P)'!X76,
    IF(arrears_months=0,'FF Adj Parameters'!$B$764,
        IF(arrears_months&lt;=2,'FF Adj Parameters'!$B$7676,
            'FF Adj Parameters'!$B$766))
)</f>
        <v/>
      </c>
      <c r="M76" s="21">
        <f>LET(
    years_seasoned,'Loan Tape (S&amp;P)'!AW76/12,
    arrears_months,'Loan Tape (S&amp;P)'!X76,
    IF(arrears_months&gt;0,1.00,
        IFERROR(
            INDEX('FF Adj Parameters'!$A$76:$B$11,
                MATCH(years_seasoned,INDEX('FF Adj Parameters'!$A$76:$B$11,,1),1),2),
            0.760))
)</f>
        <v/>
      </c>
      <c r="N76" s="21">
        <f>IF(AND('Loan Tape (S&amp;P)'!P76="Yes",'Loan Tape (S&amp;P)'!AW76&lt;'FF Adj Parameters'!$B$124),
    'FF Adj Parameters'!$B$33,
    1.00)</f>
        <v/>
      </c>
      <c r="O76" s="21">
        <f>IF('Loan Tape (S&amp;P)'!Q76="Yes",
    'FF Adj Parameters'!$B$37,
    1.00)</f>
        <v/>
      </c>
      <c r="P76" s="21">
        <f>IF('Loan Tape (S&amp;P)'!R76="Yes",
    'FF Adj Parameters'!$B$38,
    1.00)</f>
        <v/>
      </c>
      <c r="Q76" s="21">
        <f>IF('Loan Tape (S&amp;P)'!S76="Yes",
    'FF Adj Parameters'!$B$39,
    1.00)</f>
        <v/>
      </c>
      <c r="R76" s="21">
        <f>IF('Loan Tape (S&amp;P)'!T76="Yes",
    'FF Adj Parameters'!$B$40,
    1.00)</f>
        <v/>
      </c>
      <c r="S76" s="21">
        <f>LET(
    is_htb,'Loan Tape (S&amp;P)'!Q76="Yes",
    rate_type,'Loan Tape (S&amp;P)'!AS76,
    months_to_mat,'Loan Tape (S&amp;P)'!AU76,
    threshold,'FF Adj Parameters'!$B$1276,
    has_shock,AND(rate_type="Fixed",months_to_mat&lt;=threshold),
    IF(is_htb,1.00,IF(has_shock,'FF Adj Parameters'!$B$41,1.00))
)</f>
        <v/>
      </c>
      <c r="T76" s="21">
        <f>IFERROR(
    IF('Loan Tape (S&amp;P)'!N76&lt;&gt;"Interest Only",1.00,
        IF('Loan Tape (S&amp;P)'!N76="Buy to Let",1.00,
            LET(
                mat_check,'Loan Tape (S&amp;P)'!AV76,
                years_to_mat,'Loan Tape (S&amp;P)'!AU76/12,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6" s="21">
        <f>IF(AND('Loan Tape (S&amp;P)'!V76="Yes",'Loan Tape (S&amp;P)'!N76&lt;&gt;"Buy to Let"),
    'FF Adj Parameters'!$B$42,
    1.00)</f>
        <v/>
      </c>
      <c r="V76" s="21">
        <f>IF('Loan Tape (S&amp;P)'!AV76="Yes",
    'FF Adj Parameters'!$B$43,
    1.00)</f>
        <v/>
      </c>
      <c r="W76" s="23">
        <f>IF('Loan Tape (S&amp;P)'!AC76&gt;0,
    'FF Adj Parameters'!$B$44,
    1.00)</f>
        <v/>
      </c>
      <c r="X76" s="21">
        <f>LET(
    has_bankruptcy,'Loan Tape (S&amp;P)'!AE76="Yes",
    has_iva,'Loan Tape (S&amp;P)'!AF76="Yes",
    has_repo,'Loan Tape (S&amp;P)'!AI76="Yes",
    mult,IF(has_repo,'FF Adj Parameters'!$B$47,
            IF(has_bankruptcy,'FF Adj Parameters'!$B$476,
                IF(has_iva,'FF Adj Parameters'!$B$46,
                    1.00))),
    MAX(mult,0.760)
)</f>
        <v/>
      </c>
      <c r="Y76" s="21">
        <f>LET(
    has_perf_arr,'Loan Tape (S&amp;P)'!AP76="Yes",
    perf_arr_date,'Loan Tape (S&amp;P)'!AQ76,
    last_90_date,'Loan Tape (S&amp;P)'!AR76,
    threshold_years,VLOOKUP('Control Panel'!$B$6,'Jurisdiction Parameters'!$A:$Q,17,FALSE),
    relevant_date,MAX(perf_arr_date,last_90_date),
    years_since,('Control Panel'!$B$10-relevant_date)/3676.276,
    IF(NOT(has_perf_arr),1.00,
        IF(years_since&gt;threshold_years,1.00,
            IF(years_since&lt;=1,INDEX('FF Adj Parameters'!$C$47:$C$760,1),
                IF(years_since&lt;=2,INDEX('FF Adj Parameters'!$C$47:$C$760,2),
                    IF(years_since&lt;=3,INDEX('FF Adj Parameters'!$C$47:$C$760,3),
                        INDEX('FF Adj Parameters'!$C$47:$C$760,4))))))
)</f>
        <v/>
      </c>
      <c r="Z76" s="24">
        <f>IFERROR(
        IF(L76&gt;=100,1.00,
            'Control Panel'!$B$18*F76*G76*MAX(H76,R76)*I76*J76*K76*L76*M76*N76*O76*P76*Q76*S76*T76*U76*V76*W76*X76*Y76
        ),
    0)</f>
        <v/>
      </c>
    </row>
    <row r="77">
      <c r="A77" s="17">
        <f>'Loan Tape (S&amp;P)'!A77</f>
        <v/>
      </c>
      <c r="B77" s="18">
        <f>'Loan Tape (S&amp;P)'!B77</f>
        <v/>
      </c>
      <c r="C77" s="20">
        <f>IFERROR('Loan Tape (S&amp;P)'!C77/'Loan Tape (S&amp;P)'!E77,0)</f>
        <v/>
      </c>
      <c r="D77" s="20">
        <f>IFERROR(
        'Loan Tape (S&amp;P)'!B77/
        ('Loan Tape (S&amp;P)'!D77*
        (1-IF('Loan Tape (S&amp;P)'!AT77&lt;&gt;"Full",
            VLOOKUP('Control Panel'!$B$6,'Jurisdiction Parameters'!$A:$D,4,FALSE),
        0))),
    0)</f>
        <v/>
      </c>
      <c r="E77" s="20">
        <f>('Control Panel'!$B$12*C77)+('Control Panel'!$B$13*D77)</f>
        <v/>
      </c>
      <c r="F77" s="22">
        <f>IFERROR(
        LET(
            juris,'Control Panel'!$B$6,
            ltv_val,E77,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7" s="21">
        <f>'Control Panel'!$B$14</f>
        <v/>
      </c>
      <c r="H77" s="21">
        <f>LET(
    income_mult,'Loan Tape (S&amp;P)'!Z77,
    IF(income_mult=0,1.00,
        IFERROR(
            INDEX('FF Adj Parameters'!$A$177:$B$17,
                MATCH(income_mult,INDEX('FF Adj Parameters'!$A$177:$B$17,,1),1),2),
            1.770))
)</f>
        <v/>
      </c>
      <c r="I77" s="21">
        <f>IF('Loan Tape (S&amp;P)'!N77&lt;&gt;"Buy to Let",1.00,
    LET(
        dscr,'Loan Tape (S&amp;P)'!AA77,
        IF(dscr=0,INDEX('FF Adj Parameters'!$A$21:$B$277,1,2),
            IFERROR(
                INDEX('FF Adj Parameters'!$A$21:$B$277,
                    MATCH(dscr,INDEX('FF Adj Parameters'!$A$21:$B$277,,1),1),2),
                'FF Adj Parameters'!$B$21)))
)</f>
        <v/>
      </c>
      <c r="J77" s="21">
        <f>LET(
    lien,'Loan Tape (S&amp;P)'!AT77,
    IF(lien="First",'FF Adj Parameters'!$B$48,
        IF(lien="Second",'FF Adj Parameters'!$B$49,
            'FF Adj Parameters'!$B$770))
)</f>
        <v/>
      </c>
      <c r="K77" s="21">
        <f>LET(
    purpose,'Loan Tape (S&amp;P)'!U77,
    IF(purpose="Purchase",'FF Adj Parameters'!$B$771,
        IF(purpose="Remortgage",'FF Adj Parameters'!$B$772,
            IF(purpose="Cash-out Remortgage",'FF Adj Parameters'!$B$773,
                1.00)))
)</f>
        <v/>
      </c>
      <c r="L77" s="21">
        <f>LET(
    arrears_months,'Loan Tape (S&amp;P)'!X77,
    IF(arrears_months=0,'FF Adj Parameters'!$B$774,
        IF(arrears_months&lt;=2,'FF Adj Parameters'!$B$7777,
            'FF Adj Parameters'!$B$776))
)</f>
        <v/>
      </c>
      <c r="M77" s="21">
        <f>LET(
    years_seasoned,'Loan Tape (S&amp;P)'!AW77/12,
    arrears_months,'Loan Tape (S&amp;P)'!X77,
    IF(arrears_months&gt;0,1.00,
        IFERROR(
            INDEX('FF Adj Parameters'!$A$77:$B$11,
                MATCH(years_seasoned,INDEX('FF Adj Parameters'!$A$77:$B$11,,1),1),2),
            0.770))
)</f>
        <v/>
      </c>
      <c r="N77" s="21">
        <f>IF(AND('Loan Tape (S&amp;P)'!P77="Yes",'Loan Tape (S&amp;P)'!AW77&lt;'FF Adj Parameters'!$B$124),
    'FF Adj Parameters'!$B$33,
    1.00)</f>
        <v/>
      </c>
      <c r="O77" s="21">
        <f>IF('Loan Tape (S&amp;P)'!Q77="Yes",
    'FF Adj Parameters'!$B$37,
    1.00)</f>
        <v/>
      </c>
      <c r="P77" s="21">
        <f>IF('Loan Tape (S&amp;P)'!R77="Yes",
    'FF Adj Parameters'!$B$38,
    1.00)</f>
        <v/>
      </c>
      <c r="Q77" s="21">
        <f>IF('Loan Tape (S&amp;P)'!S77="Yes",
    'FF Adj Parameters'!$B$39,
    1.00)</f>
        <v/>
      </c>
      <c r="R77" s="21">
        <f>IF('Loan Tape (S&amp;P)'!T77="Yes",
    'FF Adj Parameters'!$B$40,
    1.00)</f>
        <v/>
      </c>
      <c r="S77" s="21">
        <f>LET(
    is_htb,'Loan Tape (S&amp;P)'!Q77="Yes",
    rate_type,'Loan Tape (S&amp;P)'!AS77,
    months_to_mat,'Loan Tape (S&amp;P)'!AU77,
    threshold,'FF Adj Parameters'!$B$1277,
    has_shock,AND(rate_type="Fixed",months_to_mat&lt;=threshold),
    IF(is_htb,1.00,IF(has_shock,'FF Adj Parameters'!$B$41,1.00))
)</f>
        <v/>
      </c>
      <c r="T77" s="21">
        <f>IFERROR(
    IF('Loan Tape (S&amp;P)'!N77&lt;&gt;"Interest Only",1.00,
        IF('Loan Tape (S&amp;P)'!N77="Buy to Let",1.00,
            LET(
                mat_check,'Loan Tape (S&amp;P)'!AV77,
                years_to_mat,'Loan Tape (S&amp;P)'!AU77/12,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7" s="21">
        <f>IF(AND('Loan Tape (S&amp;P)'!V77="Yes",'Loan Tape (S&amp;P)'!N77&lt;&gt;"Buy to Let"),
    'FF Adj Parameters'!$B$42,
    1.00)</f>
        <v/>
      </c>
      <c r="V77" s="21">
        <f>IF('Loan Tape (S&amp;P)'!AV77="Yes",
    'FF Adj Parameters'!$B$43,
    1.00)</f>
        <v/>
      </c>
      <c r="W77" s="23">
        <f>IF('Loan Tape (S&amp;P)'!AC77&gt;0,
    'FF Adj Parameters'!$B$44,
    1.00)</f>
        <v/>
      </c>
      <c r="X77" s="21">
        <f>LET(
    has_bankruptcy,'Loan Tape (S&amp;P)'!AE77="Yes",
    has_iva,'Loan Tape (S&amp;P)'!AF77="Yes",
    has_repo,'Loan Tape (S&amp;P)'!AI77="Yes",
    mult,IF(has_repo,'FF Adj Parameters'!$B$47,
            IF(has_bankruptcy,'FF Adj Parameters'!$B$477,
                IF(has_iva,'FF Adj Parameters'!$B$46,
                    1.00))),
    MAX(mult,0.770)
)</f>
        <v/>
      </c>
      <c r="Y77" s="21">
        <f>LET(
    has_perf_arr,'Loan Tape (S&amp;P)'!AP77="Yes",
    perf_arr_date,'Loan Tape (S&amp;P)'!AQ77,
    last_90_date,'Loan Tape (S&amp;P)'!AR77,
    threshold_years,VLOOKUP('Control Panel'!$B$6,'Jurisdiction Parameters'!$A:$Q,17,FALSE),
    relevant_date,MAX(perf_arr_date,last_90_date),
    years_since,('Control Panel'!$B$10-relevant_date)/3677.277,
    IF(NOT(has_perf_arr),1.00,
        IF(years_since&gt;threshold_years,1.00,
            IF(years_since&lt;=1,INDEX('FF Adj Parameters'!$C$47:$C$770,1),
                IF(years_since&lt;=2,INDEX('FF Adj Parameters'!$C$47:$C$770,2),
                    IF(years_since&lt;=3,INDEX('FF Adj Parameters'!$C$47:$C$770,3),
                        INDEX('FF Adj Parameters'!$C$47:$C$770,4))))))
)</f>
        <v/>
      </c>
      <c r="Z77" s="24">
        <f>IFERROR(
        IF(L77&gt;=100,1.00,
            'Control Panel'!$B$18*F77*G77*MAX(H77,R77)*I77*J77*K77*L77*M77*N77*O77*P77*Q77*S77*T77*U77*V77*W77*X77*Y77
        ),
    0)</f>
        <v/>
      </c>
    </row>
    <row r="78">
      <c r="A78" s="17">
        <f>'Loan Tape (S&amp;P)'!A78</f>
        <v/>
      </c>
      <c r="B78" s="18">
        <f>'Loan Tape (S&amp;P)'!B78</f>
        <v/>
      </c>
      <c r="C78" s="20">
        <f>IFERROR('Loan Tape (S&amp;P)'!C78/'Loan Tape (S&amp;P)'!E78,0)</f>
        <v/>
      </c>
      <c r="D78" s="20">
        <f>IFERROR(
        'Loan Tape (S&amp;P)'!B78/
        ('Loan Tape (S&amp;P)'!D78*
        (1-IF('Loan Tape (S&amp;P)'!AT78&lt;&gt;"Full",
            VLOOKUP('Control Panel'!$B$6,'Jurisdiction Parameters'!$A:$D,4,FALSE),
        0))),
    0)</f>
        <v/>
      </c>
      <c r="E78" s="20">
        <f>('Control Panel'!$B$12*C78)+('Control Panel'!$B$13*D78)</f>
        <v/>
      </c>
      <c r="F78" s="22">
        <f>IFERROR(
        LET(
            juris,'Control Panel'!$B$6,
            ltv_val,E78,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8" s="21">
        <f>'Control Panel'!$B$14</f>
        <v/>
      </c>
      <c r="H78" s="21">
        <f>LET(
    income_mult,'Loan Tape (S&amp;P)'!Z78,
    IF(income_mult=0,1.00,
        IFERROR(
            INDEX('FF Adj Parameters'!$A$178:$B$17,
                MATCH(income_mult,INDEX('FF Adj Parameters'!$A$178:$B$17,,1),1),2),
            1.780))
)</f>
        <v/>
      </c>
      <c r="I78" s="21">
        <f>IF('Loan Tape (S&amp;P)'!N78&lt;&gt;"Buy to Let",1.00,
    LET(
        dscr,'Loan Tape (S&amp;P)'!AA78,
        IF(dscr=0,INDEX('FF Adj Parameters'!$A$21:$B$278,1,2),
            IFERROR(
                INDEX('FF Adj Parameters'!$A$21:$B$278,
                    MATCH(dscr,INDEX('FF Adj Parameters'!$A$21:$B$278,,1),1),2),
                'FF Adj Parameters'!$B$21)))
)</f>
        <v/>
      </c>
      <c r="J78" s="21">
        <f>LET(
    lien,'Loan Tape (S&amp;P)'!AT78,
    IF(lien="First",'FF Adj Parameters'!$B$48,
        IF(lien="Second",'FF Adj Parameters'!$B$49,
            'FF Adj Parameters'!$B$780))
)</f>
        <v/>
      </c>
      <c r="K78" s="21">
        <f>LET(
    purpose,'Loan Tape (S&amp;P)'!U78,
    IF(purpose="Purchase",'FF Adj Parameters'!$B$781,
        IF(purpose="Remortgage",'FF Adj Parameters'!$B$782,
            IF(purpose="Cash-out Remortgage",'FF Adj Parameters'!$B$783,
                1.00)))
)</f>
        <v/>
      </c>
      <c r="L78" s="21">
        <f>LET(
    arrears_months,'Loan Tape (S&amp;P)'!X78,
    IF(arrears_months=0,'FF Adj Parameters'!$B$784,
        IF(arrears_months&lt;=2,'FF Adj Parameters'!$B$7878,
            'FF Adj Parameters'!$B$786))
)</f>
        <v/>
      </c>
      <c r="M78" s="21">
        <f>LET(
    years_seasoned,'Loan Tape (S&amp;P)'!AW78/12,
    arrears_months,'Loan Tape (S&amp;P)'!X78,
    IF(arrears_months&gt;0,1.00,
        IFERROR(
            INDEX('FF Adj Parameters'!$A$78:$B$11,
                MATCH(years_seasoned,INDEX('FF Adj Parameters'!$A$78:$B$11,,1),1),2),
            0.780))
)</f>
        <v/>
      </c>
      <c r="N78" s="21">
        <f>IF(AND('Loan Tape (S&amp;P)'!P78="Yes",'Loan Tape (S&amp;P)'!AW78&lt;'FF Adj Parameters'!$B$124),
    'FF Adj Parameters'!$B$33,
    1.00)</f>
        <v/>
      </c>
      <c r="O78" s="21">
        <f>IF('Loan Tape (S&amp;P)'!Q78="Yes",
    'FF Adj Parameters'!$B$37,
    1.00)</f>
        <v/>
      </c>
      <c r="P78" s="21">
        <f>IF('Loan Tape (S&amp;P)'!R78="Yes",
    'FF Adj Parameters'!$B$38,
    1.00)</f>
        <v/>
      </c>
      <c r="Q78" s="21">
        <f>IF('Loan Tape (S&amp;P)'!S78="Yes",
    'FF Adj Parameters'!$B$39,
    1.00)</f>
        <v/>
      </c>
      <c r="R78" s="21">
        <f>IF('Loan Tape (S&amp;P)'!T78="Yes",
    'FF Adj Parameters'!$B$40,
    1.00)</f>
        <v/>
      </c>
      <c r="S78" s="21">
        <f>LET(
    is_htb,'Loan Tape (S&amp;P)'!Q78="Yes",
    rate_type,'Loan Tape (S&amp;P)'!AS78,
    months_to_mat,'Loan Tape (S&amp;P)'!AU78,
    threshold,'FF Adj Parameters'!$B$1278,
    has_shock,AND(rate_type="Fixed",months_to_mat&lt;=threshold),
    IF(is_htb,1.00,IF(has_shock,'FF Adj Parameters'!$B$41,1.00))
)</f>
        <v/>
      </c>
      <c r="T78" s="21">
        <f>IFERROR(
    IF('Loan Tape (S&amp;P)'!N78&lt;&gt;"Interest Only",1.00,
        IF('Loan Tape (S&amp;P)'!N78="Buy to Let",1.00,
            LET(
                mat_check,'Loan Tape (S&amp;P)'!AV78,
                years_to_mat,'Loan Tape (S&amp;P)'!AU78/12,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8" s="21">
        <f>IF(AND('Loan Tape (S&amp;P)'!V78="Yes",'Loan Tape (S&amp;P)'!N78&lt;&gt;"Buy to Let"),
    'FF Adj Parameters'!$B$42,
    1.00)</f>
        <v/>
      </c>
      <c r="V78" s="21">
        <f>IF('Loan Tape (S&amp;P)'!AV78="Yes",
    'FF Adj Parameters'!$B$43,
    1.00)</f>
        <v/>
      </c>
      <c r="W78" s="23">
        <f>IF('Loan Tape (S&amp;P)'!AC78&gt;0,
    'FF Adj Parameters'!$B$44,
    1.00)</f>
        <v/>
      </c>
      <c r="X78" s="21">
        <f>LET(
    has_bankruptcy,'Loan Tape (S&amp;P)'!AE78="Yes",
    has_iva,'Loan Tape (S&amp;P)'!AF78="Yes",
    has_repo,'Loan Tape (S&amp;P)'!AI78="Yes",
    mult,IF(has_repo,'FF Adj Parameters'!$B$47,
            IF(has_bankruptcy,'FF Adj Parameters'!$B$478,
                IF(has_iva,'FF Adj Parameters'!$B$46,
                    1.00))),
    MAX(mult,0.780)
)</f>
        <v/>
      </c>
      <c r="Y78" s="21">
        <f>LET(
    has_perf_arr,'Loan Tape (S&amp;P)'!AP78="Yes",
    perf_arr_date,'Loan Tape (S&amp;P)'!AQ78,
    last_90_date,'Loan Tape (S&amp;P)'!AR78,
    threshold_years,VLOOKUP('Control Panel'!$B$6,'Jurisdiction Parameters'!$A:$Q,17,FALSE),
    relevant_date,MAX(perf_arr_date,last_90_date),
    years_since,('Control Panel'!$B$10-relevant_date)/3678.278,
    IF(NOT(has_perf_arr),1.00,
        IF(years_since&gt;threshold_years,1.00,
            IF(years_since&lt;=1,INDEX('FF Adj Parameters'!$C$47:$C$780,1),
                IF(years_since&lt;=2,INDEX('FF Adj Parameters'!$C$47:$C$780,2),
                    IF(years_since&lt;=3,INDEX('FF Adj Parameters'!$C$47:$C$780,3),
                        INDEX('FF Adj Parameters'!$C$47:$C$780,4))))))
)</f>
        <v/>
      </c>
      <c r="Z78" s="24">
        <f>IFERROR(
        IF(L78&gt;=100,1.00,
            'Control Panel'!$B$18*F78*G78*MAX(H78,R78)*I78*J78*K78*L78*M78*N78*O78*P78*Q78*S78*T78*U78*V78*W78*X78*Y78
        ),
    0)</f>
        <v/>
      </c>
    </row>
    <row r="79">
      <c r="A79" s="17">
        <f>'Loan Tape (S&amp;P)'!A79</f>
        <v/>
      </c>
      <c r="B79" s="18">
        <f>'Loan Tape (S&amp;P)'!B79</f>
        <v/>
      </c>
      <c r="C79" s="20">
        <f>IFERROR('Loan Tape (S&amp;P)'!C79/'Loan Tape (S&amp;P)'!E79,0)</f>
        <v/>
      </c>
      <c r="D79" s="20">
        <f>IFERROR(
        'Loan Tape (S&amp;P)'!B79/
        ('Loan Tape (S&amp;P)'!D79*
        (1-IF('Loan Tape (S&amp;P)'!AT79&lt;&gt;"Full",
            VLOOKUP('Control Panel'!$B$6,'Jurisdiction Parameters'!$A:$D,4,FALSE),
        0))),
    0)</f>
        <v/>
      </c>
      <c r="E79" s="20">
        <f>('Control Panel'!$B$12*C79)+('Control Panel'!$B$13*D79)</f>
        <v/>
      </c>
      <c r="F79" s="22">
        <f>IFERROR(
        LET(
            juris,'Control Panel'!$B$6,
            ltv_val,E79,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9" s="21">
        <f>'Control Panel'!$B$14</f>
        <v/>
      </c>
      <c r="H79" s="21">
        <f>LET(
    income_mult,'Loan Tape (S&amp;P)'!Z79,
    IF(income_mult=0,1.00,
        IFERROR(
            INDEX('FF Adj Parameters'!$A$179:$B$17,
                MATCH(income_mult,INDEX('FF Adj Parameters'!$A$179:$B$17,,1),1),2),
            1.790))
)</f>
        <v/>
      </c>
      <c r="I79" s="21">
        <f>IF('Loan Tape (S&amp;P)'!N79&lt;&gt;"Buy to Let",1.00,
    LET(
        dscr,'Loan Tape (S&amp;P)'!AA79,
        IF(dscr=0,INDEX('FF Adj Parameters'!$A$21:$B$279,1,2),
            IFERROR(
                INDEX('FF Adj Parameters'!$A$21:$B$279,
                    MATCH(dscr,INDEX('FF Adj Parameters'!$A$21:$B$279,,1),1),2),
                'FF Adj Parameters'!$B$21)))
)</f>
        <v/>
      </c>
      <c r="J79" s="21">
        <f>LET(
    lien,'Loan Tape (S&amp;P)'!AT79,
    IF(lien="First",'FF Adj Parameters'!$B$48,
        IF(lien="Second",'FF Adj Parameters'!$B$49,
            'FF Adj Parameters'!$B$790))
)</f>
        <v/>
      </c>
      <c r="K79" s="21">
        <f>LET(
    purpose,'Loan Tape (S&amp;P)'!U79,
    IF(purpose="Purchase",'FF Adj Parameters'!$B$791,
        IF(purpose="Remortgage",'FF Adj Parameters'!$B$792,
            IF(purpose="Cash-out Remortgage",'FF Adj Parameters'!$B$793,
                1.00)))
)</f>
        <v/>
      </c>
      <c r="L79" s="21">
        <f>LET(
    arrears_months,'Loan Tape (S&amp;P)'!X79,
    IF(arrears_months=0,'FF Adj Parameters'!$B$794,
        IF(arrears_months&lt;=2,'FF Adj Parameters'!$B$7979,
            'FF Adj Parameters'!$B$796))
)</f>
        <v/>
      </c>
      <c r="M79" s="21">
        <f>LET(
    years_seasoned,'Loan Tape (S&amp;P)'!AW79/12,
    arrears_months,'Loan Tape (S&amp;P)'!X79,
    IF(arrears_months&gt;0,1.00,
        IFERROR(
            INDEX('FF Adj Parameters'!$A$79:$B$11,
                MATCH(years_seasoned,INDEX('FF Adj Parameters'!$A$79:$B$11,,1),1),2),
            0.790))
)</f>
        <v/>
      </c>
      <c r="N79" s="21">
        <f>IF(AND('Loan Tape (S&amp;P)'!P79="Yes",'Loan Tape (S&amp;P)'!AW79&lt;'FF Adj Parameters'!$B$124),
    'FF Adj Parameters'!$B$33,
    1.00)</f>
        <v/>
      </c>
      <c r="O79" s="21">
        <f>IF('Loan Tape (S&amp;P)'!Q79="Yes",
    'FF Adj Parameters'!$B$37,
    1.00)</f>
        <v/>
      </c>
      <c r="P79" s="21">
        <f>IF('Loan Tape (S&amp;P)'!R79="Yes",
    'FF Adj Parameters'!$B$38,
    1.00)</f>
        <v/>
      </c>
      <c r="Q79" s="21">
        <f>IF('Loan Tape (S&amp;P)'!S79="Yes",
    'FF Adj Parameters'!$B$39,
    1.00)</f>
        <v/>
      </c>
      <c r="R79" s="21">
        <f>IF('Loan Tape (S&amp;P)'!T79="Yes",
    'FF Adj Parameters'!$B$40,
    1.00)</f>
        <v/>
      </c>
      <c r="S79" s="21">
        <f>LET(
    is_htb,'Loan Tape (S&amp;P)'!Q79="Yes",
    rate_type,'Loan Tape (S&amp;P)'!AS79,
    months_to_mat,'Loan Tape (S&amp;P)'!AU79,
    threshold,'FF Adj Parameters'!$B$1279,
    has_shock,AND(rate_type="Fixed",months_to_mat&lt;=threshold),
    IF(is_htb,1.00,IF(has_shock,'FF Adj Parameters'!$B$41,1.00))
)</f>
        <v/>
      </c>
      <c r="T79" s="21">
        <f>IFERROR(
    IF('Loan Tape (S&amp;P)'!N79&lt;&gt;"Interest Only",1.00,
        IF('Loan Tape (S&amp;P)'!N79="Buy to Let",1.00,
            LET(
                mat_check,'Loan Tape (S&amp;P)'!AV79,
                years_to_mat,'Loan Tape (S&amp;P)'!AU79/12,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9" s="21">
        <f>IF(AND('Loan Tape (S&amp;P)'!V79="Yes",'Loan Tape (S&amp;P)'!N79&lt;&gt;"Buy to Let"),
    'FF Adj Parameters'!$B$42,
    1.00)</f>
        <v/>
      </c>
      <c r="V79" s="21">
        <f>IF('Loan Tape (S&amp;P)'!AV79="Yes",
    'FF Adj Parameters'!$B$43,
    1.00)</f>
        <v/>
      </c>
      <c r="W79" s="23">
        <f>IF('Loan Tape (S&amp;P)'!AC79&gt;0,
    'FF Adj Parameters'!$B$44,
    1.00)</f>
        <v/>
      </c>
      <c r="X79" s="21">
        <f>LET(
    has_bankruptcy,'Loan Tape (S&amp;P)'!AE79="Yes",
    has_iva,'Loan Tape (S&amp;P)'!AF79="Yes",
    has_repo,'Loan Tape (S&amp;P)'!AI79="Yes",
    mult,IF(has_repo,'FF Adj Parameters'!$B$47,
            IF(has_bankruptcy,'FF Adj Parameters'!$B$479,
                IF(has_iva,'FF Adj Parameters'!$B$46,
                    1.00))),
    MAX(mult,0.790)
)</f>
        <v/>
      </c>
      <c r="Y79" s="21">
        <f>LET(
    has_perf_arr,'Loan Tape (S&amp;P)'!AP79="Yes",
    perf_arr_date,'Loan Tape (S&amp;P)'!AQ79,
    last_90_date,'Loan Tape (S&amp;P)'!AR79,
    threshold_years,VLOOKUP('Control Panel'!$B$6,'Jurisdiction Parameters'!$A:$Q,17,FALSE),
    relevant_date,MAX(perf_arr_date,last_90_date),
    years_since,('Control Panel'!$B$10-relevant_date)/3679.279,
    IF(NOT(has_perf_arr),1.00,
        IF(years_since&gt;threshold_years,1.00,
            IF(years_since&lt;=1,INDEX('FF Adj Parameters'!$C$47:$C$790,1),
                IF(years_since&lt;=2,INDEX('FF Adj Parameters'!$C$47:$C$790,2),
                    IF(years_since&lt;=3,INDEX('FF Adj Parameters'!$C$47:$C$790,3),
                        INDEX('FF Adj Parameters'!$C$47:$C$790,4))))))
)</f>
        <v/>
      </c>
      <c r="Z79" s="24">
        <f>IFERROR(
        IF(L79&gt;=100,1.00,
            'Control Panel'!$B$18*F79*G79*MAX(H79,R79)*I79*J79*K79*L79*M79*N79*O79*P79*Q79*S79*T79*U79*V79*W79*X79*Y79
        ),
    0)</f>
        <v/>
      </c>
    </row>
    <row r="80">
      <c r="A80" s="17">
        <f>'Loan Tape (S&amp;P)'!A80</f>
        <v/>
      </c>
      <c r="B80" s="18">
        <f>'Loan Tape (S&amp;P)'!B80</f>
        <v/>
      </c>
      <c r="C80" s="20">
        <f>IFERROR('Loan Tape (S&amp;P)'!C80/'Loan Tape (S&amp;P)'!E80,0)</f>
        <v/>
      </c>
      <c r="D80" s="20">
        <f>IFERROR(
        'Loan Tape (S&amp;P)'!B80/
        ('Loan Tape (S&amp;P)'!D80*
        (1-IF('Loan Tape (S&amp;P)'!AT80&lt;&gt;"Full",
            VLOOKUP('Control Panel'!$B$6,'Jurisdiction Parameters'!$A:$D,4,FALSE),
        0))),
    0)</f>
        <v/>
      </c>
      <c r="E80" s="20">
        <f>('Control Panel'!$B$12*C80)+('Control Panel'!$B$13*D80)</f>
        <v/>
      </c>
      <c r="F80" s="22">
        <f>IFERROR(
        LET(
            juris,'Control Panel'!$B$6,
            ltv_val,E80,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0" s="21">
        <f>'Control Panel'!$B$14</f>
        <v/>
      </c>
      <c r="H80" s="21">
        <f>LET(
    income_mult,'Loan Tape (S&amp;P)'!Z80,
    IF(income_mult=0,1.00,
        IFERROR(
            INDEX('FF Adj Parameters'!$A$180:$B$17,
                MATCH(income_mult,INDEX('FF Adj Parameters'!$A$180:$B$17,,1),1),2),
            1.800))
)</f>
        <v/>
      </c>
      <c r="I80" s="21">
        <f>IF('Loan Tape (S&amp;P)'!N80&lt;&gt;"Buy to Let",1.00,
    LET(
        dscr,'Loan Tape (S&amp;P)'!AA80,
        IF(dscr=0,INDEX('FF Adj Parameters'!$A$21:$B$280,1,2),
            IFERROR(
                INDEX('FF Adj Parameters'!$A$21:$B$280,
                    MATCH(dscr,INDEX('FF Adj Parameters'!$A$21:$B$280,,1),1),2),
                'FF Adj Parameters'!$B$21)))
)</f>
        <v/>
      </c>
      <c r="J80" s="21">
        <f>LET(
    lien,'Loan Tape (S&amp;P)'!AT80,
    IF(lien="First",'FF Adj Parameters'!$B$48,
        IF(lien="Second",'FF Adj Parameters'!$B$49,
            'FF Adj Parameters'!$B$800))
)</f>
        <v/>
      </c>
      <c r="K80" s="21">
        <f>LET(
    purpose,'Loan Tape (S&amp;P)'!U80,
    IF(purpose="Purchase",'FF Adj Parameters'!$B$801,
        IF(purpose="Remortgage",'FF Adj Parameters'!$B$802,
            IF(purpose="Cash-out Remortgage",'FF Adj Parameters'!$B$803,
                1.00)))
)</f>
        <v/>
      </c>
      <c r="L80" s="21">
        <f>LET(
    arrears_months,'Loan Tape (S&amp;P)'!X80,
    IF(arrears_months=0,'FF Adj Parameters'!$B$804,
        IF(arrears_months&lt;=2,'FF Adj Parameters'!$B$8080,
            'FF Adj Parameters'!$B$806))
)</f>
        <v/>
      </c>
      <c r="M80" s="21">
        <f>LET(
    years_seasoned,'Loan Tape (S&amp;P)'!AW80/12,
    arrears_months,'Loan Tape (S&amp;P)'!X80,
    IF(arrears_months&gt;0,1.00,
        IFERROR(
            INDEX('FF Adj Parameters'!$A$80:$B$11,
                MATCH(years_seasoned,INDEX('FF Adj Parameters'!$A$80:$B$11,,1),1),2),
            0.800))
)</f>
        <v/>
      </c>
      <c r="N80" s="21">
        <f>IF(AND('Loan Tape (S&amp;P)'!P80="Yes",'Loan Tape (S&amp;P)'!AW80&lt;'FF Adj Parameters'!$B$124),
    'FF Adj Parameters'!$B$33,
    1.00)</f>
        <v/>
      </c>
      <c r="O80" s="21">
        <f>IF('Loan Tape (S&amp;P)'!Q80="Yes",
    'FF Adj Parameters'!$B$37,
    1.00)</f>
        <v/>
      </c>
      <c r="P80" s="21">
        <f>IF('Loan Tape (S&amp;P)'!R80="Yes",
    'FF Adj Parameters'!$B$38,
    1.00)</f>
        <v/>
      </c>
      <c r="Q80" s="21">
        <f>IF('Loan Tape (S&amp;P)'!S80="Yes",
    'FF Adj Parameters'!$B$39,
    1.00)</f>
        <v/>
      </c>
      <c r="R80" s="21">
        <f>IF('Loan Tape (S&amp;P)'!T80="Yes",
    'FF Adj Parameters'!$B$40,
    1.00)</f>
        <v/>
      </c>
      <c r="S80" s="21">
        <f>LET(
    is_htb,'Loan Tape (S&amp;P)'!Q80="Yes",
    rate_type,'Loan Tape (S&amp;P)'!AS80,
    months_to_mat,'Loan Tape (S&amp;P)'!AU80,
    threshold,'FF Adj Parameters'!$B$1280,
    has_shock,AND(rate_type="Fixed",months_to_mat&lt;=threshold),
    IF(is_htb,1.00,IF(has_shock,'FF Adj Parameters'!$B$41,1.00))
)</f>
        <v/>
      </c>
      <c r="T80" s="21">
        <f>IFERROR(
    IF('Loan Tape (S&amp;P)'!N80&lt;&gt;"Interest Only",1.00,
        IF('Loan Tape (S&amp;P)'!N80="Buy to Let",1.00,
            LET(
                mat_check,'Loan Tape (S&amp;P)'!AV80,
                years_to_mat,'Loan Tape (S&amp;P)'!AU80/12,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0" s="21">
        <f>IF(AND('Loan Tape (S&amp;P)'!V80="Yes",'Loan Tape (S&amp;P)'!N80&lt;&gt;"Buy to Let"),
    'FF Adj Parameters'!$B$42,
    1.00)</f>
        <v/>
      </c>
      <c r="V80" s="21">
        <f>IF('Loan Tape (S&amp;P)'!AV80="Yes",
    'FF Adj Parameters'!$B$43,
    1.00)</f>
        <v/>
      </c>
      <c r="W80" s="23">
        <f>IF('Loan Tape (S&amp;P)'!AC80&gt;0,
    'FF Adj Parameters'!$B$44,
    1.00)</f>
        <v/>
      </c>
      <c r="X80" s="21">
        <f>LET(
    has_bankruptcy,'Loan Tape (S&amp;P)'!AE80="Yes",
    has_iva,'Loan Tape (S&amp;P)'!AF80="Yes",
    has_repo,'Loan Tape (S&amp;P)'!AI80="Yes",
    mult,IF(has_repo,'FF Adj Parameters'!$B$47,
            IF(has_bankruptcy,'FF Adj Parameters'!$B$480,
                IF(has_iva,'FF Adj Parameters'!$B$46,
                    1.00))),
    MAX(mult,0.800)
)</f>
        <v/>
      </c>
      <c r="Y80" s="21">
        <f>LET(
    has_perf_arr,'Loan Tape (S&amp;P)'!AP80="Yes",
    perf_arr_date,'Loan Tape (S&amp;P)'!AQ80,
    last_90_date,'Loan Tape (S&amp;P)'!AR80,
    threshold_years,VLOOKUP('Control Panel'!$B$6,'Jurisdiction Parameters'!$A:$Q,17,FALSE),
    relevant_date,MAX(perf_arr_date,last_90_date),
    years_since,('Control Panel'!$B$10-relevant_date)/3680.280,
    IF(NOT(has_perf_arr),1.00,
        IF(years_since&gt;threshold_years,1.00,
            IF(years_since&lt;=1,INDEX('FF Adj Parameters'!$C$47:$C$800,1),
                IF(years_since&lt;=2,INDEX('FF Adj Parameters'!$C$47:$C$800,2),
                    IF(years_since&lt;=3,INDEX('FF Adj Parameters'!$C$47:$C$800,3),
                        INDEX('FF Adj Parameters'!$C$47:$C$800,4))))))
)</f>
        <v/>
      </c>
      <c r="Z80" s="24">
        <f>IFERROR(
        IF(L80&gt;=100,1.00,
            'Control Panel'!$B$18*F80*G80*MAX(H80,R80)*I80*J80*K80*L80*M80*N80*O80*P80*Q80*S80*T80*U80*V80*W80*X80*Y80
        ),
    0)</f>
        <v/>
      </c>
    </row>
    <row r="81">
      <c r="A81" s="17">
        <f>'Loan Tape (S&amp;P)'!A81</f>
        <v/>
      </c>
      <c r="B81" s="18">
        <f>'Loan Tape (S&amp;P)'!B81</f>
        <v/>
      </c>
      <c r="C81" s="20">
        <f>IFERROR('Loan Tape (S&amp;P)'!C81/'Loan Tape (S&amp;P)'!E81,0)</f>
        <v/>
      </c>
      <c r="D81" s="20">
        <f>IFERROR(
        'Loan Tape (S&amp;P)'!B81/
        ('Loan Tape (S&amp;P)'!D81*
        (1-IF('Loan Tape (S&amp;P)'!AT81&lt;&gt;"Full",
            VLOOKUP('Control Panel'!$B$6,'Jurisdiction Parameters'!$A:$D,4,FALSE),
        0))),
    0)</f>
        <v/>
      </c>
      <c r="E81" s="20">
        <f>('Control Panel'!$B$12*C81)+('Control Panel'!$B$13*D81)</f>
        <v/>
      </c>
      <c r="F81" s="22">
        <f>IFERROR(
        LET(
            juris,'Control Panel'!$B$6,
            ltv_val,E81,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1" s="21">
        <f>'Control Panel'!$B$14</f>
        <v/>
      </c>
      <c r="H81" s="21">
        <f>LET(
    income_mult,'Loan Tape (S&amp;P)'!Z81,
    IF(income_mult=0,1.00,
        IFERROR(
            INDEX('FF Adj Parameters'!$A$181:$B$17,
                MATCH(income_mult,INDEX('FF Adj Parameters'!$A$181:$B$17,,1),1),2),
            1.810))
)</f>
        <v/>
      </c>
      <c r="I81" s="21">
        <f>IF('Loan Tape (S&amp;P)'!N81&lt;&gt;"Buy to Let",1.00,
    LET(
        dscr,'Loan Tape (S&amp;P)'!AA81,
        IF(dscr=0,INDEX('FF Adj Parameters'!$A$21:$B$281,1,2),
            IFERROR(
                INDEX('FF Adj Parameters'!$A$21:$B$281,
                    MATCH(dscr,INDEX('FF Adj Parameters'!$A$21:$B$281,,1),1),2),
                'FF Adj Parameters'!$B$21)))
)</f>
        <v/>
      </c>
      <c r="J81" s="21">
        <f>LET(
    lien,'Loan Tape (S&amp;P)'!AT81,
    IF(lien="First",'FF Adj Parameters'!$B$48,
        IF(lien="Second",'FF Adj Parameters'!$B$49,
            'FF Adj Parameters'!$B$810))
)</f>
        <v/>
      </c>
      <c r="K81" s="21">
        <f>LET(
    purpose,'Loan Tape (S&amp;P)'!U81,
    IF(purpose="Purchase",'FF Adj Parameters'!$B$811,
        IF(purpose="Remortgage",'FF Adj Parameters'!$B$812,
            IF(purpose="Cash-out Remortgage",'FF Adj Parameters'!$B$813,
                1.00)))
)</f>
        <v/>
      </c>
      <c r="L81" s="21">
        <f>LET(
    arrears_months,'Loan Tape (S&amp;P)'!X81,
    IF(arrears_months=0,'FF Adj Parameters'!$B$814,
        IF(arrears_months&lt;=2,'FF Adj Parameters'!$B$8181,
            'FF Adj Parameters'!$B$816))
)</f>
        <v/>
      </c>
      <c r="M81" s="21">
        <f>LET(
    years_seasoned,'Loan Tape (S&amp;P)'!AW81/12,
    arrears_months,'Loan Tape (S&amp;P)'!X81,
    IF(arrears_months&gt;0,1.00,
        IFERROR(
            INDEX('FF Adj Parameters'!$A$81:$B$11,
                MATCH(years_seasoned,INDEX('FF Adj Parameters'!$A$81:$B$11,,1),1),2),
            0.810))
)</f>
        <v/>
      </c>
      <c r="N81" s="21">
        <f>IF(AND('Loan Tape (S&amp;P)'!P81="Yes",'Loan Tape (S&amp;P)'!AW81&lt;'FF Adj Parameters'!$B$124),
    'FF Adj Parameters'!$B$33,
    1.00)</f>
        <v/>
      </c>
      <c r="O81" s="21">
        <f>IF('Loan Tape (S&amp;P)'!Q81="Yes",
    'FF Adj Parameters'!$B$37,
    1.00)</f>
        <v/>
      </c>
      <c r="P81" s="21">
        <f>IF('Loan Tape (S&amp;P)'!R81="Yes",
    'FF Adj Parameters'!$B$38,
    1.00)</f>
        <v/>
      </c>
      <c r="Q81" s="21">
        <f>IF('Loan Tape (S&amp;P)'!S81="Yes",
    'FF Adj Parameters'!$B$39,
    1.00)</f>
        <v/>
      </c>
      <c r="R81" s="21">
        <f>IF('Loan Tape (S&amp;P)'!T81="Yes",
    'FF Adj Parameters'!$B$40,
    1.00)</f>
        <v/>
      </c>
      <c r="S81" s="21">
        <f>LET(
    is_htb,'Loan Tape (S&amp;P)'!Q81="Yes",
    rate_type,'Loan Tape (S&amp;P)'!AS81,
    months_to_mat,'Loan Tape (S&amp;P)'!AU81,
    threshold,'FF Adj Parameters'!$B$1281,
    has_shock,AND(rate_type="Fixed",months_to_mat&lt;=threshold),
    IF(is_htb,1.00,IF(has_shock,'FF Adj Parameters'!$B$41,1.00))
)</f>
        <v/>
      </c>
      <c r="T81" s="21">
        <f>IFERROR(
    IF('Loan Tape (S&amp;P)'!N81&lt;&gt;"Interest Only",1.00,
        IF('Loan Tape (S&amp;P)'!N81="Buy to Let",1.00,
            LET(
                mat_check,'Loan Tape (S&amp;P)'!AV81,
                years_to_mat,'Loan Tape (S&amp;P)'!AU81/12,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1" s="21">
        <f>IF(AND('Loan Tape (S&amp;P)'!V81="Yes",'Loan Tape (S&amp;P)'!N81&lt;&gt;"Buy to Let"),
    'FF Adj Parameters'!$B$42,
    1.00)</f>
        <v/>
      </c>
      <c r="V81" s="21">
        <f>IF('Loan Tape (S&amp;P)'!AV81="Yes",
    'FF Adj Parameters'!$B$43,
    1.00)</f>
        <v/>
      </c>
      <c r="W81" s="23">
        <f>IF('Loan Tape (S&amp;P)'!AC81&gt;0,
    'FF Adj Parameters'!$B$44,
    1.00)</f>
        <v/>
      </c>
      <c r="X81" s="21">
        <f>LET(
    has_bankruptcy,'Loan Tape (S&amp;P)'!AE81="Yes",
    has_iva,'Loan Tape (S&amp;P)'!AF81="Yes",
    has_repo,'Loan Tape (S&amp;P)'!AI81="Yes",
    mult,IF(has_repo,'FF Adj Parameters'!$B$47,
            IF(has_bankruptcy,'FF Adj Parameters'!$B$481,
                IF(has_iva,'FF Adj Parameters'!$B$46,
                    1.00))),
    MAX(mult,0.810)
)</f>
        <v/>
      </c>
      <c r="Y81" s="21">
        <f>LET(
    has_perf_arr,'Loan Tape (S&amp;P)'!AP81="Yes",
    perf_arr_date,'Loan Tape (S&amp;P)'!AQ81,
    last_90_date,'Loan Tape (S&amp;P)'!AR81,
    threshold_years,VLOOKUP('Control Panel'!$B$6,'Jurisdiction Parameters'!$A:$Q,17,FALSE),
    relevant_date,MAX(perf_arr_date,last_90_date),
    years_since,('Control Panel'!$B$10-relevant_date)/3681.281,
    IF(NOT(has_perf_arr),1.00,
        IF(years_since&gt;threshold_years,1.00,
            IF(years_since&lt;=1,INDEX('FF Adj Parameters'!$C$47:$C$810,1),
                IF(years_since&lt;=2,INDEX('FF Adj Parameters'!$C$47:$C$810,2),
                    IF(years_since&lt;=3,INDEX('FF Adj Parameters'!$C$47:$C$810,3),
                        INDEX('FF Adj Parameters'!$C$47:$C$810,4))))))
)</f>
        <v/>
      </c>
      <c r="Z81" s="24">
        <f>IFERROR(
        IF(L81&gt;=100,1.00,
            'Control Panel'!$B$18*F81*G81*MAX(H81,R81)*I81*J81*K81*L81*M81*N81*O81*P81*Q81*S81*T81*U81*V81*W81*X81*Y81
        ),
    0)</f>
        <v/>
      </c>
    </row>
    <row r="82">
      <c r="A82" s="17">
        <f>'Loan Tape (S&amp;P)'!A82</f>
        <v/>
      </c>
      <c r="B82" s="18">
        <f>'Loan Tape (S&amp;P)'!B82</f>
        <v/>
      </c>
      <c r="C82" s="20">
        <f>IFERROR('Loan Tape (S&amp;P)'!C82/'Loan Tape (S&amp;P)'!E82,0)</f>
        <v/>
      </c>
      <c r="D82" s="20">
        <f>IFERROR(
        'Loan Tape (S&amp;P)'!B82/
        ('Loan Tape (S&amp;P)'!D82*
        (1-IF('Loan Tape (S&amp;P)'!AT82&lt;&gt;"Full",
            VLOOKUP('Control Panel'!$B$6,'Jurisdiction Parameters'!$A:$D,4,FALSE),
        0))),
    0)</f>
        <v/>
      </c>
      <c r="E82" s="20">
        <f>('Control Panel'!$B$12*C82)+('Control Panel'!$B$13*D82)</f>
        <v/>
      </c>
      <c r="F82" s="22">
        <f>IFERROR(
        LET(
            juris,'Control Panel'!$B$6,
            ltv_val,E82,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2" s="21">
        <f>'Control Panel'!$B$14</f>
        <v/>
      </c>
      <c r="H82" s="21">
        <f>LET(
    income_mult,'Loan Tape (S&amp;P)'!Z82,
    IF(income_mult=0,1.00,
        IFERROR(
            INDEX('FF Adj Parameters'!$A$182:$B$17,
                MATCH(income_mult,INDEX('FF Adj Parameters'!$A$182:$B$17,,1),1),2),
            1.820))
)</f>
        <v/>
      </c>
      <c r="I82" s="21">
        <f>IF('Loan Tape (S&amp;P)'!N82&lt;&gt;"Buy to Let",1.00,
    LET(
        dscr,'Loan Tape (S&amp;P)'!AA82,
        IF(dscr=0,INDEX('FF Adj Parameters'!$A$21:$B$282,1,2),
            IFERROR(
                INDEX('FF Adj Parameters'!$A$21:$B$282,
                    MATCH(dscr,INDEX('FF Adj Parameters'!$A$21:$B$282,,1),1),2),
                'FF Adj Parameters'!$B$21)))
)</f>
        <v/>
      </c>
      <c r="J82" s="21">
        <f>LET(
    lien,'Loan Tape (S&amp;P)'!AT82,
    IF(lien="First",'FF Adj Parameters'!$B$48,
        IF(lien="Second",'FF Adj Parameters'!$B$49,
            'FF Adj Parameters'!$B$820))
)</f>
        <v/>
      </c>
      <c r="K82" s="21">
        <f>LET(
    purpose,'Loan Tape (S&amp;P)'!U82,
    IF(purpose="Purchase",'FF Adj Parameters'!$B$821,
        IF(purpose="Remortgage",'FF Adj Parameters'!$B$822,
            IF(purpose="Cash-out Remortgage",'FF Adj Parameters'!$B$823,
                1.00)))
)</f>
        <v/>
      </c>
      <c r="L82" s="21">
        <f>LET(
    arrears_months,'Loan Tape (S&amp;P)'!X82,
    IF(arrears_months=0,'FF Adj Parameters'!$B$824,
        IF(arrears_months&lt;=2,'FF Adj Parameters'!$B$8282,
            'FF Adj Parameters'!$B$826))
)</f>
        <v/>
      </c>
      <c r="M82" s="21">
        <f>LET(
    years_seasoned,'Loan Tape (S&amp;P)'!AW82/12,
    arrears_months,'Loan Tape (S&amp;P)'!X82,
    IF(arrears_months&gt;0,1.00,
        IFERROR(
            INDEX('FF Adj Parameters'!$A$82:$B$11,
                MATCH(years_seasoned,INDEX('FF Adj Parameters'!$A$82:$B$11,,1),1),2),
            0.820))
)</f>
        <v/>
      </c>
      <c r="N82" s="21">
        <f>IF(AND('Loan Tape (S&amp;P)'!P82="Yes",'Loan Tape (S&amp;P)'!AW82&lt;'FF Adj Parameters'!$B$124),
    'FF Adj Parameters'!$B$33,
    1.00)</f>
        <v/>
      </c>
      <c r="O82" s="21">
        <f>IF('Loan Tape (S&amp;P)'!Q82="Yes",
    'FF Adj Parameters'!$B$37,
    1.00)</f>
        <v/>
      </c>
      <c r="P82" s="21">
        <f>IF('Loan Tape (S&amp;P)'!R82="Yes",
    'FF Adj Parameters'!$B$38,
    1.00)</f>
        <v/>
      </c>
      <c r="Q82" s="21">
        <f>IF('Loan Tape (S&amp;P)'!S82="Yes",
    'FF Adj Parameters'!$B$39,
    1.00)</f>
        <v/>
      </c>
      <c r="R82" s="21">
        <f>IF('Loan Tape (S&amp;P)'!T82="Yes",
    'FF Adj Parameters'!$B$40,
    1.00)</f>
        <v/>
      </c>
      <c r="S82" s="21">
        <f>LET(
    is_htb,'Loan Tape (S&amp;P)'!Q82="Yes",
    rate_type,'Loan Tape (S&amp;P)'!AS82,
    months_to_mat,'Loan Tape (S&amp;P)'!AU82,
    threshold,'FF Adj Parameters'!$B$1282,
    has_shock,AND(rate_type="Fixed",months_to_mat&lt;=threshold),
    IF(is_htb,1.00,IF(has_shock,'FF Adj Parameters'!$B$41,1.00))
)</f>
        <v/>
      </c>
      <c r="T82" s="21">
        <f>IFERROR(
    IF('Loan Tape (S&amp;P)'!N82&lt;&gt;"Interest Only",1.00,
        IF('Loan Tape (S&amp;P)'!N82="Buy to Let",1.00,
            LET(
                mat_check,'Loan Tape (S&amp;P)'!AV82,
                years_to_mat,'Loan Tape (S&amp;P)'!AU82/12,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2" s="21">
        <f>IF(AND('Loan Tape (S&amp;P)'!V82="Yes",'Loan Tape (S&amp;P)'!N82&lt;&gt;"Buy to Let"),
    'FF Adj Parameters'!$B$42,
    1.00)</f>
        <v/>
      </c>
      <c r="V82" s="21">
        <f>IF('Loan Tape (S&amp;P)'!AV82="Yes",
    'FF Adj Parameters'!$B$43,
    1.00)</f>
        <v/>
      </c>
      <c r="W82" s="23">
        <f>IF('Loan Tape (S&amp;P)'!AC82&gt;0,
    'FF Adj Parameters'!$B$44,
    1.00)</f>
        <v/>
      </c>
      <c r="X82" s="21">
        <f>LET(
    has_bankruptcy,'Loan Tape (S&amp;P)'!AE82="Yes",
    has_iva,'Loan Tape (S&amp;P)'!AF82="Yes",
    has_repo,'Loan Tape (S&amp;P)'!AI82="Yes",
    mult,IF(has_repo,'FF Adj Parameters'!$B$47,
            IF(has_bankruptcy,'FF Adj Parameters'!$B$482,
                IF(has_iva,'FF Adj Parameters'!$B$46,
                    1.00))),
    MAX(mult,0.820)
)</f>
        <v/>
      </c>
      <c r="Y82" s="21">
        <f>LET(
    has_perf_arr,'Loan Tape (S&amp;P)'!AP82="Yes",
    perf_arr_date,'Loan Tape (S&amp;P)'!AQ82,
    last_90_date,'Loan Tape (S&amp;P)'!AR82,
    threshold_years,VLOOKUP('Control Panel'!$B$6,'Jurisdiction Parameters'!$A:$Q,17,FALSE),
    relevant_date,MAX(perf_arr_date,last_90_date),
    years_since,('Control Panel'!$B$10-relevant_date)/3682.282,
    IF(NOT(has_perf_arr),1.00,
        IF(years_since&gt;threshold_years,1.00,
            IF(years_since&lt;=1,INDEX('FF Adj Parameters'!$C$47:$C$820,1),
                IF(years_since&lt;=2,INDEX('FF Adj Parameters'!$C$47:$C$820,2),
                    IF(years_since&lt;=3,INDEX('FF Adj Parameters'!$C$47:$C$820,3),
                        INDEX('FF Adj Parameters'!$C$47:$C$820,4))))))
)</f>
        <v/>
      </c>
      <c r="Z82" s="24">
        <f>IFERROR(
        IF(L82&gt;=100,1.00,
            'Control Panel'!$B$18*F82*G82*MAX(H82,R82)*I82*J82*K82*L82*M82*N82*O82*P82*Q82*S82*T82*U82*V82*W82*X82*Y82
        ),
    0)</f>
        <v/>
      </c>
    </row>
    <row r="83">
      <c r="A83" s="17">
        <f>'Loan Tape (S&amp;P)'!A83</f>
        <v/>
      </c>
      <c r="B83" s="18">
        <f>'Loan Tape (S&amp;P)'!B83</f>
        <v/>
      </c>
      <c r="C83" s="20">
        <f>IFERROR('Loan Tape (S&amp;P)'!C83/'Loan Tape (S&amp;P)'!E83,0)</f>
        <v/>
      </c>
      <c r="D83" s="20">
        <f>IFERROR(
        'Loan Tape (S&amp;P)'!B83/
        ('Loan Tape (S&amp;P)'!D83*
        (1-IF('Loan Tape (S&amp;P)'!AT83&lt;&gt;"Full",
            VLOOKUP('Control Panel'!$B$6,'Jurisdiction Parameters'!$A:$D,4,FALSE),
        0))),
    0)</f>
        <v/>
      </c>
      <c r="E83" s="20">
        <f>('Control Panel'!$B$12*C83)+('Control Panel'!$B$13*D83)</f>
        <v/>
      </c>
      <c r="F83" s="22">
        <f>IFERROR(
        LET(
            juris,'Control Panel'!$B$6,
            ltv_val,E83,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3" s="21">
        <f>'Control Panel'!$B$14</f>
        <v/>
      </c>
      <c r="H83" s="21">
        <f>LET(
    income_mult,'Loan Tape (S&amp;P)'!Z83,
    IF(income_mult=0,1.00,
        IFERROR(
            INDEX('FF Adj Parameters'!$A$183:$B$17,
                MATCH(income_mult,INDEX('FF Adj Parameters'!$A$183:$B$17,,1),1),2),
            1.830))
)</f>
        <v/>
      </c>
      <c r="I83" s="21">
        <f>IF('Loan Tape (S&amp;P)'!N83&lt;&gt;"Buy to Let",1.00,
    LET(
        dscr,'Loan Tape (S&amp;P)'!AA83,
        IF(dscr=0,INDEX('FF Adj Parameters'!$A$21:$B$283,1,2),
            IFERROR(
                INDEX('FF Adj Parameters'!$A$21:$B$283,
                    MATCH(dscr,INDEX('FF Adj Parameters'!$A$21:$B$283,,1),1),2),
                'FF Adj Parameters'!$B$21)))
)</f>
        <v/>
      </c>
      <c r="J83" s="21">
        <f>LET(
    lien,'Loan Tape (S&amp;P)'!AT83,
    IF(lien="First",'FF Adj Parameters'!$B$48,
        IF(lien="Second",'FF Adj Parameters'!$B$49,
            'FF Adj Parameters'!$B$830))
)</f>
        <v/>
      </c>
      <c r="K83" s="21">
        <f>LET(
    purpose,'Loan Tape (S&amp;P)'!U83,
    IF(purpose="Purchase",'FF Adj Parameters'!$B$831,
        IF(purpose="Remortgage",'FF Adj Parameters'!$B$832,
            IF(purpose="Cash-out Remortgage",'FF Adj Parameters'!$B$833,
                1.00)))
)</f>
        <v/>
      </c>
      <c r="L83" s="21">
        <f>LET(
    arrears_months,'Loan Tape (S&amp;P)'!X83,
    IF(arrears_months=0,'FF Adj Parameters'!$B$834,
        IF(arrears_months&lt;=2,'FF Adj Parameters'!$B$8383,
            'FF Adj Parameters'!$B$836))
)</f>
        <v/>
      </c>
      <c r="M83" s="21">
        <f>LET(
    years_seasoned,'Loan Tape (S&amp;P)'!AW83/12,
    arrears_months,'Loan Tape (S&amp;P)'!X83,
    IF(arrears_months&gt;0,1.00,
        IFERROR(
            INDEX('FF Adj Parameters'!$A$83:$B$11,
                MATCH(years_seasoned,INDEX('FF Adj Parameters'!$A$83:$B$11,,1),1),2),
            0.830))
)</f>
        <v/>
      </c>
      <c r="N83" s="21">
        <f>IF(AND('Loan Tape (S&amp;P)'!P83="Yes",'Loan Tape (S&amp;P)'!AW83&lt;'FF Adj Parameters'!$B$124),
    'FF Adj Parameters'!$B$33,
    1.00)</f>
        <v/>
      </c>
      <c r="O83" s="21">
        <f>IF('Loan Tape (S&amp;P)'!Q83="Yes",
    'FF Adj Parameters'!$B$37,
    1.00)</f>
        <v/>
      </c>
      <c r="P83" s="21">
        <f>IF('Loan Tape (S&amp;P)'!R83="Yes",
    'FF Adj Parameters'!$B$38,
    1.00)</f>
        <v/>
      </c>
      <c r="Q83" s="21">
        <f>IF('Loan Tape (S&amp;P)'!S83="Yes",
    'FF Adj Parameters'!$B$39,
    1.00)</f>
        <v/>
      </c>
      <c r="R83" s="21">
        <f>IF('Loan Tape (S&amp;P)'!T83="Yes",
    'FF Adj Parameters'!$B$40,
    1.00)</f>
        <v/>
      </c>
      <c r="S83" s="21">
        <f>LET(
    is_htb,'Loan Tape (S&amp;P)'!Q83="Yes",
    rate_type,'Loan Tape (S&amp;P)'!AS83,
    months_to_mat,'Loan Tape (S&amp;P)'!AU83,
    threshold,'FF Adj Parameters'!$B$1283,
    has_shock,AND(rate_type="Fixed",months_to_mat&lt;=threshold),
    IF(is_htb,1.00,IF(has_shock,'FF Adj Parameters'!$B$41,1.00))
)</f>
        <v/>
      </c>
      <c r="T83" s="21">
        <f>IFERROR(
    IF('Loan Tape (S&amp;P)'!N83&lt;&gt;"Interest Only",1.00,
        IF('Loan Tape (S&amp;P)'!N83="Buy to Let",1.00,
            LET(
                mat_check,'Loan Tape (S&amp;P)'!AV83,
                years_to_mat,'Loan Tape (S&amp;P)'!AU83/12,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3" s="21">
        <f>IF(AND('Loan Tape (S&amp;P)'!V83="Yes",'Loan Tape (S&amp;P)'!N83&lt;&gt;"Buy to Let"),
    'FF Adj Parameters'!$B$42,
    1.00)</f>
        <v/>
      </c>
      <c r="V83" s="21">
        <f>IF('Loan Tape (S&amp;P)'!AV83="Yes",
    'FF Adj Parameters'!$B$43,
    1.00)</f>
        <v/>
      </c>
      <c r="W83" s="23">
        <f>IF('Loan Tape (S&amp;P)'!AC83&gt;0,
    'FF Adj Parameters'!$B$44,
    1.00)</f>
        <v/>
      </c>
      <c r="X83" s="21">
        <f>LET(
    has_bankruptcy,'Loan Tape (S&amp;P)'!AE83="Yes",
    has_iva,'Loan Tape (S&amp;P)'!AF83="Yes",
    has_repo,'Loan Tape (S&amp;P)'!AI83="Yes",
    mult,IF(has_repo,'FF Adj Parameters'!$B$47,
            IF(has_bankruptcy,'FF Adj Parameters'!$B$483,
                IF(has_iva,'FF Adj Parameters'!$B$46,
                    1.00))),
    MAX(mult,0.830)
)</f>
        <v/>
      </c>
      <c r="Y83" s="21">
        <f>LET(
    has_perf_arr,'Loan Tape (S&amp;P)'!AP83="Yes",
    perf_arr_date,'Loan Tape (S&amp;P)'!AQ83,
    last_90_date,'Loan Tape (S&amp;P)'!AR83,
    threshold_years,VLOOKUP('Control Panel'!$B$6,'Jurisdiction Parameters'!$A:$Q,17,FALSE),
    relevant_date,MAX(perf_arr_date,last_90_date),
    years_since,('Control Panel'!$B$10-relevant_date)/3683.283,
    IF(NOT(has_perf_arr),1.00,
        IF(years_since&gt;threshold_years,1.00,
            IF(years_since&lt;=1,INDEX('FF Adj Parameters'!$C$47:$C$830,1),
                IF(years_since&lt;=2,INDEX('FF Adj Parameters'!$C$47:$C$830,2),
                    IF(years_since&lt;=3,INDEX('FF Adj Parameters'!$C$47:$C$830,3),
                        INDEX('FF Adj Parameters'!$C$47:$C$830,4))))))
)</f>
        <v/>
      </c>
      <c r="Z83" s="24">
        <f>IFERROR(
        IF(L83&gt;=100,1.00,
            'Control Panel'!$B$18*F83*G83*MAX(H83,R83)*I83*J83*K83*L83*M83*N83*O83*P83*Q83*S83*T83*U83*V83*W83*X83*Y83
        ),
    0)</f>
        <v/>
      </c>
    </row>
    <row r="84">
      <c r="A84" s="17">
        <f>'Loan Tape (S&amp;P)'!A84</f>
        <v/>
      </c>
      <c r="B84" s="18">
        <f>'Loan Tape (S&amp;P)'!B84</f>
        <v/>
      </c>
      <c r="C84" s="20">
        <f>IFERROR('Loan Tape (S&amp;P)'!C84/'Loan Tape (S&amp;P)'!E84,0)</f>
        <v/>
      </c>
      <c r="D84" s="20">
        <f>IFERROR(
        'Loan Tape (S&amp;P)'!B84/
        ('Loan Tape (S&amp;P)'!D84*
        (1-IF('Loan Tape (S&amp;P)'!AT84&lt;&gt;"Full",
            VLOOKUP('Control Panel'!$B$6,'Jurisdiction Parameters'!$A:$D,4,FALSE),
        0))),
    0)</f>
        <v/>
      </c>
      <c r="E84" s="20">
        <f>('Control Panel'!$B$12*C84)+('Control Panel'!$B$13*D84)</f>
        <v/>
      </c>
      <c r="F84" s="22">
        <f>IFERROR(
        LET(
            juris,'Control Panel'!$B$6,
            ltv_val,E84,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4" s="21">
        <f>'Control Panel'!$B$14</f>
        <v/>
      </c>
      <c r="H84" s="21">
        <f>LET(
    income_mult,'Loan Tape (S&amp;P)'!Z84,
    IF(income_mult=0,1.00,
        IFERROR(
            INDEX('FF Adj Parameters'!$A$184:$B$17,
                MATCH(income_mult,INDEX('FF Adj Parameters'!$A$184:$B$17,,1),1),2),
            1.840))
)</f>
        <v/>
      </c>
      <c r="I84" s="21">
        <f>IF('Loan Tape (S&amp;P)'!N84&lt;&gt;"Buy to Let",1.00,
    LET(
        dscr,'Loan Tape (S&amp;P)'!AA84,
        IF(dscr=0,INDEX('FF Adj Parameters'!$A$21:$B$284,1,2),
            IFERROR(
                INDEX('FF Adj Parameters'!$A$21:$B$284,
                    MATCH(dscr,INDEX('FF Adj Parameters'!$A$21:$B$284,,1),1),2),
                'FF Adj Parameters'!$B$21)))
)</f>
        <v/>
      </c>
      <c r="J84" s="21">
        <f>LET(
    lien,'Loan Tape (S&amp;P)'!AT84,
    IF(lien="First",'FF Adj Parameters'!$B$48,
        IF(lien="Second",'FF Adj Parameters'!$B$49,
            'FF Adj Parameters'!$B$840))
)</f>
        <v/>
      </c>
      <c r="K84" s="21">
        <f>LET(
    purpose,'Loan Tape (S&amp;P)'!U84,
    IF(purpose="Purchase",'FF Adj Parameters'!$B$841,
        IF(purpose="Remortgage",'FF Adj Parameters'!$B$842,
            IF(purpose="Cash-out Remortgage",'FF Adj Parameters'!$B$843,
                1.00)))
)</f>
        <v/>
      </c>
      <c r="L84" s="21">
        <f>LET(
    arrears_months,'Loan Tape (S&amp;P)'!X84,
    IF(arrears_months=0,'FF Adj Parameters'!$B$844,
        IF(arrears_months&lt;=2,'FF Adj Parameters'!$B$8484,
            'FF Adj Parameters'!$B$846))
)</f>
        <v/>
      </c>
      <c r="M84" s="21">
        <f>LET(
    years_seasoned,'Loan Tape (S&amp;P)'!AW84/12,
    arrears_months,'Loan Tape (S&amp;P)'!X84,
    IF(arrears_months&gt;0,1.00,
        IFERROR(
            INDEX('FF Adj Parameters'!$A$84:$B$11,
                MATCH(years_seasoned,INDEX('FF Adj Parameters'!$A$84:$B$11,,1),1),2),
            0.840))
)</f>
        <v/>
      </c>
      <c r="N84" s="21">
        <f>IF(AND('Loan Tape (S&amp;P)'!P84="Yes",'Loan Tape (S&amp;P)'!AW84&lt;'FF Adj Parameters'!$B$124),
    'FF Adj Parameters'!$B$33,
    1.00)</f>
        <v/>
      </c>
      <c r="O84" s="21">
        <f>IF('Loan Tape (S&amp;P)'!Q84="Yes",
    'FF Adj Parameters'!$B$37,
    1.00)</f>
        <v/>
      </c>
      <c r="P84" s="21">
        <f>IF('Loan Tape (S&amp;P)'!R84="Yes",
    'FF Adj Parameters'!$B$38,
    1.00)</f>
        <v/>
      </c>
      <c r="Q84" s="21">
        <f>IF('Loan Tape (S&amp;P)'!S84="Yes",
    'FF Adj Parameters'!$B$39,
    1.00)</f>
        <v/>
      </c>
      <c r="R84" s="21">
        <f>IF('Loan Tape (S&amp;P)'!T84="Yes",
    'FF Adj Parameters'!$B$40,
    1.00)</f>
        <v/>
      </c>
      <c r="S84" s="21">
        <f>LET(
    is_htb,'Loan Tape (S&amp;P)'!Q84="Yes",
    rate_type,'Loan Tape (S&amp;P)'!AS84,
    months_to_mat,'Loan Tape (S&amp;P)'!AU84,
    threshold,'FF Adj Parameters'!$B$1284,
    has_shock,AND(rate_type="Fixed",months_to_mat&lt;=threshold),
    IF(is_htb,1.00,IF(has_shock,'FF Adj Parameters'!$B$41,1.00))
)</f>
        <v/>
      </c>
      <c r="T84" s="21">
        <f>IFERROR(
    IF('Loan Tape (S&amp;P)'!N84&lt;&gt;"Interest Only",1.00,
        IF('Loan Tape (S&amp;P)'!N84="Buy to Let",1.00,
            LET(
                mat_check,'Loan Tape (S&amp;P)'!AV84,
                years_to_mat,'Loan Tape (S&amp;P)'!AU84/12,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4" s="21">
        <f>IF(AND('Loan Tape (S&amp;P)'!V84="Yes",'Loan Tape (S&amp;P)'!N84&lt;&gt;"Buy to Let"),
    'FF Adj Parameters'!$B$42,
    1.00)</f>
        <v/>
      </c>
      <c r="V84" s="21">
        <f>IF('Loan Tape (S&amp;P)'!AV84="Yes",
    'FF Adj Parameters'!$B$43,
    1.00)</f>
        <v/>
      </c>
      <c r="W84" s="23">
        <f>IF('Loan Tape (S&amp;P)'!AC84&gt;0,
    'FF Adj Parameters'!$B$44,
    1.00)</f>
        <v/>
      </c>
      <c r="X84" s="21">
        <f>LET(
    has_bankruptcy,'Loan Tape (S&amp;P)'!AE84="Yes",
    has_iva,'Loan Tape (S&amp;P)'!AF84="Yes",
    has_repo,'Loan Tape (S&amp;P)'!AI84="Yes",
    mult,IF(has_repo,'FF Adj Parameters'!$B$47,
            IF(has_bankruptcy,'FF Adj Parameters'!$B$484,
                IF(has_iva,'FF Adj Parameters'!$B$46,
                    1.00))),
    MAX(mult,0.840)
)</f>
        <v/>
      </c>
      <c r="Y84" s="21">
        <f>LET(
    has_perf_arr,'Loan Tape (S&amp;P)'!AP84="Yes",
    perf_arr_date,'Loan Tape (S&amp;P)'!AQ84,
    last_90_date,'Loan Tape (S&amp;P)'!AR84,
    threshold_years,VLOOKUP('Control Panel'!$B$6,'Jurisdiction Parameters'!$A:$Q,17,FALSE),
    relevant_date,MAX(perf_arr_date,last_90_date),
    years_since,('Control Panel'!$B$10-relevant_date)/3684.284,
    IF(NOT(has_perf_arr),1.00,
        IF(years_since&gt;threshold_years,1.00,
            IF(years_since&lt;=1,INDEX('FF Adj Parameters'!$C$47:$C$840,1),
                IF(years_since&lt;=2,INDEX('FF Adj Parameters'!$C$47:$C$840,2),
                    IF(years_since&lt;=3,INDEX('FF Adj Parameters'!$C$47:$C$840,3),
                        INDEX('FF Adj Parameters'!$C$47:$C$840,4))))))
)</f>
        <v/>
      </c>
      <c r="Z84" s="24">
        <f>IFERROR(
        IF(L84&gt;=100,1.00,
            'Control Panel'!$B$18*F84*G84*MAX(H84,R84)*I84*J84*K84*L84*M84*N84*O84*P84*Q84*S84*T84*U84*V84*W84*X84*Y84
        ),
    0)</f>
        <v/>
      </c>
    </row>
    <row r="85">
      <c r="A85" s="17">
        <f>'Loan Tape (S&amp;P)'!A85</f>
        <v/>
      </c>
      <c r="B85" s="18">
        <f>'Loan Tape (S&amp;P)'!B85</f>
        <v/>
      </c>
      <c r="C85" s="20">
        <f>IFERROR('Loan Tape (S&amp;P)'!C85/'Loan Tape (S&amp;P)'!E85,0)</f>
        <v/>
      </c>
      <c r="D85" s="20">
        <f>IFERROR(
        'Loan Tape (S&amp;P)'!B85/
        ('Loan Tape (S&amp;P)'!D85*
        (1-IF('Loan Tape (S&amp;P)'!AT85&lt;&gt;"Full",
            VLOOKUP('Control Panel'!$B$6,'Jurisdiction Parameters'!$A:$D,4,FALSE),
        0))),
    0)</f>
        <v/>
      </c>
      <c r="E85" s="20">
        <f>('Control Panel'!$B$12*C85)+('Control Panel'!$B$13*D85)</f>
        <v/>
      </c>
      <c r="F85" s="22">
        <f>IFERROR(
        LET(
            juris,'Control Panel'!$B$6,
            ltv_val,E85,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5" s="21">
        <f>'Control Panel'!$B$14</f>
        <v/>
      </c>
      <c r="H85" s="21">
        <f>LET(
    income_mult,'Loan Tape (S&amp;P)'!Z85,
    IF(income_mult=0,1.00,
        IFERROR(
            INDEX('FF Adj Parameters'!$A$185:$B$17,
                MATCH(income_mult,INDEX('FF Adj Parameters'!$A$185:$B$17,,1),1),2),
            1.850))
)</f>
        <v/>
      </c>
      <c r="I85" s="21">
        <f>IF('Loan Tape (S&amp;P)'!N85&lt;&gt;"Buy to Let",1.00,
    LET(
        dscr,'Loan Tape (S&amp;P)'!AA85,
        IF(dscr=0,INDEX('FF Adj Parameters'!$A$21:$B$285,1,2),
            IFERROR(
                INDEX('FF Adj Parameters'!$A$21:$B$285,
                    MATCH(dscr,INDEX('FF Adj Parameters'!$A$21:$B$285,,1),1),2),
                'FF Adj Parameters'!$B$21)))
)</f>
        <v/>
      </c>
      <c r="J85" s="21">
        <f>LET(
    lien,'Loan Tape (S&amp;P)'!AT85,
    IF(lien="First",'FF Adj Parameters'!$B$48,
        IF(lien="Second",'FF Adj Parameters'!$B$49,
            'FF Adj Parameters'!$B$850))
)</f>
        <v/>
      </c>
      <c r="K85" s="21">
        <f>LET(
    purpose,'Loan Tape (S&amp;P)'!U85,
    IF(purpose="Purchase",'FF Adj Parameters'!$B$851,
        IF(purpose="Remortgage",'FF Adj Parameters'!$B$852,
            IF(purpose="Cash-out Remortgage",'FF Adj Parameters'!$B$853,
                1.00)))
)</f>
        <v/>
      </c>
      <c r="L85" s="21">
        <f>LET(
    arrears_months,'Loan Tape (S&amp;P)'!X85,
    IF(arrears_months=0,'FF Adj Parameters'!$B$854,
        IF(arrears_months&lt;=2,'FF Adj Parameters'!$B$8585,
            'FF Adj Parameters'!$B$856))
)</f>
        <v/>
      </c>
      <c r="M85" s="21">
        <f>LET(
    years_seasoned,'Loan Tape (S&amp;P)'!AW85/12,
    arrears_months,'Loan Tape (S&amp;P)'!X85,
    IF(arrears_months&gt;0,1.00,
        IFERROR(
            INDEX('FF Adj Parameters'!$A$85:$B$11,
                MATCH(years_seasoned,INDEX('FF Adj Parameters'!$A$85:$B$11,,1),1),2),
            0.850))
)</f>
        <v/>
      </c>
      <c r="N85" s="21">
        <f>IF(AND('Loan Tape (S&amp;P)'!P85="Yes",'Loan Tape (S&amp;P)'!AW85&lt;'FF Adj Parameters'!$B$124),
    'FF Adj Parameters'!$B$33,
    1.00)</f>
        <v/>
      </c>
      <c r="O85" s="21">
        <f>IF('Loan Tape (S&amp;P)'!Q85="Yes",
    'FF Adj Parameters'!$B$37,
    1.00)</f>
        <v/>
      </c>
      <c r="P85" s="21">
        <f>IF('Loan Tape (S&amp;P)'!R85="Yes",
    'FF Adj Parameters'!$B$38,
    1.00)</f>
        <v/>
      </c>
      <c r="Q85" s="21">
        <f>IF('Loan Tape (S&amp;P)'!S85="Yes",
    'FF Adj Parameters'!$B$39,
    1.00)</f>
        <v/>
      </c>
      <c r="R85" s="21">
        <f>IF('Loan Tape (S&amp;P)'!T85="Yes",
    'FF Adj Parameters'!$B$40,
    1.00)</f>
        <v/>
      </c>
      <c r="S85" s="21">
        <f>LET(
    is_htb,'Loan Tape (S&amp;P)'!Q85="Yes",
    rate_type,'Loan Tape (S&amp;P)'!AS85,
    months_to_mat,'Loan Tape (S&amp;P)'!AU85,
    threshold,'FF Adj Parameters'!$B$1285,
    has_shock,AND(rate_type="Fixed",months_to_mat&lt;=threshold),
    IF(is_htb,1.00,IF(has_shock,'FF Adj Parameters'!$B$41,1.00))
)</f>
        <v/>
      </c>
      <c r="T85" s="21">
        <f>IFERROR(
    IF('Loan Tape (S&amp;P)'!N85&lt;&gt;"Interest Only",1.00,
        IF('Loan Tape (S&amp;P)'!N85="Buy to Let",1.00,
            LET(
                mat_check,'Loan Tape (S&amp;P)'!AV85,
                years_to_mat,'Loan Tape (S&amp;P)'!AU85/12,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5" s="21">
        <f>IF(AND('Loan Tape (S&amp;P)'!V85="Yes",'Loan Tape (S&amp;P)'!N85&lt;&gt;"Buy to Let"),
    'FF Adj Parameters'!$B$42,
    1.00)</f>
        <v/>
      </c>
      <c r="V85" s="21">
        <f>IF('Loan Tape (S&amp;P)'!AV85="Yes",
    'FF Adj Parameters'!$B$43,
    1.00)</f>
        <v/>
      </c>
      <c r="W85" s="23">
        <f>IF('Loan Tape (S&amp;P)'!AC85&gt;0,
    'FF Adj Parameters'!$B$44,
    1.00)</f>
        <v/>
      </c>
      <c r="X85" s="21">
        <f>LET(
    has_bankruptcy,'Loan Tape (S&amp;P)'!AE85="Yes",
    has_iva,'Loan Tape (S&amp;P)'!AF85="Yes",
    has_repo,'Loan Tape (S&amp;P)'!AI85="Yes",
    mult,IF(has_repo,'FF Adj Parameters'!$B$47,
            IF(has_bankruptcy,'FF Adj Parameters'!$B$485,
                IF(has_iva,'FF Adj Parameters'!$B$46,
                    1.00))),
    MAX(mult,0.850)
)</f>
        <v/>
      </c>
      <c r="Y85" s="21">
        <f>LET(
    has_perf_arr,'Loan Tape (S&amp;P)'!AP85="Yes",
    perf_arr_date,'Loan Tape (S&amp;P)'!AQ85,
    last_90_date,'Loan Tape (S&amp;P)'!AR85,
    threshold_years,VLOOKUP('Control Panel'!$B$6,'Jurisdiction Parameters'!$A:$Q,17,FALSE),
    relevant_date,MAX(perf_arr_date,last_90_date),
    years_since,('Control Panel'!$B$10-relevant_date)/3685.285,
    IF(NOT(has_perf_arr),1.00,
        IF(years_since&gt;threshold_years,1.00,
            IF(years_since&lt;=1,INDEX('FF Adj Parameters'!$C$47:$C$850,1),
                IF(years_since&lt;=2,INDEX('FF Adj Parameters'!$C$47:$C$850,2),
                    IF(years_since&lt;=3,INDEX('FF Adj Parameters'!$C$47:$C$850,3),
                        INDEX('FF Adj Parameters'!$C$47:$C$850,4))))))
)</f>
        <v/>
      </c>
      <c r="Z85" s="24">
        <f>IFERROR(
        IF(L85&gt;=100,1.00,
            'Control Panel'!$B$18*F85*G85*MAX(H85,R85)*I85*J85*K85*L85*M85*N85*O85*P85*Q85*S85*T85*U85*V85*W85*X85*Y85
        ),
    0)</f>
        <v/>
      </c>
    </row>
    <row r="86">
      <c r="A86" s="17">
        <f>'Loan Tape (S&amp;P)'!A86</f>
        <v/>
      </c>
      <c r="B86" s="18">
        <f>'Loan Tape (S&amp;P)'!B86</f>
        <v/>
      </c>
      <c r="C86" s="20">
        <f>IFERROR('Loan Tape (S&amp;P)'!C86/'Loan Tape (S&amp;P)'!E86,0)</f>
        <v/>
      </c>
      <c r="D86" s="20">
        <f>IFERROR(
        'Loan Tape (S&amp;P)'!B86/
        ('Loan Tape (S&amp;P)'!D86*
        (1-IF('Loan Tape (S&amp;P)'!AT86&lt;&gt;"Full",
            VLOOKUP('Control Panel'!$B$6,'Jurisdiction Parameters'!$A:$D,4,FALSE),
        0))),
    0)</f>
        <v/>
      </c>
      <c r="E86" s="20">
        <f>('Control Panel'!$B$12*C86)+('Control Panel'!$B$13*D86)</f>
        <v/>
      </c>
      <c r="F86" s="22">
        <f>IFERROR(
        LET(
            juris,'Control Panel'!$B$6,
            ltv_val,E86,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6" s="21">
        <f>'Control Panel'!$B$14</f>
        <v/>
      </c>
      <c r="H86" s="21">
        <f>LET(
    income_mult,'Loan Tape (S&amp;P)'!Z86,
    IF(income_mult=0,1.00,
        IFERROR(
            INDEX('FF Adj Parameters'!$A$186:$B$17,
                MATCH(income_mult,INDEX('FF Adj Parameters'!$A$186:$B$17,,1),1),2),
            1.860))
)</f>
        <v/>
      </c>
      <c r="I86" s="21">
        <f>IF('Loan Tape (S&amp;P)'!N86&lt;&gt;"Buy to Let",1.00,
    LET(
        dscr,'Loan Tape (S&amp;P)'!AA86,
        IF(dscr=0,INDEX('FF Adj Parameters'!$A$21:$B$286,1,2),
            IFERROR(
                INDEX('FF Adj Parameters'!$A$21:$B$286,
                    MATCH(dscr,INDEX('FF Adj Parameters'!$A$21:$B$286,,1),1),2),
                'FF Adj Parameters'!$B$21)))
)</f>
        <v/>
      </c>
      <c r="J86" s="21">
        <f>LET(
    lien,'Loan Tape (S&amp;P)'!AT86,
    IF(lien="First",'FF Adj Parameters'!$B$48,
        IF(lien="Second",'FF Adj Parameters'!$B$49,
            'FF Adj Parameters'!$B$860))
)</f>
        <v/>
      </c>
      <c r="K86" s="21">
        <f>LET(
    purpose,'Loan Tape (S&amp;P)'!U86,
    IF(purpose="Purchase",'FF Adj Parameters'!$B$861,
        IF(purpose="Remortgage",'FF Adj Parameters'!$B$862,
            IF(purpose="Cash-out Remortgage",'FF Adj Parameters'!$B$863,
                1.00)))
)</f>
        <v/>
      </c>
      <c r="L86" s="21">
        <f>LET(
    arrears_months,'Loan Tape (S&amp;P)'!X86,
    IF(arrears_months=0,'FF Adj Parameters'!$B$864,
        IF(arrears_months&lt;=2,'FF Adj Parameters'!$B$8686,
            'FF Adj Parameters'!$B$866))
)</f>
        <v/>
      </c>
      <c r="M86" s="21">
        <f>LET(
    years_seasoned,'Loan Tape (S&amp;P)'!AW86/12,
    arrears_months,'Loan Tape (S&amp;P)'!X86,
    IF(arrears_months&gt;0,1.00,
        IFERROR(
            INDEX('FF Adj Parameters'!$A$86:$B$11,
                MATCH(years_seasoned,INDEX('FF Adj Parameters'!$A$86:$B$11,,1),1),2),
            0.860))
)</f>
        <v/>
      </c>
      <c r="N86" s="21">
        <f>IF(AND('Loan Tape (S&amp;P)'!P86="Yes",'Loan Tape (S&amp;P)'!AW86&lt;'FF Adj Parameters'!$B$124),
    'FF Adj Parameters'!$B$33,
    1.00)</f>
        <v/>
      </c>
      <c r="O86" s="21">
        <f>IF('Loan Tape (S&amp;P)'!Q86="Yes",
    'FF Adj Parameters'!$B$37,
    1.00)</f>
        <v/>
      </c>
      <c r="P86" s="21">
        <f>IF('Loan Tape (S&amp;P)'!R86="Yes",
    'FF Adj Parameters'!$B$38,
    1.00)</f>
        <v/>
      </c>
      <c r="Q86" s="21">
        <f>IF('Loan Tape (S&amp;P)'!S86="Yes",
    'FF Adj Parameters'!$B$39,
    1.00)</f>
        <v/>
      </c>
      <c r="R86" s="21">
        <f>IF('Loan Tape (S&amp;P)'!T86="Yes",
    'FF Adj Parameters'!$B$40,
    1.00)</f>
        <v/>
      </c>
      <c r="S86" s="21">
        <f>LET(
    is_htb,'Loan Tape (S&amp;P)'!Q86="Yes",
    rate_type,'Loan Tape (S&amp;P)'!AS86,
    months_to_mat,'Loan Tape (S&amp;P)'!AU86,
    threshold,'FF Adj Parameters'!$B$1286,
    has_shock,AND(rate_type="Fixed",months_to_mat&lt;=threshold),
    IF(is_htb,1.00,IF(has_shock,'FF Adj Parameters'!$B$41,1.00))
)</f>
        <v/>
      </c>
      <c r="T86" s="21">
        <f>IFERROR(
    IF('Loan Tape (S&amp;P)'!N86&lt;&gt;"Interest Only",1.00,
        IF('Loan Tape (S&amp;P)'!N86="Buy to Let",1.00,
            LET(
                mat_check,'Loan Tape (S&amp;P)'!AV86,
                years_to_mat,'Loan Tape (S&amp;P)'!AU86/12,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6" s="21">
        <f>IF(AND('Loan Tape (S&amp;P)'!V86="Yes",'Loan Tape (S&amp;P)'!N86&lt;&gt;"Buy to Let"),
    'FF Adj Parameters'!$B$42,
    1.00)</f>
        <v/>
      </c>
      <c r="V86" s="21">
        <f>IF('Loan Tape (S&amp;P)'!AV86="Yes",
    'FF Adj Parameters'!$B$43,
    1.00)</f>
        <v/>
      </c>
      <c r="W86" s="23">
        <f>IF('Loan Tape (S&amp;P)'!AC86&gt;0,
    'FF Adj Parameters'!$B$44,
    1.00)</f>
        <v/>
      </c>
      <c r="X86" s="21">
        <f>LET(
    has_bankruptcy,'Loan Tape (S&amp;P)'!AE86="Yes",
    has_iva,'Loan Tape (S&amp;P)'!AF86="Yes",
    has_repo,'Loan Tape (S&amp;P)'!AI86="Yes",
    mult,IF(has_repo,'FF Adj Parameters'!$B$47,
            IF(has_bankruptcy,'FF Adj Parameters'!$B$486,
                IF(has_iva,'FF Adj Parameters'!$B$46,
                    1.00))),
    MAX(mult,0.860)
)</f>
        <v/>
      </c>
      <c r="Y86" s="21">
        <f>LET(
    has_perf_arr,'Loan Tape (S&amp;P)'!AP86="Yes",
    perf_arr_date,'Loan Tape (S&amp;P)'!AQ86,
    last_90_date,'Loan Tape (S&amp;P)'!AR86,
    threshold_years,VLOOKUP('Control Panel'!$B$6,'Jurisdiction Parameters'!$A:$Q,17,FALSE),
    relevant_date,MAX(perf_arr_date,last_90_date),
    years_since,('Control Panel'!$B$10-relevant_date)/3686.286,
    IF(NOT(has_perf_arr),1.00,
        IF(years_since&gt;threshold_years,1.00,
            IF(years_since&lt;=1,INDEX('FF Adj Parameters'!$C$47:$C$860,1),
                IF(years_since&lt;=2,INDEX('FF Adj Parameters'!$C$47:$C$860,2),
                    IF(years_since&lt;=3,INDEX('FF Adj Parameters'!$C$47:$C$860,3),
                        INDEX('FF Adj Parameters'!$C$47:$C$860,4))))))
)</f>
        <v/>
      </c>
      <c r="Z86" s="24">
        <f>IFERROR(
        IF(L86&gt;=100,1.00,
            'Control Panel'!$B$18*F86*G86*MAX(H86,R86)*I86*J86*K86*L86*M86*N86*O86*P86*Q86*S86*T86*U86*V86*W86*X86*Y86
        ),
    0)</f>
        <v/>
      </c>
    </row>
    <row r="87">
      <c r="A87" s="17">
        <f>'Loan Tape (S&amp;P)'!A87</f>
        <v/>
      </c>
      <c r="B87" s="18">
        <f>'Loan Tape (S&amp;P)'!B87</f>
        <v/>
      </c>
      <c r="C87" s="20">
        <f>IFERROR('Loan Tape (S&amp;P)'!C87/'Loan Tape (S&amp;P)'!E87,0)</f>
        <v/>
      </c>
      <c r="D87" s="20">
        <f>IFERROR(
        'Loan Tape (S&amp;P)'!B87/
        ('Loan Tape (S&amp;P)'!D87*
        (1-IF('Loan Tape (S&amp;P)'!AT87&lt;&gt;"Full",
            VLOOKUP('Control Panel'!$B$6,'Jurisdiction Parameters'!$A:$D,4,FALSE),
        0))),
    0)</f>
        <v/>
      </c>
      <c r="E87" s="20">
        <f>('Control Panel'!$B$12*C87)+('Control Panel'!$B$13*D87)</f>
        <v/>
      </c>
      <c r="F87" s="22">
        <f>IFERROR(
        LET(
            juris,'Control Panel'!$B$6,
            ltv_val,E87,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7" s="21">
        <f>'Control Panel'!$B$14</f>
        <v/>
      </c>
      <c r="H87" s="21">
        <f>LET(
    income_mult,'Loan Tape (S&amp;P)'!Z87,
    IF(income_mult=0,1.00,
        IFERROR(
            INDEX('FF Adj Parameters'!$A$187:$B$17,
                MATCH(income_mult,INDEX('FF Adj Parameters'!$A$187:$B$17,,1),1),2),
            1.870))
)</f>
        <v/>
      </c>
      <c r="I87" s="21">
        <f>IF('Loan Tape (S&amp;P)'!N87&lt;&gt;"Buy to Let",1.00,
    LET(
        dscr,'Loan Tape (S&amp;P)'!AA87,
        IF(dscr=0,INDEX('FF Adj Parameters'!$A$21:$B$287,1,2),
            IFERROR(
                INDEX('FF Adj Parameters'!$A$21:$B$287,
                    MATCH(dscr,INDEX('FF Adj Parameters'!$A$21:$B$287,,1),1),2),
                'FF Adj Parameters'!$B$21)))
)</f>
        <v/>
      </c>
      <c r="J87" s="21">
        <f>LET(
    lien,'Loan Tape (S&amp;P)'!AT87,
    IF(lien="First",'FF Adj Parameters'!$B$48,
        IF(lien="Second",'FF Adj Parameters'!$B$49,
            'FF Adj Parameters'!$B$870))
)</f>
        <v/>
      </c>
      <c r="K87" s="21">
        <f>LET(
    purpose,'Loan Tape (S&amp;P)'!U87,
    IF(purpose="Purchase",'FF Adj Parameters'!$B$871,
        IF(purpose="Remortgage",'FF Adj Parameters'!$B$872,
            IF(purpose="Cash-out Remortgage",'FF Adj Parameters'!$B$873,
                1.00)))
)</f>
        <v/>
      </c>
      <c r="L87" s="21">
        <f>LET(
    arrears_months,'Loan Tape (S&amp;P)'!X87,
    IF(arrears_months=0,'FF Adj Parameters'!$B$874,
        IF(arrears_months&lt;=2,'FF Adj Parameters'!$B$8787,
            'FF Adj Parameters'!$B$876))
)</f>
        <v/>
      </c>
      <c r="M87" s="21">
        <f>LET(
    years_seasoned,'Loan Tape (S&amp;P)'!AW87/12,
    arrears_months,'Loan Tape (S&amp;P)'!X87,
    IF(arrears_months&gt;0,1.00,
        IFERROR(
            INDEX('FF Adj Parameters'!$A$87:$B$11,
                MATCH(years_seasoned,INDEX('FF Adj Parameters'!$A$87:$B$11,,1),1),2),
            0.870))
)</f>
        <v/>
      </c>
      <c r="N87" s="21">
        <f>IF(AND('Loan Tape (S&amp;P)'!P87="Yes",'Loan Tape (S&amp;P)'!AW87&lt;'FF Adj Parameters'!$B$124),
    'FF Adj Parameters'!$B$33,
    1.00)</f>
        <v/>
      </c>
      <c r="O87" s="21">
        <f>IF('Loan Tape (S&amp;P)'!Q87="Yes",
    'FF Adj Parameters'!$B$37,
    1.00)</f>
        <v/>
      </c>
      <c r="P87" s="21">
        <f>IF('Loan Tape (S&amp;P)'!R87="Yes",
    'FF Adj Parameters'!$B$38,
    1.00)</f>
        <v/>
      </c>
      <c r="Q87" s="21">
        <f>IF('Loan Tape (S&amp;P)'!S87="Yes",
    'FF Adj Parameters'!$B$39,
    1.00)</f>
        <v/>
      </c>
      <c r="R87" s="21">
        <f>IF('Loan Tape (S&amp;P)'!T87="Yes",
    'FF Adj Parameters'!$B$40,
    1.00)</f>
        <v/>
      </c>
      <c r="S87" s="21">
        <f>LET(
    is_htb,'Loan Tape (S&amp;P)'!Q87="Yes",
    rate_type,'Loan Tape (S&amp;P)'!AS87,
    months_to_mat,'Loan Tape (S&amp;P)'!AU87,
    threshold,'FF Adj Parameters'!$B$1287,
    has_shock,AND(rate_type="Fixed",months_to_mat&lt;=threshold),
    IF(is_htb,1.00,IF(has_shock,'FF Adj Parameters'!$B$41,1.00))
)</f>
        <v/>
      </c>
      <c r="T87" s="21">
        <f>IFERROR(
    IF('Loan Tape (S&amp;P)'!N87&lt;&gt;"Interest Only",1.00,
        IF('Loan Tape (S&amp;P)'!N87="Buy to Let",1.00,
            LET(
                mat_check,'Loan Tape (S&amp;P)'!AV87,
                years_to_mat,'Loan Tape (S&amp;P)'!AU87/12,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7" s="21">
        <f>IF(AND('Loan Tape (S&amp;P)'!V87="Yes",'Loan Tape (S&amp;P)'!N87&lt;&gt;"Buy to Let"),
    'FF Adj Parameters'!$B$42,
    1.00)</f>
        <v/>
      </c>
      <c r="V87" s="21">
        <f>IF('Loan Tape (S&amp;P)'!AV87="Yes",
    'FF Adj Parameters'!$B$43,
    1.00)</f>
        <v/>
      </c>
      <c r="W87" s="23">
        <f>IF('Loan Tape (S&amp;P)'!AC87&gt;0,
    'FF Adj Parameters'!$B$44,
    1.00)</f>
        <v/>
      </c>
      <c r="X87" s="21">
        <f>LET(
    has_bankruptcy,'Loan Tape (S&amp;P)'!AE87="Yes",
    has_iva,'Loan Tape (S&amp;P)'!AF87="Yes",
    has_repo,'Loan Tape (S&amp;P)'!AI87="Yes",
    mult,IF(has_repo,'FF Adj Parameters'!$B$47,
            IF(has_bankruptcy,'FF Adj Parameters'!$B$487,
                IF(has_iva,'FF Adj Parameters'!$B$46,
                    1.00))),
    MAX(mult,0.870)
)</f>
        <v/>
      </c>
      <c r="Y87" s="21">
        <f>LET(
    has_perf_arr,'Loan Tape (S&amp;P)'!AP87="Yes",
    perf_arr_date,'Loan Tape (S&amp;P)'!AQ87,
    last_90_date,'Loan Tape (S&amp;P)'!AR87,
    threshold_years,VLOOKUP('Control Panel'!$B$6,'Jurisdiction Parameters'!$A:$Q,17,FALSE),
    relevant_date,MAX(perf_arr_date,last_90_date),
    years_since,('Control Panel'!$B$10-relevant_date)/3687.287,
    IF(NOT(has_perf_arr),1.00,
        IF(years_since&gt;threshold_years,1.00,
            IF(years_since&lt;=1,INDEX('FF Adj Parameters'!$C$47:$C$870,1),
                IF(years_since&lt;=2,INDEX('FF Adj Parameters'!$C$47:$C$870,2),
                    IF(years_since&lt;=3,INDEX('FF Adj Parameters'!$C$47:$C$870,3),
                        INDEX('FF Adj Parameters'!$C$47:$C$870,4))))))
)</f>
        <v/>
      </c>
      <c r="Z87" s="24">
        <f>IFERROR(
        IF(L87&gt;=100,1.00,
            'Control Panel'!$B$18*F87*G87*MAX(H87,R87)*I87*J87*K87*L87*M87*N87*O87*P87*Q87*S87*T87*U87*V87*W87*X87*Y87
        ),
    0)</f>
        <v/>
      </c>
    </row>
    <row r="88">
      <c r="A88" s="17">
        <f>'Loan Tape (S&amp;P)'!A88</f>
        <v/>
      </c>
      <c r="B88" s="18">
        <f>'Loan Tape (S&amp;P)'!B88</f>
        <v/>
      </c>
      <c r="C88" s="20">
        <f>IFERROR('Loan Tape (S&amp;P)'!C88/'Loan Tape (S&amp;P)'!E88,0)</f>
        <v/>
      </c>
      <c r="D88" s="20">
        <f>IFERROR(
        'Loan Tape (S&amp;P)'!B88/
        ('Loan Tape (S&amp;P)'!D88*
        (1-IF('Loan Tape (S&amp;P)'!AT88&lt;&gt;"Full",
            VLOOKUP('Control Panel'!$B$6,'Jurisdiction Parameters'!$A:$D,4,FALSE),
        0))),
    0)</f>
        <v/>
      </c>
      <c r="E88" s="20">
        <f>('Control Panel'!$B$12*C88)+('Control Panel'!$B$13*D88)</f>
        <v/>
      </c>
      <c r="F88" s="22">
        <f>IFERROR(
        LET(
            juris,'Control Panel'!$B$6,
            ltv_val,E88,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8" s="21">
        <f>'Control Panel'!$B$14</f>
        <v/>
      </c>
      <c r="H88" s="21">
        <f>LET(
    income_mult,'Loan Tape (S&amp;P)'!Z88,
    IF(income_mult=0,1.00,
        IFERROR(
            INDEX('FF Adj Parameters'!$A$188:$B$17,
                MATCH(income_mult,INDEX('FF Adj Parameters'!$A$188:$B$17,,1),1),2),
            1.880))
)</f>
        <v/>
      </c>
      <c r="I88" s="21">
        <f>IF('Loan Tape (S&amp;P)'!N88&lt;&gt;"Buy to Let",1.00,
    LET(
        dscr,'Loan Tape (S&amp;P)'!AA88,
        IF(dscr=0,INDEX('FF Adj Parameters'!$A$21:$B$288,1,2),
            IFERROR(
                INDEX('FF Adj Parameters'!$A$21:$B$288,
                    MATCH(dscr,INDEX('FF Adj Parameters'!$A$21:$B$288,,1),1),2),
                'FF Adj Parameters'!$B$21)))
)</f>
        <v/>
      </c>
      <c r="J88" s="21">
        <f>LET(
    lien,'Loan Tape (S&amp;P)'!AT88,
    IF(lien="First",'FF Adj Parameters'!$B$48,
        IF(lien="Second",'FF Adj Parameters'!$B$49,
            'FF Adj Parameters'!$B$880))
)</f>
        <v/>
      </c>
      <c r="K88" s="21">
        <f>LET(
    purpose,'Loan Tape (S&amp;P)'!U88,
    IF(purpose="Purchase",'FF Adj Parameters'!$B$881,
        IF(purpose="Remortgage",'FF Adj Parameters'!$B$882,
            IF(purpose="Cash-out Remortgage",'FF Adj Parameters'!$B$883,
                1.00)))
)</f>
        <v/>
      </c>
      <c r="L88" s="21">
        <f>LET(
    arrears_months,'Loan Tape (S&amp;P)'!X88,
    IF(arrears_months=0,'FF Adj Parameters'!$B$884,
        IF(arrears_months&lt;=2,'FF Adj Parameters'!$B$8888,
            'FF Adj Parameters'!$B$886))
)</f>
        <v/>
      </c>
      <c r="M88" s="21">
        <f>LET(
    years_seasoned,'Loan Tape (S&amp;P)'!AW88/12,
    arrears_months,'Loan Tape (S&amp;P)'!X88,
    IF(arrears_months&gt;0,1.00,
        IFERROR(
            INDEX('FF Adj Parameters'!$A$88:$B$11,
                MATCH(years_seasoned,INDEX('FF Adj Parameters'!$A$88:$B$11,,1),1),2),
            0.880))
)</f>
        <v/>
      </c>
      <c r="N88" s="21">
        <f>IF(AND('Loan Tape (S&amp;P)'!P88="Yes",'Loan Tape (S&amp;P)'!AW88&lt;'FF Adj Parameters'!$B$124),
    'FF Adj Parameters'!$B$33,
    1.00)</f>
        <v/>
      </c>
      <c r="O88" s="21">
        <f>IF('Loan Tape (S&amp;P)'!Q88="Yes",
    'FF Adj Parameters'!$B$37,
    1.00)</f>
        <v/>
      </c>
      <c r="P88" s="21">
        <f>IF('Loan Tape (S&amp;P)'!R88="Yes",
    'FF Adj Parameters'!$B$38,
    1.00)</f>
        <v/>
      </c>
      <c r="Q88" s="21">
        <f>IF('Loan Tape (S&amp;P)'!S88="Yes",
    'FF Adj Parameters'!$B$39,
    1.00)</f>
        <v/>
      </c>
      <c r="R88" s="21">
        <f>IF('Loan Tape (S&amp;P)'!T88="Yes",
    'FF Adj Parameters'!$B$40,
    1.00)</f>
        <v/>
      </c>
      <c r="S88" s="21">
        <f>LET(
    is_htb,'Loan Tape (S&amp;P)'!Q88="Yes",
    rate_type,'Loan Tape (S&amp;P)'!AS88,
    months_to_mat,'Loan Tape (S&amp;P)'!AU88,
    threshold,'FF Adj Parameters'!$B$1288,
    has_shock,AND(rate_type="Fixed",months_to_mat&lt;=threshold),
    IF(is_htb,1.00,IF(has_shock,'FF Adj Parameters'!$B$41,1.00))
)</f>
        <v/>
      </c>
      <c r="T88" s="21">
        <f>IFERROR(
    IF('Loan Tape (S&amp;P)'!N88&lt;&gt;"Interest Only",1.00,
        IF('Loan Tape (S&amp;P)'!N88="Buy to Let",1.00,
            LET(
                mat_check,'Loan Tape (S&amp;P)'!AV88,
                years_to_mat,'Loan Tape (S&amp;P)'!AU88/12,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8" s="21">
        <f>IF(AND('Loan Tape (S&amp;P)'!V88="Yes",'Loan Tape (S&amp;P)'!N88&lt;&gt;"Buy to Let"),
    'FF Adj Parameters'!$B$42,
    1.00)</f>
        <v/>
      </c>
      <c r="V88" s="21">
        <f>IF('Loan Tape (S&amp;P)'!AV88="Yes",
    'FF Adj Parameters'!$B$43,
    1.00)</f>
        <v/>
      </c>
      <c r="W88" s="23">
        <f>IF('Loan Tape (S&amp;P)'!AC88&gt;0,
    'FF Adj Parameters'!$B$44,
    1.00)</f>
        <v/>
      </c>
      <c r="X88" s="21">
        <f>LET(
    has_bankruptcy,'Loan Tape (S&amp;P)'!AE88="Yes",
    has_iva,'Loan Tape (S&amp;P)'!AF88="Yes",
    has_repo,'Loan Tape (S&amp;P)'!AI88="Yes",
    mult,IF(has_repo,'FF Adj Parameters'!$B$47,
            IF(has_bankruptcy,'FF Adj Parameters'!$B$488,
                IF(has_iva,'FF Adj Parameters'!$B$46,
                    1.00))),
    MAX(mult,0.880)
)</f>
        <v/>
      </c>
      <c r="Y88" s="21">
        <f>LET(
    has_perf_arr,'Loan Tape (S&amp;P)'!AP88="Yes",
    perf_arr_date,'Loan Tape (S&amp;P)'!AQ88,
    last_90_date,'Loan Tape (S&amp;P)'!AR88,
    threshold_years,VLOOKUP('Control Panel'!$B$6,'Jurisdiction Parameters'!$A:$Q,17,FALSE),
    relevant_date,MAX(perf_arr_date,last_90_date),
    years_since,('Control Panel'!$B$10-relevant_date)/3688.288,
    IF(NOT(has_perf_arr),1.00,
        IF(years_since&gt;threshold_years,1.00,
            IF(years_since&lt;=1,INDEX('FF Adj Parameters'!$C$47:$C$880,1),
                IF(years_since&lt;=2,INDEX('FF Adj Parameters'!$C$47:$C$880,2),
                    IF(years_since&lt;=3,INDEX('FF Adj Parameters'!$C$47:$C$880,3),
                        INDEX('FF Adj Parameters'!$C$47:$C$880,4))))))
)</f>
        <v/>
      </c>
      <c r="Z88" s="24">
        <f>IFERROR(
        IF(L88&gt;=100,1.00,
            'Control Panel'!$B$18*F88*G88*MAX(H88,R88)*I88*J88*K88*L88*M88*N88*O88*P88*Q88*S88*T88*U88*V88*W88*X88*Y88
        ),
    0)</f>
        <v/>
      </c>
    </row>
    <row r="89">
      <c r="A89" s="17">
        <f>'Loan Tape (S&amp;P)'!A89</f>
        <v/>
      </c>
      <c r="B89" s="18">
        <f>'Loan Tape (S&amp;P)'!B89</f>
        <v/>
      </c>
      <c r="C89" s="20">
        <f>IFERROR('Loan Tape (S&amp;P)'!C89/'Loan Tape (S&amp;P)'!E89,0)</f>
        <v/>
      </c>
      <c r="D89" s="20">
        <f>IFERROR(
        'Loan Tape (S&amp;P)'!B89/
        ('Loan Tape (S&amp;P)'!D89*
        (1-IF('Loan Tape (S&amp;P)'!AT89&lt;&gt;"Full",
            VLOOKUP('Control Panel'!$B$6,'Jurisdiction Parameters'!$A:$D,4,FALSE),
        0))),
    0)</f>
        <v/>
      </c>
      <c r="E89" s="20">
        <f>('Control Panel'!$B$12*C89)+('Control Panel'!$B$13*D89)</f>
        <v/>
      </c>
      <c r="F89" s="22">
        <f>IFERROR(
        LET(
            juris,'Control Panel'!$B$6,
            ltv_val,E89,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9" s="21">
        <f>'Control Panel'!$B$14</f>
        <v/>
      </c>
      <c r="H89" s="21">
        <f>LET(
    income_mult,'Loan Tape (S&amp;P)'!Z89,
    IF(income_mult=0,1.00,
        IFERROR(
            INDEX('FF Adj Parameters'!$A$189:$B$17,
                MATCH(income_mult,INDEX('FF Adj Parameters'!$A$189:$B$17,,1),1),2),
            1.890))
)</f>
        <v/>
      </c>
      <c r="I89" s="21">
        <f>IF('Loan Tape (S&amp;P)'!N89&lt;&gt;"Buy to Let",1.00,
    LET(
        dscr,'Loan Tape (S&amp;P)'!AA89,
        IF(dscr=0,INDEX('FF Adj Parameters'!$A$21:$B$289,1,2),
            IFERROR(
                INDEX('FF Adj Parameters'!$A$21:$B$289,
                    MATCH(dscr,INDEX('FF Adj Parameters'!$A$21:$B$289,,1),1),2),
                'FF Adj Parameters'!$B$21)))
)</f>
        <v/>
      </c>
      <c r="J89" s="21">
        <f>LET(
    lien,'Loan Tape (S&amp;P)'!AT89,
    IF(lien="First",'FF Adj Parameters'!$B$48,
        IF(lien="Second",'FF Adj Parameters'!$B$49,
            'FF Adj Parameters'!$B$890))
)</f>
        <v/>
      </c>
      <c r="K89" s="21">
        <f>LET(
    purpose,'Loan Tape (S&amp;P)'!U89,
    IF(purpose="Purchase",'FF Adj Parameters'!$B$891,
        IF(purpose="Remortgage",'FF Adj Parameters'!$B$892,
            IF(purpose="Cash-out Remortgage",'FF Adj Parameters'!$B$893,
                1.00)))
)</f>
        <v/>
      </c>
      <c r="L89" s="21">
        <f>LET(
    arrears_months,'Loan Tape (S&amp;P)'!X89,
    IF(arrears_months=0,'FF Adj Parameters'!$B$894,
        IF(arrears_months&lt;=2,'FF Adj Parameters'!$B$8989,
            'FF Adj Parameters'!$B$896))
)</f>
        <v/>
      </c>
      <c r="M89" s="21">
        <f>LET(
    years_seasoned,'Loan Tape (S&amp;P)'!AW89/12,
    arrears_months,'Loan Tape (S&amp;P)'!X89,
    IF(arrears_months&gt;0,1.00,
        IFERROR(
            INDEX('FF Adj Parameters'!$A$89:$B$11,
                MATCH(years_seasoned,INDEX('FF Adj Parameters'!$A$89:$B$11,,1),1),2),
            0.890))
)</f>
        <v/>
      </c>
      <c r="N89" s="21">
        <f>IF(AND('Loan Tape (S&amp;P)'!P89="Yes",'Loan Tape (S&amp;P)'!AW89&lt;'FF Adj Parameters'!$B$124),
    'FF Adj Parameters'!$B$33,
    1.00)</f>
        <v/>
      </c>
      <c r="O89" s="21">
        <f>IF('Loan Tape (S&amp;P)'!Q89="Yes",
    'FF Adj Parameters'!$B$37,
    1.00)</f>
        <v/>
      </c>
      <c r="P89" s="21">
        <f>IF('Loan Tape (S&amp;P)'!R89="Yes",
    'FF Adj Parameters'!$B$38,
    1.00)</f>
        <v/>
      </c>
      <c r="Q89" s="21">
        <f>IF('Loan Tape (S&amp;P)'!S89="Yes",
    'FF Adj Parameters'!$B$39,
    1.00)</f>
        <v/>
      </c>
      <c r="R89" s="21">
        <f>IF('Loan Tape (S&amp;P)'!T89="Yes",
    'FF Adj Parameters'!$B$40,
    1.00)</f>
        <v/>
      </c>
      <c r="S89" s="21">
        <f>LET(
    is_htb,'Loan Tape (S&amp;P)'!Q89="Yes",
    rate_type,'Loan Tape (S&amp;P)'!AS89,
    months_to_mat,'Loan Tape (S&amp;P)'!AU89,
    threshold,'FF Adj Parameters'!$B$1289,
    has_shock,AND(rate_type="Fixed",months_to_mat&lt;=threshold),
    IF(is_htb,1.00,IF(has_shock,'FF Adj Parameters'!$B$41,1.00))
)</f>
        <v/>
      </c>
      <c r="T89" s="21">
        <f>IFERROR(
    IF('Loan Tape (S&amp;P)'!N89&lt;&gt;"Interest Only",1.00,
        IF('Loan Tape (S&amp;P)'!N89="Buy to Let",1.00,
            LET(
                mat_check,'Loan Tape (S&amp;P)'!AV89,
                years_to_mat,'Loan Tape (S&amp;P)'!AU89/12,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9" s="21">
        <f>IF(AND('Loan Tape (S&amp;P)'!V89="Yes",'Loan Tape (S&amp;P)'!N89&lt;&gt;"Buy to Let"),
    'FF Adj Parameters'!$B$42,
    1.00)</f>
        <v/>
      </c>
      <c r="V89" s="21">
        <f>IF('Loan Tape (S&amp;P)'!AV89="Yes",
    'FF Adj Parameters'!$B$43,
    1.00)</f>
        <v/>
      </c>
      <c r="W89" s="23">
        <f>IF('Loan Tape (S&amp;P)'!AC89&gt;0,
    'FF Adj Parameters'!$B$44,
    1.00)</f>
        <v/>
      </c>
      <c r="X89" s="21">
        <f>LET(
    has_bankruptcy,'Loan Tape (S&amp;P)'!AE89="Yes",
    has_iva,'Loan Tape (S&amp;P)'!AF89="Yes",
    has_repo,'Loan Tape (S&amp;P)'!AI89="Yes",
    mult,IF(has_repo,'FF Adj Parameters'!$B$47,
            IF(has_bankruptcy,'FF Adj Parameters'!$B$489,
                IF(has_iva,'FF Adj Parameters'!$B$46,
                    1.00))),
    MAX(mult,0.890)
)</f>
        <v/>
      </c>
      <c r="Y89" s="21">
        <f>LET(
    has_perf_arr,'Loan Tape (S&amp;P)'!AP89="Yes",
    perf_arr_date,'Loan Tape (S&amp;P)'!AQ89,
    last_90_date,'Loan Tape (S&amp;P)'!AR89,
    threshold_years,VLOOKUP('Control Panel'!$B$6,'Jurisdiction Parameters'!$A:$Q,17,FALSE),
    relevant_date,MAX(perf_arr_date,last_90_date),
    years_since,('Control Panel'!$B$10-relevant_date)/3689.289,
    IF(NOT(has_perf_arr),1.00,
        IF(years_since&gt;threshold_years,1.00,
            IF(years_since&lt;=1,INDEX('FF Adj Parameters'!$C$47:$C$890,1),
                IF(years_since&lt;=2,INDEX('FF Adj Parameters'!$C$47:$C$890,2),
                    IF(years_since&lt;=3,INDEX('FF Adj Parameters'!$C$47:$C$890,3),
                        INDEX('FF Adj Parameters'!$C$47:$C$890,4))))))
)</f>
        <v/>
      </c>
      <c r="Z89" s="24">
        <f>IFERROR(
        IF(L89&gt;=100,1.00,
            'Control Panel'!$B$18*F89*G89*MAX(H89,R89)*I89*J89*K89*L89*M89*N89*O89*P89*Q89*S89*T89*U89*V89*W89*X89*Y89
        ),
    0)</f>
        <v/>
      </c>
    </row>
    <row r="90">
      <c r="A90" s="17">
        <f>'Loan Tape (S&amp;P)'!A90</f>
        <v/>
      </c>
      <c r="B90" s="18">
        <f>'Loan Tape (S&amp;P)'!B90</f>
        <v/>
      </c>
      <c r="C90" s="20">
        <f>IFERROR('Loan Tape (S&amp;P)'!C90/'Loan Tape (S&amp;P)'!E90,0)</f>
        <v/>
      </c>
      <c r="D90" s="20">
        <f>IFERROR(
        'Loan Tape (S&amp;P)'!B90/
        ('Loan Tape (S&amp;P)'!D90*
        (1-IF('Loan Tape (S&amp;P)'!AT90&lt;&gt;"Full",
            VLOOKUP('Control Panel'!$B$6,'Jurisdiction Parameters'!$A:$D,4,FALSE),
        0))),
    0)</f>
        <v/>
      </c>
      <c r="E90" s="20">
        <f>('Control Panel'!$B$12*C90)+('Control Panel'!$B$13*D90)</f>
        <v/>
      </c>
      <c r="F90" s="22">
        <f>IFERROR(
        LET(
            juris,'Control Panel'!$B$6,
            ltv_val,E90,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0" s="21">
        <f>'Control Panel'!$B$14</f>
        <v/>
      </c>
      <c r="H90" s="21">
        <f>LET(
    income_mult,'Loan Tape (S&amp;P)'!Z90,
    IF(income_mult=0,1.00,
        IFERROR(
            INDEX('FF Adj Parameters'!$A$190:$B$17,
                MATCH(income_mult,INDEX('FF Adj Parameters'!$A$190:$B$17,,1),1),2),
            1.900))
)</f>
        <v/>
      </c>
      <c r="I90" s="21">
        <f>IF('Loan Tape (S&amp;P)'!N90&lt;&gt;"Buy to Let",1.00,
    LET(
        dscr,'Loan Tape (S&amp;P)'!AA90,
        IF(dscr=0,INDEX('FF Adj Parameters'!$A$21:$B$290,1,2),
            IFERROR(
                INDEX('FF Adj Parameters'!$A$21:$B$290,
                    MATCH(dscr,INDEX('FF Adj Parameters'!$A$21:$B$290,,1),1),2),
                'FF Adj Parameters'!$B$21)))
)</f>
        <v/>
      </c>
      <c r="J90" s="21">
        <f>LET(
    lien,'Loan Tape (S&amp;P)'!AT90,
    IF(lien="First",'FF Adj Parameters'!$B$48,
        IF(lien="Second",'FF Adj Parameters'!$B$49,
            'FF Adj Parameters'!$B$900))
)</f>
        <v/>
      </c>
      <c r="K90" s="21">
        <f>LET(
    purpose,'Loan Tape (S&amp;P)'!U90,
    IF(purpose="Purchase",'FF Adj Parameters'!$B$901,
        IF(purpose="Remortgage",'FF Adj Parameters'!$B$902,
            IF(purpose="Cash-out Remortgage",'FF Adj Parameters'!$B$903,
                1.00)))
)</f>
        <v/>
      </c>
      <c r="L90" s="21">
        <f>LET(
    arrears_months,'Loan Tape (S&amp;P)'!X90,
    IF(arrears_months=0,'FF Adj Parameters'!$B$904,
        IF(arrears_months&lt;=2,'FF Adj Parameters'!$B$9090,
            'FF Adj Parameters'!$B$906))
)</f>
        <v/>
      </c>
      <c r="M90" s="21">
        <f>LET(
    years_seasoned,'Loan Tape (S&amp;P)'!AW90/12,
    arrears_months,'Loan Tape (S&amp;P)'!X90,
    IF(arrears_months&gt;0,1.00,
        IFERROR(
            INDEX('FF Adj Parameters'!$A$90:$B$11,
                MATCH(years_seasoned,INDEX('FF Adj Parameters'!$A$90:$B$11,,1),1),2),
            0.900))
)</f>
        <v/>
      </c>
      <c r="N90" s="21">
        <f>IF(AND('Loan Tape (S&amp;P)'!P90="Yes",'Loan Tape (S&amp;P)'!AW90&lt;'FF Adj Parameters'!$B$124),
    'FF Adj Parameters'!$B$33,
    1.00)</f>
        <v/>
      </c>
      <c r="O90" s="21">
        <f>IF('Loan Tape (S&amp;P)'!Q90="Yes",
    'FF Adj Parameters'!$B$37,
    1.00)</f>
        <v/>
      </c>
      <c r="P90" s="21">
        <f>IF('Loan Tape (S&amp;P)'!R90="Yes",
    'FF Adj Parameters'!$B$38,
    1.00)</f>
        <v/>
      </c>
      <c r="Q90" s="21">
        <f>IF('Loan Tape (S&amp;P)'!S90="Yes",
    'FF Adj Parameters'!$B$39,
    1.00)</f>
        <v/>
      </c>
      <c r="R90" s="21">
        <f>IF('Loan Tape (S&amp;P)'!T90="Yes",
    'FF Adj Parameters'!$B$40,
    1.00)</f>
        <v/>
      </c>
      <c r="S90" s="21">
        <f>LET(
    is_htb,'Loan Tape (S&amp;P)'!Q90="Yes",
    rate_type,'Loan Tape (S&amp;P)'!AS90,
    months_to_mat,'Loan Tape (S&amp;P)'!AU90,
    threshold,'FF Adj Parameters'!$B$1290,
    has_shock,AND(rate_type="Fixed",months_to_mat&lt;=threshold),
    IF(is_htb,1.00,IF(has_shock,'FF Adj Parameters'!$B$41,1.00))
)</f>
        <v/>
      </c>
      <c r="T90" s="21">
        <f>IFERROR(
    IF('Loan Tape (S&amp;P)'!N90&lt;&gt;"Interest Only",1.00,
        IF('Loan Tape (S&amp;P)'!N90="Buy to Let",1.00,
            LET(
                mat_check,'Loan Tape (S&amp;P)'!AV90,
                years_to_mat,'Loan Tape (S&amp;P)'!AU90/12,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0" s="21">
        <f>IF(AND('Loan Tape (S&amp;P)'!V90="Yes",'Loan Tape (S&amp;P)'!N90&lt;&gt;"Buy to Let"),
    'FF Adj Parameters'!$B$42,
    1.00)</f>
        <v/>
      </c>
      <c r="V90" s="21">
        <f>IF('Loan Tape (S&amp;P)'!AV90="Yes",
    'FF Adj Parameters'!$B$43,
    1.00)</f>
        <v/>
      </c>
      <c r="W90" s="23">
        <f>IF('Loan Tape (S&amp;P)'!AC90&gt;0,
    'FF Adj Parameters'!$B$44,
    1.00)</f>
        <v/>
      </c>
      <c r="X90" s="21">
        <f>LET(
    has_bankruptcy,'Loan Tape (S&amp;P)'!AE90="Yes",
    has_iva,'Loan Tape (S&amp;P)'!AF90="Yes",
    has_repo,'Loan Tape (S&amp;P)'!AI90="Yes",
    mult,IF(has_repo,'FF Adj Parameters'!$B$47,
            IF(has_bankruptcy,'FF Adj Parameters'!$B$490,
                IF(has_iva,'FF Adj Parameters'!$B$46,
                    1.00))),
    MAX(mult,0.900)
)</f>
        <v/>
      </c>
      <c r="Y90" s="21">
        <f>LET(
    has_perf_arr,'Loan Tape (S&amp;P)'!AP90="Yes",
    perf_arr_date,'Loan Tape (S&amp;P)'!AQ90,
    last_90_date,'Loan Tape (S&amp;P)'!AR90,
    threshold_years,VLOOKUP('Control Panel'!$B$6,'Jurisdiction Parameters'!$A:$Q,17,FALSE),
    relevant_date,MAX(perf_arr_date,last_90_date),
    years_since,('Control Panel'!$B$10-relevant_date)/3690.290,
    IF(NOT(has_perf_arr),1.00,
        IF(years_since&gt;threshold_years,1.00,
            IF(years_since&lt;=1,INDEX('FF Adj Parameters'!$C$47:$C$900,1),
                IF(years_since&lt;=2,INDEX('FF Adj Parameters'!$C$47:$C$900,2),
                    IF(years_since&lt;=3,INDEX('FF Adj Parameters'!$C$47:$C$900,3),
                        INDEX('FF Adj Parameters'!$C$47:$C$900,4))))))
)</f>
        <v/>
      </c>
      <c r="Z90" s="24">
        <f>IFERROR(
        IF(L90&gt;=100,1.00,
            'Control Panel'!$B$18*F90*G90*MAX(H90,R90)*I90*J90*K90*L90*M90*N90*O90*P90*Q90*S90*T90*U90*V90*W90*X90*Y90
        ),
    0)</f>
        <v/>
      </c>
    </row>
    <row r="91">
      <c r="A91" s="17">
        <f>'Loan Tape (S&amp;P)'!A91</f>
        <v/>
      </c>
      <c r="B91" s="18">
        <f>'Loan Tape (S&amp;P)'!B91</f>
        <v/>
      </c>
      <c r="C91" s="20">
        <f>IFERROR('Loan Tape (S&amp;P)'!C91/'Loan Tape (S&amp;P)'!E91,0)</f>
        <v/>
      </c>
      <c r="D91" s="20">
        <f>IFERROR(
        'Loan Tape (S&amp;P)'!B91/
        ('Loan Tape (S&amp;P)'!D91*
        (1-IF('Loan Tape (S&amp;P)'!AT91&lt;&gt;"Full",
            VLOOKUP('Control Panel'!$B$6,'Jurisdiction Parameters'!$A:$D,4,FALSE),
        0))),
    0)</f>
        <v/>
      </c>
      <c r="E91" s="20">
        <f>('Control Panel'!$B$12*C91)+('Control Panel'!$B$13*D91)</f>
        <v/>
      </c>
      <c r="F91" s="22">
        <f>IFERROR(
        LET(
            juris,'Control Panel'!$B$6,
            ltv_val,E91,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1" s="21">
        <f>'Control Panel'!$B$14</f>
        <v/>
      </c>
      <c r="H91" s="21">
        <f>LET(
    income_mult,'Loan Tape (S&amp;P)'!Z91,
    IF(income_mult=0,1.00,
        IFERROR(
            INDEX('FF Adj Parameters'!$A$191:$B$17,
                MATCH(income_mult,INDEX('FF Adj Parameters'!$A$191:$B$17,,1),1),2),
            1.910))
)</f>
        <v/>
      </c>
      <c r="I91" s="21">
        <f>IF('Loan Tape (S&amp;P)'!N91&lt;&gt;"Buy to Let",1.00,
    LET(
        dscr,'Loan Tape (S&amp;P)'!AA91,
        IF(dscr=0,INDEX('FF Adj Parameters'!$A$21:$B$291,1,2),
            IFERROR(
                INDEX('FF Adj Parameters'!$A$21:$B$291,
                    MATCH(dscr,INDEX('FF Adj Parameters'!$A$21:$B$291,,1),1),2),
                'FF Adj Parameters'!$B$21)))
)</f>
        <v/>
      </c>
      <c r="J91" s="21">
        <f>LET(
    lien,'Loan Tape (S&amp;P)'!AT91,
    IF(lien="First",'FF Adj Parameters'!$B$48,
        IF(lien="Second",'FF Adj Parameters'!$B$49,
            'FF Adj Parameters'!$B$910))
)</f>
        <v/>
      </c>
      <c r="K91" s="21">
        <f>LET(
    purpose,'Loan Tape (S&amp;P)'!U91,
    IF(purpose="Purchase",'FF Adj Parameters'!$B$911,
        IF(purpose="Remortgage",'FF Adj Parameters'!$B$912,
            IF(purpose="Cash-out Remortgage",'FF Adj Parameters'!$B$913,
                1.00)))
)</f>
        <v/>
      </c>
      <c r="L91" s="21">
        <f>LET(
    arrears_months,'Loan Tape (S&amp;P)'!X91,
    IF(arrears_months=0,'FF Adj Parameters'!$B$914,
        IF(arrears_months&lt;=2,'FF Adj Parameters'!$B$9191,
            'FF Adj Parameters'!$B$916))
)</f>
        <v/>
      </c>
      <c r="M91" s="21">
        <f>LET(
    years_seasoned,'Loan Tape (S&amp;P)'!AW91/12,
    arrears_months,'Loan Tape (S&amp;P)'!X91,
    IF(arrears_months&gt;0,1.00,
        IFERROR(
            INDEX('FF Adj Parameters'!$A$91:$B$11,
                MATCH(years_seasoned,INDEX('FF Adj Parameters'!$A$91:$B$11,,1),1),2),
            0.910))
)</f>
        <v/>
      </c>
      <c r="N91" s="21">
        <f>IF(AND('Loan Tape (S&amp;P)'!P91="Yes",'Loan Tape (S&amp;P)'!AW91&lt;'FF Adj Parameters'!$B$124),
    'FF Adj Parameters'!$B$33,
    1.00)</f>
        <v/>
      </c>
      <c r="O91" s="21">
        <f>IF('Loan Tape (S&amp;P)'!Q91="Yes",
    'FF Adj Parameters'!$B$37,
    1.00)</f>
        <v/>
      </c>
      <c r="P91" s="21">
        <f>IF('Loan Tape (S&amp;P)'!R91="Yes",
    'FF Adj Parameters'!$B$38,
    1.00)</f>
        <v/>
      </c>
      <c r="Q91" s="21">
        <f>IF('Loan Tape (S&amp;P)'!S91="Yes",
    'FF Adj Parameters'!$B$39,
    1.00)</f>
        <v/>
      </c>
      <c r="R91" s="21">
        <f>IF('Loan Tape (S&amp;P)'!T91="Yes",
    'FF Adj Parameters'!$B$40,
    1.00)</f>
        <v/>
      </c>
      <c r="S91" s="21">
        <f>LET(
    is_htb,'Loan Tape (S&amp;P)'!Q91="Yes",
    rate_type,'Loan Tape (S&amp;P)'!AS91,
    months_to_mat,'Loan Tape (S&amp;P)'!AU91,
    threshold,'FF Adj Parameters'!$B$1291,
    has_shock,AND(rate_type="Fixed",months_to_mat&lt;=threshold),
    IF(is_htb,1.00,IF(has_shock,'FF Adj Parameters'!$B$41,1.00))
)</f>
        <v/>
      </c>
      <c r="T91" s="21">
        <f>IFERROR(
    IF('Loan Tape (S&amp;P)'!N91&lt;&gt;"Interest Only",1.00,
        IF('Loan Tape (S&amp;P)'!N91="Buy to Let",1.00,
            LET(
                mat_check,'Loan Tape (S&amp;P)'!AV91,
                years_to_mat,'Loan Tape (S&amp;P)'!AU91/12,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1" s="21">
        <f>IF(AND('Loan Tape (S&amp;P)'!V91="Yes",'Loan Tape (S&amp;P)'!N91&lt;&gt;"Buy to Let"),
    'FF Adj Parameters'!$B$42,
    1.00)</f>
        <v/>
      </c>
      <c r="V91" s="21">
        <f>IF('Loan Tape (S&amp;P)'!AV91="Yes",
    'FF Adj Parameters'!$B$43,
    1.00)</f>
        <v/>
      </c>
      <c r="W91" s="23">
        <f>IF('Loan Tape (S&amp;P)'!AC91&gt;0,
    'FF Adj Parameters'!$B$44,
    1.00)</f>
        <v/>
      </c>
      <c r="X91" s="21">
        <f>LET(
    has_bankruptcy,'Loan Tape (S&amp;P)'!AE91="Yes",
    has_iva,'Loan Tape (S&amp;P)'!AF91="Yes",
    has_repo,'Loan Tape (S&amp;P)'!AI91="Yes",
    mult,IF(has_repo,'FF Adj Parameters'!$B$47,
            IF(has_bankruptcy,'FF Adj Parameters'!$B$491,
                IF(has_iva,'FF Adj Parameters'!$B$46,
                    1.00))),
    MAX(mult,0.910)
)</f>
        <v/>
      </c>
      <c r="Y91" s="21">
        <f>LET(
    has_perf_arr,'Loan Tape (S&amp;P)'!AP91="Yes",
    perf_arr_date,'Loan Tape (S&amp;P)'!AQ91,
    last_90_date,'Loan Tape (S&amp;P)'!AR91,
    threshold_years,VLOOKUP('Control Panel'!$B$6,'Jurisdiction Parameters'!$A:$Q,17,FALSE),
    relevant_date,MAX(perf_arr_date,last_90_date),
    years_since,('Control Panel'!$B$10-relevant_date)/3691.291,
    IF(NOT(has_perf_arr),1.00,
        IF(years_since&gt;threshold_years,1.00,
            IF(years_since&lt;=1,INDEX('FF Adj Parameters'!$C$47:$C$910,1),
                IF(years_since&lt;=2,INDEX('FF Adj Parameters'!$C$47:$C$910,2),
                    IF(years_since&lt;=3,INDEX('FF Adj Parameters'!$C$47:$C$910,3),
                        INDEX('FF Adj Parameters'!$C$47:$C$910,4))))))
)</f>
        <v/>
      </c>
      <c r="Z91" s="24">
        <f>IFERROR(
        IF(L91&gt;=100,1.00,
            'Control Panel'!$B$18*F91*G91*MAX(H91,R91)*I91*J91*K91*L91*M91*N91*O91*P91*Q91*S91*T91*U91*V91*W91*X91*Y91
        ),
    0)</f>
        <v/>
      </c>
    </row>
    <row r="92">
      <c r="A92" s="17">
        <f>'Loan Tape (S&amp;P)'!A92</f>
        <v/>
      </c>
      <c r="B92" s="18">
        <f>'Loan Tape (S&amp;P)'!B92</f>
        <v/>
      </c>
      <c r="C92" s="20">
        <f>IFERROR('Loan Tape (S&amp;P)'!C92/'Loan Tape (S&amp;P)'!E92,0)</f>
        <v/>
      </c>
      <c r="D92" s="20">
        <f>IFERROR(
        'Loan Tape (S&amp;P)'!B92/
        ('Loan Tape (S&amp;P)'!D92*
        (1-IF('Loan Tape (S&amp;P)'!AT92&lt;&gt;"Full",
            VLOOKUP('Control Panel'!$B$6,'Jurisdiction Parameters'!$A:$D,4,FALSE),
        0))),
    0)</f>
        <v/>
      </c>
      <c r="E92" s="20">
        <f>('Control Panel'!$B$12*C92)+('Control Panel'!$B$13*D92)</f>
        <v/>
      </c>
      <c r="F92" s="22">
        <f>IFERROR(
        LET(
            juris,'Control Panel'!$B$6,
            ltv_val,E92,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2" s="21">
        <f>'Control Panel'!$B$14</f>
        <v/>
      </c>
      <c r="H92" s="21">
        <f>LET(
    income_mult,'Loan Tape (S&amp;P)'!Z92,
    IF(income_mult=0,1.00,
        IFERROR(
            INDEX('FF Adj Parameters'!$A$192:$B$17,
                MATCH(income_mult,INDEX('FF Adj Parameters'!$A$192:$B$17,,1),1),2),
            1.920))
)</f>
        <v/>
      </c>
      <c r="I92" s="21">
        <f>IF('Loan Tape (S&amp;P)'!N92&lt;&gt;"Buy to Let",1.00,
    LET(
        dscr,'Loan Tape (S&amp;P)'!AA92,
        IF(dscr=0,INDEX('FF Adj Parameters'!$A$21:$B$292,1,2),
            IFERROR(
                INDEX('FF Adj Parameters'!$A$21:$B$292,
                    MATCH(dscr,INDEX('FF Adj Parameters'!$A$21:$B$292,,1),1),2),
                'FF Adj Parameters'!$B$21)))
)</f>
        <v/>
      </c>
      <c r="J92" s="21">
        <f>LET(
    lien,'Loan Tape (S&amp;P)'!AT92,
    IF(lien="First",'FF Adj Parameters'!$B$48,
        IF(lien="Second",'FF Adj Parameters'!$B$49,
            'FF Adj Parameters'!$B$920))
)</f>
        <v/>
      </c>
      <c r="K92" s="21">
        <f>LET(
    purpose,'Loan Tape (S&amp;P)'!U92,
    IF(purpose="Purchase",'FF Adj Parameters'!$B$921,
        IF(purpose="Remortgage",'FF Adj Parameters'!$B$922,
            IF(purpose="Cash-out Remortgage",'FF Adj Parameters'!$B$923,
                1.00)))
)</f>
        <v/>
      </c>
      <c r="L92" s="21">
        <f>LET(
    arrears_months,'Loan Tape (S&amp;P)'!X92,
    IF(arrears_months=0,'FF Adj Parameters'!$B$924,
        IF(arrears_months&lt;=2,'FF Adj Parameters'!$B$9292,
            'FF Adj Parameters'!$B$926))
)</f>
        <v/>
      </c>
      <c r="M92" s="21">
        <f>LET(
    years_seasoned,'Loan Tape (S&amp;P)'!AW92/12,
    arrears_months,'Loan Tape (S&amp;P)'!X92,
    IF(arrears_months&gt;0,1.00,
        IFERROR(
            INDEX('FF Adj Parameters'!$A$92:$B$11,
                MATCH(years_seasoned,INDEX('FF Adj Parameters'!$A$92:$B$11,,1),1),2),
            0.920))
)</f>
        <v/>
      </c>
      <c r="N92" s="21">
        <f>IF(AND('Loan Tape (S&amp;P)'!P92="Yes",'Loan Tape (S&amp;P)'!AW92&lt;'FF Adj Parameters'!$B$124),
    'FF Adj Parameters'!$B$33,
    1.00)</f>
        <v/>
      </c>
      <c r="O92" s="21">
        <f>IF('Loan Tape (S&amp;P)'!Q92="Yes",
    'FF Adj Parameters'!$B$37,
    1.00)</f>
        <v/>
      </c>
      <c r="P92" s="21">
        <f>IF('Loan Tape (S&amp;P)'!R92="Yes",
    'FF Adj Parameters'!$B$38,
    1.00)</f>
        <v/>
      </c>
      <c r="Q92" s="21">
        <f>IF('Loan Tape (S&amp;P)'!S92="Yes",
    'FF Adj Parameters'!$B$39,
    1.00)</f>
        <v/>
      </c>
      <c r="R92" s="21">
        <f>IF('Loan Tape (S&amp;P)'!T92="Yes",
    'FF Adj Parameters'!$B$40,
    1.00)</f>
        <v/>
      </c>
      <c r="S92" s="21">
        <f>LET(
    is_htb,'Loan Tape (S&amp;P)'!Q92="Yes",
    rate_type,'Loan Tape (S&amp;P)'!AS92,
    months_to_mat,'Loan Tape (S&amp;P)'!AU92,
    threshold,'FF Adj Parameters'!$B$1292,
    has_shock,AND(rate_type="Fixed",months_to_mat&lt;=threshold),
    IF(is_htb,1.00,IF(has_shock,'FF Adj Parameters'!$B$41,1.00))
)</f>
        <v/>
      </c>
      <c r="T92" s="21">
        <f>IFERROR(
    IF('Loan Tape (S&amp;P)'!N92&lt;&gt;"Interest Only",1.00,
        IF('Loan Tape (S&amp;P)'!N92="Buy to Let",1.00,
            LET(
                mat_check,'Loan Tape (S&amp;P)'!AV92,
                years_to_mat,'Loan Tape (S&amp;P)'!AU92/12,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2" s="21">
        <f>IF(AND('Loan Tape (S&amp;P)'!V92="Yes",'Loan Tape (S&amp;P)'!N92&lt;&gt;"Buy to Let"),
    'FF Adj Parameters'!$B$42,
    1.00)</f>
        <v/>
      </c>
      <c r="V92" s="21">
        <f>IF('Loan Tape (S&amp;P)'!AV92="Yes",
    'FF Adj Parameters'!$B$43,
    1.00)</f>
        <v/>
      </c>
      <c r="W92" s="23">
        <f>IF('Loan Tape (S&amp;P)'!AC92&gt;0,
    'FF Adj Parameters'!$B$44,
    1.00)</f>
        <v/>
      </c>
      <c r="X92" s="21">
        <f>LET(
    has_bankruptcy,'Loan Tape (S&amp;P)'!AE92="Yes",
    has_iva,'Loan Tape (S&amp;P)'!AF92="Yes",
    has_repo,'Loan Tape (S&amp;P)'!AI92="Yes",
    mult,IF(has_repo,'FF Adj Parameters'!$B$47,
            IF(has_bankruptcy,'FF Adj Parameters'!$B$492,
                IF(has_iva,'FF Adj Parameters'!$B$46,
                    1.00))),
    MAX(mult,0.920)
)</f>
        <v/>
      </c>
      <c r="Y92" s="21">
        <f>LET(
    has_perf_arr,'Loan Tape (S&amp;P)'!AP92="Yes",
    perf_arr_date,'Loan Tape (S&amp;P)'!AQ92,
    last_90_date,'Loan Tape (S&amp;P)'!AR92,
    threshold_years,VLOOKUP('Control Panel'!$B$6,'Jurisdiction Parameters'!$A:$Q,17,FALSE),
    relevant_date,MAX(perf_arr_date,last_90_date),
    years_since,('Control Panel'!$B$10-relevant_date)/3692.292,
    IF(NOT(has_perf_arr),1.00,
        IF(years_since&gt;threshold_years,1.00,
            IF(years_since&lt;=1,INDEX('FF Adj Parameters'!$C$47:$C$920,1),
                IF(years_since&lt;=2,INDEX('FF Adj Parameters'!$C$47:$C$920,2),
                    IF(years_since&lt;=3,INDEX('FF Adj Parameters'!$C$47:$C$920,3),
                        INDEX('FF Adj Parameters'!$C$47:$C$920,4))))))
)</f>
        <v/>
      </c>
      <c r="Z92" s="24">
        <f>IFERROR(
        IF(L92&gt;=100,1.00,
            'Control Panel'!$B$18*F92*G92*MAX(H92,R92)*I92*J92*K92*L92*M92*N92*O92*P92*Q92*S92*T92*U92*V92*W92*X92*Y92
        ),
    0)</f>
        <v/>
      </c>
    </row>
    <row r="93">
      <c r="A93" s="17">
        <f>'Loan Tape (S&amp;P)'!A93</f>
        <v/>
      </c>
      <c r="B93" s="18">
        <f>'Loan Tape (S&amp;P)'!B93</f>
        <v/>
      </c>
      <c r="C93" s="20">
        <f>IFERROR('Loan Tape (S&amp;P)'!C93/'Loan Tape (S&amp;P)'!E93,0)</f>
        <v/>
      </c>
      <c r="D93" s="20">
        <f>IFERROR(
        'Loan Tape (S&amp;P)'!B93/
        ('Loan Tape (S&amp;P)'!D93*
        (1-IF('Loan Tape (S&amp;P)'!AT93&lt;&gt;"Full",
            VLOOKUP('Control Panel'!$B$6,'Jurisdiction Parameters'!$A:$D,4,FALSE),
        0))),
    0)</f>
        <v/>
      </c>
      <c r="E93" s="20">
        <f>('Control Panel'!$B$12*C93)+('Control Panel'!$B$13*D93)</f>
        <v/>
      </c>
      <c r="F93" s="22">
        <f>IFERROR(
        LET(
            juris,'Control Panel'!$B$6,
            ltv_val,E93,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3" s="21">
        <f>'Control Panel'!$B$14</f>
        <v/>
      </c>
      <c r="H93" s="21">
        <f>LET(
    income_mult,'Loan Tape (S&amp;P)'!Z93,
    IF(income_mult=0,1.00,
        IFERROR(
            INDEX('FF Adj Parameters'!$A$193:$B$17,
                MATCH(income_mult,INDEX('FF Adj Parameters'!$A$193:$B$17,,1),1),2),
            1.930))
)</f>
        <v/>
      </c>
      <c r="I93" s="21">
        <f>IF('Loan Tape (S&amp;P)'!N93&lt;&gt;"Buy to Let",1.00,
    LET(
        dscr,'Loan Tape (S&amp;P)'!AA93,
        IF(dscr=0,INDEX('FF Adj Parameters'!$A$21:$B$293,1,2),
            IFERROR(
                INDEX('FF Adj Parameters'!$A$21:$B$293,
                    MATCH(dscr,INDEX('FF Adj Parameters'!$A$21:$B$293,,1),1),2),
                'FF Adj Parameters'!$B$21)))
)</f>
        <v/>
      </c>
      <c r="J93" s="21">
        <f>LET(
    lien,'Loan Tape (S&amp;P)'!AT93,
    IF(lien="First",'FF Adj Parameters'!$B$48,
        IF(lien="Second",'FF Adj Parameters'!$B$49,
            'FF Adj Parameters'!$B$930))
)</f>
        <v/>
      </c>
      <c r="K93" s="21">
        <f>LET(
    purpose,'Loan Tape (S&amp;P)'!U93,
    IF(purpose="Purchase",'FF Adj Parameters'!$B$931,
        IF(purpose="Remortgage",'FF Adj Parameters'!$B$932,
            IF(purpose="Cash-out Remortgage",'FF Adj Parameters'!$B$933,
                1.00)))
)</f>
        <v/>
      </c>
      <c r="L93" s="21">
        <f>LET(
    arrears_months,'Loan Tape (S&amp;P)'!X93,
    IF(arrears_months=0,'FF Adj Parameters'!$B$934,
        IF(arrears_months&lt;=2,'FF Adj Parameters'!$B$9393,
            'FF Adj Parameters'!$B$936))
)</f>
        <v/>
      </c>
      <c r="M93" s="21">
        <f>LET(
    years_seasoned,'Loan Tape (S&amp;P)'!AW93/12,
    arrears_months,'Loan Tape (S&amp;P)'!X93,
    IF(arrears_months&gt;0,1.00,
        IFERROR(
            INDEX('FF Adj Parameters'!$A$93:$B$11,
                MATCH(years_seasoned,INDEX('FF Adj Parameters'!$A$93:$B$11,,1),1),2),
            0.930))
)</f>
        <v/>
      </c>
      <c r="N93" s="21">
        <f>IF(AND('Loan Tape (S&amp;P)'!P93="Yes",'Loan Tape (S&amp;P)'!AW93&lt;'FF Adj Parameters'!$B$124),
    'FF Adj Parameters'!$B$33,
    1.00)</f>
        <v/>
      </c>
      <c r="O93" s="21">
        <f>IF('Loan Tape (S&amp;P)'!Q93="Yes",
    'FF Adj Parameters'!$B$37,
    1.00)</f>
        <v/>
      </c>
      <c r="P93" s="21">
        <f>IF('Loan Tape (S&amp;P)'!R93="Yes",
    'FF Adj Parameters'!$B$38,
    1.00)</f>
        <v/>
      </c>
      <c r="Q93" s="21">
        <f>IF('Loan Tape (S&amp;P)'!S93="Yes",
    'FF Adj Parameters'!$B$39,
    1.00)</f>
        <v/>
      </c>
      <c r="R93" s="21">
        <f>IF('Loan Tape (S&amp;P)'!T93="Yes",
    'FF Adj Parameters'!$B$40,
    1.00)</f>
        <v/>
      </c>
      <c r="S93" s="21">
        <f>LET(
    is_htb,'Loan Tape (S&amp;P)'!Q93="Yes",
    rate_type,'Loan Tape (S&amp;P)'!AS93,
    months_to_mat,'Loan Tape (S&amp;P)'!AU93,
    threshold,'FF Adj Parameters'!$B$1293,
    has_shock,AND(rate_type="Fixed",months_to_mat&lt;=threshold),
    IF(is_htb,1.00,IF(has_shock,'FF Adj Parameters'!$B$41,1.00))
)</f>
        <v/>
      </c>
      <c r="T93" s="21">
        <f>IFERROR(
    IF('Loan Tape (S&amp;P)'!N93&lt;&gt;"Interest Only",1.00,
        IF('Loan Tape (S&amp;P)'!N93="Buy to Let",1.00,
            LET(
                mat_check,'Loan Tape (S&amp;P)'!AV93,
                years_to_mat,'Loan Tape (S&amp;P)'!AU93/12,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3" s="21">
        <f>IF(AND('Loan Tape (S&amp;P)'!V93="Yes",'Loan Tape (S&amp;P)'!N93&lt;&gt;"Buy to Let"),
    'FF Adj Parameters'!$B$42,
    1.00)</f>
        <v/>
      </c>
      <c r="V93" s="21">
        <f>IF('Loan Tape (S&amp;P)'!AV93="Yes",
    'FF Adj Parameters'!$B$43,
    1.00)</f>
        <v/>
      </c>
      <c r="W93" s="23">
        <f>IF('Loan Tape (S&amp;P)'!AC93&gt;0,
    'FF Adj Parameters'!$B$44,
    1.00)</f>
        <v/>
      </c>
      <c r="X93" s="21">
        <f>LET(
    has_bankruptcy,'Loan Tape (S&amp;P)'!AE93="Yes",
    has_iva,'Loan Tape (S&amp;P)'!AF93="Yes",
    has_repo,'Loan Tape (S&amp;P)'!AI93="Yes",
    mult,IF(has_repo,'FF Adj Parameters'!$B$47,
            IF(has_bankruptcy,'FF Adj Parameters'!$B$493,
                IF(has_iva,'FF Adj Parameters'!$B$46,
                    1.00))),
    MAX(mult,0.930)
)</f>
        <v/>
      </c>
      <c r="Y93" s="21">
        <f>LET(
    has_perf_arr,'Loan Tape (S&amp;P)'!AP93="Yes",
    perf_arr_date,'Loan Tape (S&amp;P)'!AQ93,
    last_90_date,'Loan Tape (S&amp;P)'!AR93,
    threshold_years,VLOOKUP('Control Panel'!$B$6,'Jurisdiction Parameters'!$A:$Q,17,FALSE),
    relevant_date,MAX(perf_arr_date,last_90_date),
    years_since,('Control Panel'!$B$10-relevant_date)/3693.293,
    IF(NOT(has_perf_arr),1.00,
        IF(years_since&gt;threshold_years,1.00,
            IF(years_since&lt;=1,INDEX('FF Adj Parameters'!$C$47:$C$930,1),
                IF(years_since&lt;=2,INDEX('FF Adj Parameters'!$C$47:$C$930,2),
                    IF(years_since&lt;=3,INDEX('FF Adj Parameters'!$C$47:$C$930,3),
                        INDEX('FF Adj Parameters'!$C$47:$C$930,4))))))
)</f>
        <v/>
      </c>
      <c r="Z93" s="24">
        <f>IFERROR(
        IF(L93&gt;=100,1.00,
            'Control Panel'!$B$18*F93*G93*MAX(H93,R93)*I93*J93*K93*L93*M93*N93*O93*P93*Q93*S93*T93*U93*V93*W93*X93*Y93
        ),
    0)</f>
        <v/>
      </c>
    </row>
    <row r="94">
      <c r="A94" s="17">
        <f>'Loan Tape (S&amp;P)'!A94</f>
        <v/>
      </c>
      <c r="B94" s="18">
        <f>'Loan Tape (S&amp;P)'!B94</f>
        <v/>
      </c>
      <c r="C94" s="20">
        <f>IFERROR('Loan Tape (S&amp;P)'!C94/'Loan Tape (S&amp;P)'!E94,0)</f>
        <v/>
      </c>
      <c r="D94" s="20">
        <f>IFERROR(
        'Loan Tape (S&amp;P)'!B94/
        ('Loan Tape (S&amp;P)'!D94*
        (1-IF('Loan Tape (S&amp;P)'!AT94&lt;&gt;"Full",
            VLOOKUP('Control Panel'!$B$6,'Jurisdiction Parameters'!$A:$D,4,FALSE),
        0))),
    0)</f>
        <v/>
      </c>
      <c r="E94" s="20">
        <f>('Control Panel'!$B$12*C94)+('Control Panel'!$B$13*D94)</f>
        <v/>
      </c>
      <c r="F94" s="22">
        <f>IFERROR(
        LET(
            juris,'Control Panel'!$B$6,
            ltv_val,E94,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4" s="21">
        <f>'Control Panel'!$B$14</f>
        <v/>
      </c>
      <c r="H94" s="21">
        <f>LET(
    income_mult,'Loan Tape (S&amp;P)'!Z94,
    IF(income_mult=0,1.00,
        IFERROR(
            INDEX('FF Adj Parameters'!$A$194:$B$17,
                MATCH(income_mult,INDEX('FF Adj Parameters'!$A$194:$B$17,,1),1),2),
            1.940))
)</f>
        <v/>
      </c>
      <c r="I94" s="21">
        <f>IF('Loan Tape (S&amp;P)'!N94&lt;&gt;"Buy to Let",1.00,
    LET(
        dscr,'Loan Tape (S&amp;P)'!AA94,
        IF(dscr=0,INDEX('FF Adj Parameters'!$A$21:$B$294,1,2),
            IFERROR(
                INDEX('FF Adj Parameters'!$A$21:$B$294,
                    MATCH(dscr,INDEX('FF Adj Parameters'!$A$21:$B$294,,1),1),2),
                'FF Adj Parameters'!$B$21)))
)</f>
        <v/>
      </c>
      <c r="J94" s="21">
        <f>LET(
    lien,'Loan Tape (S&amp;P)'!AT94,
    IF(lien="First",'FF Adj Parameters'!$B$48,
        IF(lien="Second",'FF Adj Parameters'!$B$49,
            'FF Adj Parameters'!$B$940))
)</f>
        <v/>
      </c>
      <c r="K94" s="21">
        <f>LET(
    purpose,'Loan Tape (S&amp;P)'!U94,
    IF(purpose="Purchase",'FF Adj Parameters'!$B$941,
        IF(purpose="Remortgage",'FF Adj Parameters'!$B$942,
            IF(purpose="Cash-out Remortgage",'FF Adj Parameters'!$B$943,
                1.00)))
)</f>
        <v/>
      </c>
      <c r="L94" s="21">
        <f>LET(
    arrears_months,'Loan Tape (S&amp;P)'!X94,
    IF(arrears_months=0,'FF Adj Parameters'!$B$944,
        IF(arrears_months&lt;=2,'FF Adj Parameters'!$B$9494,
            'FF Adj Parameters'!$B$946))
)</f>
        <v/>
      </c>
      <c r="M94" s="21">
        <f>LET(
    years_seasoned,'Loan Tape (S&amp;P)'!AW94/12,
    arrears_months,'Loan Tape (S&amp;P)'!X94,
    IF(arrears_months&gt;0,1.00,
        IFERROR(
            INDEX('FF Adj Parameters'!$A$94:$B$11,
                MATCH(years_seasoned,INDEX('FF Adj Parameters'!$A$94:$B$11,,1),1),2),
            0.940))
)</f>
        <v/>
      </c>
      <c r="N94" s="21">
        <f>IF(AND('Loan Tape (S&amp;P)'!P94="Yes",'Loan Tape (S&amp;P)'!AW94&lt;'FF Adj Parameters'!$B$124),
    'FF Adj Parameters'!$B$33,
    1.00)</f>
        <v/>
      </c>
      <c r="O94" s="21">
        <f>IF('Loan Tape (S&amp;P)'!Q94="Yes",
    'FF Adj Parameters'!$B$37,
    1.00)</f>
        <v/>
      </c>
      <c r="P94" s="21">
        <f>IF('Loan Tape (S&amp;P)'!R94="Yes",
    'FF Adj Parameters'!$B$38,
    1.00)</f>
        <v/>
      </c>
      <c r="Q94" s="21">
        <f>IF('Loan Tape (S&amp;P)'!S94="Yes",
    'FF Adj Parameters'!$B$39,
    1.00)</f>
        <v/>
      </c>
      <c r="R94" s="21">
        <f>IF('Loan Tape (S&amp;P)'!T94="Yes",
    'FF Adj Parameters'!$B$40,
    1.00)</f>
        <v/>
      </c>
      <c r="S94" s="21">
        <f>LET(
    is_htb,'Loan Tape (S&amp;P)'!Q94="Yes",
    rate_type,'Loan Tape (S&amp;P)'!AS94,
    months_to_mat,'Loan Tape (S&amp;P)'!AU94,
    threshold,'FF Adj Parameters'!$B$1294,
    has_shock,AND(rate_type="Fixed",months_to_mat&lt;=threshold),
    IF(is_htb,1.00,IF(has_shock,'FF Adj Parameters'!$B$41,1.00))
)</f>
        <v/>
      </c>
      <c r="T94" s="21">
        <f>IFERROR(
    IF('Loan Tape (S&amp;P)'!N94&lt;&gt;"Interest Only",1.00,
        IF('Loan Tape (S&amp;P)'!N94="Buy to Let",1.00,
            LET(
                mat_check,'Loan Tape (S&amp;P)'!AV94,
                years_to_mat,'Loan Tape (S&amp;P)'!AU94/12,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4" s="21">
        <f>IF(AND('Loan Tape (S&amp;P)'!V94="Yes",'Loan Tape (S&amp;P)'!N94&lt;&gt;"Buy to Let"),
    'FF Adj Parameters'!$B$42,
    1.00)</f>
        <v/>
      </c>
      <c r="V94" s="21">
        <f>IF('Loan Tape (S&amp;P)'!AV94="Yes",
    'FF Adj Parameters'!$B$43,
    1.00)</f>
        <v/>
      </c>
      <c r="W94" s="23">
        <f>IF('Loan Tape (S&amp;P)'!AC94&gt;0,
    'FF Adj Parameters'!$B$44,
    1.00)</f>
        <v/>
      </c>
      <c r="X94" s="21">
        <f>LET(
    has_bankruptcy,'Loan Tape (S&amp;P)'!AE94="Yes",
    has_iva,'Loan Tape (S&amp;P)'!AF94="Yes",
    has_repo,'Loan Tape (S&amp;P)'!AI94="Yes",
    mult,IF(has_repo,'FF Adj Parameters'!$B$47,
            IF(has_bankruptcy,'FF Adj Parameters'!$B$494,
                IF(has_iva,'FF Adj Parameters'!$B$46,
                    1.00))),
    MAX(mult,0.940)
)</f>
        <v/>
      </c>
      <c r="Y94" s="21">
        <f>LET(
    has_perf_arr,'Loan Tape (S&amp;P)'!AP94="Yes",
    perf_arr_date,'Loan Tape (S&amp;P)'!AQ94,
    last_90_date,'Loan Tape (S&amp;P)'!AR94,
    threshold_years,VLOOKUP('Control Panel'!$B$6,'Jurisdiction Parameters'!$A:$Q,17,FALSE),
    relevant_date,MAX(perf_arr_date,last_90_date),
    years_since,('Control Panel'!$B$10-relevant_date)/3694.294,
    IF(NOT(has_perf_arr),1.00,
        IF(years_since&gt;threshold_years,1.00,
            IF(years_since&lt;=1,INDEX('FF Adj Parameters'!$C$47:$C$940,1),
                IF(years_since&lt;=2,INDEX('FF Adj Parameters'!$C$47:$C$940,2),
                    IF(years_since&lt;=3,INDEX('FF Adj Parameters'!$C$47:$C$940,3),
                        INDEX('FF Adj Parameters'!$C$47:$C$940,4))))))
)</f>
        <v/>
      </c>
      <c r="Z94" s="24">
        <f>IFERROR(
        IF(L94&gt;=100,1.00,
            'Control Panel'!$B$18*F94*G94*MAX(H94,R94)*I94*J94*K94*L94*M94*N94*O94*P94*Q94*S94*T94*U94*V94*W94*X94*Y94
        ),
    0)</f>
        <v/>
      </c>
    </row>
    <row r="95">
      <c r="A95" s="17">
        <f>'Loan Tape (S&amp;P)'!A95</f>
        <v/>
      </c>
      <c r="B95" s="18">
        <f>'Loan Tape (S&amp;P)'!B95</f>
        <v/>
      </c>
      <c r="C95" s="20">
        <f>IFERROR('Loan Tape (S&amp;P)'!C95/'Loan Tape (S&amp;P)'!E95,0)</f>
        <v/>
      </c>
      <c r="D95" s="20">
        <f>IFERROR(
        'Loan Tape (S&amp;P)'!B95/
        ('Loan Tape (S&amp;P)'!D95*
        (1-IF('Loan Tape (S&amp;P)'!AT95&lt;&gt;"Full",
            VLOOKUP('Control Panel'!$B$6,'Jurisdiction Parameters'!$A:$D,4,FALSE),
        0))),
    0)</f>
        <v/>
      </c>
      <c r="E95" s="20">
        <f>('Control Panel'!$B$12*C95)+('Control Panel'!$B$13*D95)</f>
        <v/>
      </c>
      <c r="F95" s="22">
        <f>IFERROR(
        LET(
            juris,'Control Panel'!$B$6,
            ltv_val,E95,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5" s="21">
        <f>'Control Panel'!$B$14</f>
        <v/>
      </c>
      <c r="H95" s="21">
        <f>LET(
    income_mult,'Loan Tape (S&amp;P)'!Z95,
    IF(income_mult=0,1.00,
        IFERROR(
            INDEX('FF Adj Parameters'!$A$195:$B$17,
                MATCH(income_mult,INDEX('FF Adj Parameters'!$A$195:$B$17,,1),1),2),
            1.950))
)</f>
        <v/>
      </c>
      <c r="I95" s="21">
        <f>IF('Loan Tape (S&amp;P)'!N95&lt;&gt;"Buy to Let",1.00,
    LET(
        dscr,'Loan Tape (S&amp;P)'!AA95,
        IF(dscr=0,INDEX('FF Adj Parameters'!$A$21:$B$295,1,2),
            IFERROR(
                INDEX('FF Adj Parameters'!$A$21:$B$295,
                    MATCH(dscr,INDEX('FF Adj Parameters'!$A$21:$B$295,,1),1),2),
                'FF Adj Parameters'!$B$21)))
)</f>
        <v/>
      </c>
      <c r="J95" s="21">
        <f>LET(
    lien,'Loan Tape (S&amp;P)'!AT95,
    IF(lien="First",'FF Adj Parameters'!$B$48,
        IF(lien="Second",'FF Adj Parameters'!$B$49,
            'FF Adj Parameters'!$B$950))
)</f>
        <v/>
      </c>
      <c r="K95" s="21">
        <f>LET(
    purpose,'Loan Tape (S&amp;P)'!U95,
    IF(purpose="Purchase",'FF Adj Parameters'!$B$951,
        IF(purpose="Remortgage",'FF Adj Parameters'!$B$952,
            IF(purpose="Cash-out Remortgage",'FF Adj Parameters'!$B$953,
                1.00)))
)</f>
        <v/>
      </c>
      <c r="L95" s="21">
        <f>LET(
    arrears_months,'Loan Tape (S&amp;P)'!X95,
    IF(arrears_months=0,'FF Adj Parameters'!$B$954,
        IF(arrears_months&lt;=2,'FF Adj Parameters'!$B$9595,
            'FF Adj Parameters'!$B$956))
)</f>
        <v/>
      </c>
      <c r="M95" s="21">
        <f>LET(
    years_seasoned,'Loan Tape (S&amp;P)'!AW95/12,
    arrears_months,'Loan Tape (S&amp;P)'!X95,
    IF(arrears_months&gt;0,1.00,
        IFERROR(
            INDEX('FF Adj Parameters'!$A$95:$B$11,
                MATCH(years_seasoned,INDEX('FF Adj Parameters'!$A$95:$B$11,,1),1),2),
            0.950))
)</f>
        <v/>
      </c>
      <c r="N95" s="21">
        <f>IF(AND('Loan Tape (S&amp;P)'!P95="Yes",'Loan Tape (S&amp;P)'!AW95&lt;'FF Adj Parameters'!$B$124),
    'FF Adj Parameters'!$B$33,
    1.00)</f>
        <v/>
      </c>
      <c r="O95" s="21">
        <f>IF('Loan Tape (S&amp;P)'!Q95="Yes",
    'FF Adj Parameters'!$B$37,
    1.00)</f>
        <v/>
      </c>
      <c r="P95" s="21">
        <f>IF('Loan Tape (S&amp;P)'!R95="Yes",
    'FF Adj Parameters'!$B$38,
    1.00)</f>
        <v/>
      </c>
      <c r="Q95" s="21">
        <f>IF('Loan Tape (S&amp;P)'!S95="Yes",
    'FF Adj Parameters'!$B$39,
    1.00)</f>
        <v/>
      </c>
      <c r="R95" s="21">
        <f>IF('Loan Tape (S&amp;P)'!T95="Yes",
    'FF Adj Parameters'!$B$40,
    1.00)</f>
        <v/>
      </c>
      <c r="S95" s="21">
        <f>LET(
    is_htb,'Loan Tape (S&amp;P)'!Q95="Yes",
    rate_type,'Loan Tape (S&amp;P)'!AS95,
    months_to_mat,'Loan Tape (S&amp;P)'!AU95,
    threshold,'FF Adj Parameters'!$B$1295,
    has_shock,AND(rate_type="Fixed",months_to_mat&lt;=threshold),
    IF(is_htb,1.00,IF(has_shock,'FF Adj Parameters'!$B$41,1.00))
)</f>
        <v/>
      </c>
      <c r="T95" s="21">
        <f>IFERROR(
    IF('Loan Tape (S&amp;P)'!N95&lt;&gt;"Interest Only",1.00,
        IF('Loan Tape (S&amp;P)'!N95="Buy to Let",1.00,
            LET(
                mat_check,'Loan Tape (S&amp;P)'!AV95,
                years_to_mat,'Loan Tape (S&amp;P)'!AU95/12,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5" s="21">
        <f>IF(AND('Loan Tape (S&amp;P)'!V95="Yes",'Loan Tape (S&amp;P)'!N95&lt;&gt;"Buy to Let"),
    'FF Adj Parameters'!$B$42,
    1.00)</f>
        <v/>
      </c>
      <c r="V95" s="21">
        <f>IF('Loan Tape (S&amp;P)'!AV95="Yes",
    'FF Adj Parameters'!$B$43,
    1.00)</f>
        <v/>
      </c>
      <c r="W95" s="23">
        <f>IF('Loan Tape (S&amp;P)'!AC95&gt;0,
    'FF Adj Parameters'!$B$44,
    1.00)</f>
        <v/>
      </c>
      <c r="X95" s="21">
        <f>LET(
    has_bankruptcy,'Loan Tape (S&amp;P)'!AE95="Yes",
    has_iva,'Loan Tape (S&amp;P)'!AF95="Yes",
    has_repo,'Loan Tape (S&amp;P)'!AI95="Yes",
    mult,IF(has_repo,'FF Adj Parameters'!$B$47,
            IF(has_bankruptcy,'FF Adj Parameters'!$B$495,
                IF(has_iva,'FF Adj Parameters'!$B$46,
                    1.00))),
    MAX(mult,0.950)
)</f>
        <v/>
      </c>
      <c r="Y95" s="21">
        <f>LET(
    has_perf_arr,'Loan Tape (S&amp;P)'!AP95="Yes",
    perf_arr_date,'Loan Tape (S&amp;P)'!AQ95,
    last_90_date,'Loan Tape (S&amp;P)'!AR95,
    threshold_years,VLOOKUP('Control Panel'!$B$6,'Jurisdiction Parameters'!$A:$Q,17,FALSE),
    relevant_date,MAX(perf_arr_date,last_90_date),
    years_since,('Control Panel'!$B$10-relevant_date)/3695.295,
    IF(NOT(has_perf_arr),1.00,
        IF(years_since&gt;threshold_years,1.00,
            IF(years_since&lt;=1,INDEX('FF Adj Parameters'!$C$47:$C$950,1),
                IF(years_since&lt;=2,INDEX('FF Adj Parameters'!$C$47:$C$950,2),
                    IF(years_since&lt;=3,INDEX('FF Adj Parameters'!$C$47:$C$950,3),
                        INDEX('FF Adj Parameters'!$C$47:$C$950,4))))))
)</f>
        <v/>
      </c>
      <c r="Z95" s="24">
        <f>IFERROR(
        IF(L95&gt;=100,1.00,
            'Control Panel'!$B$18*F95*G95*MAX(H95,R95)*I95*J95*K95*L95*M95*N95*O95*P95*Q95*S95*T95*U95*V95*W95*X95*Y95
        ),
    0)</f>
        <v/>
      </c>
    </row>
    <row r="96">
      <c r="A96" s="17">
        <f>'Loan Tape (S&amp;P)'!A96</f>
        <v/>
      </c>
      <c r="B96" s="18">
        <f>'Loan Tape (S&amp;P)'!B96</f>
        <v/>
      </c>
      <c r="C96" s="20">
        <f>IFERROR('Loan Tape (S&amp;P)'!C96/'Loan Tape (S&amp;P)'!E96,0)</f>
        <v/>
      </c>
      <c r="D96" s="20">
        <f>IFERROR(
        'Loan Tape (S&amp;P)'!B96/
        ('Loan Tape (S&amp;P)'!D96*
        (1-IF('Loan Tape (S&amp;P)'!AT96&lt;&gt;"Full",
            VLOOKUP('Control Panel'!$B$6,'Jurisdiction Parameters'!$A:$D,4,FALSE),
        0))),
    0)</f>
        <v/>
      </c>
      <c r="E96" s="20">
        <f>('Control Panel'!$B$12*C96)+('Control Panel'!$B$13*D96)</f>
        <v/>
      </c>
      <c r="F96" s="22">
        <f>IFERROR(
        LET(
            juris,'Control Panel'!$B$6,
            ltv_val,E96,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6" s="21">
        <f>'Control Panel'!$B$14</f>
        <v/>
      </c>
      <c r="H96" s="21">
        <f>LET(
    income_mult,'Loan Tape (S&amp;P)'!Z96,
    IF(income_mult=0,1.00,
        IFERROR(
            INDEX('FF Adj Parameters'!$A$196:$B$17,
                MATCH(income_mult,INDEX('FF Adj Parameters'!$A$196:$B$17,,1),1),2),
            1.960))
)</f>
        <v/>
      </c>
      <c r="I96" s="21">
        <f>IF('Loan Tape (S&amp;P)'!N96&lt;&gt;"Buy to Let",1.00,
    LET(
        dscr,'Loan Tape (S&amp;P)'!AA96,
        IF(dscr=0,INDEX('FF Adj Parameters'!$A$21:$B$296,1,2),
            IFERROR(
                INDEX('FF Adj Parameters'!$A$21:$B$296,
                    MATCH(dscr,INDEX('FF Adj Parameters'!$A$21:$B$296,,1),1),2),
                'FF Adj Parameters'!$B$21)))
)</f>
        <v/>
      </c>
      <c r="J96" s="21">
        <f>LET(
    lien,'Loan Tape (S&amp;P)'!AT96,
    IF(lien="First",'FF Adj Parameters'!$B$48,
        IF(lien="Second",'FF Adj Parameters'!$B$49,
            'FF Adj Parameters'!$B$960))
)</f>
        <v/>
      </c>
      <c r="K96" s="21">
        <f>LET(
    purpose,'Loan Tape (S&amp;P)'!U96,
    IF(purpose="Purchase",'FF Adj Parameters'!$B$961,
        IF(purpose="Remortgage",'FF Adj Parameters'!$B$962,
            IF(purpose="Cash-out Remortgage",'FF Adj Parameters'!$B$963,
                1.00)))
)</f>
        <v/>
      </c>
      <c r="L96" s="21">
        <f>LET(
    arrears_months,'Loan Tape (S&amp;P)'!X96,
    IF(arrears_months=0,'FF Adj Parameters'!$B$964,
        IF(arrears_months&lt;=2,'FF Adj Parameters'!$B$9696,
            'FF Adj Parameters'!$B$966))
)</f>
        <v/>
      </c>
      <c r="M96" s="21">
        <f>LET(
    years_seasoned,'Loan Tape (S&amp;P)'!AW96/12,
    arrears_months,'Loan Tape (S&amp;P)'!X96,
    IF(arrears_months&gt;0,1.00,
        IFERROR(
            INDEX('FF Adj Parameters'!$A$96:$B$11,
                MATCH(years_seasoned,INDEX('FF Adj Parameters'!$A$96:$B$11,,1),1),2),
            0.960))
)</f>
        <v/>
      </c>
      <c r="N96" s="21">
        <f>IF(AND('Loan Tape (S&amp;P)'!P96="Yes",'Loan Tape (S&amp;P)'!AW96&lt;'FF Adj Parameters'!$B$124),
    'FF Adj Parameters'!$B$33,
    1.00)</f>
        <v/>
      </c>
      <c r="O96" s="21">
        <f>IF('Loan Tape (S&amp;P)'!Q96="Yes",
    'FF Adj Parameters'!$B$37,
    1.00)</f>
        <v/>
      </c>
      <c r="P96" s="21">
        <f>IF('Loan Tape (S&amp;P)'!R96="Yes",
    'FF Adj Parameters'!$B$38,
    1.00)</f>
        <v/>
      </c>
      <c r="Q96" s="21">
        <f>IF('Loan Tape (S&amp;P)'!S96="Yes",
    'FF Adj Parameters'!$B$39,
    1.00)</f>
        <v/>
      </c>
      <c r="R96" s="21">
        <f>IF('Loan Tape (S&amp;P)'!T96="Yes",
    'FF Adj Parameters'!$B$40,
    1.00)</f>
        <v/>
      </c>
      <c r="S96" s="21">
        <f>LET(
    is_htb,'Loan Tape (S&amp;P)'!Q96="Yes",
    rate_type,'Loan Tape (S&amp;P)'!AS96,
    months_to_mat,'Loan Tape (S&amp;P)'!AU96,
    threshold,'FF Adj Parameters'!$B$1296,
    has_shock,AND(rate_type="Fixed",months_to_mat&lt;=threshold),
    IF(is_htb,1.00,IF(has_shock,'FF Adj Parameters'!$B$41,1.00))
)</f>
        <v/>
      </c>
      <c r="T96" s="21">
        <f>IFERROR(
    IF('Loan Tape (S&amp;P)'!N96&lt;&gt;"Interest Only",1.00,
        IF('Loan Tape (S&amp;P)'!N96="Buy to Let",1.00,
            LET(
                mat_check,'Loan Tape (S&amp;P)'!AV96,
                years_to_mat,'Loan Tape (S&amp;P)'!AU96/12,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6" s="21">
        <f>IF(AND('Loan Tape (S&amp;P)'!V96="Yes",'Loan Tape (S&amp;P)'!N96&lt;&gt;"Buy to Let"),
    'FF Adj Parameters'!$B$42,
    1.00)</f>
        <v/>
      </c>
      <c r="V96" s="21">
        <f>IF('Loan Tape (S&amp;P)'!AV96="Yes",
    'FF Adj Parameters'!$B$43,
    1.00)</f>
        <v/>
      </c>
      <c r="W96" s="23">
        <f>IF('Loan Tape (S&amp;P)'!AC96&gt;0,
    'FF Adj Parameters'!$B$44,
    1.00)</f>
        <v/>
      </c>
      <c r="X96" s="21">
        <f>LET(
    has_bankruptcy,'Loan Tape (S&amp;P)'!AE96="Yes",
    has_iva,'Loan Tape (S&amp;P)'!AF96="Yes",
    has_repo,'Loan Tape (S&amp;P)'!AI96="Yes",
    mult,IF(has_repo,'FF Adj Parameters'!$B$47,
            IF(has_bankruptcy,'FF Adj Parameters'!$B$496,
                IF(has_iva,'FF Adj Parameters'!$B$46,
                    1.00))),
    MAX(mult,0.960)
)</f>
        <v/>
      </c>
      <c r="Y96" s="21">
        <f>LET(
    has_perf_arr,'Loan Tape (S&amp;P)'!AP96="Yes",
    perf_arr_date,'Loan Tape (S&amp;P)'!AQ96,
    last_90_date,'Loan Tape (S&amp;P)'!AR96,
    threshold_years,VLOOKUP('Control Panel'!$B$6,'Jurisdiction Parameters'!$A:$Q,17,FALSE),
    relevant_date,MAX(perf_arr_date,last_90_date),
    years_since,('Control Panel'!$B$10-relevant_date)/3696.296,
    IF(NOT(has_perf_arr),1.00,
        IF(years_since&gt;threshold_years,1.00,
            IF(years_since&lt;=1,INDEX('FF Adj Parameters'!$C$47:$C$960,1),
                IF(years_since&lt;=2,INDEX('FF Adj Parameters'!$C$47:$C$960,2),
                    IF(years_since&lt;=3,INDEX('FF Adj Parameters'!$C$47:$C$960,3),
                        INDEX('FF Adj Parameters'!$C$47:$C$960,4))))))
)</f>
        <v/>
      </c>
      <c r="Z96" s="24">
        <f>IFERROR(
        IF(L96&gt;=100,1.00,
            'Control Panel'!$B$18*F96*G96*MAX(H96,R96)*I96*J96*K96*L96*M96*N96*O96*P96*Q96*S96*T96*U96*V96*W96*X96*Y96
        ),
    0)</f>
        <v/>
      </c>
    </row>
    <row r="97">
      <c r="A97" s="17">
        <f>'Loan Tape (S&amp;P)'!A97</f>
        <v/>
      </c>
      <c r="B97" s="18">
        <f>'Loan Tape (S&amp;P)'!B97</f>
        <v/>
      </c>
      <c r="C97" s="20">
        <f>IFERROR('Loan Tape (S&amp;P)'!C97/'Loan Tape (S&amp;P)'!E97,0)</f>
        <v/>
      </c>
      <c r="D97" s="20">
        <f>IFERROR(
        'Loan Tape (S&amp;P)'!B97/
        ('Loan Tape (S&amp;P)'!D97*
        (1-IF('Loan Tape (S&amp;P)'!AT97&lt;&gt;"Full",
            VLOOKUP('Control Panel'!$B$6,'Jurisdiction Parameters'!$A:$D,4,FALSE),
        0))),
    0)</f>
        <v/>
      </c>
      <c r="E97" s="20">
        <f>('Control Panel'!$B$12*C97)+('Control Panel'!$B$13*D97)</f>
        <v/>
      </c>
      <c r="F97" s="22">
        <f>IFERROR(
        LET(
            juris,'Control Panel'!$B$6,
            ltv_val,E97,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7" s="21">
        <f>'Control Panel'!$B$14</f>
        <v/>
      </c>
      <c r="H97" s="21">
        <f>LET(
    income_mult,'Loan Tape (S&amp;P)'!Z97,
    IF(income_mult=0,1.00,
        IFERROR(
            INDEX('FF Adj Parameters'!$A$197:$B$17,
                MATCH(income_mult,INDEX('FF Adj Parameters'!$A$197:$B$17,,1),1),2),
            1.970))
)</f>
        <v/>
      </c>
      <c r="I97" s="21">
        <f>IF('Loan Tape (S&amp;P)'!N97&lt;&gt;"Buy to Let",1.00,
    LET(
        dscr,'Loan Tape (S&amp;P)'!AA97,
        IF(dscr=0,INDEX('FF Adj Parameters'!$A$21:$B$297,1,2),
            IFERROR(
                INDEX('FF Adj Parameters'!$A$21:$B$297,
                    MATCH(dscr,INDEX('FF Adj Parameters'!$A$21:$B$297,,1),1),2),
                'FF Adj Parameters'!$B$21)))
)</f>
        <v/>
      </c>
      <c r="J97" s="21">
        <f>LET(
    lien,'Loan Tape (S&amp;P)'!AT97,
    IF(lien="First",'FF Adj Parameters'!$B$48,
        IF(lien="Second",'FF Adj Parameters'!$B$49,
            'FF Adj Parameters'!$B$970))
)</f>
        <v/>
      </c>
      <c r="K97" s="21">
        <f>LET(
    purpose,'Loan Tape (S&amp;P)'!U97,
    IF(purpose="Purchase",'FF Adj Parameters'!$B$971,
        IF(purpose="Remortgage",'FF Adj Parameters'!$B$972,
            IF(purpose="Cash-out Remortgage",'FF Adj Parameters'!$B$973,
                1.00)))
)</f>
        <v/>
      </c>
      <c r="L97" s="21">
        <f>LET(
    arrears_months,'Loan Tape (S&amp;P)'!X97,
    IF(arrears_months=0,'FF Adj Parameters'!$B$974,
        IF(arrears_months&lt;=2,'FF Adj Parameters'!$B$9797,
            'FF Adj Parameters'!$B$976))
)</f>
        <v/>
      </c>
      <c r="M97" s="21">
        <f>LET(
    years_seasoned,'Loan Tape (S&amp;P)'!AW97/12,
    arrears_months,'Loan Tape (S&amp;P)'!X97,
    IF(arrears_months&gt;0,1.00,
        IFERROR(
            INDEX('FF Adj Parameters'!$A$97:$B$11,
                MATCH(years_seasoned,INDEX('FF Adj Parameters'!$A$97:$B$11,,1),1),2),
            0.970))
)</f>
        <v/>
      </c>
      <c r="N97" s="21">
        <f>IF(AND('Loan Tape (S&amp;P)'!P97="Yes",'Loan Tape (S&amp;P)'!AW97&lt;'FF Adj Parameters'!$B$124),
    'FF Adj Parameters'!$B$33,
    1.00)</f>
        <v/>
      </c>
      <c r="O97" s="21">
        <f>IF('Loan Tape (S&amp;P)'!Q97="Yes",
    'FF Adj Parameters'!$B$37,
    1.00)</f>
        <v/>
      </c>
      <c r="P97" s="21">
        <f>IF('Loan Tape (S&amp;P)'!R97="Yes",
    'FF Adj Parameters'!$B$38,
    1.00)</f>
        <v/>
      </c>
      <c r="Q97" s="21">
        <f>IF('Loan Tape (S&amp;P)'!S97="Yes",
    'FF Adj Parameters'!$B$39,
    1.00)</f>
        <v/>
      </c>
      <c r="R97" s="21">
        <f>IF('Loan Tape (S&amp;P)'!T97="Yes",
    'FF Adj Parameters'!$B$40,
    1.00)</f>
        <v/>
      </c>
      <c r="S97" s="21">
        <f>LET(
    is_htb,'Loan Tape (S&amp;P)'!Q97="Yes",
    rate_type,'Loan Tape (S&amp;P)'!AS97,
    months_to_mat,'Loan Tape (S&amp;P)'!AU97,
    threshold,'FF Adj Parameters'!$B$1297,
    has_shock,AND(rate_type="Fixed",months_to_mat&lt;=threshold),
    IF(is_htb,1.00,IF(has_shock,'FF Adj Parameters'!$B$41,1.00))
)</f>
        <v/>
      </c>
      <c r="T97" s="21">
        <f>IFERROR(
    IF('Loan Tape (S&amp;P)'!N97&lt;&gt;"Interest Only",1.00,
        IF('Loan Tape (S&amp;P)'!N97="Buy to Let",1.00,
            LET(
                mat_check,'Loan Tape (S&amp;P)'!AV97,
                years_to_mat,'Loan Tape (S&amp;P)'!AU97/12,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7" s="21">
        <f>IF(AND('Loan Tape (S&amp;P)'!V97="Yes",'Loan Tape (S&amp;P)'!N97&lt;&gt;"Buy to Let"),
    'FF Adj Parameters'!$B$42,
    1.00)</f>
        <v/>
      </c>
      <c r="V97" s="21">
        <f>IF('Loan Tape (S&amp;P)'!AV97="Yes",
    'FF Adj Parameters'!$B$43,
    1.00)</f>
        <v/>
      </c>
      <c r="W97" s="23">
        <f>IF('Loan Tape (S&amp;P)'!AC97&gt;0,
    'FF Adj Parameters'!$B$44,
    1.00)</f>
        <v/>
      </c>
      <c r="X97" s="21">
        <f>LET(
    has_bankruptcy,'Loan Tape (S&amp;P)'!AE97="Yes",
    has_iva,'Loan Tape (S&amp;P)'!AF97="Yes",
    has_repo,'Loan Tape (S&amp;P)'!AI97="Yes",
    mult,IF(has_repo,'FF Adj Parameters'!$B$47,
            IF(has_bankruptcy,'FF Adj Parameters'!$B$497,
                IF(has_iva,'FF Adj Parameters'!$B$46,
                    1.00))),
    MAX(mult,0.970)
)</f>
        <v/>
      </c>
      <c r="Y97" s="21">
        <f>LET(
    has_perf_arr,'Loan Tape (S&amp;P)'!AP97="Yes",
    perf_arr_date,'Loan Tape (S&amp;P)'!AQ97,
    last_90_date,'Loan Tape (S&amp;P)'!AR97,
    threshold_years,VLOOKUP('Control Panel'!$B$6,'Jurisdiction Parameters'!$A:$Q,17,FALSE),
    relevant_date,MAX(perf_arr_date,last_90_date),
    years_since,('Control Panel'!$B$10-relevant_date)/3697.297,
    IF(NOT(has_perf_arr),1.00,
        IF(years_since&gt;threshold_years,1.00,
            IF(years_since&lt;=1,INDEX('FF Adj Parameters'!$C$47:$C$970,1),
                IF(years_since&lt;=2,INDEX('FF Adj Parameters'!$C$47:$C$970,2),
                    IF(years_since&lt;=3,INDEX('FF Adj Parameters'!$C$47:$C$970,3),
                        INDEX('FF Adj Parameters'!$C$47:$C$970,4))))))
)</f>
        <v/>
      </c>
      <c r="Z97" s="24">
        <f>IFERROR(
        IF(L97&gt;=100,1.00,
            'Control Panel'!$B$18*F97*G97*MAX(H97,R97)*I97*J97*K97*L97*M97*N97*O97*P97*Q97*S97*T97*U97*V97*W97*X97*Y97
        ),
    0)</f>
        <v/>
      </c>
    </row>
    <row r="98">
      <c r="A98" s="17">
        <f>'Loan Tape (S&amp;P)'!A98</f>
        <v/>
      </c>
      <c r="B98" s="18">
        <f>'Loan Tape (S&amp;P)'!B98</f>
        <v/>
      </c>
      <c r="C98" s="20">
        <f>IFERROR('Loan Tape (S&amp;P)'!C98/'Loan Tape (S&amp;P)'!E98,0)</f>
        <v/>
      </c>
      <c r="D98" s="20">
        <f>IFERROR(
        'Loan Tape (S&amp;P)'!B98/
        ('Loan Tape (S&amp;P)'!D98*
        (1-IF('Loan Tape (S&amp;P)'!AT98&lt;&gt;"Full",
            VLOOKUP('Control Panel'!$B$6,'Jurisdiction Parameters'!$A:$D,4,FALSE),
        0))),
    0)</f>
        <v/>
      </c>
      <c r="E98" s="20">
        <f>('Control Panel'!$B$12*C98)+('Control Panel'!$B$13*D98)</f>
        <v/>
      </c>
      <c r="F98" s="22">
        <f>IFERROR(
        LET(
            juris,'Control Panel'!$B$6,
            ltv_val,E98,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8" s="21">
        <f>'Control Panel'!$B$14</f>
        <v/>
      </c>
      <c r="H98" s="21">
        <f>LET(
    income_mult,'Loan Tape (S&amp;P)'!Z98,
    IF(income_mult=0,1.00,
        IFERROR(
            INDEX('FF Adj Parameters'!$A$198:$B$17,
                MATCH(income_mult,INDEX('FF Adj Parameters'!$A$198:$B$17,,1),1),2),
            1.980))
)</f>
        <v/>
      </c>
      <c r="I98" s="21">
        <f>IF('Loan Tape (S&amp;P)'!N98&lt;&gt;"Buy to Let",1.00,
    LET(
        dscr,'Loan Tape (S&amp;P)'!AA98,
        IF(dscr=0,INDEX('FF Adj Parameters'!$A$21:$B$298,1,2),
            IFERROR(
                INDEX('FF Adj Parameters'!$A$21:$B$298,
                    MATCH(dscr,INDEX('FF Adj Parameters'!$A$21:$B$298,,1),1),2),
                'FF Adj Parameters'!$B$21)))
)</f>
        <v/>
      </c>
      <c r="J98" s="21">
        <f>LET(
    lien,'Loan Tape (S&amp;P)'!AT98,
    IF(lien="First",'FF Adj Parameters'!$B$48,
        IF(lien="Second",'FF Adj Parameters'!$B$49,
            'FF Adj Parameters'!$B$980))
)</f>
        <v/>
      </c>
      <c r="K98" s="21">
        <f>LET(
    purpose,'Loan Tape (S&amp;P)'!U98,
    IF(purpose="Purchase",'FF Adj Parameters'!$B$981,
        IF(purpose="Remortgage",'FF Adj Parameters'!$B$982,
            IF(purpose="Cash-out Remortgage",'FF Adj Parameters'!$B$983,
                1.00)))
)</f>
        <v/>
      </c>
      <c r="L98" s="21">
        <f>LET(
    arrears_months,'Loan Tape (S&amp;P)'!X98,
    IF(arrears_months=0,'FF Adj Parameters'!$B$984,
        IF(arrears_months&lt;=2,'FF Adj Parameters'!$B$9898,
            'FF Adj Parameters'!$B$986))
)</f>
        <v/>
      </c>
      <c r="M98" s="21">
        <f>LET(
    years_seasoned,'Loan Tape (S&amp;P)'!AW98/12,
    arrears_months,'Loan Tape (S&amp;P)'!X98,
    IF(arrears_months&gt;0,1.00,
        IFERROR(
            INDEX('FF Adj Parameters'!$A$98:$B$11,
                MATCH(years_seasoned,INDEX('FF Adj Parameters'!$A$98:$B$11,,1),1),2),
            0.980))
)</f>
        <v/>
      </c>
      <c r="N98" s="21">
        <f>IF(AND('Loan Tape (S&amp;P)'!P98="Yes",'Loan Tape (S&amp;P)'!AW98&lt;'FF Adj Parameters'!$B$124),
    'FF Adj Parameters'!$B$33,
    1.00)</f>
        <v/>
      </c>
      <c r="O98" s="21">
        <f>IF('Loan Tape (S&amp;P)'!Q98="Yes",
    'FF Adj Parameters'!$B$37,
    1.00)</f>
        <v/>
      </c>
      <c r="P98" s="21">
        <f>IF('Loan Tape (S&amp;P)'!R98="Yes",
    'FF Adj Parameters'!$B$38,
    1.00)</f>
        <v/>
      </c>
      <c r="Q98" s="21">
        <f>IF('Loan Tape (S&amp;P)'!S98="Yes",
    'FF Adj Parameters'!$B$39,
    1.00)</f>
        <v/>
      </c>
      <c r="R98" s="21">
        <f>IF('Loan Tape (S&amp;P)'!T98="Yes",
    'FF Adj Parameters'!$B$40,
    1.00)</f>
        <v/>
      </c>
      <c r="S98" s="21">
        <f>LET(
    is_htb,'Loan Tape (S&amp;P)'!Q98="Yes",
    rate_type,'Loan Tape (S&amp;P)'!AS98,
    months_to_mat,'Loan Tape (S&amp;P)'!AU98,
    threshold,'FF Adj Parameters'!$B$1298,
    has_shock,AND(rate_type="Fixed",months_to_mat&lt;=threshold),
    IF(is_htb,1.00,IF(has_shock,'FF Adj Parameters'!$B$41,1.00))
)</f>
        <v/>
      </c>
      <c r="T98" s="21">
        <f>IFERROR(
    IF('Loan Tape (S&amp;P)'!N98&lt;&gt;"Interest Only",1.00,
        IF('Loan Tape (S&amp;P)'!N98="Buy to Let",1.00,
            LET(
                mat_check,'Loan Tape (S&amp;P)'!AV98,
                years_to_mat,'Loan Tape (S&amp;P)'!AU98/12,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8" s="21">
        <f>IF(AND('Loan Tape (S&amp;P)'!V98="Yes",'Loan Tape (S&amp;P)'!N98&lt;&gt;"Buy to Let"),
    'FF Adj Parameters'!$B$42,
    1.00)</f>
        <v/>
      </c>
      <c r="V98" s="21">
        <f>IF('Loan Tape (S&amp;P)'!AV98="Yes",
    'FF Adj Parameters'!$B$43,
    1.00)</f>
        <v/>
      </c>
      <c r="W98" s="23">
        <f>IF('Loan Tape (S&amp;P)'!AC98&gt;0,
    'FF Adj Parameters'!$B$44,
    1.00)</f>
        <v/>
      </c>
      <c r="X98" s="21">
        <f>LET(
    has_bankruptcy,'Loan Tape (S&amp;P)'!AE98="Yes",
    has_iva,'Loan Tape (S&amp;P)'!AF98="Yes",
    has_repo,'Loan Tape (S&amp;P)'!AI98="Yes",
    mult,IF(has_repo,'FF Adj Parameters'!$B$47,
            IF(has_bankruptcy,'FF Adj Parameters'!$B$498,
                IF(has_iva,'FF Adj Parameters'!$B$46,
                    1.00))),
    MAX(mult,0.980)
)</f>
        <v/>
      </c>
      <c r="Y98" s="21">
        <f>LET(
    has_perf_arr,'Loan Tape (S&amp;P)'!AP98="Yes",
    perf_arr_date,'Loan Tape (S&amp;P)'!AQ98,
    last_90_date,'Loan Tape (S&amp;P)'!AR98,
    threshold_years,VLOOKUP('Control Panel'!$B$6,'Jurisdiction Parameters'!$A:$Q,17,FALSE),
    relevant_date,MAX(perf_arr_date,last_90_date),
    years_since,('Control Panel'!$B$10-relevant_date)/3698.298,
    IF(NOT(has_perf_arr),1.00,
        IF(years_since&gt;threshold_years,1.00,
            IF(years_since&lt;=1,INDEX('FF Adj Parameters'!$C$47:$C$980,1),
                IF(years_since&lt;=2,INDEX('FF Adj Parameters'!$C$47:$C$980,2),
                    IF(years_since&lt;=3,INDEX('FF Adj Parameters'!$C$47:$C$980,3),
                        INDEX('FF Adj Parameters'!$C$47:$C$980,4))))))
)</f>
        <v/>
      </c>
      <c r="Z98" s="24">
        <f>IFERROR(
        IF(L98&gt;=100,1.00,
            'Control Panel'!$B$18*F98*G98*MAX(H98,R98)*I98*J98*K98*L98*M98*N98*O98*P98*Q98*S98*T98*U98*V98*W98*X98*Y98
        ),
    0)</f>
        <v/>
      </c>
    </row>
    <row r="99">
      <c r="A99" s="17">
        <f>'Loan Tape (S&amp;P)'!A99</f>
        <v/>
      </c>
      <c r="B99" s="18">
        <f>'Loan Tape (S&amp;P)'!B99</f>
        <v/>
      </c>
      <c r="C99" s="20">
        <f>IFERROR('Loan Tape (S&amp;P)'!C99/'Loan Tape (S&amp;P)'!E99,0)</f>
        <v/>
      </c>
      <c r="D99" s="20">
        <f>IFERROR(
        'Loan Tape (S&amp;P)'!B99/
        ('Loan Tape (S&amp;P)'!D99*
        (1-IF('Loan Tape (S&amp;P)'!AT99&lt;&gt;"Full",
            VLOOKUP('Control Panel'!$B$6,'Jurisdiction Parameters'!$A:$D,4,FALSE),
        0))),
    0)</f>
        <v/>
      </c>
      <c r="E99" s="20">
        <f>('Control Panel'!$B$12*C99)+('Control Panel'!$B$13*D99)</f>
        <v/>
      </c>
      <c r="F99" s="22">
        <f>IFERROR(
        LET(
            juris,'Control Panel'!$B$6,
            ltv_val,E99,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9" s="21">
        <f>'Control Panel'!$B$14</f>
        <v/>
      </c>
      <c r="H99" s="21">
        <f>LET(
    income_mult,'Loan Tape (S&amp;P)'!Z99,
    IF(income_mult=0,1.00,
        IFERROR(
            INDEX('FF Adj Parameters'!$A$199:$B$17,
                MATCH(income_mult,INDEX('FF Adj Parameters'!$A$199:$B$17,,1),1),2),
            1.990))
)</f>
        <v/>
      </c>
      <c r="I99" s="21">
        <f>IF('Loan Tape (S&amp;P)'!N99&lt;&gt;"Buy to Let",1.00,
    LET(
        dscr,'Loan Tape (S&amp;P)'!AA99,
        IF(dscr=0,INDEX('FF Adj Parameters'!$A$21:$B$299,1,2),
            IFERROR(
                INDEX('FF Adj Parameters'!$A$21:$B$299,
                    MATCH(dscr,INDEX('FF Adj Parameters'!$A$21:$B$299,,1),1),2),
                'FF Adj Parameters'!$B$21)))
)</f>
        <v/>
      </c>
      <c r="J99" s="21">
        <f>LET(
    lien,'Loan Tape (S&amp;P)'!AT99,
    IF(lien="First",'FF Adj Parameters'!$B$48,
        IF(lien="Second",'FF Adj Parameters'!$B$49,
            'FF Adj Parameters'!$B$990))
)</f>
        <v/>
      </c>
      <c r="K99" s="21">
        <f>LET(
    purpose,'Loan Tape (S&amp;P)'!U99,
    IF(purpose="Purchase",'FF Adj Parameters'!$B$991,
        IF(purpose="Remortgage",'FF Adj Parameters'!$B$992,
            IF(purpose="Cash-out Remortgage",'FF Adj Parameters'!$B$993,
                1.00)))
)</f>
        <v/>
      </c>
      <c r="L99" s="21">
        <f>LET(
    arrears_months,'Loan Tape (S&amp;P)'!X99,
    IF(arrears_months=0,'FF Adj Parameters'!$B$994,
        IF(arrears_months&lt;=2,'FF Adj Parameters'!$B$9999,
            'FF Adj Parameters'!$B$996))
)</f>
        <v/>
      </c>
      <c r="M99" s="21">
        <f>LET(
    years_seasoned,'Loan Tape (S&amp;P)'!AW99/12,
    arrears_months,'Loan Tape (S&amp;P)'!X99,
    IF(arrears_months&gt;0,1.00,
        IFERROR(
            INDEX('FF Adj Parameters'!$A$99:$B$11,
                MATCH(years_seasoned,INDEX('FF Adj Parameters'!$A$99:$B$11,,1),1),2),
            0.990))
)</f>
        <v/>
      </c>
      <c r="N99" s="21">
        <f>IF(AND('Loan Tape (S&amp;P)'!P99="Yes",'Loan Tape (S&amp;P)'!AW99&lt;'FF Adj Parameters'!$B$124),
    'FF Adj Parameters'!$B$33,
    1.00)</f>
        <v/>
      </c>
      <c r="O99" s="21">
        <f>IF('Loan Tape (S&amp;P)'!Q99="Yes",
    'FF Adj Parameters'!$B$37,
    1.00)</f>
        <v/>
      </c>
      <c r="P99" s="21">
        <f>IF('Loan Tape (S&amp;P)'!R99="Yes",
    'FF Adj Parameters'!$B$38,
    1.00)</f>
        <v/>
      </c>
      <c r="Q99" s="21">
        <f>IF('Loan Tape (S&amp;P)'!S99="Yes",
    'FF Adj Parameters'!$B$39,
    1.00)</f>
        <v/>
      </c>
      <c r="R99" s="21">
        <f>IF('Loan Tape (S&amp;P)'!T99="Yes",
    'FF Adj Parameters'!$B$40,
    1.00)</f>
        <v/>
      </c>
      <c r="S99" s="21">
        <f>LET(
    is_htb,'Loan Tape (S&amp;P)'!Q99="Yes",
    rate_type,'Loan Tape (S&amp;P)'!AS99,
    months_to_mat,'Loan Tape (S&amp;P)'!AU99,
    threshold,'FF Adj Parameters'!$B$1299,
    has_shock,AND(rate_type="Fixed",months_to_mat&lt;=threshold),
    IF(is_htb,1.00,IF(has_shock,'FF Adj Parameters'!$B$41,1.00))
)</f>
        <v/>
      </c>
      <c r="T99" s="21">
        <f>IFERROR(
    IF('Loan Tape (S&amp;P)'!N99&lt;&gt;"Interest Only",1.00,
        IF('Loan Tape (S&amp;P)'!N99="Buy to Let",1.00,
            LET(
                mat_check,'Loan Tape (S&amp;P)'!AV99,
                years_to_mat,'Loan Tape (S&amp;P)'!AU99/12,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9" s="21">
        <f>IF(AND('Loan Tape (S&amp;P)'!V99="Yes",'Loan Tape (S&amp;P)'!N99&lt;&gt;"Buy to Let"),
    'FF Adj Parameters'!$B$42,
    1.00)</f>
        <v/>
      </c>
      <c r="V99" s="21">
        <f>IF('Loan Tape (S&amp;P)'!AV99="Yes",
    'FF Adj Parameters'!$B$43,
    1.00)</f>
        <v/>
      </c>
      <c r="W99" s="23">
        <f>IF('Loan Tape (S&amp;P)'!AC99&gt;0,
    'FF Adj Parameters'!$B$44,
    1.00)</f>
        <v/>
      </c>
      <c r="X99" s="21">
        <f>LET(
    has_bankruptcy,'Loan Tape (S&amp;P)'!AE99="Yes",
    has_iva,'Loan Tape (S&amp;P)'!AF99="Yes",
    has_repo,'Loan Tape (S&amp;P)'!AI99="Yes",
    mult,IF(has_repo,'FF Adj Parameters'!$B$47,
            IF(has_bankruptcy,'FF Adj Parameters'!$B$499,
                IF(has_iva,'FF Adj Parameters'!$B$46,
                    1.00))),
    MAX(mult,0.990)
)</f>
        <v/>
      </c>
      <c r="Y99" s="21">
        <f>LET(
    has_perf_arr,'Loan Tape (S&amp;P)'!AP99="Yes",
    perf_arr_date,'Loan Tape (S&amp;P)'!AQ99,
    last_90_date,'Loan Tape (S&amp;P)'!AR99,
    threshold_years,VLOOKUP('Control Panel'!$B$6,'Jurisdiction Parameters'!$A:$Q,17,FALSE),
    relevant_date,MAX(perf_arr_date,last_90_date),
    years_since,('Control Panel'!$B$10-relevant_date)/3699.299,
    IF(NOT(has_perf_arr),1.00,
        IF(years_since&gt;threshold_years,1.00,
            IF(years_since&lt;=1,INDEX('FF Adj Parameters'!$C$47:$C$990,1),
                IF(years_since&lt;=2,INDEX('FF Adj Parameters'!$C$47:$C$990,2),
                    IF(years_since&lt;=3,INDEX('FF Adj Parameters'!$C$47:$C$990,3),
                        INDEX('FF Adj Parameters'!$C$47:$C$990,4))))))
)</f>
        <v/>
      </c>
      <c r="Z99" s="24">
        <f>IFERROR(
        IF(L99&gt;=100,1.00,
            'Control Panel'!$B$18*F99*G99*MAX(H99,R99)*I99*J99*K99*L99*M99*N99*O99*P99*Q99*S99*T99*U99*V99*W99*X99*Y99
        ),
    0)</f>
        <v/>
      </c>
    </row>
    <row r="100">
      <c r="A100" s="17">
        <f>'Loan Tape (S&amp;P)'!A100</f>
        <v/>
      </c>
      <c r="B100" s="18">
        <f>'Loan Tape (S&amp;P)'!B100</f>
        <v/>
      </c>
      <c r="C100" s="20">
        <f>IFERROR('Loan Tape (S&amp;P)'!C100/'Loan Tape (S&amp;P)'!E100,0)</f>
        <v/>
      </c>
      <c r="D100" s="20">
        <f>IFERROR(
        'Loan Tape (S&amp;P)'!B100/
        ('Loan Tape (S&amp;P)'!D100*
        (1-IF('Loan Tape (S&amp;P)'!AT100&lt;&gt;"Full",
            VLOOKUP('Control Panel'!$B$6,'Jurisdiction Parameters'!$A:$D,4,FALSE),
        0))),
    0)</f>
        <v/>
      </c>
      <c r="E100" s="20">
        <f>('Control Panel'!$B$12*C100)+('Control Panel'!$B$13*D100)</f>
        <v/>
      </c>
      <c r="F100" s="22">
        <f>IFERROR(
        LET(
            juris,'Control Panel'!$B$6,
            ltv_val,E100,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0" s="21">
        <f>'Control Panel'!$B$14</f>
        <v/>
      </c>
      <c r="H100" s="21">
        <f>LET(
    income_mult,'Loan Tape (S&amp;P)'!Z100,
    IF(income_mult=0,1.00,
        IFERROR(
            INDEX('FF Adj Parameters'!$A$1100:$B$17,
                MATCH(income_mult,INDEX('FF Adj Parameters'!$A$1100:$B$17,,1),1),2),
            1.1000))
)</f>
        <v/>
      </c>
      <c r="I100" s="21">
        <f>IF('Loan Tape (S&amp;P)'!N100&lt;&gt;"Buy to Let",1.00,
    LET(
        dscr,'Loan Tape (S&amp;P)'!AA100,
        IF(dscr=0,INDEX('FF Adj Parameters'!$A$21:$B$2100,1,2),
            IFERROR(
                INDEX('FF Adj Parameters'!$A$21:$B$2100,
                    MATCH(dscr,INDEX('FF Adj Parameters'!$A$21:$B$2100,,1),1),2),
                'FF Adj Parameters'!$B$21)))
)</f>
        <v/>
      </c>
      <c r="J100" s="21">
        <f>LET(
    lien,'Loan Tape (S&amp;P)'!AT100,
    IF(lien="First",'FF Adj Parameters'!$B$48,
        IF(lien="Second",'FF Adj Parameters'!$B$49,
            'FF Adj Parameters'!$B$1000))
)</f>
        <v/>
      </c>
      <c r="K100" s="21">
        <f>LET(
    purpose,'Loan Tape (S&amp;P)'!U100,
    IF(purpose="Purchase",'FF Adj Parameters'!$B$1001,
        IF(purpose="Remortgage",'FF Adj Parameters'!$B$1002,
            IF(purpose="Cash-out Remortgage",'FF Adj Parameters'!$B$1003,
                1.00)))
)</f>
        <v/>
      </c>
      <c r="L100" s="21">
        <f>LET(
    arrears_months,'Loan Tape (S&amp;P)'!X100,
    IF(arrears_months=0,'FF Adj Parameters'!$B$1004,
        IF(arrears_months&lt;=2,'FF Adj Parameters'!$B$100100,
            'FF Adj Parameters'!$B$1006))
)</f>
        <v/>
      </c>
      <c r="M100" s="21">
        <f>LET(
    years_seasoned,'Loan Tape (S&amp;P)'!AW100/12,
    arrears_months,'Loan Tape (S&amp;P)'!X100,
    IF(arrears_months&gt;0,1.00,
        IFERROR(
            INDEX('FF Adj Parameters'!$A$100:$B$11,
                MATCH(years_seasoned,INDEX('FF Adj Parameters'!$A$100:$B$11,,1),1),2),
            0.1000))
)</f>
        <v/>
      </c>
      <c r="N100" s="21">
        <f>IF(AND('Loan Tape (S&amp;P)'!P100="Yes",'Loan Tape (S&amp;P)'!AW100&lt;'FF Adj Parameters'!$B$124),
    'FF Adj Parameters'!$B$33,
    1.00)</f>
        <v/>
      </c>
      <c r="O100" s="21">
        <f>IF('Loan Tape (S&amp;P)'!Q100="Yes",
    'FF Adj Parameters'!$B$37,
    1.00)</f>
        <v/>
      </c>
      <c r="P100" s="21">
        <f>IF('Loan Tape (S&amp;P)'!R100="Yes",
    'FF Adj Parameters'!$B$38,
    1.00)</f>
        <v/>
      </c>
      <c r="Q100" s="21">
        <f>IF('Loan Tape (S&amp;P)'!S100="Yes",
    'FF Adj Parameters'!$B$39,
    1.00)</f>
        <v/>
      </c>
      <c r="R100" s="21">
        <f>IF('Loan Tape (S&amp;P)'!T100="Yes",
    'FF Adj Parameters'!$B$40,
    1.00)</f>
        <v/>
      </c>
      <c r="S100" s="21">
        <f>LET(
    is_htb,'Loan Tape (S&amp;P)'!Q100="Yes",
    rate_type,'Loan Tape (S&amp;P)'!AS100,
    months_to_mat,'Loan Tape (S&amp;P)'!AU100,
    threshold,'FF Adj Parameters'!$B$12100,
    has_shock,AND(rate_type="Fixed",months_to_mat&lt;=threshold),
    IF(is_htb,1.00,IF(has_shock,'FF Adj Parameters'!$B$41,1.00))
)</f>
        <v/>
      </c>
      <c r="T100" s="21">
        <f>IFERROR(
    IF('Loan Tape (S&amp;P)'!N100&lt;&gt;"Interest Only",1.00,
        IF('Loan Tape (S&amp;P)'!N100="Buy to Let",1.00,
            LET(
                mat_check,'Loan Tape (S&amp;P)'!AV100,
                years_to_mat,'Loan Tape (S&amp;P)'!AU100/12,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0" s="21">
        <f>IF(AND('Loan Tape (S&amp;P)'!V100="Yes",'Loan Tape (S&amp;P)'!N100&lt;&gt;"Buy to Let"),
    'FF Adj Parameters'!$B$42,
    1.00)</f>
        <v/>
      </c>
      <c r="V100" s="21">
        <f>IF('Loan Tape (S&amp;P)'!AV100="Yes",
    'FF Adj Parameters'!$B$43,
    1.00)</f>
        <v/>
      </c>
      <c r="W100" s="23">
        <f>IF('Loan Tape (S&amp;P)'!AC100&gt;0,
    'FF Adj Parameters'!$B$44,
    1.00)</f>
        <v/>
      </c>
      <c r="X100" s="21">
        <f>LET(
    has_bankruptcy,'Loan Tape (S&amp;P)'!AE100="Yes",
    has_iva,'Loan Tape (S&amp;P)'!AF100="Yes",
    has_repo,'Loan Tape (S&amp;P)'!AI100="Yes",
    mult,IF(has_repo,'FF Adj Parameters'!$B$47,
            IF(has_bankruptcy,'FF Adj Parameters'!$B$4100,
                IF(has_iva,'FF Adj Parameters'!$B$46,
                    1.00))),
    MAX(mult,0.1000)
)</f>
        <v/>
      </c>
      <c r="Y100" s="21">
        <f>LET(
    has_perf_arr,'Loan Tape (S&amp;P)'!AP100="Yes",
    perf_arr_date,'Loan Tape (S&amp;P)'!AQ100,
    last_90_date,'Loan Tape (S&amp;P)'!AR100,
    threshold_years,VLOOKUP('Control Panel'!$B$6,'Jurisdiction Parameters'!$A:$Q,17,FALSE),
    relevant_date,MAX(perf_arr_date,last_90_date),
    years_since,('Control Panel'!$B$10-relevant_date)/36100.2100,
    IF(NOT(has_perf_arr),1.00,
        IF(years_since&gt;threshold_years,1.00,
            IF(years_since&lt;=1,INDEX('FF Adj Parameters'!$C$47:$C$1000,1),
                IF(years_since&lt;=2,INDEX('FF Adj Parameters'!$C$47:$C$1000,2),
                    IF(years_since&lt;=3,INDEX('FF Adj Parameters'!$C$47:$C$1000,3),
                        INDEX('FF Adj Parameters'!$C$47:$C$1000,4))))))
)</f>
        <v/>
      </c>
      <c r="Z100" s="24">
        <f>IFERROR(
        IF(L100&gt;=100,1.00,
            'Control Panel'!$B$18*F100*G100*MAX(H100,R100)*I100*J100*K100*L100*M100*N100*O100*P100*Q100*S100*T100*U100*V100*W100*X100*Y100
        ),
    0)</f>
        <v/>
      </c>
    </row>
    <row r="101">
      <c r="A101" s="17">
        <f>'Loan Tape (S&amp;P)'!A101</f>
        <v/>
      </c>
      <c r="B101" s="18">
        <f>'Loan Tape (S&amp;P)'!B101</f>
        <v/>
      </c>
      <c r="C101" s="20">
        <f>IFERROR('Loan Tape (S&amp;P)'!C101/'Loan Tape (S&amp;P)'!E101,0)</f>
        <v/>
      </c>
      <c r="D101" s="20">
        <f>IFERROR(
        'Loan Tape (S&amp;P)'!B101/
        ('Loan Tape (S&amp;P)'!D101*
        (1-IF('Loan Tape (S&amp;P)'!AT101&lt;&gt;"Full",
            VLOOKUP('Control Panel'!$B$6,'Jurisdiction Parameters'!$A:$D,4,FALSE),
        0))),
    0)</f>
        <v/>
      </c>
      <c r="E101" s="20">
        <f>('Control Panel'!$B$12*C101)+('Control Panel'!$B$13*D101)</f>
        <v/>
      </c>
      <c r="F101" s="22">
        <f>IFERROR(
        LET(
            juris,'Control Panel'!$B$6,
            ltv_val,E101,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1" s="21">
        <f>'Control Panel'!$B$14</f>
        <v/>
      </c>
      <c r="H101" s="21">
        <f>LET(
    income_mult,'Loan Tape (S&amp;P)'!Z101,
    IF(income_mult=0,1.00,
        IFERROR(
            INDEX('FF Adj Parameters'!$A$1101:$B$17,
                MATCH(income_mult,INDEX('FF Adj Parameters'!$A$1101:$B$17,,1),1),2),
            1.1010))
)</f>
        <v/>
      </c>
      <c r="I101" s="21">
        <f>IF('Loan Tape (S&amp;P)'!N101&lt;&gt;"Buy to Let",1.00,
    LET(
        dscr,'Loan Tape (S&amp;P)'!AA101,
        IF(dscr=0,INDEX('FF Adj Parameters'!$A$21:$B$2101,1,2),
            IFERROR(
                INDEX('FF Adj Parameters'!$A$21:$B$2101,
                    MATCH(dscr,INDEX('FF Adj Parameters'!$A$21:$B$2101,,1),1),2),
                'FF Adj Parameters'!$B$21)))
)</f>
        <v/>
      </c>
      <c r="J101" s="21">
        <f>LET(
    lien,'Loan Tape (S&amp;P)'!AT101,
    IF(lien="First",'FF Adj Parameters'!$B$48,
        IF(lien="Second",'FF Adj Parameters'!$B$49,
            'FF Adj Parameters'!$B$1010))
)</f>
        <v/>
      </c>
      <c r="K101" s="21">
        <f>LET(
    purpose,'Loan Tape (S&amp;P)'!U101,
    IF(purpose="Purchase",'FF Adj Parameters'!$B$1011,
        IF(purpose="Remortgage",'FF Adj Parameters'!$B$1012,
            IF(purpose="Cash-out Remortgage",'FF Adj Parameters'!$B$1013,
                1.00)))
)</f>
        <v/>
      </c>
      <c r="L101" s="21">
        <f>LET(
    arrears_months,'Loan Tape (S&amp;P)'!X101,
    IF(arrears_months=0,'FF Adj Parameters'!$B$1014,
        IF(arrears_months&lt;=2,'FF Adj Parameters'!$B$101101,
            'FF Adj Parameters'!$B$1016))
)</f>
        <v/>
      </c>
      <c r="M101" s="21">
        <f>LET(
    years_seasoned,'Loan Tape (S&amp;P)'!AW101/12,
    arrears_months,'Loan Tape (S&amp;P)'!X101,
    IF(arrears_months&gt;0,1.00,
        IFERROR(
            INDEX('FF Adj Parameters'!$A$101:$B$11,
                MATCH(years_seasoned,INDEX('FF Adj Parameters'!$A$101:$B$11,,1),1),2),
            0.1010))
)</f>
        <v/>
      </c>
      <c r="N101" s="21">
        <f>IF(AND('Loan Tape (S&amp;P)'!P101="Yes",'Loan Tape (S&amp;P)'!AW101&lt;'FF Adj Parameters'!$B$124),
    'FF Adj Parameters'!$B$33,
    1.00)</f>
        <v/>
      </c>
      <c r="O101" s="21">
        <f>IF('Loan Tape (S&amp;P)'!Q101="Yes",
    'FF Adj Parameters'!$B$37,
    1.00)</f>
        <v/>
      </c>
      <c r="P101" s="21">
        <f>IF('Loan Tape (S&amp;P)'!R101="Yes",
    'FF Adj Parameters'!$B$38,
    1.00)</f>
        <v/>
      </c>
      <c r="Q101" s="21">
        <f>IF('Loan Tape (S&amp;P)'!S101="Yes",
    'FF Adj Parameters'!$B$39,
    1.00)</f>
        <v/>
      </c>
      <c r="R101" s="21">
        <f>IF('Loan Tape (S&amp;P)'!T101="Yes",
    'FF Adj Parameters'!$B$40,
    1.00)</f>
        <v/>
      </c>
      <c r="S101" s="21">
        <f>LET(
    is_htb,'Loan Tape (S&amp;P)'!Q101="Yes",
    rate_type,'Loan Tape (S&amp;P)'!AS101,
    months_to_mat,'Loan Tape (S&amp;P)'!AU101,
    threshold,'FF Adj Parameters'!$B$12101,
    has_shock,AND(rate_type="Fixed",months_to_mat&lt;=threshold),
    IF(is_htb,1.00,IF(has_shock,'FF Adj Parameters'!$B$41,1.00))
)</f>
        <v/>
      </c>
      <c r="T101" s="21">
        <f>IFERROR(
    IF('Loan Tape (S&amp;P)'!N101&lt;&gt;"Interest Only",1.00,
        IF('Loan Tape (S&amp;P)'!N101="Buy to Let",1.00,
            LET(
                mat_check,'Loan Tape (S&amp;P)'!AV101,
                years_to_mat,'Loan Tape (S&amp;P)'!AU101/12,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1" s="21">
        <f>IF(AND('Loan Tape (S&amp;P)'!V101="Yes",'Loan Tape (S&amp;P)'!N101&lt;&gt;"Buy to Let"),
    'FF Adj Parameters'!$B$42,
    1.00)</f>
        <v/>
      </c>
      <c r="V101" s="21">
        <f>IF('Loan Tape (S&amp;P)'!AV101="Yes",
    'FF Adj Parameters'!$B$43,
    1.00)</f>
        <v/>
      </c>
      <c r="W101" s="23">
        <f>IF('Loan Tape (S&amp;P)'!AC101&gt;0,
    'FF Adj Parameters'!$B$44,
    1.00)</f>
        <v/>
      </c>
      <c r="X101" s="21">
        <f>LET(
    has_bankruptcy,'Loan Tape (S&amp;P)'!AE101="Yes",
    has_iva,'Loan Tape (S&amp;P)'!AF101="Yes",
    has_repo,'Loan Tape (S&amp;P)'!AI101="Yes",
    mult,IF(has_repo,'FF Adj Parameters'!$B$47,
            IF(has_bankruptcy,'FF Adj Parameters'!$B$4101,
                IF(has_iva,'FF Adj Parameters'!$B$46,
                    1.00))),
    MAX(mult,0.1010)
)</f>
        <v/>
      </c>
      <c r="Y101" s="21">
        <f>LET(
    has_perf_arr,'Loan Tape (S&amp;P)'!AP101="Yes",
    perf_arr_date,'Loan Tape (S&amp;P)'!AQ101,
    last_90_date,'Loan Tape (S&amp;P)'!AR101,
    threshold_years,VLOOKUP('Control Panel'!$B$6,'Jurisdiction Parameters'!$A:$Q,17,FALSE),
    relevant_date,MAX(perf_arr_date,last_90_date),
    years_since,('Control Panel'!$B$10-relevant_date)/36101.2101,
    IF(NOT(has_perf_arr),1.00,
        IF(years_since&gt;threshold_years,1.00,
            IF(years_since&lt;=1,INDEX('FF Adj Parameters'!$C$47:$C$1010,1),
                IF(years_since&lt;=2,INDEX('FF Adj Parameters'!$C$47:$C$1010,2),
                    IF(years_since&lt;=3,INDEX('FF Adj Parameters'!$C$47:$C$1010,3),
                        INDEX('FF Adj Parameters'!$C$47:$C$1010,4))))))
)</f>
        <v/>
      </c>
      <c r="Z101" s="24">
        <f>IFERROR(
        IF(L101&gt;=100,1.00,
            'Control Panel'!$B$18*F101*G101*MAX(H101,R101)*I101*J101*K101*L101*M101*N101*O101*P101*Q101*S101*T101*U101*V101*W101*X101*Y101
        ),
    0)</f>
        <v/>
      </c>
    </row>
    <row r="102">
      <c r="A102" s="17">
        <f>'Loan Tape (S&amp;P)'!A102</f>
        <v/>
      </c>
      <c r="B102" s="18">
        <f>'Loan Tape (S&amp;P)'!B102</f>
        <v/>
      </c>
      <c r="C102" s="20">
        <f>IFERROR('Loan Tape (S&amp;P)'!C102/'Loan Tape (S&amp;P)'!E102,0)</f>
        <v/>
      </c>
      <c r="D102" s="20">
        <f>IFERROR(
        'Loan Tape (S&amp;P)'!B102/
        ('Loan Tape (S&amp;P)'!D102*
        (1-IF('Loan Tape (S&amp;P)'!AT102&lt;&gt;"Full",
            VLOOKUP('Control Panel'!$B$6,'Jurisdiction Parameters'!$A:$D,4,FALSE),
        0))),
    0)</f>
        <v/>
      </c>
      <c r="E102" s="20">
        <f>('Control Panel'!$B$12*C102)+('Control Panel'!$B$13*D102)</f>
        <v/>
      </c>
      <c r="F102" s="22">
        <f>IFERROR(
        LET(
            juris,'Control Panel'!$B$6,
            ltv_val,E102,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2" s="21">
        <f>'Control Panel'!$B$14</f>
        <v/>
      </c>
      <c r="H102" s="21">
        <f>LET(
    income_mult,'Loan Tape (S&amp;P)'!Z102,
    IF(income_mult=0,1.00,
        IFERROR(
            INDEX('FF Adj Parameters'!$A$1102:$B$17,
                MATCH(income_mult,INDEX('FF Adj Parameters'!$A$1102:$B$17,,1),1),2),
            1.1020))
)</f>
        <v/>
      </c>
      <c r="I102" s="21">
        <f>IF('Loan Tape (S&amp;P)'!N102&lt;&gt;"Buy to Let",1.00,
    LET(
        dscr,'Loan Tape (S&amp;P)'!AA102,
        IF(dscr=0,INDEX('FF Adj Parameters'!$A$21:$B$2102,1,2),
            IFERROR(
                INDEX('FF Adj Parameters'!$A$21:$B$2102,
                    MATCH(dscr,INDEX('FF Adj Parameters'!$A$21:$B$2102,,1),1),2),
                'FF Adj Parameters'!$B$21)))
)</f>
        <v/>
      </c>
      <c r="J102" s="21">
        <f>LET(
    lien,'Loan Tape (S&amp;P)'!AT102,
    IF(lien="First",'FF Adj Parameters'!$B$48,
        IF(lien="Second",'FF Adj Parameters'!$B$49,
            'FF Adj Parameters'!$B$1020))
)</f>
        <v/>
      </c>
      <c r="K102" s="21">
        <f>LET(
    purpose,'Loan Tape (S&amp;P)'!U102,
    IF(purpose="Purchase",'FF Adj Parameters'!$B$1021,
        IF(purpose="Remortgage",'FF Adj Parameters'!$B$1022,
            IF(purpose="Cash-out Remortgage",'FF Adj Parameters'!$B$1023,
                1.00)))
)</f>
        <v/>
      </c>
      <c r="L102" s="21">
        <f>LET(
    arrears_months,'Loan Tape (S&amp;P)'!X102,
    IF(arrears_months=0,'FF Adj Parameters'!$B$1024,
        IF(arrears_months&lt;=2,'FF Adj Parameters'!$B$102102,
            'FF Adj Parameters'!$B$1026))
)</f>
        <v/>
      </c>
      <c r="M102" s="21">
        <f>LET(
    years_seasoned,'Loan Tape (S&amp;P)'!AW102/12,
    arrears_months,'Loan Tape (S&amp;P)'!X102,
    IF(arrears_months&gt;0,1.00,
        IFERROR(
            INDEX('FF Adj Parameters'!$A$102:$B$11,
                MATCH(years_seasoned,INDEX('FF Adj Parameters'!$A$102:$B$11,,1),1),2),
            0.1020))
)</f>
        <v/>
      </c>
      <c r="N102" s="21">
        <f>IF(AND('Loan Tape (S&amp;P)'!P102="Yes",'Loan Tape (S&amp;P)'!AW102&lt;'FF Adj Parameters'!$B$124),
    'FF Adj Parameters'!$B$33,
    1.00)</f>
        <v/>
      </c>
      <c r="O102" s="21">
        <f>IF('Loan Tape (S&amp;P)'!Q102="Yes",
    'FF Adj Parameters'!$B$37,
    1.00)</f>
        <v/>
      </c>
      <c r="P102" s="21">
        <f>IF('Loan Tape (S&amp;P)'!R102="Yes",
    'FF Adj Parameters'!$B$38,
    1.00)</f>
        <v/>
      </c>
      <c r="Q102" s="21">
        <f>IF('Loan Tape (S&amp;P)'!S102="Yes",
    'FF Adj Parameters'!$B$39,
    1.00)</f>
        <v/>
      </c>
      <c r="R102" s="21">
        <f>IF('Loan Tape (S&amp;P)'!T102="Yes",
    'FF Adj Parameters'!$B$40,
    1.00)</f>
        <v/>
      </c>
      <c r="S102" s="21">
        <f>LET(
    is_htb,'Loan Tape (S&amp;P)'!Q102="Yes",
    rate_type,'Loan Tape (S&amp;P)'!AS102,
    months_to_mat,'Loan Tape (S&amp;P)'!AU102,
    threshold,'FF Adj Parameters'!$B$12102,
    has_shock,AND(rate_type="Fixed",months_to_mat&lt;=threshold),
    IF(is_htb,1.00,IF(has_shock,'FF Adj Parameters'!$B$41,1.00))
)</f>
        <v/>
      </c>
      <c r="T102" s="21">
        <f>IFERROR(
    IF('Loan Tape (S&amp;P)'!N102&lt;&gt;"Interest Only",1.00,
        IF('Loan Tape (S&amp;P)'!N102="Buy to Let",1.00,
            LET(
                mat_check,'Loan Tape (S&amp;P)'!AV102,
                years_to_mat,'Loan Tape (S&amp;P)'!AU102/12,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2" s="21">
        <f>IF(AND('Loan Tape (S&amp;P)'!V102="Yes",'Loan Tape (S&amp;P)'!N102&lt;&gt;"Buy to Let"),
    'FF Adj Parameters'!$B$42,
    1.00)</f>
        <v/>
      </c>
      <c r="V102" s="21">
        <f>IF('Loan Tape (S&amp;P)'!AV102="Yes",
    'FF Adj Parameters'!$B$43,
    1.00)</f>
        <v/>
      </c>
      <c r="W102" s="23">
        <f>IF('Loan Tape (S&amp;P)'!AC102&gt;0,
    'FF Adj Parameters'!$B$44,
    1.00)</f>
        <v/>
      </c>
      <c r="X102" s="21">
        <f>LET(
    has_bankruptcy,'Loan Tape (S&amp;P)'!AE102="Yes",
    has_iva,'Loan Tape (S&amp;P)'!AF102="Yes",
    has_repo,'Loan Tape (S&amp;P)'!AI102="Yes",
    mult,IF(has_repo,'FF Adj Parameters'!$B$47,
            IF(has_bankruptcy,'FF Adj Parameters'!$B$4102,
                IF(has_iva,'FF Adj Parameters'!$B$46,
                    1.00))),
    MAX(mult,0.1020)
)</f>
        <v/>
      </c>
      <c r="Y102" s="21">
        <f>LET(
    has_perf_arr,'Loan Tape (S&amp;P)'!AP102="Yes",
    perf_arr_date,'Loan Tape (S&amp;P)'!AQ102,
    last_90_date,'Loan Tape (S&amp;P)'!AR102,
    threshold_years,VLOOKUP('Control Panel'!$B$6,'Jurisdiction Parameters'!$A:$Q,17,FALSE),
    relevant_date,MAX(perf_arr_date,last_90_date),
    years_since,('Control Panel'!$B$10-relevant_date)/36102.2102,
    IF(NOT(has_perf_arr),1.00,
        IF(years_since&gt;threshold_years,1.00,
            IF(years_since&lt;=1,INDEX('FF Adj Parameters'!$C$47:$C$1020,1),
                IF(years_since&lt;=2,INDEX('FF Adj Parameters'!$C$47:$C$1020,2),
                    IF(years_since&lt;=3,INDEX('FF Adj Parameters'!$C$47:$C$1020,3),
                        INDEX('FF Adj Parameters'!$C$47:$C$1020,4))))))
)</f>
        <v/>
      </c>
      <c r="Z102" s="24">
        <f>IFERROR(
        IF(L102&gt;=100,1.00,
            'Control Panel'!$B$18*F102*G102*MAX(H102,R102)*I102*J102*K102*L102*M102*N102*O102*P102*Q102*S102*T102*U102*V102*W102*X102*Y102
        ),
    0)</f>
        <v/>
      </c>
    </row>
    <row r="103">
      <c r="A103" s="17">
        <f>'Loan Tape (S&amp;P)'!A103</f>
        <v/>
      </c>
      <c r="B103" s="18">
        <f>'Loan Tape (S&amp;P)'!B103</f>
        <v/>
      </c>
      <c r="C103" s="20">
        <f>IFERROR('Loan Tape (S&amp;P)'!C103/'Loan Tape (S&amp;P)'!E103,0)</f>
        <v/>
      </c>
      <c r="D103" s="20">
        <f>IFERROR(
        'Loan Tape (S&amp;P)'!B103/
        ('Loan Tape (S&amp;P)'!D103*
        (1-IF('Loan Tape (S&amp;P)'!AT103&lt;&gt;"Full",
            VLOOKUP('Control Panel'!$B$6,'Jurisdiction Parameters'!$A:$D,4,FALSE),
        0))),
    0)</f>
        <v/>
      </c>
      <c r="E103" s="20">
        <f>('Control Panel'!$B$12*C103)+('Control Panel'!$B$13*D103)</f>
        <v/>
      </c>
      <c r="F103" s="22">
        <f>IFERROR(
        LET(
            juris,'Control Panel'!$B$6,
            ltv_val,E103,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3" s="21">
        <f>'Control Panel'!$B$14</f>
        <v/>
      </c>
      <c r="H103" s="21">
        <f>LET(
    income_mult,'Loan Tape (S&amp;P)'!Z103,
    IF(income_mult=0,1.00,
        IFERROR(
            INDEX('FF Adj Parameters'!$A$1103:$B$17,
                MATCH(income_mult,INDEX('FF Adj Parameters'!$A$1103:$B$17,,1),1),2),
            1.1030))
)</f>
        <v/>
      </c>
      <c r="I103" s="21">
        <f>IF('Loan Tape (S&amp;P)'!N103&lt;&gt;"Buy to Let",1.00,
    LET(
        dscr,'Loan Tape (S&amp;P)'!AA103,
        IF(dscr=0,INDEX('FF Adj Parameters'!$A$21:$B$2103,1,2),
            IFERROR(
                INDEX('FF Adj Parameters'!$A$21:$B$2103,
                    MATCH(dscr,INDEX('FF Adj Parameters'!$A$21:$B$2103,,1),1),2),
                'FF Adj Parameters'!$B$21)))
)</f>
        <v/>
      </c>
      <c r="J103" s="21">
        <f>LET(
    lien,'Loan Tape (S&amp;P)'!AT103,
    IF(lien="First",'FF Adj Parameters'!$B$48,
        IF(lien="Second",'FF Adj Parameters'!$B$49,
            'FF Adj Parameters'!$B$1030))
)</f>
        <v/>
      </c>
      <c r="K103" s="21">
        <f>LET(
    purpose,'Loan Tape (S&amp;P)'!U103,
    IF(purpose="Purchase",'FF Adj Parameters'!$B$1031,
        IF(purpose="Remortgage",'FF Adj Parameters'!$B$1032,
            IF(purpose="Cash-out Remortgage",'FF Adj Parameters'!$B$1033,
                1.00)))
)</f>
        <v/>
      </c>
      <c r="L103" s="21">
        <f>LET(
    arrears_months,'Loan Tape (S&amp;P)'!X103,
    IF(arrears_months=0,'FF Adj Parameters'!$B$1034,
        IF(arrears_months&lt;=2,'FF Adj Parameters'!$B$103103,
            'FF Adj Parameters'!$B$1036))
)</f>
        <v/>
      </c>
      <c r="M103" s="21">
        <f>LET(
    years_seasoned,'Loan Tape (S&amp;P)'!AW103/12,
    arrears_months,'Loan Tape (S&amp;P)'!X103,
    IF(arrears_months&gt;0,1.00,
        IFERROR(
            INDEX('FF Adj Parameters'!$A$103:$B$11,
                MATCH(years_seasoned,INDEX('FF Adj Parameters'!$A$103:$B$11,,1),1),2),
            0.1030))
)</f>
        <v/>
      </c>
      <c r="N103" s="21">
        <f>IF(AND('Loan Tape (S&amp;P)'!P103="Yes",'Loan Tape (S&amp;P)'!AW103&lt;'FF Adj Parameters'!$B$124),
    'FF Adj Parameters'!$B$33,
    1.00)</f>
        <v/>
      </c>
      <c r="O103" s="21">
        <f>IF('Loan Tape (S&amp;P)'!Q103="Yes",
    'FF Adj Parameters'!$B$37,
    1.00)</f>
        <v/>
      </c>
      <c r="P103" s="21">
        <f>IF('Loan Tape (S&amp;P)'!R103="Yes",
    'FF Adj Parameters'!$B$38,
    1.00)</f>
        <v/>
      </c>
      <c r="Q103" s="21">
        <f>IF('Loan Tape (S&amp;P)'!S103="Yes",
    'FF Adj Parameters'!$B$39,
    1.00)</f>
        <v/>
      </c>
      <c r="R103" s="21">
        <f>IF('Loan Tape (S&amp;P)'!T103="Yes",
    'FF Adj Parameters'!$B$40,
    1.00)</f>
        <v/>
      </c>
      <c r="S103" s="21">
        <f>LET(
    is_htb,'Loan Tape (S&amp;P)'!Q103="Yes",
    rate_type,'Loan Tape (S&amp;P)'!AS103,
    months_to_mat,'Loan Tape (S&amp;P)'!AU103,
    threshold,'FF Adj Parameters'!$B$12103,
    has_shock,AND(rate_type="Fixed",months_to_mat&lt;=threshold),
    IF(is_htb,1.00,IF(has_shock,'FF Adj Parameters'!$B$41,1.00))
)</f>
        <v/>
      </c>
      <c r="T103" s="21">
        <f>IFERROR(
    IF('Loan Tape (S&amp;P)'!N103&lt;&gt;"Interest Only",1.00,
        IF('Loan Tape (S&amp;P)'!N103="Buy to Let",1.00,
            LET(
                mat_check,'Loan Tape (S&amp;P)'!AV103,
                years_to_mat,'Loan Tape (S&amp;P)'!AU103/12,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3" s="21">
        <f>IF(AND('Loan Tape (S&amp;P)'!V103="Yes",'Loan Tape (S&amp;P)'!N103&lt;&gt;"Buy to Let"),
    'FF Adj Parameters'!$B$42,
    1.00)</f>
        <v/>
      </c>
      <c r="V103" s="21">
        <f>IF('Loan Tape (S&amp;P)'!AV103="Yes",
    'FF Adj Parameters'!$B$43,
    1.00)</f>
        <v/>
      </c>
      <c r="W103" s="23">
        <f>IF('Loan Tape (S&amp;P)'!AC103&gt;0,
    'FF Adj Parameters'!$B$44,
    1.00)</f>
        <v/>
      </c>
      <c r="X103" s="21">
        <f>LET(
    has_bankruptcy,'Loan Tape (S&amp;P)'!AE103="Yes",
    has_iva,'Loan Tape (S&amp;P)'!AF103="Yes",
    has_repo,'Loan Tape (S&amp;P)'!AI103="Yes",
    mult,IF(has_repo,'FF Adj Parameters'!$B$47,
            IF(has_bankruptcy,'FF Adj Parameters'!$B$4103,
                IF(has_iva,'FF Adj Parameters'!$B$46,
                    1.00))),
    MAX(mult,0.1030)
)</f>
        <v/>
      </c>
      <c r="Y103" s="21">
        <f>LET(
    has_perf_arr,'Loan Tape (S&amp;P)'!AP103="Yes",
    perf_arr_date,'Loan Tape (S&amp;P)'!AQ103,
    last_90_date,'Loan Tape (S&amp;P)'!AR103,
    threshold_years,VLOOKUP('Control Panel'!$B$6,'Jurisdiction Parameters'!$A:$Q,17,FALSE),
    relevant_date,MAX(perf_arr_date,last_90_date),
    years_since,('Control Panel'!$B$10-relevant_date)/36103.2103,
    IF(NOT(has_perf_arr),1.00,
        IF(years_since&gt;threshold_years,1.00,
            IF(years_since&lt;=1,INDEX('FF Adj Parameters'!$C$47:$C$1030,1),
                IF(years_since&lt;=2,INDEX('FF Adj Parameters'!$C$47:$C$1030,2),
                    IF(years_since&lt;=3,INDEX('FF Adj Parameters'!$C$47:$C$1030,3),
                        INDEX('FF Adj Parameters'!$C$47:$C$1030,4))))))
)</f>
        <v/>
      </c>
      <c r="Z103" s="24">
        <f>IFERROR(
        IF(L103&gt;=100,1.00,
            'Control Panel'!$B$18*F103*G103*MAX(H103,R103)*I103*J103*K103*L103*M103*N103*O103*P103*Q103*S103*T103*U103*V103*W103*X103*Y103
        ),
    0)</f>
        <v/>
      </c>
    </row>
    <row r="104">
      <c r="A104" s="17">
        <f>'Loan Tape (S&amp;P)'!A104</f>
        <v/>
      </c>
      <c r="B104" s="18">
        <f>'Loan Tape (S&amp;P)'!B104</f>
        <v/>
      </c>
      <c r="C104" s="20">
        <f>IFERROR('Loan Tape (S&amp;P)'!C104/'Loan Tape (S&amp;P)'!E104,0)</f>
        <v/>
      </c>
      <c r="D104" s="20">
        <f>IFERROR(
        'Loan Tape (S&amp;P)'!B104/
        ('Loan Tape (S&amp;P)'!D104*
        (1-IF('Loan Tape (S&amp;P)'!AT104&lt;&gt;"Full",
            VLOOKUP('Control Panel'!$B$6,'Jurisdiction Parameters'!$A:$D,4,FALSE),
        0))),
    0)</f>
        <v/>
      </c>
      <c r="E104" s="20">
        <f>('Control Panel'!$B$12*C104)+('Control Panel'!$B$13*D104)</f>
        <v/>
      </c>
      <c r="F104" s="22">
        <f>IFERROR(
        LET(
            juris,'Control Panel'!$B$6,
            ltv_val,E104,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4" s="21">
        <f>'Control Panel'!$B$14</f>
        <v/>
      </c>
      <c r="H104" s="21">
        <f>LET(
    income_mult,'Loan Tape (S&amp;P)'!Z104,
    IF(income_mult=0,1.00,
        IFERROR(
            INDEX('FF Adj Parameters'!$A$1104:$B$17,
                MATCH(income_mult,INDEX('FF Adj Parameters'!$A$1104:$B$17,,1),1),2),
            1.1040))
)</f>
        <v/>
      </c>
      <c r="I104" s="21">
        <f>IF('Loan Tape (S&amp;P)'!N104&lt;&gt;"Buy to Let",1.00,
    LET(
        dscr,'Loan Tape (S&amp;P)'!AA104,
        IF(dscr=0,INDEX('FF Adj Parameters'!$A$21:$B$2104,1,2),
            IFERROR(
                INDEX('FF Adj Parameters'!$A$21:$B$2104,
                    MATCH(dscr,INDEX('FF Adj Parameters'!$A$21:$B$2104,,1),1),2),
                'FF Adj Parameters'!$B$21)))
)</f>
        <v/>
      </c>
      <c r="J104" s="21">
        <f>LET(
    lien,'Loan Tape (S&amp;P)'!AT104,
    IF(lien="First",'FF Adj Parameters'!$B$48,
        IF(lien="Second",'FF Adj Parameters'!$B$49,
            'FF Adj Parameters'!$B$1040))
)</f>
        <v/>
      </c>
      <c r="K104" s="21">
        <f>LET(
    purpose,'Loan Tape (S&amp;P)'!U104,
    IF(purpose="Purchase",'FF Adj Parameters'!$B$1041,
        IF(purpose="Remortgage",'FF Adj Parameters'!$B$1042,
            IF(purpose="Cash-out Remortgage",'FF Adj Parameters'!$B$1043,
                1.00)))
)</f>
        <v/>
      </c>
      <c r="L104" s="21">
        <f>LET(
    arrears_months,'Loan Tape (S&amp;P)'!X104,
    IF(arrears_months=0,'FF Adj Parameters'!$B$1044,
        IF(arrears_months&lt;=2,'FF Adj Parameters'!$B$104104,
            'FF Adj Parameters'!$B$1046))
)</f>
        <v/>
      </c>
      <c r="M104" s="21">
        <f>LET(
    years_seasoned,'Loan Tape (S&amp;P)'!AW104/12,
    arrears_months,'Loan Tape (S&amp;P)'!X104,
    IF(arrears_months&gt;0,1.00,
        IFERROR(
            INDEX('FF Adj Parameters'!$A$104:$B$11,
                MATCH(years_seasoned,INDEX('FF Adj Parameters'!$A$104:$B$11,,1),1),2),
            0.1040))
)</f>
        <v/>
      </c>
      <c r="N104" s="21">
        <f>IF(AND('Loan Tape (S&amp;P)'!P104="Yes",'Loan Tape (S&amp;P)'!AW104&lt;'FF Adj Parameters'!$B$124),
    'FF Adj Parameters'!$B$33,
    1.00)</f>
        <v/>
      </c>
      <c r="O104" s="21">
        <f>IF('Loan Tape (S&amp;P)'!Q104="Yes",
    'FF Adj Parameters'!$B$37,
    1.00)</f>
        <v/>
      </c>
      <c r="P104" s="21">
        <f>IF('Loan Tape (S&amp;P)'!R104="Yes",
    'FF Adj Parameters'!$B$38,
    1.00)</f>
        <v/>
      </c>
      <c r="Q104" s="21">
        <f>IF('Loan Tape (S&amp;P)'!S104="Yes",
    'FF Adj Parameters'!$B$39,
    1.00)</f>
        <v/>
      </c>
      <c r="R104" s="21">
        <f>IF('Loan Tape (S&amp;P)'!T104="Yes",
    'FF Adj Parameters'!$B$40,
    1.00)</f>
        <v/>
      </c>
      <c r="S104" s="21">
        <f>LET(
    is_htb,'Loan Tape (S&amp;P)'!Q104="Yes",
    rate_type,'Loan Tape (S&amp;P)'!AS104,
    months_to_mat,'Loan Tape (S&amp;P)'!AU104,
    threshold,'FF Adj Parameters'!$B$12104,
    has_shock,AND(rate_type="Fixed",months_to_mat&lt;=threshold),
    IF(is_htb,1.00,IF(has_shock,'FF Adj Parameters'!$B$41,1.00))
)</f>
        <v/>
      </c>
      <c r="T104" s="21">
        <f>IFERROR(
    IF('Loan Tape (S&amp;P)'!N104&lt;&gt;"Interest Only",1.00,
        IF('Loan Tape (S&amp;P)'!N104="Buy to Let",1.00,
            LET(
                mat_check,'Loan Tape (S&amp;P)'!AV104,
                years_to_mat,'Loan Tape (S&amp;P)'!AU104/12,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4" s="21">
        <f>IF(AND('Loan Tape (S&amp;P)'!V104="Yes",'Loan Tape (S&amp;P)'!N104&lt;&gt;"Buy to Let"),
    'FF Adj Parameters'!$B$42,
    1.00)</f>
        <v/>
      </c>
      <c r="V104" s="21">
        <f>IF('Loan Tape (S&amp;P)'!AV104="Yes",
    'FF Adj Parameters'!$B$43,
    1.00)</f>
        <v/>
      </c>
      <c r="W104" s="23">
        <f>IF('Loan Tape (S&amp;P)'!AC104&gt;0,
    'FF Adj Parameters'!$B$44,
    1.00)</f>
        <v/>
      </c>
      <c r="X104" s="21">
        <f>LET(
    has_bankruptcy,'Loan Tape (S&amp;P)'!AE104="Yes",
    has_iva,'Loan Tape (S&amp;P)'!AF104="Yes",
    has_repo,'Loan Tape (S&amp;P)'!AI104="Yes",
    mult,IF(has_repo,'FF Adj Parameters'!$B$47,
            IF(has_bankruptcy,'FF Adj Parameters'!$B$4104,
                IF(has_iva,'FF Adj Parameters'!$B$46,
                    1.00))),
    MAX(mult,0.1040)
)</f>
        <v/>
      </c>
      <c r="Y104" s="21">
        <f>LET(
    has_perf_arr,'Loan Tape (S&amp;P)'!AP104="Yes",
    perf_arr_date,'Loan Tape (S&amp;P)'!AQ104,
    last_90_date,'Loan Tape (S&amp;P)'!AR104,
    threshold_years,VLOOKUP('Control Panel'!$B$6,'Jurisdiction Parameters'!$A:$Q,17,FALSE),
    relevant_date,MAX(perf_arr_date,last_90_date),
    years_since,('Control Panel'!$B$10-relevant_date)/36104.2104,
    IF(NOT(has_perf_arr),1.00,
        IF(years_since&gt;threshold_years,1.00,
            IF(years_since&lt;=1,INDEX('FF Adj Parameters'!$C$47:$C$1040,1),
                IF(years_since&lt;=2,INDEX('FF Adj Parameters'!$C$47:$C$1040,2),
                    IF(years_since&lt;=3,INDEX('FF Adj Parameters'!$C$47:$C$1040,3),
                        INDEX('FF Adj Parameters'!$C$47:$C$1040,4))))))
)</f>
        <v/>
      </c>
      <c r="Z104" s="24">
        <f>IFERROR(
        IF(L104&gt;=100,1.00,
            'Control Panel'!$B$18*F104*G104*MAX(H104,R104)*I104*J104*K104*L104*M104*N104*O104*P104*Q104*S104*T104*U104*V104*W104*X104*Y104
        ),
    0)</f>
        <v/>
      </c>
    </row>
  </sheetData>
  <mergeCells count="2">
    <mergeCell ref="A2:AZ2"/>
    <mergeCell ref="A1:AZ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LOSS SEVERITY CALCULATIONS - S&amp;P METHODOLOGY</t>
        </is>
      </c>
    </row>
    <row r="2">
      <c r="A2" s="11" t="inlineStr">
        <is>
          <t>WALS = [(1 - LTV × (1 - MVD - FSD)) + FC] × Adjustments (floored at 0%)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Property Value</t>
        </is>
      </c>
      <c r="D4" s="13" t="inlineStr">
        <is>
          <t>S&amp;P LTV %</t>
        </is>
      </c>
      <c r="E4" s="13" t="inlineStr">
        <is>
          <t>Base MVD %</t>
        </is>
      </c>
      <c r="F4" s="13" t="inlineStr">
        <is>
          <t>Property Type</t>
        </is>
      </c>
      <c r="G4" s="13" t="inlineStr">
        <is>
          <t>Prop Type Adj</t>
        </is>
      </c>
      <c r="H4" s="13" t="inlineStr">
        <is>
          <t>Region</t>
        </is>
      </c>
      <c r="I4" s="13" t="inlineStr">
        <is>
          <t>Regional Adj</t>
        </is>
      </c>
      <c r="J4" s="13" t="inlineStr">
        <is>
          <t>Adj MVD %</t>
        </is>
      </c>
      <c r="K4" s="13" t="inlineStr">
        <is>
          <t>FSD %</t>
        </is>
      </c>
      <c r="L4" s="13" t="inlineStr">
        <is>
          <t>Total Decline %</t>
        </is>
      </c>
      <c r="M4" s="13" t="inlineStr">
        <is>
          <t>Recovery %</t>
        </is>
      </c>
      <c r="N4" s="13" t="inlineStr">
        <is>
          <t>FC %</t>
        </is>
      </c>
      <c r="O4" s="13" t="inlineStr">
        <is>
          <t>Gross LS %</t>
        </is>
      </c>
      <c r="P4" s="13" t="inlineStr">
        <is>
          <t>Over/Under Val</t>
        </is>
      </c>
      <c r="Q4" s="13" t="inlineStr">
        <is>
          <t>Final LS %</t>
        </is>
      </c>
      <c r="R4" s="13" t="inlineStr">
        <is>
          <t>LS Amount £</t>
        </is>
      </c>
    </row>
    <row r="5">
      <c r="A5" s="17">
        <f>'Loan Tape (S&amp;P)'!A5</f>
        <v/>
      </c>
      <c r="B5" s="18">
        <f>'Loan Tape (S&amp;P)'!B5</f>
        <v/>
      </c>
      <c r="C5" s="18">
        <f>'Loan Tape (S&amp;P)'!D5</f>
        <v/>
      </c>
      <c r="D5" s="20">
        <f>'FF Calculations'!E5</f>
        <v/>
      </c>
      <c r="E5" s="20">
        <f>'Control Panel'!$B$19</f>
        <v/>
      </c>
      <c r="F5" s="17">
        <f>'Loan Tape (S&amp;P)'!I5</f>
        <v/>
      </c>
      <c r="G5" s="20">
        <f>IFERROR(VLOOKUP(F5,'LS Parameters'!$A$6:$B$10,2,FALSE),0.05)</f>
        <v/>
      </c>
      <c r="H5" s="17">
        <f>'Loan Tape (S&amp;P)'!J5</f>
        <v/>
      </c>
      <c r="I5" s="20">
        <f>IFERROR(VLOOKUP(H5,'LS Parameters'!$A$14:$B$25,2,FALSE),0)</f>
        <v/>
      </c>
      <c r="J5" s="20">
        <f>E5+G5+I5</f>
        <v/>
      </c>
      <c r="K5" s="20">
        <f>'Control Panel'!$B$20</f>
        <v/>
      </c>
      <c r="L5" s="20">
        <f>J5+K5</f>
        <v/>
      </c>
      <c r="M5" s="20">
        <f>1-(D5*L5)</f>
        <v/>
      </c>
      <c r="N5" s="20">
        <f>VLOOKUP('Control Panel'!$B$6,'Jurisdiction Parameters'!$A:$N,14,FALSE)</f>
        <v/>
      </c>
      <c r="O5" s="20">
        <f>IF(M5&gt;0,N5,1-M5+N5)</f>
        <v/>
      </c>
      <c r="P5" s="21">
        <f>LET(
    val_type,'Loan Tape (S&amp;P)'!AU5,
    IF(val_type="Full",1.00,
        IF(val_type="Desktop",1.05,
            IF(val_type="Drive-by",1.10,
                1.00)))
)</f>
        <v/>
      </c>
      <c r="Q5" s="32">
        <f>MAX(O5*P5,0)</f>
        <v/>
      </c>
      <c r="R5" s="43">
        <f>B5*Q5</f>
        <v/>
      </c>
    </row>
    <row r="6">
      <c r="A6" s="17">
        <f>'Loan Tape (S&amp;P)'!A6</f>
        <v/>
      </c>
      <c r="B6" s="18">
        <f>'Loan Tape (S&amp;P)'!B6</f>
        <v/>
      </c>
      <c r="C6" s="18">
        <f>'Loan Tape (S&amp;P)'!D6</f>
        <v/>
      </c>
      <c r="D6" s="20">
        <f>'FF Calculations'!E6</f>
        <v/>
      </c>
      <c r="E6" s="20">
        <f>'Control Panel'!$B$19</f>
        <v/>
      </c>
      <c r="F6" s="17">
        <f>'Loan Tape (S&amp;P)'!I6</f>
        <v/>
      </c>
      <c r="G6" s="20">
        <f>IFERROR(VLOOKUP(F6,'LS Parameters'!$A$6:$B$10,2,FALSE),0.05)</f>
        <v/>
      </c>
      <c r="H6" s="17">
        <f>'Loan Tape (S&amp;P)'!J6</f>
        <v/>
      </c>
      <c r="I6" s="20">
        <f>IFERROR(VLOOKUP(H6,'LS Parameters'!$A$14:$B$25,2,FALSE),0)</f>
        <v/>
      </c>
      <c r="J6" s="20">
        <f>E6+G6+I6</f>
        <v/>
      </c>
      <c r="K6" s="20">
        <f>'Control Panel'!$B$20</f>
        <v/>
      </c>
      <c r="L6" s="20">
        <f>J6+K6</f>
        <v/>
      </c>
      <c r="M6" s="20">
        <f>1-(D6*L6)</f>
        <v/>
      </c>
      <c r="N6" s="20">
        <f>VLOOKUP('Control Panel'!$B$6,'Jurisdiction Parameters'!$A:$N,14,FALSE)</f>
        <v/>
      </c>
      <c r="O6" s="20">
        <f>IF(M6&gt;0,N6,1-M6+N6)</f>
        <v/>
      </c>
      <c r="P6" s="21">
        <f>LET(
    val_type,'Loan Tape (S&amp;P)'!AU6,
    IF(val_type="Full",1.00,
        IF(val_type="Desktop",1.06,
            IF(val_type="Drive-by",1.10,
                1.00)))
)</f>
        <v/>
      </c>
      <c r="Q6" s="32">
        <f>MAX(O6*P6,0)</f>
        <v/>
      </c>
      <c r="R6" s="43">
        <f>B6*Q6</f>
        <v/>
      </c>
    </row>
    <row r="7">
      <c r="A7" s="17">
        <f>'Loan Tape (S&amp;P)'!A7</f>
        <v/>
      </c>
      <c r="B7" s="18">
        <f>'Loan Tape (S&amp;P)'!B7</f>
        <v/>
      </c>
      <c r="C7" s="18">
        <f>'Loan Tape (S&amp;P)'!D7</f>
        <v/>
      </c>
      <c r="D7" s="20">
        <f>'FF Calculations'!E7</f>
        <v/>
      </c>
      <c r="E7" s="20">
        <f>'Control Panel'!$B$19</f>
        <v/>
      </c>
      <c r="F7" s="17">
        <f>'Loan Tape (S&amp;P)'!I7</f>
        <v/>
      </c>
      <c r="G7" s="20">
        <f>IFERROR(VLOOKUP(F7,'LS Parameters'!$A$6:$B$10,2,FALSE),0.05)</f>
        <v/>
      </c>
      <c r="H7" s="17">
        <f>'Loan Tape (S&amp;P)'!J7</f>
        <v/>
      </c>
      <c r="I7" s="20">
        <f>IFERROR(VLOOKUP(H7,'LS Parameters'!$A$14:$B$25,2,FALSE),0)</f>
        <v/>
      </c>
      <c r="J7" s="20">
        <f>E7+G7+I7</f>
        <v/>
      </c>
      <c r="K7" s="20">
        <f>'Control Panel'!$B$20</f>
        <v/>
      </c>
      <c r="L7" s="20">
        <f>J7+K7</f>
        <v/>
      </c>
      <c r="M7" s="20">
        <f>1-(D7*L7)</f>
        <v/>
      </c>
      <c r="N7" s="20">
        <f>VLOOKUP('Control Panel'!$B$6,'Jurisdiction Parameters'!$A:$N,14,FALSE)</f>
        <v/>
      </c>
      <c r="O7" s="20">
        <f>IF(M7&gt;0,N7,1-M7+N7)</f>
        <v/>
      </c>
      <c r="P7" s="21">
        <f>LET(
    val_type,'Loan Tape (S&amp;P)'!AU7,
    IF(val_type="Full",1.00,
        IF(val_type="Desktop",1.07,
            IF(val_type="Drive-by",1.10,
                1.00)))
)</f>
        <v/>
      </c>
      <c r="Q7" s="32">
        <f>MAX(O7*P7,0)</f>
        <v/>
      </c>
      <c r="R7" s="43">
        <f>B7*Q7</f>
        <v/>
      </c>
    </row>
    <row r="8">
      <c r="A8" s="17">
        <f>'Loan Tape (S&amp;P)'!A8</f>
        <v/>
      </c>
      <c r="B8" s="18">
        <f>'Loan Tape (S&amp;P)'!B8</f>
        <v/>
      </c>
      <c r="C8" s="18">
        <f>'Loan Tape (S&amp;P)'!D8</f>
        <v/>
      </c>
      <c r="D8" s="20">
        <f>'FF Calculations'!E8</f>
        <v/>
      </c>
      <c r="E8" s="20">
        <f>'Control Panel'!$B$19</f>
        <v/>
      </c>
      <c r="F8" s="17">
        <f>'Loan Tape (S&amp;P)'!I8</f>
        <v/>
      </c>
      <c r="G8" s="20">
        <f>IFERROR(VLOOKUP(F8,'LS Parameters'!$A$6:$B$10,2,FALSE),0.05)</f>
        <v/>
      </c>
      <c r="H8" s="17">
        <f>'Loan Tape (S&amp;P)'!J8</f>
        <v/>
      </c>
      <c r="I8" s="20">
        <f>IFERROR(VLOOKUP(H8,'LS Parameters'!$A$14:$B$25,2,FALSE),0)</f>
        <v/>
      </c>
      <c r="J8" s="20">
        <f>E8+G8+I8</f>
        <v/>
      </c>
      <c r="K8" s="20">
        <f>'Control Panel'!$B$20</f>
        <v/>
      </c>
      <c r="L8" s="20">
        <f>J8+K8</f>
        <v/>
      </c>
      <c r="M8" s="20">
        <f>1-(D8*L8)</f>
        <v/>
      </c>
      <c r="N8" s="20">
        <f>VLOOKUP('Control Panel'!$B$6,'Jurisdiction Parameters'!$A:$N,14,FALSE)</f>
        <v/>
      </c>
      <c r="O8" s="20">
        <f>IF(M8&gt;0,N8,1-M8+N8)</f>
        <v/>
      </c>
      <c r="P8" s="21">
        <f>LET(
    val_type,'Loan Tape (S&amp;P)'!AU8,
    IF(val_type="Full",1.00,
        IF(val_type="Desktop",1.08,
            IF(val_type="Drive-by",1.10,
                1.00)))
)</f>
        <v/>
      </c>
      <c r="Q8" s="32">
        <f>MAX(O8*P8,0)</f>
        <v/>
      </c>
      <c r="R8" s="43">
        <f>B8*Q8</f>
        <v/>
      </c>
    </row>
    <row r="9">
      <c r="A9" s="17">
        <f>'Loan Tape (S&amp;P)'!A9</f>
        <v/>
      </c>
      <c r="B9" s="18">
        <f>'Loan Tape (S&amp;P)'!B9</f>
        <v/>
      </c>
      <c r="C9" s="18">
        <f>'Loan Tape (S&amp;P)'!D9</f>
        <v/>
      </c>
      <c r="D9" s="20">
        <f>'FF Calculations'!E9</f>
        <v/>
      </c>
      <c r="E9" s="20">
        <f>'Control Panel'!$B$19</f>
        <v/>
      </c>
      <c r="F9" s="17">
        <f>'Loan Tape (S&amp;P)'!I9</f>
        <v/>
      </c>
      <c r="G9" s="20">
        <f>IFERROR(VLOOKUP(F9,'LS Parameters'!$A$6:$B$10,2,FALSE),0.05)</f>
        <v/>
      </c>
      <c r="H9" s="17">
        <f>'Loan Tape (S&amp;P)'!J9</f>
        <v/>
      </c>
      <c r="I9" s="20">
        <f>IFERROR(VLOOKUP(H9,'LS Parameters'!$A$14:$B$25,2,FALSE),0)</f>
        <v/>
      </c>
      <c r="J9" s="20">
        <f>E9+G9+I9</f>
        <v/>
      </c>
      <c r="K9" s="20">
        <f>'Control Panel'!$B$20</f>
        <v/>
      </c>
      <c r="L9" s="20">
        <f>J9+K9</f>
        <v/>
      </c>
      <c r="M9" s="20">
        <f>1-(D9*L9)</f>
        <v/>
      </c>
      <c r="N9" s="20">
        <f>VLOOKUP('Control Panel'!$B$6,'Jurisdiction Parameters'!$A:$N,14,FALSE)</f>
        <v/>
      </c>
      <c r="O9" s="20">
        <f>IF(M9&gt;0,N9,1-M9+N9)</f>
        <v/>
      </c>
      <c r="P9" s="21">
        <f>LET(
    val_type,'Loan Tape (S&amp;P)'!AU9,
    IF(val_type="Full",1.00,
        IF(val_type="Desktop",1.09,
            IF(val_type="Drive-by",1.10,
                1.00)))
)</f>
        <v/>
      </c>
      <c r="Q9" s="32">
        <f>MAX(O9*P9,0)</f>
        <v/>
      </c>
      <c r="R9" s="43">
        <f>B9*Q9</f>
        <v/>
      </c>
    </row>
    <row r="10">
      <c r="A10" s="17">
        <f>'Loan Tape (S&amp;P)'!A10</f>
        <v/>
      </c>
      <c r="B10" s="18">
        <f>'Loan Tape (S&amp;P)'!B10</f>
        <v/>
      </c>
      <c r="C10" s="18">
        <f>'Loan Tape (S&amp;P)'!D10</f>
        <v/>
      </c>
      <c r="D10" s="20">
        <f>'FF Calculations'!E10</f>
        <v/>
      </c>
      <c r="E10" s="20">
        <f>'Control Panel'!$B$19</f>
        <v/>
      </c>
      <c r="F10" s="17">
        <f>'Loan Tape (S&amp;P)'!I10</f>
        <v/>
      </c>
      <c r="G10" s="20">
        <f>IFERROR(VLOOKUP(F10,'LS Parameters'!$A$6:$B$10,2,FALSE),0.05)</f>
        <v/>
      </c>
      <c r="H10" s="17">
        <f>'Loan Tape (S&amp;P)'!J10</f>
        <v/>
      </c>
      <c r="I10" s="20">
        <f>IFERROR(VLOOKUP(H10,'LS Parameters'!$A$14:$B$25,2,FALSE),0)</f>
        <v/>
      </c>
      <c r="J10" s="20">
        <f>E10+G10+I10</f>
        <v/>
      </c>
      <c r="K10" s="20">
        <f>'Control Panel'!$B$20</f>
        <v/>
      </c>
      <c r="L10" s="20">
        <f>J10+K10</f>
        <v/>
      </c>
      <c r="M10" s="20">
        <f>1-(D10*L10)</f>
        <v/>
      </c>
      <c r="N10" s="20">
        <f>VLOOKUP('Control Panel'!$B$6,'Jurisdiction Parameters'!$A:$N,14,FALSE)</f>
        <v/>
      </c>
      <c r="O10" s="20">
        <f>IF(M10&gt;0,N10,1-M10+N10)</f>
        <v/>
      </c>
      <c r="P10" s="21">
        <f>LET(
    val_type,'Loan Tape (S&amp;P)'!AU10,
    IF(val_type="Full",1.00,
        IF(val_type="Desktop",1.010,
            IF(val_type="Drive-by",1.10,
                1.00)))
)</f>
        <v/>
      </c>
      <c r="Q10" s="32">
        <f>MAX(O10*P10,0)</f>
        <v/>
      </c>
      <c r="R10" s="43">
        <f>B10*Q10</f>
        <v/>
      </c>
    </row>
    <row r="11">
      <c r="A11" s="17">
        <f>'Loan Tape (S&amp;P)'!A11</f>
        <v/>
      </c>
      <c r="B11" s="18">
        <f>'Loan Tape (S&amp;P)'!B11</f>
        <v/>
      </c>
      <c r="C11" s="18">
        <f>'Loan Tape (S&amp;P)'!D11</f>
        <v/>
      </c>
      <c r="D11" s="20">
        <f>'FF Calculations'!E11</f>
        <v/>
      </c>
      <c r="E11" s="20">
        <f>'Control Panel'!$B$19</f>
        <v/>
      </c>
      <c r="F11" s="17">
        <f>'Loan Tape (S&amp;P)'!I11</f>
        <v/>
      </c>
      <c r="G11" s="20">
        <f>IFERROR(VLOOKUP(F11,'LS Parameters'!$A$6:$B$10,2,FALSE),0.05)</f>
        <v/>
      </c>
      <c r="H11" s="17">
        <f>'Loan Tape (S&amp;P)'!J11</f>
        <v/>
      </c>
      <c r="I11" s="20">
        <f>IFERROR(VLOOKUP(H11,'LS Parameters'!$A$14:$B$25,2,FALSE),0)</f>
        <v/>
      </c>
      <c r="J11" s="20">
        <f>E11+G11+I11</f>
        <v/>
      </c>
      <c r="K11" s="20">
        <f>'Control Panel'!$B$20</f>
        <v/>
      </c>
      <c r="L11" s="20">
        <f>J11+K11</f>
        <v/>
      </c>
      <c r="M11" s="20">
        <f>1-(D11*L11)</f>
        <v/>
      </c>
      <c r="N11" s="20">
        <f>VLOOKUP('Control Panel'!$B$6,'Jurisdiction Parameters'!$A:$N,14,FALSE)</f>
        <v/>
      </c>
      <c r="O11" s="20">
        <f>IF(M11&gt;0,N11,1-M11+N11)</f>
        <v/>
      </c>
      <c r="P11" s="21">
        <f>LET(
    val_type,'Loan Tape (S&amp;P)'!AU11,
    IF(val_type="Full",1.00,
        IF(val_type="Desktop",1.011,
            IF(val_type="Drive-by",1.10,
                1.00)))
)</f>
        <v/>
      </c>
      <c r="Q11" s="32">
        <f>MAX(O11*P11,0)</f>
        <v/>
      </c>
      <c r="R11" s="43">
        <f>B11*Q11</f>
        <v/>
      </c>
    </row>
    <row r="12">
      <c r="A12" s="17">
        <f>'Loan Tape (S&amp;P)'!A12</f>
        <v/>
      </c>
      <c r="B12" s="18">
        <f>'Loan Tape (S&amp;P)'!B12</f>
        <v/>
      </c>
      <c r="C12" s="18">
        <f>'Loan Tape (S&amp;P)'!D12</f>
        <v/>
      </c>
      <c r="D12" s="20">
        <f>'FF Calculations'!E12</f>
        <v/>
      </c>
      <c r="E12" s="20">
        <f>'Control Panel'!$B$19</f>
        <v/>
      </c>
      <c r="F12" s="17">
        <f>'Loan Tape (S&amp;P)'!I12</f>
        <v/>
      </c>
      <c r="G12" s="20">
        <f>IFERROR(VLOOKUP(F12,'LS Parameters'!$A$6:$B$10,2,FALSE),0.05)</f>
        <v/>
      </c>
      <c r="H12" s="17">
        <f>'Loan Tape (S&amp;P)'!J12</f>
        <v/>
      </c>
      <c r="I12" s="20">
        <f>IFERROR(VLOOKUP(H12,'LS Parameters'!$A$14:$B$25,2,FALSE),0)</f>
        <v/>
      </c>
      <c r="J12" s="20">
        <f>E12+G12+I12</f>
        <v/>
      </c>
      <c r="K12" s="20">
        <f>'Control Panel'!$B$20</f>
        <v/>
      </c>
      <c r="L12" s="20">
        <f>J12+K12</f>
        <v/>
      </c>
      <c r="M12" s="20">
        <f>1-(D12*L12)</f>
        <v/>
      </c>
      <c r="N12" s="20">
        <f>VLOOKUP('Control Panel'!$B$6,'Jurisdiction Parameters'!$A:$N,14,FALSE)</f>
        <v/>
      </c>
      <c r="O12" s="20">
        <f>IF(M12&gt;0,N12,1-M12+N12)</f>
        <v/>
      </c>
      <c r="P12" s="21">
        <f>LET(
    val_type,'Loan Tape (S&amp;P)'!AU12,
    IF(val_type="Full",1.00,
        IF(val_type="Desktop",1.012,
            IF(val_type="Drive-by",1.10,
                1.00)))
)</f>
        <v/>
      </c>
      <c r="Q12" s="32">
        <f>MAX(O12*P12,0)</f>
        <v/>
      </c>
      <c r="R12" s="43">
        <f>B12*Q12</f>
        <v/>
      </c>
    </row>
    <row r="13">
      <c r="A13" s="17">
        <f>'Loan Tape (S&amp;P)'!A13</f>
        <v/>
      </c>
      <c r="B13" s="18">
        <f>'Loan Tape (S&amp;P)'!B13</f>
        <v/>
      </c>
      <c r="C13" s="18">
        <f>'Loan Tape (S&amp;P)'!D13</f>
        <v/>
      </c>
      <c r="D13" s="20">
        <f>'FF Calculations'!E13</f>
        <v/>
      </c>
      <c r="E13" s="20">
        <f>'Control Panel'!$B$19</f>
        <v/>
      </c>
      <c r="F13" s="17">
        <f>'Loan Tape (S&amp;P)'!I13</f>
        <v/>
      </c>
      <c r="G13" s="20">
        <f>IFERROR(VLOOKUP(F13,'LS Parameters'!$A$6:$B$10,2,FALSE),0.05)</f>
        <v/>
      </c>
      <c r="H13" s="17">
        <f>'Loan Tape (S&amp;P)'!J13</f>
        <v/>
      </c>
      <c r="I13" s="20">
        <f>IFERROR(VLOOKUP(H13,'LS Parameters'!$A$14:$B$25,2,FALSE),0)</f>
        <v/>
      </c>
      <c r="J13" s="20">
        <f>E13+G13+I13</f>
        <v/>
      </c>
      <c r="K13" s="20">
        <f>'Control Panel'!$B$20</f>
        <v/>
      </c>
      <c r="L13" s="20">
        <f>J13+K13</f>
        <v/>
      </c>
      <c r="M13" s="20">
        <f>1-(D13*L13)</f>
        <v/>
      </c>
      <c r="N13" s="20">
        <f>VLOOKUP('Control Panel'!$B$6,'Jurisdiction Parameters'!$A:$N,14,FALSE)</f>
        <v/>
      </c>
      <c r="O13" s="20">
        <f>IF(M13&gt;0,N13,1-M13+N13)</f>
        <v/>
      </c>
      <c r="P13" s="21">
        <f>LET(
    val_type,'Loan Tape (S&amp;P)'!AU13,
    IF(val_type="Full",1.00,
        IF(val_type="Desktop",1.013,
            IF(val_type="Drive-by",1.10,
                1.00)))
)</f>
        <v/>
      </c>
      <c r="Q13" s="32">
        <f>MAX(O13*P13,0)</f>
        <v/>
      </c>
      <c r="R13" s="43">
        <f>B13*Q13</f>
        <v/>
      </c>
    </row>
    <row r="14">
      <c r="A14" s="17">
        <f>'Loan Tape (S&amp;P)'!A14</f>
        <v/>
      </c>
      <c r="B14" s="18">
        <f>'Loan Tape (S&amp;P)'!B14</f>
        <v/>
      </c>
      <c r="C14" s="18">
        <f>'Loan Tape (S&amp;P)'!D14</f>
        <v/>
      </c>
      <c r="D14" s="20">
        <f>'FF Calculations'!E14</f>
        <v/>
      </c>
      <c r="E14" s="20">
        <f>'Control Panel'!$B$19</f>
        <v/>
      </c>
      <c r="F14" s="17">
        <f>'Loan Tape (S&amp;P)'!I14</f>
        <v/>
      </c>
      <c r="G14" s="20">
        <f>IFERROR(VLOOKUP(F14,'LS Parameters'!$A$6:$B$10,2,FALSE),0.05)</f>
        <v/>
      </c>
      <c r="H14" s="17">
        <f>'Loan Tape (S&amp;P)'!J14</f>
        <v/>
      </c>
      <c r="I14" s="20">
        <f>IFERROR(VLOOKUP(H14,'LS Parameters'!$A$14:$B$25,2,FALSE),0)</f>
        <v/>
      </c>
      <c r="J14" s="20">
        <f>E14+G14+I14</f>
        <v/>
      </c>
      <c r="K14" s="20">
        <f>'Control Panel'!$B$20</f>
        <v/>
      </c>
      <c r="L14" s="20">
        <f>J14+K14</f>
        <v/>
      </c>
      <c r="M14" s="20">
        <f>1-(D14*L14)</f>
        <v/>
      </c>
      <c r="N14" s="20">
        <f>VLOOKUP('Control Panel'!$B$6,'Jurisdiction Parameters'!$A:$N,14,FALSE)</f>
        <v/>
      </c>
      <c r="O14" s="20">
        <f>IF(M14&gt;0,N14,1-M14+N14)</f>
        <v/>
      </c>
      <c r="P14" s="21">
        <f>LET(
    val_type,'Loan Tape (S&amp;P)'!AU14,
    IF(val_type="Full",1.00,
        IF(val_type="Desktop",1.014,
            IF(val_type="Drive-by",1.10,
                1.00)))
)</f>
        <v/>
      </c>
      <c r="Q14" s="32">
        <f>MAX(O14*P14,0)</f>
        <v/>
      </c>
      <c r="R14" s="43">
        <f>B14*Q14</f>
        <v/>
      </c>
    </row>
    <row r="15">
      <c r="A15" s="17">
        <f>'Loan Tape (S&amp;P)'!A15</f>
        <v/>
      </c>
      <c r="B15" s="18">
        <f>'Loan Tape (S&amp;P)'!B15</f>
        <v/>
      </c>
      <c r="C15" s="18">
        <f>'Loan Tape (S&amp;P)'!D15</f>
        <v/>
      </c>
      <c r="D15" s="20">
        <f>'FF Calculations'!E15</f>
        <v/>
      </c>
      <c r="E15" s="20">
        <f>'Control Panel'!$B$19</f>
        <v/>
      </c>
      <c r="F15" s="17">
        <f>'Loan Tape (S&amp;P)'!I15</f>
        <v/>
      </c>
      <c r="G15" s="20">
        <f>IFERROR(VLOOKUP(F15,'LS Parameters'!$A$6:$B$10,2,FALSE),0.05)</f>
        <v/>
      </c>
      <c r="H15" s="17">
        <f>'Loan Tape (S&amp;P)'!J15</f>
        <v/>
      </c>
      <c r="I15" s="20">
        <f>IFERROR(VLOOKUP(H15,'LS Parameters'!$A$14:$B$25,2,FALSE),0)</f>
        <v/>
      </c>
      <c r="J15" s="20">
        <f>E15+G15+I15</f>
        <v/>
      </c>
      <c r="K15" s="20">
        <f>'Control Panel'!$B$20</f>
        <v/>
      </c>
      <c r="L15" s="20">
        <f>J15+K15</f>
        <v/>
      </c>
      <c r="M15" s="20">
        <f>1-(D15*L15)</f>
        <v/>
      </c>
      <c r="N15" s="20">
        <f>VLOOKUP('Control Panel'!$B$6,'Jurisdiction Parameters'!$A:$N,14,FALSE)</f>
        <v/>
      </c>
      <c r="O15" s="20">
        <f>IF(M15&gt;0,N15,1-M15+N15)</f>
        <v/>
      </c>
      <c r="P15" s="21">
        <f>LET(
    val_type,'Loan Tape (S&amp;P)'!AU15,
    IF(val_type="Full",1.00,
        IF(val_type="Desktop",1.015,
            IF(val_type="Drive-by",1.10,
                1.00)))
)</f>
        <v/>
      </c>
      <c r="Q15" s="32">
        <f>MAX(O15*P15,0)</f>
        <v/>
      </c>
      <c r="R15" s="43">
        <f>B15*Q15</f>
        <v/>
      </c>
    </row>
    <row r="16">
      <c r="A16" s="17">
        <f>'Loan Tape (S&amp;P)'!A16</f>
        <v/>
      </c>
      <c r="B16" s="18">
        <f>'Loan Tape (S&amp;P)'!B16</f>
        <v/>
      </c>
      <c r="C16" s="18">
        <f>'Loan Tape (S&amp;P)'!D16</f>
        <v/>
      </c>
      <c r="D16" s="20">
        <f>'FF Calculations'!E16</f>
        <v/>
      </c>
      <c r="E16" s="20">
        <f>'Control Panel'!$B$19</f>
        <v/>
      </c>
      <c r="F16" s="17">
        <f>'Loan Tape (S&amp;P)'!I16</f>
        <v/>
      </c>
      <c r="G16" s="20">
        <f>IFERROR(VLOOKUP(F16,'LS Parameters'!$A$6:$B$10,2,FALSE),0.05)</f>
        <v/>
      </c>
      <c r="H16" s="17">
        <f>'Loan Tape (S&amp;P)'!J16</f>
        <v/>
      </c>
      <c r="I16" s="20">
        <f>IFERROR(VLOOKUP(H16,'LS Parameters'!$A$14:$B$25,2,FALSE),0)</f>
        <v/>
      </c>
      <c r="J16" s="20">
        <f>E16+G16+I16</f>
        <v/>
      </c>
      <c r="K16" s="20">
        <f>'Control Panel'!$B$20</f>
        <v/>
      </c>
      <c r="L16" s="20">
        <f>J16+K16</f>
        <v/>
      </c>
      <c r="M16" s="20">
        <f>1-(D16*L16)</f>
        <v/>
      </c>
      <c r="N16" s="20">
        <f>VLOOKUP('Control Panel'!$B$6,'Jurisdiction Parameters'!$A:$N,14,FALSE)</f>
        <v/>
      </c>
      <c r="O16" s="20">
        <f>IF(M16&gt;0,N16,1-M16+N16)</f>
        <v/>
      </c>
      <c r="P16" s="21">
        <f>LET(
    val_type,'Loan Tape (S&amp;P)'!AU16,
    IF(val_type="Full",1.00,
        IF(val_type="Desktop",1.016,
            IF(val_type="Drive-by",1.10,
                1.00)))
)</f>
        <v/>
      </c>
      <c r="Q16" s="32">
        <f>MAX(O16*P16,0)</f>
        <v/>
      </c>
      <c r="R16" s="43">
        <f>B16*Q16</f>
        <v/>
      </c>
    </row>
    <row r="17">
      <c r="A17" s="17">
        <f>'Loan Tape (S&amp;P)'!A17</f>
        <v/>
      </c>
      <c r="B17" s="18">
        <f>'Loan Tape (S&amp;P)'!B17</f>
        <v/>
      </c>
      <c r="C17" s="18">
        <f>'Loan Tape (S&amp;P)'!D17</f>
        <v/>
      </c>
      <c r="D17" s="20">
        <f>'FF Calculations'!E17</f>
        <v/>
      </c>
      <c r="E17" s="20">
        <f>'Control Panel'!$B$19</f>
        <v/>
      </c>
      <c r="F17" s="17">
        <f>'Loan Tape (S&amp;P)'!I17</f>
        <v/>
      </c>
      <c r="G17" s="20">
        <f>IFERROR(VLOOKUP(F17,'LS Parameters'!$A$6:$B$10,2,FALSE),0.05)</f>
        <v/>
      </c>
      <c r="H17" s="17">
        <f>'Loan Tape (S&amp;P)'!J17</f>
        <v/>
      </c>
      <c r="I17" s="20">
        <f>IFERROR(VLOOKUP(H17,'LS Parameters'!$A$14:$B$25,2,FALSE),0)</f>
        <v/>
      </c>
      <c r="J17" s="20">
        <f>E17+G17+I17</f>
        <v/>
      </c>
      <c r="K17" s="20">
        <f>'Control Panel'!$B$20</f>
        <v/>
      </c>
      <c r="L17" s="20">
        <f>J17+K17</f>
        <v/>
      </c>
      <c r="M17" s="20">
        <f>1-(D17*L17)</f>
        <v/>
      </c>
      <c r="N17" s="20">
        <f>VLOOKUP('Control Panel'!$B$6,'Jurisdiction Parameters'!$A:$N,14,FALSE)</f>
        <v/>
      </c>
      <c r="O17" s="20">
        <f>IF(M17&gt;0,N17,1-M17+N17)</f>
        <v/>
      </c>
      <c r="P17" s="21">
        <f>LET(
    val_type,'Loan Tape (S&amp;P)'!AU17,
    IF(val_type="Full",1.00,
        IF(val_type="Desktop",1.017,
            IF(val_type="Drive-by",1.10,
                1.00)))
)</f>
        <v/>
      </c>
      <c r="Q17" s="32">
        <f>MAX(O17*P17,0)</f>
        <v/>
      </c>
      <c r="R17" s="43">
        <f>B17*Q17</f>
        <v/>
      </c>
    </row>
    <row r="18">
      <c r="A18" s="17">
        <f>'Loan Tape (S&amp;P)'!A18</f>
        <v/>
      </c>
      <c r="B18" s="18">
        <f>'Loan Tape (S&amp;P)'!B18</f>
        <v/>
      </c>
      <c r="C18" s="18">
        <f>'Loan Tape (S&amp;P)'!D18</f>
        <v/>
      </c>
      <c r="D18" s="20">
        <f>'FF Calculations'!E18</f>
        <v/>
      </c>
      <c r="E18" s="20">
        <f>'Control Panel'!$B$19</f>
        <v/>
      </c>
      <c r="F18" s="17">
        <f>'Loan Tape (S&amp;P)'!I18</f>
        <v/>
      </c>
      <c r="G18" s="20">
        <f>IFERROR(VLOOKUP(F18,'LS Parameters'!$A$6:$B$10,2,FALSE),0.05)</f>
        <v/>
      </c>
      <c r="H18" s="17">
        <f>'Loan Tape (S&amp;P)'!J18</f>
        <v/>
      </c>
      <c r="I18" s="20">
        <f>IFERROR(VLOOKUP(H18,'LS Parameters'!$A$14:$B$25,2,FALSE),0)</f>
        <v/>
      </c>
      <c r="J18" s="20">
        <f>E18+G18+I18</f>
        <v/>
      </c>
      <c r="K18" s="20">
        <f>'Control Panel'!$B$20</f>
        <v/>
      </c>
      <c r="L18" s="20">
        <f>J18+K18</f>
        <v/>
      </c>
      <c r="M18" s="20">
        <f>1-(D18*L18)</f>
        <v/>
      </c>
      <c r="N18" s="20">
        <f>VLOOKUP('Control Panel'!$B$6,'Jurisdiction Parameters'!$A:$N,14,FALSE)</f>
        <v/>
      </c>
      <c r="O18" s="20">
        <f>IF(M18&gt;0,N18,1-M18+N18)</f>
        <v/>
      </c>
      <c r="P18" s="21">
        <f>LET(
    val_type,'Loan Tape (S&amp;P)'!AU18,
    IF(val_type="Full",1.00,
        IF(val_type="Desktop",1.018,
            IF(val_type="Drive-by",1.10,
                1.00)))
)</f>
        <v/>
      </c>
      <c r="Q18" s="32">
        <f>MAX(O18*P18,0)</f>
        <v/>
      </c>
      <c r="R18" s="43">
        <f>B18*Q18</f>
        <v/>
      </c>
    </row>
    <row r="19">
      <c r="A19" s="17">
        <f>'Loan Tape (S&amp;P)'!A19</f>
        <v/>
      </c>
      <c r="B19" s="18">
        <f>'Loan Tape (S&amp;P)'!B19</f>
        <v/>
      </c>
      <c r="C19" s="18">
        <f>'Loan Tape (S&amp;P)'!D19</f>
        <v/>
      </c>
      <c r="D19" s="20">
        <f>'FF Calculations'!E19</f>
        <v/>
      </c>
      <c r="E19" s="20">
        <f>'Control Panel'!$B$19</f>
        <v/>
      </c>
      <c r="F19" s="17">
        <f>'Loan Tape (S&amp;P)'!I19</f>
        <v/>
      </c>
      <c r="G19" s="20">
        <f>IFERROR(VLOOKUP(F19,'LS Parameters'!$A$6:$B$10,2,FALSE),0.05)</f>
        <v/>
      </c>
      <c r="H19" s="17">
        <f>'Loan Tape (S&amp;P)'!J19</f>
        <v/>
      </c>
      <c r="I19" s="20">
        <f>IFERROR(VLOOKUP(H19,'LS Parameters'!$A$14:$B$25,2,FALSE),0)</f>
        <v/>
      </c>
      <c r="J19" s="20">
        <f>E19+G19+I19</f>
        <v/>
      </c>
      <c r="K19" s="20">
        <f>'Control Panel'!$B$20</f>
        <v/>
      </c>
      <c r="L19" s="20">
        <f>J19+K19</f>
        <v/>
      </c>
      <c r="M19" s="20">
        <f>1-(D19*L19)</f>
        <v/>
      </c>
      <c r="N19" s="20">
        <f>VLOOKUP('Control Panel'!$B$6,'Jurisdiction Parameters'!$A:$N,14,FALSE)</f>
        <v/>
      </c>
      <c r="O19" s="20">
        <f>IF(M19&gt;0,N19,1-M19+N19)</f>
        <v/>
      </c>
      <c r="P19" s="21">
        <f>LET(
    val_type,'Loan Tape (S&amp;P)'!AU19,
    IF(val_type="Full",1.00,
        IF(val_type="Desktop",1.019,
            IF(val_type="Drive-by",1.10,
                1.00)))
)</f>
        <v/>
      </c>
      <c r="Q19" s="32">
        <f>MAX(O19*P19,0)</f>
        <v/>
      </c>
      <c r="R19" s="43">
        <f>B19*Q19</f>
        <v/>
      </c>
    </row>
    <row r="20">
      <c r="A20" s="17">
        <f>'Loan Tape (S&amp;P)'!A20</f>
        <v/>
      </c>
      <c r="B20" s="18">
        <f>'Loan Tape (S&amp;P)'!B20</f>
        <v/>
      </c>
      <c r="C20" s="18">
        <f>'Loan Tape (S&amp;P)'!D20</f>
        <v/>
      </c>
      <c r="D20" s="20">
        <f>'FF Calculations'!E20</f>
        <v/>
      </c>
      <c r="E20" s="20">
        <f>'Control Panel'!$B$19</f>
        <v/>
      </c>
      <c r="F20" s="17">
        <f>'Loan Tape (S&amp;P)'!I20</f>
        <v/>
      </c>
      <c r="G20" s="20">
        <f>IFERROR(VLOOKUP(F20,'LS Parameters'!$A$6:$B$10,2,FALSE),0.05)</f>
        <v/>
      </c>
      <c r="H20" s="17">
        <f>'Loan Tape (S&amp;P)'!J20</f>
        <v/>
      </c>
      <c r="I20" s="20">
        <f>IFERROR(VLOOKUP(H20,'LS Parameters'!$A$14:$B$25,2,FALSE),0)</f>
        <v/>
      </c>
      <c r="J20" s="20">
        <f>E20+G20+I20</f>
        <v/>
      </c>
      <c r="K20" s="20">
        <f>'Control Panel'!$B$20</f>
        <v/>
      </c>
      <c r="L20" s="20">
        <f>J20+K20</f>
        <v/>
      </c>
      <c r="M20" s="20">
        <f>1-(D20*L20)</f>
        <v/>
      </c>
      <c r="N20" s="20">
        <f>VLOOKUP('Control Panel'!$B$6,'Jurisdiction Parameters'!$A:$N,14,FALSE)</f>
        <v/>
      </c>
      <c r="O20" s="20">
        <f>IF(M20&gt;0,N20,1-M20+N20)</f>
        <v/>
      </c>
      <c r="P20" s="21">
        <f>LET(
    val_type,'Loan Tape (S&amp;P)'!AU20,
    IF(val_type="Full",1.00,
        IF(val_type="Desktop",1.020,
            IF(val_type="Drive-by",1.10,
                1.00)))
)</f>
        <v/>
      </c>
      <c r="Q20" s="32">
        <f>MAX(O20*P20,0)</f>
        <v/>
      </c>
      <c r="R20" s="43">
        <f>B20*Q20</f>
        <v/>
      </c>
    </row>
    <row r="21">
      <c r="A21" s="17">
        <f>'Loan Tape (S&amp;P)'!A21</f>
        <v/>
      </c>
      <c r="B21" s="18">
        <f>'Loan Tape (S&amp;P)'!B21</f>
        <v/>
      </c>
      <c r="C21" s="18">
        <f>'Loan Tape (S&amp;P)'!D21</f>
        <v/>
      </c>
      <c r="D21" s="20">
        <f>'FF Calculations'!E21</f>
        <v/>
      </c>
      <c r="E21" s="20">
        <f>'Control Panel'!$B$19</f>
        <v/>
      </c>
      <c r="F21" s="17">
        <f>'Loan Tape (S&amp;P)'!I21</f>
        <v/>
      </c>
      <c r="G21" s="20">
        <f>IFERROR(VLOOKUP(F21,'LS Parameters'!$A$6:$B$10,2,FALSE),0.05)</f>
        <v/>
      </c>
      <c r="H21" s="17">
        <f>'Loan Tape (S&amp;P)'!J21</f>
        <v/>
      </c>
      <c r="I21" s="20">
        <f>IFERROR(VLOOKUP(H21,'LS Parameters'!$A$14:$B$25,2,FALSE),0)</f>
        <v/>
      </c>
      <c r="J21" s="20">
        <f>E21+G21+I21</f>
        <v/>
      </c>
      <c r="K21" s="20">
        <f>'Control Panel'!$B$20</f>
        <v/>
      </c>
      <c r="L21" s="20">
        <f>J21+K21</f>
        <v/>
      </c>
      <c r="M21" s="20">
        <f>1-(D21*L21)</f>
        <v/>
      </c>
      <c r="N21" s="20">
        <f>VLOOKUP('Control Panel'!$B$6,'Jurisdiction Parameters'!$A:$N,14,FALSE)</f>
        <v/>
      </c>
      <c r="O21" s="20">
        <f>IF(M21&gt;0,N21,1-M21+N21)</f>
        <v/>
      </c>
      <c r="P21" s="21">
        <f>LET(
    val_type,'Loan Tape (S&amp;P)'!AU21,
    IF(val_type="Full",1.00,
        IF(val_type="Desktop",1.021,
            IF(val_type="Drive-by",1.10,
                1.00)))
)</f>
        <v/>
      </c>
      <c r="Q21" s="32">
        <f>MAX(O21*P21,0)</f>
        <v/>
      </c>
      <c r="R21" s="43">
        <f>B21*Q21</f>
        <v/>
      </c>
    </row>
    <row r="22">
      <c r="A22" s="17">
        <f>'Loan Tape (S&amp;P)'!A22</f>
        <v/>
      </c>
      <c r="B22" s="18">
        <f>'Loan Tape (S&amp;P)'!B22</f>
        <v/>
      </c>
      <c r="C22" s="18">
        <f>'Loan Tape (S&amp;P)'!D22</f>
        <v/>
      </c>
      <c r="D22" s="20">
        <f>'FF Calculations'!E22</f>
        <v/>
      </c>
      <c r="E22" s="20">
        <f>'Control Panel'!$B$19</f>
        <v/>
      </c>
      <c r="F22" s="17">
        <f>'Loan Tape (S&amp;P)'!I22</f>
        <v/>
      </c>
      <c r="G22" s="20">
        <f>IFERROR(VLOOKUP(F22,'LS Parameters'!$A$6:$B$10,2,FALSE),0.05)</f>
        <v/>
      </c>
      <c r="H22" s="17">
        <f>'Loan Tape (S&amp;P)'!J22</f>
        <v/>
      </c>
      <c r="I22" s="20">
        <f>IFERROR(VLOOKUP(H22,'LS Parameters'!$A$14:$B$25,2,FALSE),0)</f>
        <v/>
      </c>
      <c r="J22" s="20">
        <f>E22+G22+I22</f>
        <v/>
      </c>
      <c r="K22" s="20">
        <f>'Control Panel'!$B$20</f>
        <v/>
      </c>
      <c r="L22" s="20">
        <f>J22+K22</f>
        <v/>
      </c>
      <c r="M22" s="20">
        <f>1-(D22*L22)</f>
        <v/>
      </c>
      <c r="N22" s="20">
        <f>VLOOKUP('Control Panel'!$B$6,'Jurisdiction Parameters'!$A:$N,14,FALSE)</f>
        <v/>
      </c>
      <c r="O22" s="20">
        <f>IF(M22&gt;0,N22,1-M22+N22)</f>
        <v/>
      </c>
      <c r="P22" s="21">
        <f>LET(
    val_type,'Loan Tape (S&amp;P)'!AU22,
    IF(val_type="Full",1.00,
        IF(val_type="Desktop",1.022,
            IF(val_type="Drive-by",1.10,
                1.00)))
)</f>
        <v/>
      </c>
      <c r="Q22" s="32">
        <f>MAX(O22*P22,0)</f>
        <v/>
      </c>
      <c r="R22" s="43">
        <f>B22*Q22</f>
        <v/>
      </c>
    </row>
    <row r="23">
      <c r="A23" s="17">
        <f>'Loan Tape (S&amp;P)'!A23</f>
        <v/>
      </c>
      <c r="B23" s="18">
        <f>'Loan Tape (S&amp;P)'!B23</f>
        <v/>
      </c>
      <c r="C23" s="18">
        <f>'Loan Tape (S&amp;P)'!D23</f>
        <v/>
      </c>
      <c r="D23" s="20">
        <f>'FF Calculations'!E23</f>
        <v/>
      </c>
      <c r="E23" s="20">
        <f>'Control Panel'!$B$19</f>
        <v/>
      </c>
      <c r="F23" s="17">
        <f>'Loan Tape (S&amp;P)'!I23</f>
        <v/>
      </c>
      <c r="G23" s="20">
        <f>IFERROR(VLOOKUP(F23,'LS Parameters'!$A$6:$B$10,2,FALSE),0.05)</f>
        <v/>
      </c>
      <c r="H23" s="17">
        <f>'Loan Tape (S&amp;P)'!J23</f>
        <v/>
      </c>
      <c r="I23" s="20">
        <f>IFERROR(VLOOKUP(H23,'LS Parameters'!$A$14:$B$25,2,FALSE),0)</f>
        <v/>
      </c>
      <c r="J23" s="20">
        <f>E23+G23+I23</f>
        <v/>
      </c>
      <c r="K23" s="20">
        <f>'Control Panel'!$B$20</f>
        <v/>
      </c>
      <c r="L23" s="20">
        <f>J23+K23</f>
        <v/>
      </c>
      <c r="M23" s="20">
        <f>1-(D23*L23)</f>
        <v/>
      </c>
      <c r="N23" s="20">
        <f>VLOOKUP('Control Panel'!$B$6,'Jurisdiction Parameters'!$A:$N,14,FALSE)</f>
        <v/>
      </c>
      <c r="O23" s="20">
        <f>IF(M23&gt;0,N23,1-M23+N23)</f>
        <v/>
      </c>
      <c r="P23" s="21">
        <f>LET(
    val_type,'Loan Tape (S&amp;P)'!AU23,
    IF(val_type="Full",1.00,
        IF(val_type="Desktop",1.023,
            IF(val_type="Drive-by",1.10,
                1.00)))
)</f>
        <v/>
      </c>
      <c r="Q23" s="32">
        <f>MAX(O23*P23,0)</f>
        <v/>
      </c>
      <c r="R23" s="43">
        <f>B23*Q23</f>
        <v/>
      </c>
    </row>
    <row r="24">
      <c r="A24" s="17">
        <f>'Loan Tape (S&amp;P)'!A24</f>
        <v/>
      </c>
      <c r="B24" s="18">
        <f>'Loan Tape (S&amp;P)'!B24</f>
        <v/>
      </c>
      <c r="C24" s="18">
        <f>'Loan Tape (S&amp;P)'!D24</f>
        <v/>
      </c>
      <c r="D24" s="20">
        <f>'FF Calculations'!E24</f>
        <v/>
      </c>
      <c r="E24" s="20">
        <f>'Control Panel'!$B$19</f>
        <v/>
      </c>
      <c r="F24" s="17">
        <f>'Loan Tape (S&amp;P)'!I24</f>
        <v/>
      </c>
      <c r="G24" s="20">
        <f>IFERROR(VLOOKUP(F24,'LS Parameters'!$A$6:$B$10,2,FALSE),0.05)</f>
        <v/>
      </c>
      <c r="H24" s="17">
        <f>'Loan Tape (S&amp;P)'!J24</f>
        <v/>
      </c>
      <c r="I24" s="20">
        <f>IFERROR(VLOOKUP(H24,'LS Parameters'!$A$14:$B$25,2,FALSE),0)</f>
        <v/>
      </c>
      <c r="J24" s="20">
        <f>E24+G24+I24</f>
        <v/>
      </c>
      <c r="K24" s="20">
        <f>'Control Panel'!$B$20</f>
        <v/>
      </c>
      <c r="L24" s="20">
        <f>J24+K24</f>
        <v/>
      </c>
      <c r="M24" s="20">
        <f>1-(D24*L24)</f>
        <v/>
      </c>
      <c r="N24" s="20">
        <f>VLOOKUP('Control Panel'!$B$6,'Jurisdiction Parameters'!$A:$N,14,FALSE)</f>
        <v/>
      </c>
      <c r="O24" s="20">
        <f>IF(M24&gt;0,N24,1-M24+N24)</f>
        <v/>
      </c>
      <c r="P24" s="21">
        <f>LET(
    val_type,'Loan Tape (S&amp;P)'!AU24,
    IF(val_type="Full",1.00,
        IF(val_type="Desktop",1.024,
            IF(val_type="Drive-by",1.10,
                1.00)))
)</f>
        <v/>
      </c>
      <c r="Q24" s="32">
        <f>MAX(O24*P24,0)</f>
        <v/>
      </c>
      <c r="R24" s="43">
        <f>B24*Q24</f>
        <v/>
      </c>
    </row>
    <row r="25">
      <c r="A25" s="17">
        <f>'Loan Tape (S&amp;P)'!A25</f>
        <v/>
      </c>
      <c r="B25" s="18">
        <f>'Loan Tape (S&amp;P)'!B25</f>
        <v/>
      </c>
      <c r="C25" s="18">
        <f>'Loan Tape (S&amp;P)'!D25</f>
        <v/>
      </c>
      <c r="D25" s="20">
        <f>'FF Calculations'!E25</f>
        <v/>
      </c>
      <c r="E25" s="20">
        <f>'Control Panel'!$B$19</f>
        <v/>
      </c>
      <c r="F25" s="17">
        <f>'Loan Tape (S&amp;P)'!I25</f>
        <v/>
      </c>
      <c r="G25" s="20">
        <f>IFERROR(VLOOKUP(F25,'LS Parameters'!$A$6:$B$10,2,FALSE),0.05)</f>
        <v/>
      </c>
      <c r="H25" s="17">
        <f>'Loan Tape (S&amp;P)'!J25</f>
        <v/>
      </c>
      <c r="I25" s="20">
        <f>IFERROR(VLOOKUP(H25,'LS Parameters'!$A$14:$B$25,2,FALSE),0)</f>
        <v/>
      </c>
      <c r="J25" s="20">
        <f>E25+G25+I25</f>
        <v/>
      </c>
      <c r="K25" s="20">
        <f>'Control Panel'!$B$20</f>
        <v/>
      </c>
      <c r="L25" s="20">
        <f>J25+K25</f>
        <v/>
      </c>
      <c r="M25" s="20">
        <f>1-(D25*L25)</f>
        <v/>
      </c>
      <c r="N25" s="20">
        <f>VLOOKUP('Control Panel'!$B$6,'Jurisdiction Parameters'!$A:$N,14,FALSE)</f>
        <v/>
      </c>
      <c r="O25" s="20">
        <f>IF(M25&gt;0,N25,1-M25+N25)</f>
        <v/>
      </c>
      <c r="P25" s="21">
        <f>LET(
    val_type,'Loan Tape (S&amp;P)'!AU25,
    IF(val_type="Full",1.00,
        IF(val_type="Desktop",1.025,
            IF(val_type="Drive-by",1.10,
                1.00)))
)</f>
        <v/>
      </c>
      <c r="Q25" s="32">
        <f>MAX(O25*P25,0)</f>
        <v/>
      </c>
      <c r="R25" s="43">
        <f>B25*Q25</f>
        <v/>
      </c>
    </row>
    <row r="26">
      <c r="A26" s="17">
        <f>'Loan Tape (S&amp;P)'!A26</f>
        <v/>
      </c>
      <c r="B26" s="18">
        <f>'Loan Tape (S&amp;P)'!B26</f>
        <v/>
      </c>
      <c r="C26" s="18">
        <f>'Loan Tape (S&amp;P)'!D26</f>
        <v/>
      </c>
      <c r="D26" s="20">
        <f>'FF Calculations'!E26</f>
        <v/>
      </c>
      <c r="E26" s="20">
        <f>'Control Panel'!$B$19</f>
        <v/>
      </c>
      <c r="F26" s="17">
        <f>'Loan Tape (S&amp;P)'!I26</f>
        <v/>
      </c>
      <c r="G26" s="20">
        <f>IFERROR(VLOOKUP(F26,'LS Parameters'!$A$6:$B$10,2,FALSE),0.05)</f>
        <v/>
      </c>
      <c r="H26" s="17">
        <f>'Loan Tape (S&amp;P)'!J26</f>
        <v/>
      </c>
      <c r="I26" s="20">
        <f>IFERROR(VLOOKUP(H26,'LS Parameters'!$A$14:$B$25,2,FALSE),0)</f>
        <v/>
      </c>
      <c r="J26" s="20">
        <f>E26+G26+I26</f>
        <v/>
      </c>
      <c r="K26" s="20">
        <f>'Control Panel'!$B$20</f>
        <v/>
      </c>
      <c r="L26" s="20">
        <f>J26+K26</f>
        <v/>
      </c>
      <c r="M26" s="20">
        <f>1-(D26*L26)</f>
        <v/>
      </c>
      <c r="N26" s="20">
        <f>VLOOKUP('Control Panel'!$B$6,'Jurisdiction Parameters'!$A:$N,14,FALSE)</f>
        <v/>
      </c>
      <c r="O26" s="20">
        <f>IF(M26&gt;0,N26,1-M26+N26)</f>
        <v/>
      </c>
      <c r="P26" s="21">
        <f>LET(
    val_type,'Loan Tape (S&amp;P)'!AU26,
    IF(val_type="Full",1.00,
        IF(val_type="Desktop",1.026,
            IF(val_type="Drive-by",1.10,
                1.00)))
)</f>
        <v/>
      </c>
      <c r="Q26" s="32">
        <f>MAX(O26*P26,0)</f>
        <v/>
      </c>
      <c r="R26" s="43">
        <f>B26*Q26</f>
        <v/>
      </c>
    </row>
    <row r="27">
      <c r="A27" s="17">
        <f>'Loan Tape (S&amp;P)'!A27</f>
        <v/>
      </c>
      <c r="B27" s="18">
        <f>'Loan Tape (S&amp;P)'!B27</f>
        <v/>
      </c>
      <c r="C27" s="18">
        <f>'Loan Tape (S&amp;P)'!D27</f>
        <v/>
      </c>
      <c r="D27" s="20">
        <f>'FF Calculations'!E27</f>
        <v/>
      </c>
      <c r="E27" s="20">
        <f>'Control Panel'!$B$19</f>
        <v/>
      </c>
      <c r="F27" s="17">
        <f>'Loan Tape (S&amp;P)'!I27</f>
        <v/>
      </c>
      <c r="G27" s="20">
        <f>IFERROR(VLOOKUP(F27,'LS Parameters'!$A$6:$B$10,2,FALSE),0.05)</f>
        <v/>
      </c>
      <c r="H27" s="17">
        <f>'Loan Tape (S&amp;P)'!J27</f>
        <v/>
      </c>
      <c r="I27" s="20">
        <f>IFERROR(VLOOKUP(H27,'LS Parameters'!$A$14:$B$25,2,FALSE),0)</f>
        <v/>
      </c>
      <c r="J27" s="20">
        <f>E27+G27+I27</f>
        <v/>
      </c>
      <c r="K27" s="20">
        <f>'Control Panel'!$B$20</f>
        <v/>
      </c>
      <c r="L27" s="20">
        <f>J27+K27</f>
        <v/>
      </c>
      <c r="M27" s="20">
        <f>1-(D27*L27)</f>
        <v/>
      </c>
      <c r="N27" s="20">
        <f>VLOOKUP('Control Panel'!$B$6,'Jurisdiction Parameters'!$A:$N,14,FALSE)</f>
        <v/>
      </c>
      <c r="O27" s="20">
        <f>IF(M27&gt;0,N27,1-M27+N27)</f>
        <v/>
      </c>
      <c r="P27" s="21">
        <f>LET(
    val_type,'Loan Tape (S&amp;P)'!AU27,
    IF(val_type="Full",1.00,
        IF(val_type="Desktop",1.027,
            IF(val_type="Drive-by",1.10,
                1.00)))
)</f>
        <v/>
      </c>
      <c r="Q27" s="32">
        <f>MAX(O27*P27,0)</f>
        <v/>
      </c>
      <c r="R27" s="43">
        <f>B27*Q27</f>
        <v/>
      </c>
    </row>
    <row r="28">
      <c r="A28" s="17">
        <f>'Loan Tape (S&amp;P)'!A28</f>
        <v/>
      </c>
      <c r="B28" s="18">
        <f>'Loan Tape (S&amp;P)'!B28</f>
        <v/>
      </c>
      <c r="C28" s="18">
        <f>'Loan Tape (S&amp;P)'!D28</f>
        <v/>
      </c>
      <c r="D28" s="20">
        <f>'FF Calculations'!E28</f>
        <v/>
      </c>
      <c r="E28" s="20">
        <f>'Control Panel'!$B$19</f>
        <v/>
      </c>
      <c r="F28" s="17">
        <f>'Loan Tape (S&amp;P)'!I28</f>
        <v/>
      </c>
      <c r="G28" s="20">
        <f>IFERROR(VLOOKUP(F28,'LS Parameters'!$A$6:$B$10,2,FALSE),0.05)</f>
        <v/>
      </c>
      <c r="H28" s="17">
        <f>'Loan Tape (S&amp;P)'!J28</f>
        <v/>
      </c>
      <c r="I28" s="20">
        <f>IFERROR(VLOOKUP(H28,'LS Parameters'!$A$14:$B$25,2,FALSE),0)</f>
        <v/>
      </c>
      <c r="J28" s="20">
        <f>E28+G28+I28</f>
        <v/>
      </c>
      <c r="K28" s="20">
        <f>'Control Panel'!$B$20</f>
        <v/>
      </c>
      <c r="L28" s="20">
        <f>J28+K28</f>
        <v/>
      </c>
      <c r="M28" s="20">
        <f>1-(D28*L28)</f>
        <v/>
      </c>
      <c r="N28" s="20">
        <f>VLOOKUP('Control Panel'!$B$6,'Jurisdiction Parameters'!$A:$N,14,FALSE)</f>
        <v/>
      </c>
      <c r="O28" s="20">
        <f>IF(M28&gt;0,N28,1-M28+N28)</f>
        <v/>
      </c>
      <c r="P28" s="21">
        <f>LET(
    val_type,'Loan Tape (S&amp;P)'!AU28,
    IF(val_type="Full",1.00,
        IF(val_type="Desktop",1.028,
            IF(val_type="Drive-by",1.10,
                1.00)))
)</f>
        <v/>
      </c>
      <c r="Q28" s="32">
        <f>MAX(O28*P28,0)</f>
        <v/>
      </c>
      <c r="R28" s="43">
        <f>B28*Q28</f>
        <v/>
      </c>
    </row>
    <row r="29">
      <c r="A29" s="17">
        <f>'Loan Tape (S&amp;P)'!A29</f>
        <v/>
      </c>
      <c r="B29" s="18">
        <f>'Loan Tape (S&amp;P)'!B29</f>
        <v/>
      </c>
      <c r="C29" s="18">
        <f>'Loan Tape (S&amp;P)'!D29</f>
        <v/>
      </c>
      <c r="D29" s="20">
        <f>'FF Calculations'!E29</f>
        <v/>
      </c>
      <c r="E29" s="20">
        <f>'Control Panel'!$B$19</f>
        <v/>
      </c>
      <c r="F29" s="17">
        <f>'Loan Tape (S&amp;P)'!I29</f>
        <v/>
      </c>
      <c r="G29" s="20">
        <f>IFERROR(VLOOKUP(F29,'LS Parameters'!$A$6:$B$10,2,FALSE),0.05)</f>
        <v/>
      </c>
      <c r="H29" s="17">
        <f>'Loan Tape (S&amp;P)'!J29</f>
        <v/>
      </c>
      <c r="I29" s="20">
        <f>IFERROR(VLOOKUP(H29,'LS Parameters'!$A$14:$B$25,2,FALSE),0)</f>
        <v/>
      </c>
      <c r="J29" s="20">
        <f>E29+G29+I29</f>
        <v/>
      </c>
      <c r="K29" s="20">
        <f>'Control Panel'!$B$20</f>
        <v/>
      </c>
      <c r="L29" s="20">
        <f>J29+K29</f>
        <v/>
      </c>
      <c r="M29" s="20">
        <f>1-(D29*L29)</f>
        <v/>
      </c>
      <c r="N29" s="20">
        <f>VLOOKUP('Control Panel'!$B$6,'Jurisdiction Parameters'!$A:$N,14,FALSE)</f>
        <v/>
      </c>
      <c r="O29" s="20">
        <f>IF(M29&gt;0,N29,1-M29+N29)</f>
        <v/>
      </c>
      <c r="P29" s="21">
        <f>LET(
    val_type,'Loan Tape (S&amp;P)'!AU29,
    IF(val_type="Full",1.00,
        IF(val_type="Desktop",1.029,
            IF(val_type="Drive-by",1.10,
                1.00)))
)</f>
        <v/>
      </c>
      <c r="Q29" s="32">
        <f>MAX(O29*P29,0)</f>
        <v/>
      </c>
      <c r="R29" s="43">
        <f>B29*Q29</f>
        <v/>
      </c>
    </row>
    <row r="30">
      <c r="A30" s="17">
        <f>'Loan Tape (S&amp;P)'!A30</f>
        <v/>
      </c>
      <c r="B30" s="18">
        <f>'Loan Tape (S&amp;P)'!B30</f>
        <v/>
      </c>
      <c r="C30" s="18">
        <f>'Loan Tape (S&amp;P)'!D30</f>
        <v/>
      </c>
      <c r="D30" s="20">
        <f>'FF Calculations'!E30</f>
        <v/>
      </c>
      <c r="E30" s="20">
        <f>'Control Panel'!$B$19</f>
        <v/>
      </c>
      <c r="F30" s="17">
        <f>'Loan Tape (S&amp;P)'!I30</f>
        <v/>
      </c>
      <c r="G30" s="20">
        <f>IFERROR(VLOOKUP(F30,'LS Parameters'!$A$6:$B$10,2,FALSE),0.05)</f>
        <v/>
      </c>
      <c r="H30" s="17">
        <f>'Loan Tape (S&amp;P)'!J30</f>
        <v/>
      </c>
      <c r="I30" s="20">
        <f>IFERROR(VLOOKUP(H30,'LS Parameters'!$A$14:$B$25,2,FALSE),0)</f>
        <v/>
      </c>
      <c r="J30" s="20">
        <f>E30+G30+I30</f>
        <v/>
      </c>
      <c r="K30" s="20">
        <f>'Control Panel'!$B$20</f>
        <v/>
      </c>
      <c r="L30" s="20">
        <f>J30+K30</f>
        <v/>
      </c>
      <c r="M30" s="20">
        <f>1-(D30*L30)</f>
        <v/>
      </c>
      <c r="N30" s="20">
        <f>VLOOKUP('Control Panel'!$B$6,'Jurisdiction Parameters'!$A:$N,14,FALSE)</f>
        <v/>
      </c>
      <c r="O30" s="20">
        <f>IF(M30&gt;0,N30,1-M30+N30)</f>
        <v/>
      </c>
      <c r="P30" s="21">
        <f>LET(
    val_type,'Loan Tape (S&amp;P)'!AU30,
    IF(val_type="Full",1.00,
        IF(val_type="Desktop",1.030,
            IF(val_type="Drive-by",1.10,
                1.00)))
)</f>
        <v/>
      </c>
      <c r="Q30" s="32">
        <f>MAX(O30*P30,0)</f>
        <v/>
      </c>
      <c r="R30" s="43">
        <f>B30*Q30</f>
        <v/>
      </c>
    </row>
    <row r="31">
      <c r="A31" s="17">
        <f>'Loan Tape (S&amp;P)'!A31</f>
        <v/>
      </c>
      <c r="B31" s="18">
        <f>'Loan Tape (S&amp;P)'!B31</f>
        <v/>
      </c>
      <c r="C31" s="18">
        <f>'Loan Tape (S&amp;P)'!D31</f>
        <v/>
      </c>
      <c r="D31" s="20">
        <f>'FF Calculations'!E31</f>
        <v/>
      </c>
      <c r="E31" s="20">
        <f>'Control Panel'!$B$19</f>
        <v/>
      </c>
      <c r="F31" s="17">
        <f>'Loan Tape (S&amp;P)'!I31</f>
        <v/>
      </c>
      <c r="G31" s="20">
        <f>IFERROR(VLOOKUP(F31,'LS Parameters'!$A$6:$B$10,2,FALSE),0.05)</f>
        <v/>
      </c>
      <c r="H31" s="17">
        <f>'Loan Tape (S&amp;P)'!J31</f>
        <v/>
      </c>
      <c r="I31" s="20">
        <f>IFERROR(VLOOKUP(H31,'LS Parameters'!$A$14:$B$25,2,FALSE),0)</f>
        <v/>
      </c>
      <c r="J31" s="20">
        <f>E31+G31+I31</f>
        <v/>
      </c>
      <c r="K31" s="20">
        <f>'Control Panel'!$B$20</f>
        <v/>
      </c>
      <c r="L31" s="20">
        <f>J31+K31</f>
        <v/>
      </c>
      <c r="M31" s="20">
        <f>1-(D31*L31)</f>
        <v/>
      </c>
      <c r="N31" s="20">
        <f>VLOOKUP('Control Panel'!$B$6,'Jurisdiction Parameters'!$A:$N,14,FALSE)</f>
        <v/>
      </c>
      <c r="O31" s="20">
        <f>IF(M31&gt;0,N31,1-M31+N31)</f>
        <v/>
      </c>
      <c r="P31" s="21">
        <f>LET(
    val_type,'Loan Tape (S&amp;P)'!AU31,
    IF(val_type="Full",1.00,
        IF(val_type="Desktop",1.031,
            IF(val_type="Drive-by",1.10,
                1.00)))
)</f>
        <v/>
      </c>
      <c r="Q31" s="32">
        <f>MAX(O31*P31,0)</f>
        <v/>
      </c>
      <c r="R31" s="43">
        <f>B31*Q31</f>
        <v/>
      </c>
    </row>
    <row r="32">
      <c r="A32" s="17">
        <f>'Loan Tape (S&amp;P)'!A32</f>
        <v/>
      </c>
      <c r="B32" s="18">
        <f>'Loan Tape (S&amp;P)'!B32</f>
        <v/>
      </c>
      <c r="C32" s="18">
        <f>'Loan Tape (S&amp;P)'!D32</f>
        <v/>
      </c>
      <c r="D32" s="20">
        <f>'FF Calculations'!E32</f>
        <v/>
      </c>
      <c r="E32" s="20">
        <f>'Control Panel'!$B$19</f>
        <v/>
      </c>
      <c r="F32" s="17">
        <f>'Loan Tape (S&amp;P)'!I32</f>
        <v/>
      </c>
      <c r="G32" s="20">
        <f>IFERROR(VLOOKUP(F32,'LS Parameters'!$A$6:$B$10,2,FALSE),0.05)</f>
        <v/>
      </c>
      <c r="H32" s="17">
        <f>'Loan Tape (S&amp;P)'!J32</f>
        <v/>
      </c>
      <c r="I32" s="20">
        <f>IFERROR(VLOOKUP(H32,'LS Parameters'!$A$14:$B$25,2,FALSE),0)</f>
        <v/>
      </c>
      <c r="J32" s="20">
        <f>E32+G32+I32</f>
        <v/>
      </c>
      <c r="K32" s="20">
        <f>'Control Panel'!$B$20</f>
        <v/>
      </c>
      <c r="L32" s="20">
        <f>J32+K32</f>
        <v/>
      </c>
      <c r="M32" s="20">
        <f>1-(D32*L32)</f>
        <v/>
      </c>
      <c r="N32" s="20">
        <f>VLOOKUP('Control Panel'!$B$6,'Jurisdiction Parameters'!$A:$N,14,FALSE)</f>
        <v/>
      </c>
      <c r="O32" s="20">
        <f>IF(M32&gt;0,N32,1-M32+N32)</f>
        <v/>
      </c>
      <c r="P32" s="21">
        <f>LET(
    val_type,'Loan Tape (S&amp;P)'!AU32,
    IF(val_type="Full",1.00,
        IF(val_type="Desktop",1.032,
            IF(val_type="Drive-by",1.10,
                1.00)))
)</f>
        <v/>
      </c>
      <c r="Q32" s="32">
        <f>MAX(O32*P32,0)</f>
        <v/>
      </c>
      <c r="R32" s="43">
        <f>B32*Q32</f>
        <v/>
      </c>
    </row>
    <row r="33">
      <c r="A33" s="17">
        <f>'Loan Tape (S&amp;P)'!A33</f>
        <v/>
      </c>
      <c r="B33" s="18">
        <f>'Loan Tape (S&amp;P)'!B33</f>
        <v/>
      </c>
      <c r="C33" s="18">
        <f>'Loan Tape (S&amp;P)'!D33</f>
        <v/>
      </c>
      <c r="D33" s="20">
        <f>'FF Calculations'!E33</f>
        <v/>
      </c>
      <c r="E33" s="20">
        <f>'Control Panel'!$B$19</f>
        <v/>
      </c>
      <c r="F33" s="17">
        <f>'Loan Tape (S&amp;P)'!I33</f>
        <v/>
      </c>
      <c r="G33" s="20">
        <f>IFERROR(VLOOKUP(F33,'LS Parameters'!$A$6:$B$10,2,FALSE),0.05)</f>
        <v/>
      </c>
      <c r="H33" s="17">
        <f>'Loan Tape (S&amp;P)'!J33</f>
        <v/>
      </c>
      <c r="I33" s="20">
        <f>IFERROR(VLOOKUP(H33,'LS Parameters'!$A$14:$B$25,2,FALSE),0)</f>
        <v/>
      </c>
      <c r="J33" s="20">
        <f>E33+G33+I33</f>
        <v/>
      </c>
      <c r="K33" s="20">
        <f>'Control Panel'!$B$20</f>
        <v/>
      </c>
      <c r="L33" s="20">
        <f>J33+K33</f>
        <v/>
      </c>
      <c r="M33" s="20">
        <f>1-(D33*L33)</f>
        <v/>
      </c>
      <c r="N33" s="20">
        <f>VLOOKUP('Control Panel'!$B$6,'Jurisdiction Parameters'!$A:$N,14,FALSE)</f>
        <v/>
      </c>
      <c r="O33" s="20">
        <f>IF(M33&gt;0,N33,1-M33+N33)</f>
        <v/>
      </c>
      <c r="P33" s="21">
        <f>LET(
    val_type,'Loan Tape (S&amp;P)'!AU33,
    IF(val_type="Full",1.00,
        IF(val_type="Desktop",1.033,
            IF(val_type="Drive-by",1.10,
                1.00)))
)</f>
        <v/>
      </c>
      <c r="Q33" s="32">
        <f>MAX(O33*P33,0)</f>
        <v/>
      </c>
      <c r="R33" s="43">
        <f>B33*Q33</f>
        <v/>
      </c>
    </row>
    <row r="34">
      <c r="A34" s="17">
        <f>'Loan Tape (S&amp;P)'!A34</f>
        <v/>
      </c>
      <c r="B34" s="18">
        <f>'Loan Tape (S&amp;P)'!B34</f>
        <v/>
      </c>
      <c r="C34" s="18">
        <f>'Loan Tape (S&amp;P)'!D34</f>
        <v/>
      </c>
      <c r="D34" s="20">
        <f>'FF Calculations'!E34</f>
        <v/>
      </c>
      <c r="E34" s="20">
        <f>'Control Panel'!$B$19</f>
        <v/>
      </c>
      <c r="F34" s="17">
        <f>'Loan Tape (S&amp;P)'!I34</f>
        <v/>
      </c>
      <c r="G34" s="20">
        <f>IFERROR(VLOOKUP(F34,'LS Parameters'!$A$6:$B$10,2,FALSE),0.05)</f>
        <v/>
      </c>
      <c r="H34" s="17">
        <f>'Loan Tape (S&amp;P)'!J34</f>
        <v/>
      </c>
      <c r="I34" s="20">
        <f>IFERROR(VLOOKUP(H34,'LS Parameters'!$A$14:$B$25,2,FALSE),0)</f>
        <v/>
      </c>
      <c r="J34" s="20">
        <f>E34+G34+I34</f>
        <v/>
      </c>
      <c r="K34" s="20">
        <f>'Control Panel'!$B$20</f>
        <v/>
      </c>
      <c r="L34" s="20">
        <f>J34+K34</f>
        <v/>
      </c>
      <c r="M34" s="20">
        <f>1-(D34*L34)</f>
        <v/>
      </c>
      <c r="N34" s="20">
        <f>VLOOKUP('Control Panel'!$B$6,'Jurisdiction Parameters'!$A:$N,14,FALSE)</f>
        <v/>
      </c>
      <c r="O34" s="20">
        <f>IF(M34&gt;0,N34,1-M34+N34)</f>
        <v/>
      </c>
      <c r="P34" s="21">
        <f>LET(
    val_type,'Loan Tape (S&amp;P)'!AU34,
    IF(val_type="Full",1.00,
        IF(val_type="Desktop",1.034,
            IF(val_type="Drive-by",1.10,
                1.00)))
)</f>
        <v/>
      </c>
      <c r="Q34" s="32">
        <f>MAX(O34*P34,0)</f>
        <v/>
      </c>
      <c r="R34" s="43">
        <f>B34*Q34</f>
        <v/>
      </c>
    </row>
    <row r="35">
      <c r="A35" s="17">
        <f>'Loan Tape (S&amp;P)'!A35</f>
        <v/>
      </c>
      <c r="B35" s="18">
        <f>'Loan Tape (S&amp;P)'!B35</f>
        <v/>
      </c>
      <c r="C35" s="18">
        <f>'Loan Tape (S&amp;P)'!D35</f>
        <v/>
      </c>
      <c r="D35" s="20">
        <f>'FF Calculations'!E35</f>
        <v/>
      </c>
      <c r="E35" s="20">
        <f>'Control Panel'!$B$19</f>
        <v/>
      </c>
      <c r="F35" s="17">
        <f>'Loan Tape (S&amp;P)'!I35</f>
        <v/>
      </c>
      <c r="G35" s="20">
        <f>IFERROR(VLOOKUP(F35,'LS Parameters'!$A$6:$B$10,2,FALSE),0.05)</f>
        <v/>
      </c>
      <c r="H35" s="17">
        <f>'Loan Tape (S&amp;P)'!J35</f>
        <v/>
      </c>
      <c r="I35" s="20">
        <f>IFERROR(VLOOKUP(H35,'LS Parameters'!$A$14:$B$25,2,FALSE),0)</f>
        <v/>
      </c>
      <c r="J35" s="20">
        <f>E35+G35+I35</f>
        <v/>
      </c>
      <c r="K35" s="20">
        <f>'Control Panel'!$B$20</f>
        <v/>
      </c>
      <c r="L35" s="20">
        <f>J35+K35</f>
        <v/>
      </c>
      <c r="M35" s="20">
        <f>1-(D35*L35)</f>
        <v/>
      </c>
      <c r="N35" s="20">
        <f>VLOOKUP('Control Panel'!$B$6,'Jurisdiction Parameters'!$A:$N,14,FALSE)</f>
        <v/>
      </c>
      <c r="O35" s="20">
        <f>IF(M35&gt;0,N35,1-M35+N35)</f>
        <v/>
      </c>
      <c r="P35" s="21">
        <f>LET(
    val_type,'Loan Tape (S&amp;P)'!AU35,
    IF(val_type="Full",1.00,
        IF(val_type="Desktop",1.035,
            IF(val_type="Drive-by",1.10,
                1.00)))
)</f>
        <v/>
      </c>
      <c r="Q35" s="32">
        <f>MAX(O35*P35,0)</f>
        <v/>
      </c>
      <c r="R35" s="43">
        <f>B35*Q35</f>
        <v/>
      </c>
    </row>
    <row r="36">
      <c r="A36" s="17">
        <f>'Loan Tape (S&amp;P)'!A36</f>
        <v/>
      </c>
      <c r="B36" s="18">
        <f>'Loan Tape (S&amp;P)'!B36</f>
        <v/>
      </c>
      <c r="C36" s="18">
        <f>'Loan Tape (S&amp;P)'!D36</f>
        <v/>
      </c>
      <c r="D36" s="20">
        <f>'FF Calculations'!E36</f>
        <v/>
      </c>
      <c r="E36" s="20">
        <f>'Control Panel'!$B$19</f>
        <v/>
      </c>
      <c r="F36" s="17">
        <f>'Loan Tape (S&amp;P)'!I36</f>
        <v/>
      </c>
      <c r="G36" s="20">
        <f>IFERROR(VLOOKUP(F36,'LS Parameters'!$A$6:$B$10,2,FALSE),0.05)</f>
        <v/>
      </c>
      <c r="H36" s="17">
        <f>'Loan Tape (S&amp;P)'!J36</f>
        <v/>
      </c>
      <c r="I36" s="20">
        <f>IFERROR(VLOOKUP(H36,'LS Parameters'!$A$14:$B$25,2,FALSE),0)</f>
        <v/>
      </c>
      <c r="J36" s="20">
        <f>E36+G36+I36</f>
        <v/>
      </c>
      <c r="K36" s="20">
        <f>'Control Panel'!$B$20</f>
        <v/>
      </c>
      <c r="L36" s="20">
        <f>J36+K36</f>
        <v/>
      </c>
      <c r="M36" s="20">
        <f>1-(D36*L36)</f>
        <v/>
      </c>
      <c r="N36" s="20">
        <f>VLOOKUP('Control Panel'!$B$6,'Jurisdiction Parameters'!$A:$N,14,FALSE)</f>
        <v/>
      </c>
      <c r="O36" s="20">
        <f>IF(M36&gt;0,N36,1-M36+N36)</f>
        <v/>
      </c>
      <c r="P36" s="21">
        <f>LET(
    val_type,'Loan Tape (S&amp;P)'!AU36,
    IF(val_type="Full",1.00,
        IF(val_type="Desktop",1.036,
            IF(val_type="Drive-by",1.10,
                1.00)))
)</f>
        <v/>
      </c>
      <c r="Q36" s="32">
        <f>MAX(O36*P36,0)</f>
        <v/>
      </c>
      <c r="R36" s="43">
        <f>B36*Q36</f>
        <v/>
      </c>
    </row>
    <row r="37">
      <c r="A37" s="17">
        <f>'Loan Tape (S&amp;P)'!A37</f>
        <v/>
      </c>
      <c r="B37" s="18">
        <f>'Loan Tape (S&amp;P)'!B37</f>
        <v/>
      </c>
      <c r="C37" s="18">
        <f>'Loan Tape (S&amp;P)'!D37</f>
        <v/>
      </c>
      <c r="D37" s="20">
        <f>'FF Calculations'!E37</f>
        <v/>
      </c>
      <c r="E37" s="20">
        <f>'Control Panel'!$B$19</f>
        <v/>
      </c>
      <c r="F37" s="17">
        <f>'Loan Tape (S&amp;P)'!I37</f>
        <v/>
      </c>
      <c r="G37" s="20">
        <f>IFERROR(VLOOKUP(F37,'LS Parameters'!$A$6:$B$10,2,FALSE),0.05)</f>
        <v/>
      </c>
      <c r="H37" s="17">
        <f>'Loan Tape (S&amp;P)'!J37</f>
        <v/>
      </c>
      <c r="I37" s="20">
        <f>IFERROR(VLOOKUP(H37,'LS Parameters'!$A$14:$B$25,2,FALSE),0)</f>
        <v/>
      </c>
      <c r="J37" s="20">
        <f>E37+G37+I37</f>
        <v/>
      </c>
      <c r="K37" s="20">
        <f>'Control Panel'!$B$20</f>
        <v/>
      </c>
      <c r="L37" s="20">
        <f>J37+K37</f>
        <v/>
      </c>
      <c r="M37" s="20">
        <f>1-(D37*L37)</f>
        <v/>
      </c>
      <c r="N37" s="20">
        <f>VLOOKUP('Control Panel'!$B$6,'Jurisdiction Parameters'!$A:$N,14,FALSE)</f>
        <v/>
      </c>
      <c r="O37" s="20">
        <f>IF(M37&gt;0,N37,1-M37+N37)</f>
        <v/>
      </c>
      <c r="P37" s="21">
        <f>LET(
    val_type,'Loan Tape (S&amp;P)'!AU37,
    IF(val_type="Full",1.00,
        IF(val_type="Desktop",1.037,
            IF(val_type="Drive-by",1.10,
                1.00)))
)</f>
        <v/>
      </c>
      <c r="Q37" s="32">
        <f>MAX(O37*P37,0)</f>
        <v/>
      </c>
      <c r="R37" s="43">
        <f>B37*Q37</f>
        <v/>
      </c>
    </row>
    <row r="38">
      <c r="A38" s="17">
        <f>'Loan Tape (S&amp;P)'!A38</f>
        <v/>
      </c>
      <c r="B38" s="18">
        <f>'Loan Tape (S&amp;P)'!B38</f>
        <v/>
      </c>
      <c r="C38" s="18">
        <f>'Loan Tape (S&amp;P)'!D38</f>
        <v/>
      </c>
      <c r="D38" s="20">
        <f>'FF Calculations'!E38</f>
        <v/>
      </c>
      <c r="E38" s="20">
        <f>'Control Panel'!$B$19</f>
        <v/>
      </c>
      <c r="F38" s="17">
        <f>'Loan Tape (S&amp;P)'!I38</f>
        <v/>
      </c>
      <c r="G38" s="20">
        <f>IFERROR(VLOOKUP(F38,'LS Parameters'!$A$6:$B$10,2,FALSE),0.05)</f>
        <v/>
      </c>
      <c r="H38" s="17">
        <f>'Loan Tape (S&amp;P)'!J38</f>
        <v/>
      </c>
      <c r="I38" s="20">
        <f>IFERROR(VLOOKUP(H38,'LS Parameters'!$A$14:$B$25,2,FALSE),0)</f>
        <v/>
      </c>
      <c r="J38" s="20">
        <f>E38+G38+I38</f>
        <v/>
      </c>
      <c r="K38" s="20">
        <f>'Control Panel'!$B$20</f>
        <v/>
      </c>
      <c r="L38" s="20">
        <f>J38+K38</f>
        <v/>
      </c>
      <c r="M38" s="20">
        <f>1-(D38*L38)</f>
        <v/>
      </c>
      <c r="N38" s="20">
        <f>VLOOKUP('Control Panel'!$B$6,'Jurisdiction Parameters'!$A:$N,14,FALSE)</f>
        <v/>
      </c>
      <c r="O38" s="20">
        <f>IF(M38&gt;0,N38,1-M38+N38)</f>
        <v/>
      </c>
      <c r="P38" s="21">
        <f>LET(
    val_type,'Loan Tape (S&amp;P)'!AU38,
    IF(val_type="Full",1.00,
        IF(val_type="Desktop",1.038,
            IF(val_type="Drive-by",1.10,
                1.00)))
)</f>
        <v/>
      </c>
      <c r="Q38" s="32">
        <f>MAX(O38*P38,0)</f>
        <v/>
      </c>
      <c r="R38" s="43">
        <f>B38*Q38</f>
        <v/>
      </c>
    </row>
    <row r="39">
      <c r="A39" s="17">
        <f>'Loan Tape (S&amp;P)'!A39</f>
        <v/>
      </c>
      <c r="B39" s="18">
        <f>'Loan Tape (S&amp;P)'!B39</f>
        <v/>
      </c>
      <c r="C39" s="18">
        <f>'Loan Tape (S&amp;P)'!D39</f>
        <v/>
      </c>
      <c r="D39" s="20">
        <f>'FF Calculations'!E39</f>
        <v/>
      </c>
      <c r="E39" s="20">
        <f>'Control Panel'!$B$19</f>
        <v/>
      </c>
      <c r="F39" s="17">
        <f>'Loan Tape (S&amp;P)'!I39</f>
        <v/>
      </c>
      <c r="G39" s="20">
        <f>IFERROR(VLOOKUP(F39,'LS Parameters'!$A$6:$B$10,2,FALSE),0.05)</f>
        <v/>
      </c>
      <c r="H39" s="17">
        <f>'Loan Tape (S&amp;P)'!J39</f>
        <v/>
      </c>
      <c r="I39" s="20">
        <f>IFERROR(VLOOKUP(H39,'LS Parameters'!$A$14:$B$25,2,FALSE),0)</f>
        <v/>
      </c>
      <c r="J39" s="20">
        <f>E39+G39+I39</f>
        <v/>
      </c>
      <c r="K39" s="20">
        <f>'Control Panel'!$B$20</f>
        <v/>
      </c>
      <c r="L39" s="20">
        <f>J39+K39</f>
        <v/>
      </c>
      <c r="M39" s="20">
        <f>1-(D39*L39)</f>
        <v/>
      </c>
      <c r="N39" s="20">
        <f>VLOOKUP('Control Panel'!$B$6,'Jurisdiction Parameters'!$A:$N,14,FALSE)</f>
        <v/>
      </c>
      <c r="O39" s="20">
        <f>IF(M39&gt;0,N39,1-M39+N39)</f>
        <v/>
      </c>
      <c r="P39" s="21">
        <f>LET(
    val_type,'Loan Tape (S&amp;P)'!AU39,
    IF(val_type="Full",1.00,
        IF(val_type="Desktop",1.039,
            IF(val_type="Drive-by",1.10,
                1.00)))
)</f>
        <v/>
      </c>
      <c r="Q39" s="32">
        <f>MAX(O39*P39,0)</f>
        <v/>
      </c>
      <c r="R39" s="43">
        <f>B39*Q39</f>
        <v/>
      </c>
    </row>
    <row r="40">
      <c r="A40" s="17">
        <f>'Loan Tape (S&amp;P)'!A40</f>
        <v/>
      </c>
      <c r="B40" s="18">
        <f>'Loan Tape (S&amp;P)'!B40</f>
        <v/>
      </c>
      <c r="C40" s="18">
        <f>'Loan Tape (S&amp;P)'!D40</f>
        <v/>
      </c>
      <c r="D40" s="20">
        <f>'FF Calculations'!E40</f>
        <v/>
      </c>
      <c r="E40" s="20">
        <f>'Control Panel'!$B$19</f>
        <v/>
      </c>
      <c r="F40" s="17">
        <f>'Loan Tape (S&amp;P)'!I40</f>
        <v/>
      </c>
      <c r="G40" s="20">
        <f>IFERROR(VLOOKUP(F40,'LS Parameters'!$A$6:$B$10,2,FALSE),0.05)</f>
        <v/>
      </c>
      <c r="H40" s="17">
        <f>'Loan Tape (S&amp;P)'!J40</f>
        <v/>
      </c>
      <c r="I40" s="20">
        <f>IFERROR(VLOOKUP(H40,'LS Parameters'!$A$14:$B$25,2,FALSE),0)</f>
        <v/>
      </c>
      <c r="J40" s="20">
        <f>E40+G40+I40</f>
        <v/>
      </c>
      <c r="K40" s="20">
        <f>'Control Panel'!$B$20</f>
        <v/>
      </c>
      <c r="L40" s="20">
        <f>J40+K40</f>
        <v/>
      </c>
      <c r="M40" s="20">
        <f>1-(D40*L40)</f>
        <v/>
      </c>
      <c r="N40" s="20">
        <f>VLOOKUP('Control Panel'!$B$6,'Jurisdiction Parameters'!$A:$N,14,FALSE)</f>
        <v/>
      </c>
      <c r="O40" s="20">
        <f>IF(M40&gt;0,N40,1-M40+N40)</f>
        <v/>
      </c>
      <c r="P40" s="21">
        <f>LET(
    val_type,'Loan Tape (S&amp;P)'!AU40,
    IF(val_type="Full",1.00,
        IF(val_type="Desktop",1.040,
            IF(val_type="Drive-by",1.10,
                1.00)))
)</f>
        <v/>
      </c>
      <c r="Q40" s="32">
        <f>MAX(O40*P40,0)</f>
        <v/>
      </c>
      <c r="R40" s="43">
        <f>B40*Q40</f>
        <v/>
      </c>
    </row>
    <row r="41">
      <c r="A41" s="17">
        <f>'Loan Tape (S&amp;P)'!A41</f>
        <v/>
      </c>
      <c r="B41" s="18">
        <f>'Loan Tape (S&amp;P)'!B41</f>
        <v/>
      </c>
      <c r="C41" s="18">
        <f>'Loan Tape (S&amp;P)'!D41</f>
        <v/>
      </c>
      <c r="D41" s="20">
        <f>'FF Calculations'!E41</f>
        <v/>
      </c>
      <c r="E41" s="20">
        <f>'Control Panel'!$B$19</f>
        <v/>
      </c>
      <c r="F41" s="17">
        <f>'Loan Tape (S&amp;P)'!I41</f>
        <v/>
      </c>
      <c r="G41" s="20">
        <f>IFERROR(VLOOKUP(F41,'LS Parameters'!$A$6:$B$10,2,FALSE),0.05)</f>
        <v/>
      </c>
      <c r="H41" s="17">
        <f>'Loan Tape (S&amp;P)'!J41</f>
        <v/>
      </c>
      <c r="I41" s="20">
        <f>IFERROR(VLOOKUP(H41,'LS Parameters'!$A$14:$B$25,2,FALSE),0)</f>
        <v/>
      </c>
      <c r="J41" s="20">
        <f>E41+G41+I41</f>
        <v/>
      </c>
      <c r="K41" s="20">
        <f>'Control Panel'!$B$20</f>
        <v/>
      </c>
      <c r="L41" s="20">
        <f>J41+K41</f>
        <v/>
      </c>
      <c r="M41" s="20">
        <f>1-(D41*L41)</f>
        <v/>
      </c>
      <c r="N41" s="20">
        <f>VLOOKUP('Control Panel'!$B$6,'Jurisdiction Parameters'!$A:$N,14,FALSE)</f>
        <v/>
      </c>
      <c r="O41" s="20">
        <f>IF(M41&gt;0,N41,1-M41+N41)</f>
        <v/>
      </c>
      <c r="P41" s="21">
        <f>LET(
    val_type,'Loan Tape (S&amp;P)'!AU41,
    IF(val_type="Full",1.00,
        IF(val_type="Desktop",1.041,
            IF(val_type="Drive-by",1.10,
                1.00)))
)</f>
        <v/>
      </c>
      <c r="Q41" s="32">
        <f>MAX(O41*P41,0)</f>
        <v/>
      </c>
      <c r="R41" s="43">
        <f>B41*Q41</f>
        <v/>
      </c>
    </row>
    <row r="42">
      <c r="A42" s="17">
        <f>'Loan Tape (S&amp;P)'!A42</f>
        <v/>
      </c>
      <c r="B42" s="18">
        <f>'Loan Tape (S&amp;P)'!B42</f>
        <v/>
      </c>
      <c r="C42" s="18">
        <f>'Loan Tape (S&amp;P)'!D42</f>
        <v/>
      </c>
      <c r="D42" s="20">
        <f>'FF Calculations'!E42</f>
        <v/>
      </c>
      <c r="E42" s="20">
        <f>'Control Panel'!$B$19</f>
        <v/>
      </c>
      <c r="F42" s="17">
        <f>'Loan Tape (S&amp;P)'!I42</f>
        <v/>
      </c>
      <c r="G42" s="20">
        <f>IFERROR(VLOOKUP(F42,'LS Parameters'!$A$6:$B$10,2,FALSE),0.05)</f>
        <v/>
      </c>
      <c r="H42" s="17">
        <f>'Loan Tape (S&amp;P)'!J42</f>
        <v/>
      </c>
      <c r="I42" s="20">
        <f>IFERROR(VLOOKUP(H42,'LS Parameters'!$A$14:$B$25,2,FALSE),0)</f>
        <v/>
      </c>
      <c r="J42" s="20">
        <f>E42+G42+I42</f>
        <v/>
      </c>
      <c r="K42" s="20">
        <f>'Control Panel'!$B$20</f>
        <v/>
      </c>
      <c r="L42" s="20">
        <f>J42+K42</f>
        <v/>
      </c>
      <c r="M42" s="20">
        <f>1-(D42*L42)</f>
        <v/>
      </c>
      <c r="N42" s="20">
        <f>VLOOKUP('Control Panel'!$B$6,'Jurisdiction Parameters'!$A:$N,14,FALSE)</f>
        <v/>
      </c>
      <c r="O42" s="20">
        <f>IF(M42&gt;0,N42,1-M42+N42)</f>
        <v/>
      </c>
      <c r="P42" s="21">
        <f>LET(
    val_type,'Loan Tape (S&amp;P)'!AU42,
    IF(val_type="Full",1.00,
        IF(val_type="Desktop",1.042,
            IF(val_type="Drive-by",1.10,
                1.00)))
)</f>
        <v/>
      </c>
      <c r="Q42" s="32">
        <f>MAX(O42*P42,0)</f>
        <v/>
      </c>
      <c r="R42" s="43">
        <f>B42*Q42</f>
        <v/>
      </c>
    </row>
    <row r="43">
      <c r="A43" s="17">
        <f>'Loan Tape (S&amp;P)'!A43</f>
        <v/>
      </c>
      <c r="B43" s="18">
        <f>'Loan Tape (S&amp;P)'!B43</f>
        <v/>
      </c>
      <c r="C43" s="18">
        <f>'Loan Tape (S&amp;P)'!D43</f>
        <v/>
      </c>
      <c r="D43" s="20">
        <f>'FF Calculations'!E43</f>
        <v/>
      </c>
      <c r="E43" s="20">
        <f>'Control Panel'!$B$19</f>
        <v/>
      </c>
      <c r="F43" s="17">
        <f>'Loan Tape (S&amp;P)'!I43</f>
        <v/>
      </c>
      <c r="G43" s="20">
        <f>IFERROR(VLOOKUP(F43,'LS Parameters'!$A$6:$B$10,2,FALSE),0.05)</f>
        <v/>
      </c>
      <c r="H43" s="17">
        <f>'Loan Tape (S&amp;P)'!J43</f>
        <v/>
      </c>
      <c r="I43" s="20">
        <f>IFERROR(VLOOKUP(H43,'LS Parameters'!$A$14:$B$25,2,FALSE),0)</f>
        <v/>
      </c>
      <c r="J43" s="20">
        <f>E43+G43+I43</f>
        <v/>
      </c>
      <c r="K43" s="20">
        <f>'Control Panel'!$B$20</f>
        <v/>
      </c>
      <c r="L43" s="20">
        <f>J43+K43</f>
        <v/>
      </c>
      <c r="M43" s="20">
        <f>1-(D43*L43)</f>
        <v/>
      </c>
      <c r="N43" s="20">
        <f>VLOOKUP('Control Panel'!$B$6,'Jurisdiction Parameters'!$A:$N,14,FALSE)</f>
        <v/>
      </c>
      <c r="O43" s="20">
        <f>IF(M43&gt;0,N43,1-M43+N43)</f>
        <v/>
      </c>
      <c r="P43" s="21">
        <f>LET(
    val_type,'Loan Tape (S&amp;P)'!AU43,
    IF(val_type="Full",1.00,
        IF(val_type="Desktop",1.043,
            IF(val_type="Drive-by",1.10,
                1.00)))
)</f>
        <v/>
      </c>
      <c r="Q43" s="32">
        <f>MAX(O43*P43,0)</f>
        <v/>
      </c>
      <c r="R43" s="43">
        <f>B43*Q43</f>
        <v/>
      </c>
    </row>
    <row r="44">
      <c r="A44" s="17">
        <f>'Loan Tape (S&amp;P)'!A44</f>
        <v/>
      </c>
      <c r="B44" s="18">
        <f>'Loan Tape (S&amp;P)'!B44</f>
        <v/>
      </c>
      <c r="C44" s="18">
        <f>'Loan Tape (S&amp;P)'!D44</f>
        <v/>
      </c>
      <c r="D44" s="20">
        <f>'FF Calculations'!E44</f>
        <v/>
      </c>
      <c r="E44" s="20">
        <f>'Control Panel'!$B$19</f>
        <v/>
      </c>
      <c r="F44" s="17">
        <f>'Loan Tape (S&amp;P)'!I44</f>
        <v/>
      </c>
      <c r="G44" s="20">
        <f>IFERROR(VLOOKUP(F44,'LS Parameters'!$A$6:$B$10,2,FALSE),0.05)</f>
        <v/>
      </c>
      <c r="H44" s="17">
        <f>'Loan Tape (S&amp;P)'!J44</f>
        <v/>
      </c>
      <c r="I44" s="20">
        <f>IFERROR(VLOOKUP(H44,'LS Parameters'!$A$14:$B$25,2,FALSE),0)</f>
        <v/>
      </c>
      <c r="J44" s="20">
        <f>E44+G44+I44</f>
        <v/>
      </c>
      <c r="K44" s="20">
        <f>'Control Panel'!$B$20</f>
        <v/>
      </c>
      <c r="L44" s="20">
        <f>J44+K44</f>
        <v/>
      </c>
      <c r="M44" s="20">
        <f>1-(D44*L44)</f>
        <v/>
      </c>
      <c r="N44" s="20">
        <f>VLOOKUP('Control Panel'!$B$6,'Jurisdiction Parameters'!$A:$N,14,FALSE)</f>
        <v/>
      </c>
      <c r="O44" s="20">
        <f>IF(M44&gt;0,N44,1-M44+N44)</f>
        <v/>
      </c>
      <c r="P44" s="21">
        <f>LET(
    val_type,'Loan Tape (S&amp;P)'!AU44,
    IF(val_type="Full",1.00,
        IF(val_type="Desktop",1.044,
            IF(val_type="Drive-by",1.10,
                1.00)))
)</f>
        <v/>
      </c>
      <c r="Q44" s="32">
        <f>MAX(O44*P44,0)</f>
        <v/>
      </c>
      <c r="R44" s="43">
        <f>B44*Q44</f>
        <v/>
      </c>
    </row>
    <row r="45">
      <c r="A45" s="17">
        <f>'Loan Tape (S&amp;P)'!A45</f>
        <v/>
      </c>
      <c r="B45" s="18">
        <f>'Loan Tape (S&amp;P)'!B45</f>
        <v/>
      </c>
      <c r="C45" s="18">
        <f>'Loan Tape (S&amp;P)'!D45</f>
        <v/>
      </c>
      <c r="D45" s="20">
        <f>'FF Calculations'!E45</f>
        <v/>
      </c>
      <c r="E45" s="20">
        <f>'Control Panel'!$B$19</f>
        <v/>
      </c>
      <c r="F45" s="17">
        <f>'Loan Tape (S&amp;P)'!I45</f>
        <v/>
      </c>
      <c r="G45" s="20">
        <f>IFERROR(VLOOKUP(F45,'LS Parameters'!$A$6:$B$10,2,FALSE),0.05)</f>
        <v/>
      </c>
      <c r="H45" s="17">
        <f>'Loan Tape (S&amp;P)'!J45</f>
        <v/>
      </c>
      <c r="I45" s="20">
        <f>IFERROR(VLOOKUP(H45,'LS Parameters'!$A$14:$B$25,2,FALSE),0)</f>
        <v/>
      </c>
      <c r="J45" s="20">
        <f>E45+G45+I45</f>
        <v/>
      </c>
      <c r="K45" s="20">
        <f>'Control Panel'!$B$20</f>
        <v/>
      </c>
      <c r="L45" s="20">
        <f>J45+K45</f>
        <v/>
      </c>
      <c r="M45" s="20">
        <f>1-(D45*L45)</f>
        <v/>
      </c>
      <c r="N45" s="20">
        <f>VLOOKUP('Control Panel'!$B$6,'Jurisdiction Parameters'!$A:$N,14,FALSE)</f>
        <v/>
      </c>
      <c r="O45" s="20">
        <f>IF(M45&gt;0,N45,1-M45+N45)</f>
        <v/>
      </c>
      <c r="P45" s="21">
        <f>LET(
    val_type,'Loan Tape (S&amp;P)'!AU45,
    IF(val_type="Full",1.00,
        IF(val_type="Desktop",1.045,
            IF(val_type="Drive-by",1.10,
                1.00)))
)</f>
        <v/>
      </c>
      <c r="Q45" s="32">
        <f>MAX(O45*P45,0)</f>
        <v/>
      </c>
      <c r="R45" s="43">
        <f>B45*Q45</f>
        <v/>
      </c>
    </row>
    <row r="46">
      <c r="A46" s="17">
        <f>'Loan Tape (S&amp;P)'!A46</f>
        <v/>
      </c>
      <c r="B46" s="18">
        <f>'Loan Tape (S&amp;P)'!B46</f>
        <v/>
      </c>
      <c r="C46" s="18">
        <f>'Loan Tape (S&amp;P)'!D46</f>
        <v/>
      </c>
      <c r="D46" s="20">
        <f>'FF Calculations'!E46</f>
        <v/>
      </c>
      <c r="E46" s="20">
        <f>'Control Panel'!$B$19</f>
        <v/>
      </c>
      <c r="F46" s="17">
        <f>'Loan Tape (S&amp;P)'!I46</f>
        <v/>
      </c>
      <c r="G46" s="20">
        <f>IFERROR(VLOOKUP(F46,'LS Parameters'!$A$6:$B$10,2,FALSE),0.05)</f>
        <v/>
      </c>
      <c r="H46" s="17">
        <f>'Loan Tape (S&amp;P)'!J46</f>
        <v/>
      </c>
      <c r="I46" s="20">
        <f>IFERROR(VLOOKUP(H46,'LS Parameters'!$A$14:$B$25,2,FALSE),0)</f>
        <v/>
      </c>
      <c r="J46" s="20">
        <f>E46+G46+I46</f>
        <v/>
      </c>
      <c r="K46" s="20">
        <f>'Control Panel'!$B$20</f>
        <v/>
      </c>
      <c r="L46" s="20">
        <f>J46+K46</f>
        <v/>
      </c>
      <c r="M46" s="20">
        <f>1-(D46*L46)</f>
        <v/>
      </c>
      <c r="N46" s="20">
        <f>VLOOKUP('Control Panel'!$B$6,'Jurisdiction Parameters'!$A:$N,14,FALSE)</f>
        <v/>
      </c>
      <c r="O46" s="20">
        <f>IF(M46&gt;0,N46,1-M46+N46)</f>
        <v/>
      </c>
      <c r="P46" s="21">
        <f>LET(
    val_type,'Loan Tape (S&amp;P)'!AU46,
    IF(val_type="Full",1.00,
        IF(val_type="Desktop",1.046,
            IF(val_type="Drive-by",1.10,
                1.00)))
)</f>
        <v/>
      </c>
      <c r="Q46" s="32">
        <f>MAX(O46*P46,0)</f>
        <v/>
      </c>
      <c r="R46" s="43">
        <f>B46*Q46</f>
        <v/>
      </c>
    </row>
    <row r="47">
      <c r="A47" s="17">
        <f>'Loan Tape (S&amp;P)'!A47</f>
        <v/>
      </c>
      <c r="B47" s="18">
        <f>'Loan Tape (S&amp;P)'!B47</f>
        <v/>
      </c>
      <c r="C47" s="18">
        <f>'Loan Tape (S&amp;P)'!D47</f>
        <v/>
      </c>
      <c r="D47" s="20">
        <f>'FF Calculations'!E47</f>
        <v/>
      </c>
      <c r="E47" s="20">
        <f>'Control Panel'!$B$19</f>
        <v/>
      </c>
      <c r="F47" s="17">
        <f>'Loan Tape (S&amp;P)'!I47</f>
        <v/>
      </c>
      <c r="G47" s="20">
        <f>IFERROR(VLOOKUP(F47,'LS Parameters'!$A$6:$B$10,2,FALSE),0.05)</f>
        <v/>
      </c>
      <c r="H47" s="17">
        <f>'Loan Tape (S&amp;P)'!J47</f>
        <v/>
      </c>
      <c r="I47" s="20">
        <f>IFERROR(VLOOKUP(H47,'LS Parameters'!$A$14:$B$25,2,FALSE),0)</f>
        <v/>
      </c>
      <c r="J47" s="20">
        <f>E47+G47+I47</f>
        <v/>
      </c>
      <c r="K47" s="20">
        <f>'Control Panel'!$B$20</f>
        <v/>
      </c>
      <c r="L47" s="20">
        <f>J47+K47</f>
        <v/>
      </c>
      <c r="M47" s="20">
        <f>1-(D47*L47)</f>
        <v/>
      </c>
      <c r="N47" s="20">
        <f>VLOOKUP('Control Panel'!$B$6,'Jurisdiction Parameters'!$A:$N,14,FALSE)</f>
        <v/>
      </c>
      <c r="O47" s="20">
        <f>IF(M47&gt;0,N47,1-M47+N47)</f>
        <v/>
      </c>
      <c r="P47" s="21">
        <f>LET(
    val_type,'Loan Tape (S&amp;P)'!AU47,
    IF(val_type="Full",1.00,
        IF(val_type="Desktop",1.047,
            IF(val_type="Drive-by",1.10,
                1.00)))
)</f>
        <v/>
      </c>
      <c r="Q47" s="32">
        <f>MAX(O47*P47,0)</f>
        <v/>
      </c>
      <c r="R47" s="43">
        <f>B47*Q47</f>
        <v/>
      </c>
    </row>
    <row r="48">
      <c r="A48" s="17">
        <f>'Loan Tape (S&amp;P)'!A48</f>
        <v/>
      </c>
      <c r="B48" s="18">
        <f>'Loan Tape (S&amp;P)'!B48</f>
        <v/>
      </c>
      <c r="C48" s="18">
        <f>'Loan Tape (S&amp;P)'!D48</f>
        <v/>
      </c>
      <c r="D48" s="20">
        <f>'FF Calculations'!E48</f>
        <v/>
      </c>
      <c r="E48" s="20">
        <f>'Control Panel'!$B$19</f>
        <v/>
      </c>
      <c r="F48" s="17">
        <f>'Loan Tape (S&amp;P)'!I48</f>
        <v/>
      </c>
      <c r="G48" s="20">
        <f>IFERROR(VLOOKUP(F48,'LS Parameters'!$A$6:$B$10,2,FALSE),0.05)</f>
        <v/>
      </c>
      <c r="H48" s="17">
        <f>'Loan Tape (S&amp;P)'!J48</f>
        <v/>
      </c>
      <c r="I48" s="20">
        <f>IFERROR(VLOOKUP(H48,'LS Parameters'!$A$14:$B$25,2,FALSE),0)</f>
        <v/>
      </c>
      <c r="J48" s="20">
        <f>E48+G48+I48</f>
        <v/>
      </c>
      <c r="K48" s="20">
        <f>'Control Panel'!$B$20</f>
        <v/>
      </c>
      <c r="L48" s="20">
        <f>J48+K48</f>
        <v/>
      </c>
      <c r="M48" s="20">
        <f>1-(D48*L48)</f>
        <v/>
      </c>
      <c r="N48" s="20">
        <f>VLOOKUP('Control Panel'!$B$6,'Jurisdiction Parameters'!$A:$N,14,FALSE)</f>
        <v/>
      </c>
      <c r="O48" s="20">
        <f>IF(M48&gt;0,N48,1-M48+N48)</f>
        <v/>
      </c>
      <c r="P48" s="21">
        <f>LET(
    val_type,'Loan Tape (S&amp;P)'!AU48,
    IF(val_type="Full",1.00,
        IF(val_type="Desktop",1.048,
            IF(val_type="Drive-by",1.10,
                1.00)))
)</f>
        <v/>
      </c>
      <c r="Q48" s="32">
        <f>MAX(O48*P48,0)</f>
        <v/>
      </c>
      <c r="R48" s="43">
        <f>B48*Q48</f>
        <v/>
      </c>
    </row>
    <row r="49">
      <c r="A49" s="17">
        <f>'Loan Tape (S&amp;P)'!A49</f>
        <v/>
      </c>
      <c r="B49" s="18">
        <f>'Loan Tape (S&amp;P)'!B49</f>
        <v/>
      </c>
      <c r="C49" s="18">
        <f>'Loan Tape (S&amp;P)'!D49</f>
        <v/>
      </c>
      <c r="D49" s="20">
        <f>'FF Calculations'!E49</f>
        <v/>
      </c>
      <c r="E49" s="20">
        <f>'Control Panel'!$B$19</f>
        <v/>
      </c>
      <c r="F49" s="17">
        <f>'Loan Tape (S&amp;P)'!I49</f>
        <v/>
      </c>
      <c r="G49" s="20">
        <f>IFERROR(VLOOKUP(F49,'LS Parameters'!$A$6:$B$10,2,FALSE),0.05)</f>
        <v/>
      </c>
      <c r="H49" s="17">
        <f>'Loan Tape (S&amp;P)'!J49</f>
        <v/>
      </c>
      <c r="I49" s="20">
        <f>IFERROR(VLOOKUP(H49,'LS Parameters'!$A$14:$B$25,2,FALSE),0)</f>
        <v/>
      </c>
      <c r="J49" s="20">
        <f>E49+G49+I49</f>
        <v/>
      </c>
      <c r="K49" s="20">
        <f>'Control Panel'!$B$20</f>
        <v/>
      </c>
      <c r="L49" s="20">
        <f>J49+K49</f>
        <v/>
      </c>
      <c r="M49" s="20">
        <f>1-(D49*L49)</f>
        <v/>
      </c>
      <c r="N49" s="20">
        <f>VLOOKUP('Control Panel'!$B$6,'Jurisdiction Parameters'!$A:$N,14,FALSE)</f>
        <v/>
      </c>
      <c r="O49" s="20">
        <f>IF(M49&gt;0,N49,1-M49+N49)</f>
        <v/>
      </c>
      <c r="P49" s="21">
        <f>LET(
    val_type,'Loan Tape (S&amp;P)'!AU49,
    IF(val_type="Full",1.00,
        IF(val_type="Desktop",1.049,
            IF(val_type="Drive-by",1.10,
                1.00)))
)</f>
        <v/>
      </c>
      <c r="Q49" s="32">
        <f>MAX(O49*P49,0)</f>
        <v/>
      </c>
      <c r="R49" s="43">
        <f>B49*Q49</f>
        <v/>
      </c>
    </row>
    <row r="50">
      <c r="A50" s="17">
        <f>'Loan Tape (S&amp;P)'!A50</f>
        <v/>
      </c>
      <c r="B50" s="18">
        <f>'Loan Tape (S&amp;P)'!B50</f>
        <v/>
      </c>
      <c r="C50" s="18">
        <f>'Loan Tape (S&amp;P)'!D50</f>
        <v/>
      </c>
      <c r="D50" s="20">
        <f>'FF Calculations'!E50</f>
        <v/>
      </c>
      <c r="E50" s="20">
        <f>'Control Panel'!$B$19</f>
        <v/>
      </c>
      <c r="F50" s="17">
        <f>'Loan Tape (S&amp;P)'!I50</f>
        <v/>
      </c>
      <c r="G50" s="20">
        <f>IFERROR(VLOOKUP(F50,'LS Parameters'!$A$6:$B$10,2,FALSE),0.05)</f>
        <v/>
      </c>
      <c r="H50" s="17">
        <f>'Loan Tape (S&amp;P)'!J50</f>
        <v/>
      </c>
      <c r="I50" s="20">
        <f>IFERROR(VLOOKUP(H50,'LS Parameters'!$A$14:$B$25,2,FALSE),0)</f>
        <v/>
      </c>
      <c r="J50" s="20">
        <f>E50+G50+I50</f>
        <v/>
      </c>
      <c r="K50" s="20">
        <f>'Control Panel'!$B$20</f>
        <v/>
      </c>
      <c r="L50" s="20">
        <f>J50+K50</f>
        <v/>
      </c>
      <c r="M50" s="20">
        <f>1-(D50*L50)</f>
        <v/>
      </c>
      <c r="N50" s="20">
        <f>VLOOKUP('Control Panel'!$B$6,'Jurisdiction Parameters'!$A:$N,14,FALSE)</f>
        <v/>
      </c>
      <c r="O50" s="20">
        <f>IF(M50&gt;0,N50,1-M50+N50)</f>
        <v/>
      </c>
      <c r="P50" s="21">
        <f>LET(
    val_type,'Loan Tape (S&amp;P)'!AU50,
    IF(val_type="Full",1.00,
        IF(val_type="Desktop",1.050,
            IF(val_type="Drive-by",1.10,
                1.00)))
)</f>
        <v/>
      </c>
      <c r="Q50" s="32">
        <f>MAX(O50*P50,0)</f>
        <v/>
      </c>
      <c r="R50" s="43">
        <f>B50*Q50</f>
        <v/>
      </c>
    </row>
    <row r="51">
      <c r="A51" s="17">
        <f>'Loan Tape (S&amp;P)'!A51</f>
        <v/>
      </c>
      <c r="B51" s="18">
        <f>'Loan Tape (S&amp;P)'!B51</f>
        <v/>
      </c>
      <c r="C51" s="18">
        <f>'Loan Tape (S&amp;P)'!D51</f>
        <v/>
      </c>
      <c r="D51" s="20">
        <f>'FF Calculations'!E51</f>
        <v/>
      </c>
      <c r="E51" s="20">
        <f>'Control Panel'!$B$19</f>
        <v/>
      </c>
      <c r="F51" s="17">
        <f>'Loan Tape (S&amp;P)'!I51</f>
        <v/>
      </c>
      <c r="G51" s="20">
        <f>IFERROR(VLOOKUP(F51,'LS Parameters'!$A$6:$B$10,2,FALSE),0.05)</f>
        <v/>
      </c>
      <c r="H51" s="17">
        <f>'Loan Tape (S&amp;P)'!J51</f>
        <v/>
      </c>
      <c r="I51" s="20">
        <f>IFERROR(VLOOKUP(H51,'LS Parameters'!$A$14:$B$25,2,FALSE),0)</f>
        <v/>
      </c>
      <c r="J51" s="20">
        <f>E51+G51+I51</f>
        <v/>
      </c>
      <c r="K51" s="20">
        <f>'Control Panel'!$B$20</f>
        <v/>
      </c>
      <c r="L51" s="20">
        <f>J51+K51</f>
        <v/>
      </c>
      <c r="M51" s="20">
        <f>1-(D51*L51)</f>
        <v/>
      </c>
      <c r="N51" s="20">
        <f>VLOOKUP('Control Panel'!$B$6,'Jurisdiction Parameters'!$A:$N,14,FALSE)</f>
        <v/>
      </c>
      <c r="O51" s="20">
        <f>IF(M51&gt;0,N51,1-M51+N51)</f>
        <v/>
      </c>
      <c r="P51" s="21">
        <f>LET(
    val_type,'Loan Tape (S&amp;P)'!AU51,
    IF(val_type="Full",1.00,
        IF(val_type="Desktop",1.051,
            IF(val_type="Drive-by",1.10,
                1.00)))
)</f>
        <v/>
      </c>
      <c r="Q51" s="32">
        <f>MAX(O51*P51,0)</f>
        <v/>
      </c>
      <c r="R51" s="43">
        <f>B51*Q51</f>
        <v/>
      </c>
    </row>
    <row r="52">
      <c r="A52" s="17">
        <f>'Loan Tape (S&amp;P)'!A52</f>
        <v/>
      </c>
      <c r="B52" s="18">
        <f>'Loan Tape (S&amp;P)'!B52</f>
        <v/>
      </c>
      <c r="C52" s="18">
        <f>'Loan Tape (S&amp;P)'!D52</f>
        <v/>
      </c>
      <c r="D52" s="20">
        <f>'FF Calculations'!E52</f>
        <v/>
      </c>
      <c r="E52" s="20">
        <f>'Control Panel'!$B$19</f>
        <v/>
      </c>
      <c r="F52" s="17">
        <f>'Loan Tape (S&amp;P)'!I52</f>
        <v/>
      </c>
      <c r="G52" s="20">
        <f>IFERROR(VLOOKUP(F52,'LS Parameters'!$A$6:$B$10,2,FALSE),0.05)</f>
        <v/>
      </c>
      <c r="H52" s="17">
        <f>'Loan Tape (S&amp;P)'!J52</f>
        <v/>
      </c>
      <c r="I52" s="20">
        <f>IFERROR(VLOOKUP(H52,'LS Parameters'!$A$14:$B$25,2,FALSE),0)</f>
        <v/>
      </c>
      <c r="J52" s="20">
        <f>E52+G52+I52</f>
        <v/>
      </c>
      <c r="K52" s="20">
        <f>'Control Panel'!$B$20</f>
        <v/>
      </c>
      <c r="L52" s="20">
        <f>J52+K52</f>
        <v/>
      </c>
      <c r="M52" s="20">
        <f>1-(D52*L52)</f>
        <v/>
      </c>
      <c r="N52" s="20">
        <f>VLOOKUP('Control Panel'!$B$6,'Jurisdiction Parameters'!$A:$N,14,FALSE)</f>
        <v/>
      </c>
      <c r="O52" s="20">
        <f>IF(M52&gt;0,N52,1-M52+N52)</f>
        <v/>
      </c>
      <c r="P52" s="21">
        <f>LET(
    val_type,'Loan Tape (S&amp;P)'!AU52,
    IF(val_type="Full",1.00,
        IF(val_type="Desktop",1.052,
            IF(val_type="Drive-by",1.10,
                1.00)))
)</f>
        <v/>
      </c>
      <c r="Q52" s="32">
        <f>MAX(O52*P52,0)</f>
        <v/>
      </c>
      <c r="R52" s="43">
        <f>B52*Q52</f>
        <v/>
      </c>
    </row>
    <row r="53">
      <c r="A53" s="17">
        <f>'Loan Tape (S&amp;P)'!A53</f>
        <v/>
      </c>
      <c r="B53" s="18">
        <f>'Loan Tape (S&amp;P)'!B53</f>
        <v/>
      </c>
      <c r="C53" s="18">
        <f>'Loan Tape (S&amp;P)'!D53</f>
        <v/>
      </c>
      <c r="D53" s="20">
        <f>'FF Calculations'!E53</f>
        <v/>
      </c>
      <c r="E53" s="20">
        <f>'Control Panel'!$B$19</f>
        <v/>
      </c>
      <c r="F53" s="17">
        <f>'Loan Tape (S&amp;P)'!I53</f>
        <v/>
      </c>
      <c r="G53" s="20">
        <f>IFERROR(VLOOKUP(F53,'LS Parameters'!$A$6:$B$10,2,FALSE),0.05)</f>
        <v/>
      </c>
      <c r="H53" s="17">
        <f>'Loan Tape (S&amp;P)'!J53</f>
        <v/>
      </c>
      <c r="I53" s="20">
        <f>IFERROR(VLOOKUP(H53,'LS Parameters'!$A$14:$B$25,2,FALSE),0)</f>
        <v/>
      </c>
      <c r="J53" s="20">
        <f>E53+G53+I53</f>
        <v/>
      </c>
      <c r="K53" s="20">
        <f>'Control Panel'!$B$20</f>
        <v/>
      </c>
      <c r="L53" s="20">
        <f>J53+K53</f>
        <v/>
      </c>
      <c r="M53" s="20">
        <f>1-(D53*L53)</f>
        <v/>
      </c>
      <c r="N53" s="20">
        <f>VLOOKUP('Control Panel'!$B$6,'Jurisdiction Parameters'!$A:$N,14,FALSE)</f>
        <v/>
      </c>
      <c r="O53" s="20">
        <f>IF(M53&gt;0,N53,1-M53+N53)</f>
        <v/>
      </c>
      <c r="P53" s="21">
        <f>LET(
    val_type,'Loan Tape (S&amp;P)'!AU53,
    IF(val_type="Full",1.00,
        IF(val_type="Desktop",1.053,
            IF(val_type="Drive-by",1.10,
                1.00)))
)</f>
        <v/>
      </c>
      <c r="Q53" s="32">
        <f>MAX(O53*P53,0)</f>
        <v/>
      </c>
      <c r="R53" s="43">
        <f>B53*Q53</f>
        <v/>
      </c>
    </row>
    <row r="54">
      <c r="A54" s="17">
        <f>'Loan Tape (S&amp;P)'!A54</f>
        <v/>
      </c>
      <c r="B54" s="18">
        <f>'Loan Tape (S&amp;P)'!B54</f>
        <v/>
      </c>
      <c r="C54" s="18">
        <f>'Loan Tape (S&amp;P)'!D54</f>
        <v/>
      </c>
      <c r="D54" s="20">
        <f>'FF Calculations'!E54</f>
        <v/>
      </c>
      <c r="E54" s="20">
        <f>'Control Panel'!$B$19</f>
        <v/>
      </c>
      <c r="F54" s="17">
        <f>'Loan Tape (S&amp;P)'!I54</f>
        <v/>
      </c>
      <c r="G54" s="20">
        <f>IFERROR(VLOOKUP(F54,'LS Parameters'!$A$6:$B$10,2,FALSE),0.05)</f>
        <v/>
      </c>
      <c r="H54" s="17">
        <f>'Loan Tape (S&amp;P)'!J54</f>
        <v/>
      </c>
      <c r="I54" s="20">
        <f>IFERROR(VLOOKUP(H54,'LS Parameters'!$A$14:$B$25,2,FALSE),0)</f>
        <v/>
      </c>
      <c r="J54" s="20">
        <f>E54+G54+I54</f>
        <v/>
      </c>
      <c r="K54" s="20">
        <f>'Control Panel'!$B$20</f>
        <v/>
      </c>
      <c r="L54" s="20">
        <f>J54+K54</f>
        <v/>
      </c>
      <c r="M54" s="20">
        <f>1-(D54*L54)</f>
        <v/>
      </c>
      <c r="N54" s="20">
        <f>VLOOKUP('Control Panel'!$B$6,'Jurisdiction Parameters'!$A:$N,14,FALSE)</f>
        <v/>
      </c>
      <c r="O54" s="20">
        <f>IF(M54&gt;0,N54,1-M54+N54)</f>
        <v/>
      </c>
      <c r="P54" s="21">
        <f>LET(
    val_type,'Loan Tape (S&amp;P)'!AU54,
    IF(val_type="Full",1.00,
        IF(val_type="Desktop",1.054,
            IF(val_type="Drive-by",1.10,
                1.00)))
)</f>
        <v/>
      </c>
      <c r="Q54" s="32">
        <f>MAX(O54*P54,0)</f>
        <v/>
      </c>
      <c r="R54" s="43">
        <f>B54*Q54</f>
        <v/>
      </c>
    </row>
    <row r="55">
      <c r="A55" s="17">
        <f>'Loan Tape (S&amp;P)'!A55</f>
        <v/>
      </c>
      <c r="B55" s="18">
        <f>'Loan Tape (S&amp;P)'!B55</f>
        <v/>
      </c>
      <c r="C55" s="18">
        <f>'Loan Tape (S&amp;P)'!D55</f>
        <v/>
      </c>
      <c r="D55" s="20">
        <f>'FF Calculations'!E55</f>
        <v/>
      </c>
      <c r="E55" s="20">
        <f>'Control Panel'!$B$19</f>
        <v/>
      </c>
      <c r="F55" s="17">
        <f>'Loan Tape (S&amp;P)'!I55</f>
        <v/>
      </c>
      <c r="G55" s="20">
        <f>IFERROR(VLOOKUP(F55,'LS Parameters'!$A$6:$B$10,2,FALSE),0.05)</f>
        <v/>
      </c>
      <c r="H55" s="17">
        <f>'Loan Tape (S&amp;P)'!J55</f>
        <v/>
      </c>
      <c r="I55" s="20">
        <f>IFERROR(VLOOKUP(H55,'LS Parameters'!$A$14:$B$25,2,FALSE),0)</f>
        <v/>
      </c>
      <c r="J55" s="20">
        <f>E55+G55+I55</f>
        <v/>
      </c>
      <c r="K55" s="20">
        <f>'Control Panel'!$B$20</f>
        <v/>
      </c>
      <c r="L55" s="20">
        <f>J55+K55</f>
        <v/>
      </c>
      <c r="M55" s="20">
        <f>1-(D55*L55)</f>
        <v/>
      </c>
      <c r="N55" s="20">
        <f>VLOOKUP('Control Panel'!$B$6,'Jurisdiction Parameters'!$A:$N,14,FALSE)</f>
        <v/>
      </c>
      <c r="O55" s="20">
        <f>IF(M55&gt;0,N55,1-M55+N55)</f>
        <v/>
      </c>
      <c r="P55" s="21">
        <f>LET(
    val_type,'Loan Tape (S&amp;P)'!AU55,
    IF(val_type="Full",1.00,
        IF(val_type="Desktop",1.055,
            IF(val_type="Drive-by",1.10,
                1.00)))
)</f>
        <v/>
      </c>
      <c r="Q55" s="32">
        <f>MAX(O55*P55,0)</f>
        <v/>
      </c>
      <c r="R55" s="43">
        <f>B55*Q55</f>
        <v/>
      </c>
    </row>
    <row r="56">
      <c r="A56" s="17">
        <f>'Loan Tape (S&amp;P)'!A56</f>
        <v/>
      </c>
      <c r="B56" s="18">
        <f>'Loan Tape (S&amp;P)'!B56</f>
        <v/>
      </c>
      <c r="C56" s="18">
        <f>'Loan Tape (S&amp;P)'!D56</f>
        <v/>
      </c>
      <c r="D56" s="20">
        <f>'FF Calculations'!E56</f>
        <v/>
      </c>
      <c r="E56" s="20">
        <f>'Control Panel'!$B$19</f>
        <v/>
      </c>
      <c r="F56" s="17">
        <f>'Loan Tape (S&amp;P)'!I56</f>
        <v/>
      </c>
      <c r="G56" s="20">
        <f>IFERROR(VLOOKUP(F56,'LS Parameters'!$A$6:$B$10,2,FALSE),0.05)</f>
        <v/>
      </c>
      <c r="H56" s="17">
        <f>'Loan Tape (S&amp;P)'!J56</f>
        <v/>
      </c>
      <c r="I56" s="20">
        <f>IFERROR(VLOOKUP(H56,'LS Parameters'!$A$14:$B$25,2,FALSE),0)</f>
        <v/>
      </c>
      <c r="J56" s="20">
        <f>E56+G56+I56</f>
        <v/>
      </c>
      <c r="K56" s="20">
        <f>'Control Panel'!$B$20</f>
        <v/>
      </c>
      <c r="L56" s="20">
        <f>J56+K56</f>
        <v/>
      </c>
      <c r="M56" s="20">
        <f>1-(D56*L56)</f>
        <v/>
      </c>
      <c r="N56" s="20">
        <f>VLOOKUP('Control Panel'!$B$6,'Jurisdiction Parameters'!$A:$N,14,FALSE)</f>
        <v/>
      </c>
      <c r="O56" s="20">
        <f>IF(M56&gt;0,N56,1-M56+N56)</f>
        <v/>
      </c>
      <c r="P56" s="21">
        <f>LET(
    val_type,'Loan Tape (S&amp;P)'!AU56,
    IF(val_type="Full",1.00,
        IF(val_type="Desktop",1.056,
            IF(val_type="Drive-by",1.10,
                1.00)))
)</f>
        <v/>
      </c>
      <c r="Q56" s="32">
        <f>MAX(O56*P56,0)</f>
        <v/>
      </c>
      <c r="R56" s="43">
        <f>B56*Q56</f>
        <v/>
      </c>
    </row>
    <row r="57">
      <c r="A57" s="17">
        <f>'Loan Tape (S&amp;P)'!A57</f>
        <v/>
      </c>
      <c r="B57" s="18">
        <f>'Loan Tape (S&amp;P)'!B57</f>
        <v/>
      </c>
      <c r="C57" s="18">
        <f>'Loan Tape (S&amp;P)'!D57</f>
        <v/>
      </c>
      <c r="D57" s="20">
        <f>'FF Calculations'!E57</f>
        <v/>
      </c>
      <c r="E57" s="20">
        <f>'Control Panel'!$B$19</f>
        <v/>
      </c>
      <c r="F57" s="17">
        <f>'Loan Tape (S&amp;P)'!I57</f>
        <v/>
      </c>
      <c r="G57" s="20">
        <f>IFERROR(VLOOKUP(F57,'LS Parameters'!$A$6:$B$10,2,FALSE),0.05)</f>
        <v/>
      </c>
      <c r="H57" s="17">
        <f>'Loan Tape (S&amp;P)'!J57</f>
        <v/>
      </c>
      <c r="I57" s="20">
        <f>IFERROR(VLOOKUP(H57,'LS Parameters'!$A$14:$B$25,2,FALSE),0)</f>
        <v/>
      </c>
      <c r="J57" s="20">
        <f>E57+G57+I57</f>
        <v/>
      </c>
      <c r="K57" s="20">
        <f>'Control Panel'!$B$20</f>
        <v/>
      </c>
      <c r="L57" s="20">
        <f>J57+K57</f>
        <v/>
      </c>
      <c r="M57" s="20">
        <f>1-(D57*L57)</f>
        <v/>
      </c>
      <c r="N57" s="20">
        <f>VLOOKUP('Control Panel'!$B$6,'Jurisdiction Parameters'!$A:$N,14,FALSE)</f>
        <v/>
      </c>
      <c r="O57" s="20">
        <f>IF(M57&gt;0,N57,1-M57+N57)</f>
        <v/>
      </c>
      <c r="P57" s="21">
        <f>LET(
    val_type,'Loan Tape (S&amp;P)'!AU57,
    IF(val_type="Full",1.00,
        IF(val_type="Desktop",1.057,
            IF(val_type="Drive-by",1.10,
                1.00)))
)</f>
        <v/>
      </c>
      <c r="Q57" s="32">
        <f>MAX(O57*P57,0)</f>
        <v/>
      </c>
      <c r="R57" s="43">
        <f>B57*Q57</f>
        <v/>
      </c>
    </row>
    <row r="58">
      <c r="A58" s="17">
        <f>'Loan Tape (S&amp;P)'!A58</f>
        <v/>
      </c>
      <c r="B58" s="18">
        <f>'Loan Tape (S&amp;P)'!B58</f>
        <v/>
      </c>
      <c r="C58" s="18">
        <f>'Loan Tape (S&amp;P)'!D58</f>
        <v/>
      </c>
      <c r="D58" s="20">
        <f>'FF Calculations'!E58</f>
        <v/>
      </c>
      <c r="E58" s="20">
        <f>'Control Panel'!$B$19</f>
        <v/>
      </c>
      <c r="F58" s="17">
        <f>'Loan Tape (S&amp;P)'!I58</f>
        <v/>
      </c>
      <c r="G58" s="20">
        <f>IFERROR(VLOOKUP(F58,'LS Parameters'!$A$6:$B$10,2,FALSE),0.05)</f>
        <v/>
      </c>
      <c r="H58" s="17">
        <f>'Loan Tape (S&amp;P)'!J58</f>
        <v/>
      </c>
      <c r="I58" s="20">
        <f>IFERROR(VLOOKUP(H58,'LS Parameters'!$A$14:$B$25,2,FALSE),0)</f>
        <v/>
      </c>
      <c r="J58" s="20">
        <f>E58+G58+I58</f>
        <v/>
      </c>
      <c r="K58" s="20">
        <f>'Control Panel'!$B$20</f>
        <v/>
      </c>
      <c r="L58" s="20">
        <f>J58+K58</f>
        <v/>
      </c>
      <c r="M58" s="20">
        <f>1-(D58*L58)</f>
        <v/>
      </c>
      <c r="N58" s="20">
        <f>VLOOKUP('Control Panel'!$B$6,'Jurisdiction Parameters'!$A:$N,14,FALSE)</f>
        <v/>
      </c>
      <c r="O58" s="20">
        <f>IF(M58&gt;0,N58,1-M58+N58)</f>
        <v/>
      </c>
      <c r="P58" s="21">
        <f>LET(
    val_type,'Loan Tape (S&amp;P)'!AU58,
    IF(val_type="Full",1.00,
        IF(val_type="Desktop",1.058,
            IF(val_type="Drive-by",1.10,
                1.00)))
)</f>
        <v/>
      </c>
      <c r="Q58" s="32">
        <f>MAX(O58*P58,0)</f>
        <v/>
      </c>
      <c r="R58" s="43">
        <f>B58*Q58</f>
        <v/>
      </c>
    </row>
    <row r="59">
      <c r="A59" s="17">
        <f>'Loan Tape (S&amp;P)'!A59</f>
        <v/>
      </c>
      <c r="B59" s="18">
        <f>'Loan Tape (S&amp;P)'!B59</f>
        <v/>
      </c>
      <c r="C59" s="18">
        <f>'Loan Tape (S&amp;P)'!D59</f>
        <v/>
      </c>
      <c r="D59" s="20">
        <f>'FF Calculations'!E59</f>
        <v/>
      </c>
      <c r="E59" s="20">
        <f>'Control Panel'!$B$19</f>
        <v/>
      </c>
      <c r="F59" s="17">
        <f>'Loan Tape (S&amp;P)'!I59</f>
        <v/>
      </c>
      <c r="G59" s="20">
        <f>IFERROR(VLOOKUP(F59,'LS Parameters'!$A$6:$B$10,2,FALSE),0.05)</f>
        <v/>
      </c>
      <c r="H59" s="17">
        <f>'Loan Tape (S&amp;P)'!J59</f>
        <v/>
      </c>
      <c r="I59" s="20">
        <f>IFERROR(VLOOKUP(H59,'LS Parameters'!$A$14:$B$25,2,FALSE),0)</f>
        <v/>
      </c>
      <c r="J59" s="20">
        <f>E59+G59+I59</f>
        <v/>
      </c>
      <c r="K59" s="20">
        <f>'Control Panel'!$B$20</f>
        <v/>
      </c>
      <c r="L59" s="20">
        <f>J59+K59</f>
        <v/>
      </c>
      <c r="M59" s="20">
        <f>1-(D59*L59)</f>
        <v/>
      </c>
      <c r="N59" s="20">
        <f>VLOOKUP('Control Panel'!$B$6,'Jurisdiction Parameters'!$A:$N,14,FALSE)</f>
        <v/>
      </c>
      <c r="O59" s="20">
        <f>IF(M59&gt;0,N59,1-M59+N59)</f>
        <v/>
      </c>
      <c r="P59" s="21">
        <f>LET(
    val_type,'Loan Tape (S&amp;P)'!AU59,
    IF(val_type="Full",1.00,
        IF(val_type="Desktop",1.059,
            IF(val_type="Drive-by",1.10,
                1.00)))
)</f>
        <v/>
      </c>
      <c r="Q59" s="32">
        <f>MAX(O59*P59,0)</f>
        <v/>
      </c>
      <c r="R59" s="43">
        <f>B59*Q59</f>
        <v/>
      </c>
    </row>
    <row r="60">
      <c r="A60" s="17">
        <f>'Loan Tape (S&amp;P)'!A60</f>
        <v/>
      </c>
      <c r="B60" s="18">
        <f>'Loan Tape (S&amp;P)'!B60</f>
        <v/>
      </c>
      <c r="C60" s="18">
        <f>'Loan Tape (S&amp;P)'!D60</f>
        <v/>
      </c>
      <c r="D60" s="20">
        <f>'FF Calculations'!E60</f>
        <v/>
      </c>
      <c r="E60" s="20">
        <f>'Control Panel'!$B$19</f>
        <v/>
      </c>
      <c r="F60" s="17">
        <f>'Loan Tape (S&amp;P)'!I60</f>
        <v/>
      </c>
      <c r="G60" s="20">
        <f>IFERROR(VLOOKUP(F60,'LS Parameters'!$A$6:$B$10,2,FALSE),0.05)</f>
        <v/>
      </c>
      <c r="H60" s="17">
        <f>'Loan Tape (S&amp;P)'!J60</f>
        <v/>
      </c>
      <c r="I60" s="20">
        <f>IFERROR(VLOOKUP(H60,'LS Parameters'!$A$14:$B$25,2,FALSE),0)</f>
        <v/>
      </c>
      <c r="J60" s="20">
        <f>E60+G60+I60</f>
        <v/>
      </c>
      <c r="K60" s="20">
        <f>'Control Panel'!$B$20</f>
        <v/>
      </c>
      <c r="L60" s="20">
        <f>J60+K60</f>
        <v/>
      </c>
      <c r="M60" s="20">
        <f>1-(D60*L60)</f>
        <v/>
      </c>
      <c r="N60" s="20">
        <f>VLOOKUP('Control Panel'!$B$6,'Jurisdiction Parameters'!$A:$N,14,FALSE)</f>
        <v/>
      </c>
      <c r="O60" s="20">
        <f>IF(M60&gt;0,N60,1-M60+N60)</f>
        <v/>
      </c>
      <c r="P60" s="21">
        <f>LET(
    val_type,'Loan Tape (S&amp;P)'!AU60,
    IF(val_type="Full",1.00,
        IF(val_type="Desktop",1.060,
            IF(val_type="Drive-by",1.10,
                1.00)))
)</f>
        <v/>
      </c>
      <c r="Q60" s="32">
        <f>MAX(O60*P60,0)</f>
        <v/>
      </c>
      <c r="R60" s="43">
        <f>B60*Q60</f>
        <v/>
      </c>
    </row>
    <row r="61">
      <c r="A61" s="17">
        <f>'Loan Tape (S&amp;P)'!A61</f>
        <v/>
      </c>
      <c r="B61" s="18">
        <f>'Loan Tape (S&amp;P)'!B61</f>
        <v/>
      </c>
      <c r="C61" s="18">
        <f>'Loan Tape (S&amp;P)'!D61</f>
        <v/>
      </c>
      <c r="D61" s="20">
        <f>'FF Calculations'!E61</f>
        <v/>
      </c>
      <c r="E61" s="20">
        <f>'Control Panel'!$B$19</f>
        <v/>
      </c>
      <c r="F61" s="17">
        <f>'Loan Tape (S&amp;P)'!I61</f>
        <v/>
      </c>
      <c r="G61" s="20">
        <f>IFERROR(VLOOKUP(F61,'LS Parameters'!$A$6:$B$10,2,FALSE),0.05)</f>
        <v/>
      </c>
      <c r="H61" s="17">
        <f>'Loan Tape (S&amp;P)'!J61</f>
        <v/>
      </c>
      <c r="I61" s="20">
        <f>IFERROR(VLOOKUP(H61,'LS Parameters'!$A$14:$B$25,2,FALSE),0)</f>
        <v/>
      </c>
      <c r="J61" s="20">
        <f>E61+G61+I61</f>
        <v/>
      </c>
      <c r="K61" s="20">
        <f>'Control Panel'!$B$20</f>
        <v/>
      </c>
      <c r="L61" s="20">
        <f>J61+K61</f>
        <v/>
      </c>
      <c r="M61" s="20">
        <f>1-(D61*L61)</f>
        <v/>
      </c>
      <c r="N61" s="20">
        <f>VLOOKUP('Control Panel'!$B$6,'Jurisdiction Parameters'!$A:$N,14,FALSE)</f>
        <v/>
      </c>
      <c r="O61" s="20">
        <f>IF(M61&gt;0,N61,1-M61+N61)</f>
        <v/>
      </c>
      <c r="P61" s="21">
        <f>LET(
    val_type,'Loan Tape (S&amp;P)'!AU61,
    IF(val_type="Full",1.00,
        IF(val_type="Desktop",1.061,
            IF(val_type="Drive-by",1.10,
                1.00)))
)</f>
        <v/>
      </c>
      <c r="Q61" s="32">
        <f>MAX(O61*P61,0)</f>
        <v/>
      </c>
      <c r="R61" s="43">
        <f>B61*Q61</f>
        <v/>
      </c>
    </row>
    <row r="62">
      <c r="A62" s="17">
        <f>'Loan Tape (S&amp;P)'!A62</f>
        <v/>
      </c>
      <c r="B62" s="18">
        <f>'Loan Tape (S&amp;P)'!B62</f>
        <v/>
      </c>
      <c r="C62" s="18">
        <f>'Loan Tape (S&amp;P)'!D62</f>
        <v/>
      </c>
      <c r="D62" s="20">
        <f>'FF Calculations'!E62</f>
        <v/>
      </c>
      <c r="E62" s="20">
        <f>'Control Panel'!$B$19</f>
        <v/>
      </c>
      <c r="F62" s="17">
        <f>'Loan Tape (S&amp;P)'!I62</f>
        <v/>
      </c>
      <c r="G62" s="20">
        <f>IFERROR(VLOOKUP(F62,'LS Parameters'!$A$6:$B$10,2,FALSE),0.05)</f>
        <v/>
      </c>
      <c r="H62" s="17">
        <f>'Loan Tape (S&amp;P)'!J62</f>
        <v/>
      </c>
      <c r="I62" s="20">
        <f>IFERROR(VLOOKUP(H62,'LS Parameters'!$A$14:$B$25,2,FALSE),0)</f>
        <v/>
      </c>
      <c r="J62" s="20">
        <f>E62+G62+I62</f>
        <v/>
      </c>
      <c r="K62" s="20">
        <f>'Control Panel'!$B$20</f>
        <v/>
      </c>
      <c r="L62" s="20">
        <f>J62+K62</f>
        <v/>
      </c>
      <c r="M62" s="20">
        <f>1-(D62*L62)</f>
        <v/>
      </c>
      <c r="N62" s="20">
        <f>VLOOKUP('Control Panel'!$B$6,'Jurisdiction Parameters'!$A:$N,14,FALSE)</f>
        <v/>
      </c>
      <c r="O62" s="20">
        <f>IF(M62&gt;0,N62,1-M62+N62)</f>
        <v/>
      </c>
      <c r="P62" s="21">
        <f>LET(
    val_type,'Loan Tape (S&amp;P)'!AU62,
    IF(val_type="Full",1.00,
        IF(val_type="Desktop",1.062,
            IF(val_type="Drive-by",1.10,
                1.00)))
)</f>
        <v/>
      </c>
      <c r="Q62" s="32">
        <f>MAX(O62*P62,0)</f>
        <v/>
      </c>
      <c r="R62" s="43">
        <f>B62*Q62</f>
        <v/>
      </c>
    </row>
    <row r="63">
      <c r="A63" s="17">
        <f>'Loan Tape (S&amp;P)'!A63</f>
        <v/>
      </c>
      <c r="B63" s="18">
        <f>'Loan Tape (S&amp;P)'!B63</f>
        <v/>
      </c>
      <c r="C63" s="18">
        <f>'Loan Tape (S&amp;P)'!D63</f>
        <v/>
      </c>
      <c r="D63" s="20">
        <f>'FF Calculations'!E63</f>
        <v/>
      </c>
      <c r="E63" s="20">
        <f>'Control Panel'!$B$19</f>
        <v/>
      </c>
      <c r="F63" s="17">
        <f>'Loan Tape (S&amp;P)'!I63</f>
        <v/>
      </c>
      <c r="G63" s="20">
        <f>IFERROR(VLOOKUP(F63,'LS Parameters'!$A$6:$B$10,2,FALSE),0.05)</f>
        <v/>
      </c>
      <c r="H63" s="17">
        <f>'Loan Tape (S&amp;P)'!J63</f>
        <v/>
      </c>
      <c r="I63" s="20">
        <f>IFERROR(VLOOKUP(H63,'LS Parameters'!$A$14:$B$25,2,FALSE),0)</f>
        <v/>
      </c>
      <c r="J63" s="20">
        <f>E63+G63+I63</f>
        <v/>
      </c>
      <c r="K63" s="20">
        <f>'Control Panel'!$B$20</f>
        <v/>
      </c>
      <c r="L63" s="20">
        <f>J63+K63</f>
        <v/>
      </c>
      <c r="M63" s="20">
        <f>1-(D63*L63)</f>
        <v/>
      </c>
      <c r="N63" s="20">
        <f>VLOOKUP('Control Panel'!$B$6,'Jurisdiction Parameters'!$A:$N,14,FALSE)</f>
        <v/>
      </c>
      <c r="O63" s="20">
        <f>IF(M63&gt;0,N63,1-M63+N63)</f>
        <v/>
      </c>
      <c r="P63" s="21">
        <f>LET(
    val_type,'Loan Tape (S&amp;P)'!AU63,
    IF(val_type="Full",1.00,
        IF(val_type="Desktop",1.063,
            IF(val_type="Drive-by",1.10,
                1.00)))
)</f>
        <v/>
      </c>
      <c r="Q63" s="32">
        <f>MAX(O63*P63,0)</f>
        <v/>
      </c>
      <c r="R63" s="43">
        <f>B63*Q63</f>
        <v/>
      </c>
    </row>
    <row r="64">
      <c r="A64" s="17">
        <f>'Loan Tape (S&amp;P)'!A64</f>
        <v/>
      </c>
      <c r="B64" s="18">
        <f>'Loan Tape (S&amp;P)'!B64</f>
        <v/>
      </c>
      <c r="C64" s="18">
        <f>'Loan Tape (S&amp;P)'!D64</f>
        <v/>
      </c>
      <c r="D64" s="20">
        <f>'FF Calculations'!E64</f>
        <v/>
      </c>
      <c r="E64" s="20">
        <f>'Control Panel'!$B$19</f>
        <v/>
      </c>
      <c r="F64" s="17">
        <f>'Loan Tape (S&amp;P)'!I64</f>
        <v/>
      </c>
      <c r="G64" s="20">
        <f>IFERROR(VLOOKUP(F64,'LS Parameters'!$A$6:$B$10,2,FALSE),0.05)</f>
        <v/>
      </c>
      <c r="H64" s="17">
        <f>'Loan Tape (S&amp;P)'!J64</f>
        <v/>
      </c>
      <c r="I64" s="20">
        <f>IFERROR(VLOOKUP(H64,'LS Parameters'!$A$14:$B$25,2,FALSE),0)</f>
        <v/>
      </c>
      <c r="J64" s="20">
        <f>E64+G64+I64</f>
        <v/>
      </c>
      <c r="K64" s="20">
        <f>'Control Panel'!$B$20</f>
        <v/>
      </c>
      <c r="L64" s="20">
        <f>J64+K64</f>
        <v/>
      </c>
      <c r="M64" s="20">
        <f>1-(D64*L64)</f>
        <v/>
      </c>
      <c r="N64" s="20">
        <f>VLOOKUP('Control Panel'!$B$6,'Jurisdiction Parameters'!$A:$N,14,FALSE)</f>
        <v/>
      </c>
      <c r="O64" s="20">
        <f>IF(M64&gt;0,N64,1-M64+N64)</f>
        <v/>
      </c>
      <c r="P64" s="21">
        <f>LET(
    val_type,'Loan Tape (S&amp;P)'!AU64,
    IF(val_type="Full",1.00,
        IF(val_type="Desktop",1.064,
            IF(val_type="Drive-by",1.10,
                1.00)))
)</f>
        <v/>
      </c>
      <c r="Q64" s="32">
        <f>MAX(O64*P64,0)</f>
        <v/>
      </c>
      <c r="R64" s="43">
        <f>B64*Q64</f>
        <v/>
      </c>
    </row>
    <row r="65">
      <c r="A65" s="17">
        <f>'Loan Tape (S&amp;P)'!A65</f>
        <v/>
      </c>
      <c r="B65" s="18">
        <f>'Loan Tape (S&amp;P)'!B65</f>
        <v/>
      </c>
      <c r="C65" s="18">
        <f>'Loan Tape (S&amp;P)'!D65</f>
        <v/>
      </c>
      <c r="D65" s="20">
        <f>'FF Calculations'!E65</f>
        <v/>
      </c>
      <c r="E65" s="20">
        <f>'Control Panel'!$B$19</f>
        <v/>
      </c>
      <c r="F65" s="17">
        <f>'Loan Tape (S&amp;P)'!I65</f>
        <v/>
      </c>
      <c r="G65" s="20">
        <f>IFERROR(VLOOKUP(F65,'LS Parameters'!$A$6:$B$10,2,FALSE),0.05)</f>
        <v/>
      </c>
      <c r="H65" s="17">
        <f>'Loan Tape (S&amp;P)'!J65</f>
        <v/>
      </c>
      <c r="I65" s="20">
        <f>IFERROR(VLOOKUP(H65,'LS Parameters'!$A$14:$B$25,2,FALSE),0)</f>
        <v/>
      </c>
      <c r="J65" s="20">
        <f>E65+G65+I65</f>
        <v/>
      </c>
      <c r="K65" s="20">
        <f>'Control Panel'!$B$20</f>
        <v/>
      </c>
      <c r="L65" s="20">
        <f>J65+K65</f>
        <v/>
      </c>
      <c r="M65" s="20">
        <f>1-(D65*L65)</f>
        <v/>
      </c>
      <c r="N65" s="20">
        <f>VLOOKUP('Control Panel'!$B$6,'Jurisdiction Parameters'!$A:$N,14,FALSE)</f>
        <v/>
      </c>
      <c r="O65" s="20">
        <f>IF(M65&gt;0,N65,1-M65+N65)</f>
        <v/>
      </c>
      <c r="P65" s="21">
        <f>LET(
    val_type,'Loan Tape (S&amp;P)'!AU65,
    IF(val_type="Full",1.00,
        IF(val_type="Desktop",1.065,
            IF(val_type="Drive-by",1.10,
                1.00)))
)</f>
        <v/>
      </c>
      <c r="Q65" s="32">
        <f>MAX(O65*P65,0)</f>
        <v/>
      </c>
      <c r="R65" s="43">
        <f>B65*Q65</f>
        <v/>
      </c>
    </row>
    <row r="66">
      <c r="A66" s="17">
        <f>'Loan Tape (S&amp;P)'!A66</f>
        <v/>
      </c>
      <c r="B66" s="18">
        <f>'Loan Tape (S&amp;P)'!B66</f>
        <v/>
      </c>
      <c r="C66" s="18">
        <f>'Loan Tape (S&amp;P)'!D66</f>
        <v/>
      </c>
      <c r="D66" s="20">
        <f>'FF Calculations'!E66</f>
        <v/>
      </c>
      <c r="E66" s="20">
        <f>'Control Panel'!$B$19</f>
        <v/>
      </c>
      <c r="F66" s="17">
        <f>'Loan Tape (S&amp;P)'!I66</f>
        <v/>
      </c>
      <c r="G66" s="20">
        <f>IFERROR(VLOOKUP(F66,'LS Parameters'!$A$6:$B$10,2,FALSE),0.05)</f>
        <v/>
      </c>
      <c r="H66" s="17">
        <f>'Loan Tape (S&amp;P)'!J66</f>
        <v/>
      </c>
      <c r="I66" s="20">
        <f>IFERROR(VLOOKUP(H66,'LS Parameters'!$A$14:$B$25,2,FALSE),0)</f>
        <v/>
      </c>
      <c r="J66" s="20">
        <f>E66+G66+I66</f>
        <v/>
      </c>
      <c r="K66" s="20">
        <f>'Control Panel'!$B$20</f>
        <v/>
      </c>
      <c r="L66" s="20">
        <f>J66+K66</f>
        <v/>
      </c>
      <c r="M66" s="20">
        <f>1-(D66*L66)</f>
        <v/>
      </c>
      <c r="N66" s="20">
        <f>VLOOKUP('Control Panel'!$B$6,'Jurisdiction Parameters'!$A:$N,14,FALSE)</f>
        <v/>
      </c>
      <c r="O66" s="20">
        <f>IF(M66&gt;0,N66,1-M66+N66)</f>
        <v/>
      </c>
      <c r="P66" s="21">
        <f>LET(
    val_type,'Loan Tape (S&amp;P)'!AU66,
    IF(val_type="Full",1.00,
        IF(val_type="Desktop",1.066,
            IF(val_type="Drive-by",1.10,
                1.00)))
)</f>
        <v/>
      </c>
      <c r="Q66" s="32">
        <f>MAX(O66*P66,0)</f>
        <v/>
      </c>
      <c r="R66" s="43">
        <f>B66*Q66</f>
        <v/>
      </c>
    </row>
    <row r="67">
      <c r="A67" s="17">
        <f>'Loan Tape (S&amp;P)'!A67</f>
        <v/>
      </c>
      <c r="B67" s="18">
        <f>'Loan Tape (S&amp;P)'!B67</f>
        <v/>
      </c>
      <c r="C67" s="18">
        <f>'Loan Tape (S&amp;P)'!D67</f>
        <v/>
      </c>
      <c r="D67" s="20">
        <f>'FF Calculations'!E67</f>
        <v/>
      </c>
      <c r="E67" s="20">
        <f>'Control Panel'!$B$19</f>
        <v/>
      </c>
      <c r="F67" s="17">
        <f>'Loan Tape (S&amp;P)'!I67</f>
        <v/>
      </c>
      <c r="G67" s="20">
        <f>IFERROR(VLOOKUP(F67,'LS Parameters'!$A$6:$B$10,2,FALSE),0.05)</f>
        <v/>
      </c>
      <c r="H67" s="17">
        <f>'Loan Tape (S&amp;P)'!J67</f>
        <v/>
      </c>
      <c r="I67" s="20">
        <f>IFERROR(VLOOKUP(H67,'LS Parameters'!$A$14:$B$25,2,FALSE),0)</f>
        <v/>
      </c>
      <c r="J67" s="20">
        <f>E67+G67+I67</f>
        <v/>
      </c>
      <c r="K67" s="20">
        <f>'Control Panel'!$B$20</f>
        <v/>
      </c>
      <c r="L67" s="20">
        <f>J67+K67</f>
        <v/>
      </c>
      <c r="M67" s="20">
        <f>1-(D67*L67)</f>
        <v/>
      </c>
      <c r="N67" s="20">
        <f>VLOOKUP('Control Panel'!$B$6,'Jurisdiction Parameters'!$A:$N,14,FALSE)</f>
        <v/>
      </c>
      <c r="O67" s="20">
        <f>IF(M67&gt;0,N67,1-M67+N67)</f>
        <v/>
      </c>
      <c r="P67" s="21">
        <f>LET(
    val_type,'Loan Tape (S&amp;P)'!AU67,
    IF(val_type="Full",1.00,
        IF(val_type="Desktop",1.067,
            IF(val_type="Drive-by",1.10,
                1.00)))
)</f>
        <v/>
      </c>
      <c r="Q67" s="32">
        <f>MAX(O67*P67,0)</f>
        <v/>
      </c>
      <c r="R67" s="43">
        <f>B67*Q67</f>
        <v/>
      </c>
    </row>
    <row r="68">
      <c r="A68" s="17">
        <f>'Loan Tape (S&amp;P)'!A68</f>
        <v/>
      </c>
      <c r="B68" s="18">
        <f>'Loan Tape (S&amp;P)'!B68</f>
        <v/>
      </c>
      <c r="C68" s="18">
        <f>'Loan Tape (S&amp;P)'!D68</f>
        <v/>
      </c>
      <c r="D68" s="20">
        <f>'FF Calculations'!E68</f>
        <v/>
      </c>
      <c r="E68" s="20">
        <f>'Control Panel'!$B$19</f>
        <v/>
      </c>
      <c r="F68" s="17">
        <f>'Loan Tape (S&amp;P)'!I68</f>
        <v/>
      </c>
      <c r="G68" s="20">
        <f>IFERROR(VLOOKUP(F68,'LS Parameters'!$A$6:$B$10,2,FALSE),0.05)</f>
        <v/>
      </c>
      <c r="H68" s="17">
        <f>'Loan Tape (S&amp;P)'!J68</f>
        <v/>
      </c>
      <c r="I68" s="20">
        <f>IFERROR(VLOOKUP(H68,'LS Parameters'!$A$14:$B$25,2,FALSE),0)</f>
        <v/>
      </c>
      <c r="J68" s="20">
        <f>E68+G68+I68</f>
        <v/>
      </c>
      <c r="K68" s="20">
        <f>'Control Panel'!$B$20</f>
        <v/>
      </c>
      <c r="L68" s="20">
        <f>J68+K68</f>
        <v/>
      </c>
      <c r="M68" s="20">
        <f>1-(D68*L68)</f>
        <v/>
      </c>
      <c r="N68" s="20">
        <f>VLOOKUP('Control Panel'!$B$6,'Jurisdiction Parameters'!$A:$N,14,FALSE)</f>
        <v/>
      </c>
      <c r="O68" s="20">
        <f>IF(M68&gt;0,N68,1-M68+N68)</f>
        <v/>
      </c>
      <c r="P68" s="21">
        <f>LET(
    val_type,'Loan Tape (S&amp;P)'!AU68,
    IF(val_type="Full",1.00,
        IF(val_type="Desktop",1.068,
            IF(val_type="Drive-by",1.10,
                1.00)))
)</f>
        <v/>
      </c>
      <c r="Q68" s="32">
        <f>MAX(O68*P68,0)</f>
        <v/>
      </c>
      <c r="R68" s="43">
        <f>B68*Q68</f>
        <v/>
      </c>
    </row>
    <row r="69">
      <c r="A69" s="17">
        <f>'Loan Tape (S&amp;P)'!A69</f>
        <v/>
      </c>
      <c r="B69" s="18">
        <f>'Loan Tape (S&amp;P)'!B69</f>
        <v/>
      </c>
      <c r="C69" s="18">
        <f>'Loan Tape (S&amp;P)'!D69</f>
        <v/>
      </c>
      <c r="D69" s="20">
        <f>'FF Calculations'!E69</f>
        <v/>
      </c>
      <c r="E69" s="20">
        <f>'Control Panel'!$B$19</f>
        <v/>
      </c>
      <c r="F69" s="17">
        <f>'Loan Tape (S&amp;P)'!I69</f>
        <v/>
      </c>
      <c r="G69" s="20">
        <f>IFERROR(VLOOKUP(F69,'LS Parameters'!$A$6:$B$10,2,FALSE),0.05)</f>
        <v/>
      </c>
      <c r="H69" s="17">
        <f>'Loan Tape (S&amp;P)'!J69</f>
        <v/>
      </c>
      <c r="I69" s="20">
        <f>IFERROR(VLOOKUP(H69,'LS Parameters'!$A$14:$B$25,2,FALSE),0)</f>
        <v/>
      </c>
      <c r="J69" s="20">
        <f>E69+G69+I69</f>
        <v/>
      </c>
      <c r="K69" s="20">
        <f>'Control Panel'!$B$20</f>
        <v/>
      </c>
      <c r="L69" s="20">
        <f>J69+K69</f>
        <v/>
      </c>
      <c r="M69" s="20">
        <f>1-(D69*L69)</f>
        <v/>
      </c>
      <c r="N69" s="20">
        <f>VLOOKUP('Control Panel'!$B$6,'Jurisdiction Parameters'!$A:$N,14,FALSE)</f>
        <v/>
      </c>
      <c r="O69" s="20">
        <f>IF(M69&gt;0,N69,1-M69+N69)</f>
        <v/>
      </c>
      <c r="P69" s="21">
        <f>LET(
    val_type,'Loan Tape (S&amp;P)'!AU69,
    IF(val_type="Full",1.00,
        IF(val_type="Desktop",1.069,
            IF(val_type="Drive-by",1.10,
                1.00)))
)</f>
        <v/>
      </c>
      <c r="Q69" s="32">
        <f>MAX(O69*P69,0)</f>
        <v/>
      </c>
      <c r="R69" s="43">
        <f>B69*Q69</f>
        <v/>
      </c>
    </row>
    <row r="70">
      <c r="A70" s="17">
        <f>'Loan Tape (S&amp;P)'!A70</f>
        <v/>
      </c>
      <c r="B70" s="18">
        <f>'Loan Tape (S&amp;P)'!B70</f>
        <v/>
      </c>
      <c r="C70" s="18">
        <f>'Loan Tape (S&amp;P)'!D70</f>
        <v/>
      </c>
      <c r="D70" s="20">
        <f>'FF Calculations'!E70</f>
        <v/>
      </c>
      <c r="E70" s="20">
        <f>'Control Panel'!$B$19</f>
        <v/>
      </c>
      <c r="F70" s="17">
        <f>'Loan Tape (S&amp;P)'!I70</f>
        <v/>
      </c>
      <c r="G70" s="20">
        <f>IFERROR(VLOOKUP(F70,'LS Parameters'!$A$6:$B$10,2,FALSE),0.05)</f>
        <v/>
      </c>
      <c r="H70" s="17">
        <f>'Loan Tape (S&amp;P)'!J70</f>
        <v/>
      </c>
      <c r="I70" s="20">
        <f>IFERROR(VLOOKUP(H70,'LS Parameters'!$A$14:$B$25,2,FALSE),0)</f>
        <v/>
      </c>
      <c r="J70" s="20">
        <f>E70+G70+I70</f>
        <v/>
      </c>
      <c r="K70" s="20">
        <f>'Control Panel'!$B$20</f>
        <v/>
      </c>
      <c r="L70" s="20">
        <f>J70+K70</f>
        <v/>
      </c>
      <c r="M70" s="20">
        <f>1-(D70*L70)</f>
        <v/>
      </c>
      <c r="N70" s="20">
        <f>VLOOKUP('Control Panel'!$B$6,'Jurisdiction Parameters'!$A:$N,14,FALSE)</f>
        <v/>
      </c>
      <c r="O70" s="20">
        <f>IF(M70&gt;0,N70,1-M70+N70)</f>
        <v/>
      </c>
      <c r="P70" s="21">
        <f>LET(
    val_type,'Loan Tape (S&amp;P)'!AU70,
    IF(val_type="Full",1.00,
        IF(val_type="Desktop",1.070,
            IF(val_type="Drive-by",1.10,
                1.00)))
)</f>
        <v/>
      </c>
      <c r="Q70" s="32">
        <f>MAX(O70*P70,0)</f>
        <v/>
      </c>
      <c r="R70" s="43">
        <f>B70*Q70</f>
        <v/>
      </c>
    </row>
    <row r="71">
      <c r="A71" s="17">
        <f>'Loan Tape (S&amp;P)'!A71</f>
        <v/>
      </c>
      <c r="B71" s="18">
        <f>'Loan Tape (S&amp;P)'!B71</f>
        <v/>
      </c>
      <c r="C71" s="18">
        <f>'Loan Tape (S&amp;P)'!D71</f>
        <v/>
      </c>
      <c r="D71" s="20">
        <f>'FF Calculations'!E71</f>
        <v/>
      </c>
      <c r="E71" s="20">
        <f>'Control Panel'!$B$19</f>
        <v/>
      </c>
      <c r="F71" s="17">
        <f>'Loan Tape (S&amp;P)'!I71</f>
        <v/>
      </c>
      <c r="G71" s="20">
        <f>IFERROR(VLOOKUP(F71,'LS Parameters'!$A$6:$B$10,2,FALSE),0.05)</f>
        <v/>
      </c>
      <c r="H71" s="17">
        <f>'Loan Tape (S&amp;P)'!J71</f>
        <v/>
      </c>
      <c r="I71" s="20">
        <f>IFERROR(VLOOKUP(H71,'LS Parameters'!$A$14:$B$25,2,FALSE),0)</f>
        <v/>
      </c>
      <c r="J71" s="20">
        <f>E71+G71+I71</f>
        <v/>
      </c>
      <c r="K71" s="20">
        <f>'Control Panel'!$B$20</f>
        <v/>
      </c>
      <c r="L71" s="20">
        <f>J71+K71</f>
        <v/>
      </c>
      <c r="M71" s="20">
        <f>1-(D71*L71)</f>
        <v/>
      </c>
      <c r="N71" s="20">
        <f>VLOOKUP('Control Panel'!$B$6,'Jurisdiction Parameters'!$A:$N,14,FALSE)</f>
        <v/>
      </c>
      <c r="O71" s="20">
        <f>IF(M71&gt;0,N71,1-M71+N71)</f>
        <v/>
      </c>
      <c r="P71" s="21">
        <f>LET(
    val_type,'Loan Tape (S&amp;P)'!AU71,
    IF(val_type="Full",1.00,
        IF(val_type="Desktop",1.071,
            IF(val_type="Drive-by",1.10,
                1.00)))
)</f>
        <v/>
      </c>
      <c r="Q71" s="32">
        <f>MAX(O71*P71,0)</f>
        <v/>
      </c>
      <c r="R71" s="43">
        <f>B71*Q71</f>
        <v/>
      </c>
    </row>
    <row r="72">
      <c r="A72" s="17">
        <f>'Loan Tape (S&amp;P)'!A72</f>
        <v/>
      </c>
      <c r="B72" s="18">
        <f>'Loan Tape (S&amp;P)'!B72</f>
        <v/>
      </c>
      <c r="C72" s="18">
        <f>'Loan Tape (S&amp;P)'!D72</f>
        <v/>
      </c>
      <c r="D72" s="20">
        <f>'FF Calculations'!E72</f>
        <v/>
      </c>
      <c r="E72" s="20">
        <f>'Control Panel'!$B$19</f>
        <v/>
      </c>
      <c r="F72" s="17">
        <f>'Loan Tape (S&amp;P)'!I72</f>
        <v/>
      </c>
      <c r="G72" s="20">
        <f>IFERROR(VLOOKUP(F72,'LS Parameters'!$A$6:$B$10,2,FALSE),0.05)</f>
        <v/>
      </c>
      <c r="H72" s="17">
        <f>'Loan Tape (S&amp;P)'!J72</f>
        <v/>
      </c>
      <c r="I72" s="20">
        <f>IFERROR(VLOOKUP(H72,'LS Parameters'!$A$14:$B$25,2,FALSE),0)</f>
        <v/>
      </c>
      <c r="J72" s="20">
        <f>E72+G72+I72</f>
        <v/>
      </c>
      <c r="K72" s="20">
        <f>'Control Panel'!$B$20</f>
        <v/>
      </c>
      <c r="L72" s="20">
        <f>J72+K72</f>
        <v/>
      </c>
      <c r="M72" s="20">
        <f>1-(D72*L72)</f>
        <v/>
      </c>
      <c r="N72" s="20">
        <f>VLOOKUP('Control Panel'!$B$6,'Jurisdiction Parameters'!$A:$N,14,FALSE)</f>
        <v/>
      </c>
      <c r="O72" s="20">
        <f>IF(M72&gt;0,N72,1-M72+N72)</f>
        <v/>
      </c>
      <c r="P72" s="21">
        <f>LET(
    val_type,'Loan Tape (S&amp;P)'!AU72,
    IF(val_type="Full",1.00,
        IF(val_type="Desktop",1.072,
            IF(val_type="Drive-by",1.10,
                1.00)))
)</f>
        <v/>
      </c>
      <c r="Q72" s="32">
        <f>MAX(O72*P72,0)</f>
        <v/>
      </c>
      <c r="R72" s="43">
        <f>B72*Q72</f>
        <v/>
      </c>
    </row>
    <row r="73">
      <c r="A73" s="17">
        <f>'Loan Tape (S&amp;P)'!A73</f>
        <v/>
      </c>
      <c r="B73" s="18">
        <f>'Loan Tape (S&amp;P)'!B73</f>
        <v/>
      </c>
      <c r="C73" s="18">
        <f>'Loan Tape (S&amp;P)'!D73</f>
        <v/>
      </c>
      <c r="D73" s="20">
        <f>'FF Calculations'!E73</f>
        <v/>
      </c>
      <c r="E73" s="20">
        <f>'Control Panel'!$B$19</f>
        <v/>
      </c>
      <c r="F73" s="17">
        <f>'Loan Tape (S&amp;P)'!I73</f>
        <v/>
      </c>
      <c r="G73" s="20">
        <f>IFERROR(VLOOKUP(F73,'LS Parameters'!$A$6:$B$10,2,FALSE),0.05)</f>
        <v/>
      </c>
      <c r="H73" s="17">
        <f>'Loan Tape (S&amp;P)'!J73</f>
        <v/>
      </c>
      <c r="I73" s="20">
        <f>IFERROR(VLOOKUP(H73,'LS Parameters'!$A$14:$B$25,2,FALSE),0)</f>
        <v/>
      </c>
      <c r="J73" s="20">
        <f>E73+G73+I73</f>
        <v/>
      </c>
      <c r="K73" s="20">
        <f>'Control Panel'!$B$20</f>
        <v/>
      </c>
      <c r="L73" s="20">
        <f>J73+K73</f>
        <v/>
      </c>
      <c r="M73" s="20">
        <f>1-(D73*L73)</f>
        <v/>
      </c>
      <c r="N73" s="20">
        <f>VLOOKUP('Control Panel'!$B$6,'Jurisdiction Parameters'!$A:$N,14,FALSE)</f>
        <v/>
      </c>
      <c r="O73" s="20">
        <f>IF(M73&gt;0,N73,1-M73+N73)</f>
        <v/>
      </c>
      <c r="P73" s="21">
        <f>LET(
    val_type,'Loan Tape (S&amp;P)'!AU73,
    IF(val_type="Full",1.00,
        IF(val_type="Desktop",1.073,
            IF(val_type="Drive-by",1.10,
                1.00)))
)</f>
        <v/>
      </c>
      <c r="Q73" s="32">
        <f>MAX(O73*P73,0)</f>
        <v/>
      </c>
      <c r="R73" s="43">
        <f>B73*Q73</f>
        <v/>
      </c>
    </row>
    <row r="74">
      <c r="A74" s="17">
        <f>'Loan Tape (S&amp;P)'!A74</f>
        <v/>
      </c>
      <c r="B74" s="18">
        <f>'Loan Tape (S&amp;P)'!B74</f>
        <v/>
      </c>
      <c r="C74" s="18">
        <f>'Loan Tape (S&amp;P)'!D74</f>
        <v/>
      </c>
      <c r="D74" s="20">
        <f>'FF Calculations'!E74</f>
        <v/>
      </c>
      <c r="E74" s="20">
        <f>'Control Panel'!$B$19</f>
        <v/>
      </c>
      <c r="F74" s="17">
        <f>'Loan Tape (S&amp;P)'!I74</f>
        <v/>
      </c>
      <c r="G74" s="20">
        <f>IFERROR(VLOOKUP(F74,'LS Parameters'!$A$6:$B$10,2,FALSE),0.05)</f>
        <v/>
      </c>
      <c r="H74" s="17">
        <f>'Loan Tape (S&amp;P)'!J74</f>
        <v/>
      </c>
      <c r="I74" s="20">
        <f>IFERROR(VLOOKUP(H74,'LS Parameters'!$A$14:$B$25,2,FALSE),0)</f>
        <v/>
      </c>
      <c r="J74" s="20">
        <f>E74+G74+I74</f>
        <v/>
      </c>
      <c r="K74" s="20">
        <f>'Control Panel'!$B$20</f>
        <v/>
      </c>
      <c r="L74" s="20">
        <f>J74+K74</f>
        <v/>
      </c>
      <c r="M74" s="20">
        <f>1-(D74*L74)</f>
        <v/>
      </c>
      <c r="N74" s="20">
        <f>VLOOKUP('Control Panel'!$B$6,'Jurisdiction Parameters'!$A:$N,14,FALSE)</f>
        <v/>
      </c>
      <c r="O74" s="20">
        <f>IF(M74&gt;0,N74,1-M74+N74)</f>
        <v/>
      </c>
      <c r="P74" s="21">
        <f>LET(
    val_type,'Loan Tape (S&amp;P)'!AU74,
    IF(val_type="Full",1.00,
        IF(val_type="Desktop",1.074,
            IF(val_type="Drive-by",1.10,
                1.00)))
)</f>
        <v/>
      </c>
      <c r="Q74" s="32">
        <f>MAX(O74*P74,0)</f>
        <v/>
      </c>
      <c r="R74" s="43">
        <f>B74*Q74</f>
        <v/>
      </c>
    </row>
    <row r="75">
      <c r="A75" s="17">
        <f>'Loan Tape (S&amp;P)'!A75</f>
        <v/>
      </c>
      <c r="B75" s="18">
        <f>'Loan Tape (S&amp;P)'!B75</f>
        <v/>
      </c>
      <c r="C75" s="18">
        <f>'Loan Tape (S&amp;P)'!D75</f>
        <v/>
      </c>
      <c r="D75" s="20">
        <f>'FF Calculations'!E75</f>
        <v/>
      </c>
      <c r="E75" s="20">
        <f>'Control Panel'!$B$19</f>
        <v/>
      </c>
      <c r="F75" s="17">
        <f>'Loan Tape (S&amp;P)'!I75</f>
        <v/>
      </c>
      <c r="G75" s="20">
        <f>IFERROR(VLOOKUP(F75,'LS Parameters'!$A$6:$B$10,2,FALSE),0.05)</f>
        <v/>
      </c>
      <c r="H75" s="17">
        <f>'Loan Tape (S&amp;P)'!J75</f>
        <v/>
      </c>
      <c r="I75" s="20">
        <f>IFERROR(VLOOKUP(H75,'LS Parameters'!$A$14:$B$25,2,FALSE),0)</f>
        <v/>
      </c>
      <c r="J75" s="20">
        <f>E75+G75+I75</f>
        <v/>
      </c>
      <c r="K75" s="20">
        <f>'Control Panel'!$B$20</f>
        <v/>
      </c>
      <c r="L75" s="20">
        <f>J75+K75</f>
        <v/>
      </c>
      <c r="M75" s="20">
        <f>1-(D75*L75)</f>
        <v/>
      </c>
      <c r="N75" s="20">
        <f>VLOOKUP('Control Panel'!$B$6,'Jurisdiction Parameters'!$A:$N,14,FALSE)</f>
        <v/>
      </c>
      <c r="O75" s="20">
        <f>IF(M75&gt;0,N75,1-M75+N75)</f>
        <v/>
      </c>
      <c r="P75" s="21">
        <f>LET(
    val_type,'Loan Tape (S&amp;P)'!AU75,
    IF(val_type="Full",1.00,
        IF(val_type="Desktop",1.075,
            IF(val_type="Drive-by",1.10,
                1.00)))
)</f>
        <v/>
      </c>
      <c r="Q75" s="32">
        <f>MAX(O75*P75,0)</f>
        <v/>
      </c>
      <c r="R75" s="43">
        <f>B75*Q75</f>
        <v/>
      </c>
    </row>
    <row r="76">
      <c r="A76" s="17">
        <f>'Loan Tape (S&amp;P)'!A76</f>
        <v/>
      </c>
      <c r="B76" s="18">
        <f>'Loan Tape (S&amp;P)'!B76</f>
        <v/>
      </c>
      <c r="C76" s="18">
        <f>'Loan Tape (S&amp;P)'!D76</f>
        <v/>
      </c>
      <c r="D76" s="20">
        <f>'FF Calculations'!E76</f>
        <v/>
      </c>
      <c r="E76" s="20">
        <f>'Control Panel'!$B$19</f>
        <v/>
      </c>
      <c r="F76" s="17">
        <f>'Loan Tape (S&amp;P)'!I76</f>
        <v/>
      </c>
      <c r="G76" s="20">
        <f>IFERROR(VLOOKUP(F76,'LS Parameters'!$A$6:$B$10,2,FALSE),0.05)</f>
        <v/>
      </c>
      <c r="H76" s="17">
        <f>'Loan Tape (S&amp;P)'!J76</f>
        <v/>
      </c>
      <c r="I76" s="20">
        <f>IFERROR(VLOOKUP(H76,'LS Parameters'!$A$14:$B$25,2,FALSE),0)</f>
        <v/>
      </c>
      <c r="J76" s="20">
        <f>E76+G76+I76</f>
        <v/>
      </c>
      <c r="K76" s="20">
        <f>'Control Panel'!$B$20</f>
        <v/>
      </c>
      <c r="L76" s="20">
        <f>J76+K76</f>
        <v/>
      </c>
      <c r="M76" s="20">
        <f>1-(D76*L76)</f>
        <v/>
      </c>
      <c r="N76" s="20">
        <f>VLOOKUP('Control Panel'!$B$6,'Jurisdiction Parameters'!$A:$N,14,FALSE)</f>
        <v/>
      </c>
      <c r="O76" s="20">
        <f>IF(M76&gt;0,N76,1-M76+N76)</f>
        <v/>
      </c>
      <c r="P76" s="21">
        <f>LET(
    val_type,'Loan Tape (S&amp;P)'!AU76,
    IF(val_type="Full",1.00,
        IF(val_type="Desktop",1.076,
            IF(val_type="Drive-by",1.10,
                1.00)))
)</f>
        <v/>
      </c>
      <c r="Q76" s="32">
        <f>MAX(O76*P76,0)</f>
        <v/>
      </c>
      <c r="R76" s="43">
        <f>B76*Q76</f>
        <v/>
      </c>
    </row>
    <row r="77">
      <c r="A77" s="17">
        <f>'Loan Tape (S&amp;P)'!A77</f>
        <v/>
      </c>
      <c r="B77" s="18">
        <f>'Loan Tape (S&amp;P)'!B77</f>
        <v/>
      </c>
      <c r="C77" s="18">
        <f>'Loan Tape (S&amp;P)'!D77</f>
        <v/>
      </c>
      <c r="D77" s="20">
        <f>'FF Calculations'!E77</f>
        <v/>
      </c>
      <c r="E77" s="20">
        <f>'Control Panel'!$B$19</f>
        <v/>
      </c>
      <c r="F77" s="17">
        <f>'Loan Tape (S&amp;P)'!I77</f>
        <v/>
      </c>
      <c r="G77" s="20">
        <f>IFERROR(VLOOKUP(F77,'LS Parameters'!$A$6:$B$10,2,FALSE),0.05)</f>
        <v/>
      </c>
      <c r="H77" s="17">
        <f>'Loan Tape (S&amp;P)'!J77</f>
        <v/>
      </c>
      <c r="I77" s="20">
        <f>IFERROR(VLOOKUP(H77,'LS Parameters'!$A$14:$B$25,2,FALSE),0)</f>
        <v/>
      </c>
      <c r="J77" s="20">
        <f>E77+G77+I77</f>
        <v/>
      </c>
      <c r="K77" s="20">
        <f>'Control Panel'!$B$20</f>
        <v/>
      </c>
      <c r="L77" s="20">
        <f>J77+K77</f>
        <v/>
      </c>
      <c r="M77" s="20">
        <f>1-(D77*L77)</f>
        <v/>
      </c>
      <c r="N77" s="20">
        <f>VLOOKUP('Control Panel'!$B$6,'Jurisdiction Parameters'!$A:$N,14,FALSE)</f>
        <v/>
      </c>
      <c r="O77" s="20">
        <f>IF(M77&gt;0,N77,1-M77+N77)</f>
        <v/>
      </c>
      <c r="P77" s="21">
        <f>LET(
    val_type,'Loan Tape (S&amp;P)'!AU77,
    IF(val_type="Full",1.00,
        IF(val_type="Desktop",1.077,
            IF(val_type="Drive-by",1.10,
                1.00)))
)</f>
        <v/>
      </c>
      <c r="Q77" s="32">
        <f>MAX(O77*P77,0)</f>
        <v/>
      </c>
      <c r="R77" s="43">
        <f>B77*Q77</f>
        <v/>
      </c>
    </row>
    <row r="78">
      <c r="A78" s="17">
        <f>'Loan Tape (S&amp;P)'!A78</f>
        <v/>
      </c>
      <c r="B78" s="18">
        <f>'Loan Tape (S&amp;P)'!B78</f>
        <v/>
      </c>
      <c r="C78" s="18">
        <f>'Loan Tape (S&amp;P)'!D78</f>
        <v/>
      </c>
      <c r="D78" s="20">
        <f>'FF Calculations'!E78</f>
        <v/>
      </c>
      <c r="E78" s="20">
        <f>'Control Panel'!$B$19</f>
        <v/>
      </c>
      <c r="F78" s="17">
        <f>'Loan Tape (S&amp;P)'!I78</f>
        <v/>
      </c>
      <c r="G78" s="20">
        <f>IFERROR(VLOOKUP(F78,'LS Parameters'!$A$6:$B$10,2,FALSE),0.05)</f>
        <v/>
      </c>
      <c r="H78" s="17">
        <f>'Loan Tape (S&amp;P)'!J78</f>
        <v/>
      </c>
      <c r="I78" s="20">
        <f>IFERROR(VLOOKUP(H78,'LS Parameters'!$A$14:$B$25,2,FALSE),0)</f>
        <v/>
      </c>
      <c r="J78" s="20">
        <f>E78+G78+I78</f>
        <v/>
      </c>
      <c r="K78" s="20">
        <f>'Control Panel'!$B$20</f>
        <v/>
      </c>
      <c r="L78" s="20">
        <f>J78+K78</f>
        <v/>
      </c>
      <c r="M78" s="20">
        <f>1-(D78*L78)</f>
        <v/>
      </c>
      <c r="N78" s="20">
        <f>VLOOKUP('Control Panel'!$B$6,'Jurisdiction Parameters'!$A:$N,14,FALSE)</f>
        <v/>
      </c>
      <c r="O78" s="20">
        <f>IF(M78&gt;0,N78,1-M78+N78)</f>
        <v/>
      </c>
      <c r="P78" s="21">
        <f>LET(
    val_type,'Loan Tape (S&amp;P)'!AU78,
    IF(val_type="Full",1.00,
        IF(val_type="Desktop",1.078,
            IF(val_type="Drive-by",1.10,
                1.00)))
)</f>
        <v/>
      </c>
      <c r="Q78" s="32">
        <f>MAX(O78*P78,0)</f>
        <v/>
      </c>
      <c r="R78" s="43">
        <f>B78*Q78</f>
        <v/>
      </c>
    </row>
    <row r="79">
      <c r="A79" s="17">
        <f>'Loan Tape (S&amp;P)'!A79</f>
        <v/>
      </c>
      <c r="B79" s="18">
        <f>'Loan Tape (S&amp;P)'!B79</f>
        <v/>
      </c>
      <c r="C79" s="18">
        <f>'Loan Tape (S&amp;P)'!D79</f>
        <v/>
      </c>
      <c r="D79" s="20">
        <f>'FF Calculations'!E79</f>
        <v/>
      </c>
      <c r="E79" s="20">
        <f>'Control Panel'!$B$19</f>
        <v/>
      </c>
      <c r="F79" s="17">
        <f>'Loan Tape (S&amp;P)'!I79</f>
        <v/>
      </c>
      <c r="G79" s="20">
        <f>IFERROR(VLOOKUP(F79,'LS Parameters'!$A$6:$B$10,2,FALSE),0.05)</f>
        <v/>
      </c>
      <c r="H79" s="17">
        <f>'Loan Tape (S&amp;P)'!J79</f>
        <v/>
      </c>
      <c r="I79" s="20">
        <f>IFERROR(VLOOKUP(H79,'LS Parameters'!$A$14:$B$25,2,FALSE),0)</f>
        <v/>
      </c>
      <c r="J79" s="20">
        <f>E79+G79+I79</f>
        <v/>
      </c>
      <c r="K79" s="20">
        <f>'Control Panel'!$B$20</f>
        <v/>
      </c>
      <c r="L79" s="20">
        <f>J79+K79</f>
        <v/>
      </c>
      <c r="M79" s="20">
        <f>1-(D79*L79)</f>
        <v/>
      </c>
      <c r="N79" s="20">
        <f>VLOOKUP('Control Panel'!$B$6,'Jurisdiction Parameters'!$A:$N,14,FALSE)</f>
        <v/>
      </c>
      <c r="O79" s="20">
        <f>IF(M79&gt;0,N79,1-M79+N79)</f>
        <v/>
      </c>
      <c r="P79" s="21">
        <f>LET(
    val_type,'Loan Tape (S&amp;P)'!AU79,
    IF(val_type="Full",1.00,
        IF(val_type="Desktop",1.079,
            IF(val_type="Drive-by",1.10,
                1.00)))
)</f>
        <v/>
      </c>
      <c r="Q79" s="32">
        <f>MAX(O79*P79,0)</f>
        <v/>
      </c>
      <c r="R79" s="43">
        <f>B79*Q79</f>
        <v/>
      </c>
    </row>
    <row r="80">
      <c r="A80" s="17">
        <f>'Loan Tape (S&amp;P)'!A80</f>
        <v/>
      </c>
      <c r="B80" s="18">
        <f>'Loan Tape (S&amp;P)'!B80</f>
        <v/>
      </c>
      <c r="C80" s="18">
        <f>'Loan Tape (S&amp;P)'!D80</f>
        <v/>
      </c>
      <c r="D80" s="20">
        <f>'FF Calculations'!E80</f>
        <v/>
      </c>
      <c r="E80" s="20">
        <f>'Control Panel'!$B$19</f>
        <v/>
      </c>
      <c r="F80" s="17">
        <f>'Loan Tape (S&amp;P)'!I80</f>
        <v/>
      </c>
      <c r="G80" s="20">
        <f>IFERROR(VLOOKUP(F80,'LS Parameters'!$A$6:$B$10,2,FALSE),0.05)</f>
        <v/>
      </c>
      <c r="H80" s="17">
        <f>'Loan Tape (S&amp;P)'!J80</f>
        <v/>
      </c>
      <c r="I80" s="20">
        <f>IFERROR(VLOOKUP(H80,'LS Parameters'!$A$14:$B$25,2,FALSE),0)</f>
        <v/>
      </c>
      <c r="J80" s="20">
        <f>E80+G80+I80</f>
        <v/>
      </c>
      <c r="K80" s="20">
        <f>'Control Panel'!$B$20</f>
        <v/>
      </c>
      <c r="L80" s="20">
        <f>J80+K80</f>
        <v/>
      </c>
      <c r="M80" s="20">
        <f>1-(D80*L80)</f>
        <v/>
      </c>
      <c r="N80" s="20">
        <f>VLOOKUP('Control Panel'!$B$6,'Jurisdiction Parameters'!$A:$N,14,FALSE)</f>
        <v/>
      </c>
      <c r="O80" s="20">
        <f>IF(M80&gt;0,N80,1-M80+N80)</f>
        <v/>
      </c>
      <c r="P80" s="21">
        <f>LET(
    val_type,'Loan Tape (S&amp;P)'!AU80,
    IF(val_type="Full",1.00,
        IF(val_type="Desktop",1.080,
            IF(val_type="Drive-by",1.10,
                1.00)))
)</f>
        <v/>
      </c>
      <c r="Q80" s="32">
        <f>MAX(O80*P80,0)</f>
        <v/>
      </c>
      <c r="R80" s="43">
        <f>B80*Q80</f>
        <v/>
      </c>
    </row>
    <row r="81">
      <c r="A81" s="17">
        <f>'Loan Tape (S&amp;P)'!A81</f>
        <v/>
      </c>
      <c r="B81" s="18">
        <f>'Loan Tape (S&amp;P)'!B81</f>
        <v/>
      </c>
      <c r="C81" s="18">
        <f>'Loan Tape (S&amp;P)'!D81</f>
        <v/>
      </c>
      <c r="D81" s="20">
        <f>'FF Calculations'!E81</f>
        <v/>
      </c>
      <c r="E81" s="20">
        <f>'Control Panel'!$B$19</f>
        <v/>
      </c>
      <c r="F81" s="17">
        <f>'Loan Tape (S&amp;P)'!I81</f>
        <v/>
      </c>
      <c r="G81" s="20">
        <f>IFERROR(VLOOKUP(F81,'LS Parameters'!$A$6:$B$10,2,FALSE),0.05)</f>
        <v/>
      </c>
      <c r="H81" s="17">
        <f>'Loan Tape (S&amp;P)'!J81</f>
        <v/>
      </c>
      <c r="I81" s="20">
        <f>IFERROR(VLOOKUP(H81,'LS Parameters'!$A$14:$B$25,2,FALSE),0)</f>
        <v/>
      </c>
      <c r="J81" s="20">
        <f>E81+G81+I81</f>
        <v/>
      </c>
      <c r="K81" s="20">
        <f>'Control Panel'!$B$20</f>
        <v/>
      </c>
      <c r="L81" s="20">
        <f>J81+K81</f>
        <v/>
      </c>
      <c r="M81" s="20">
        <f>1-(D81*L81)</f>
        <v/>
      </c>
      <c r="N81" s="20">
        <f>VLOOKUP('Control Panel'!$B$6,'Jurisdiction Parameters'!$A:$N,14,FALSE)</f>
        <v/>
      </c>
      <c r="O81" s="20">
        <f>IF(M81&gt;0,N81,1-M81+N81)</f>
        <v/>
      </c>
      <c r="P81" s="21">
        <f>LET(
    val_type,'Loan Tape (S&amp;P)'!AU81,
    IF(val_type="Full",1.00,
        IF(val_type="Desktop",1.081,
            IF(val_type="Drive-by",1.10,
                1.00)))
)</f>
        <v/>
      </c>
      <c r="Q81" s="32">
        <f>MAX(O81*P81,0)</f>
        <v/>
      </c>
      <c r="R81" s="43">
        <f>B81*Q81</f>
        <v/>
      </c>
    </row>
    <row r="82">
      <c r="A82" s="17">
        <f>'Loan Tape (S&amp;P)'!A82</f>
        <v/>
      </c>
      <c r="B82" s="18">
        <f>'Loan Tape (S&amp;P)'!B82</f>
        <v/>
      </c>
      <c r="C82" s="18">
        <f>'Loan Tape (S&amp;P)'!D82</f>
        <v/>
      </c>
      <c r="D82" s="20">
        <f>'FF Calculations'!E82</f>
        <v/>
      </c>
      <c r="E82" s="20">
        <f>'Control Panel'!$B$19</f>
        <v/>
      </c>
      <c r="F82" s="17">
        <f>'Loan Tape (S&amp;P)'!I82</f>
        <v/>
      </c>
      <c r="G82" s="20">
        <f>IFERROR(VLOOKUP(F82,'LS Parameters'!$A$6:$B$10,2,FALSE),0.05)</f>
        <v/>
      </c>
      <c r="H82" s="17">
        <f>'Loan Tape (S&amp;P)'!J82</f>
        <v/>
      </c>
      <c r="I82" s="20">
        <f>IFERROR(VLOOKUP(H82,'LS Parameters'!$A$14:$B$25,2,FALSE),0)</f>
        <v/>
      </c>
      <c r="J82" s="20">
        <f>E82+G82+I82</f>
        <v/>
      </c>
      <c r="K82" s="20">
        <f>'Control Panel'!$B$20</f>
        <v/>
      </c>
      <c r="L82" s="20">
        <f>J82+K82</f>
        <v/>
      </c>
      <c r="M82" s="20">
        <f>1-(D82*L82)</f>
        <v/>
      </c>
      <c r="N82" s="20">
        <f>VLOOKUP('Control Panel'!$B$6,'Jurisdiction Parameters'!$A:$N,14,FALSE)</f>
        <v/>
      </c>
      <c r="O82" s="20">
        <f>IF(M82&gt;0,N82,1-M82+N82)</f>
        <v/>
      </c>
      <c r="P82" s="21">
        <f>LET(
    val_type,'Loan Tape (S&amp;P)'!AU82,
    IF(val_type="Full",1.00,
        IF(val_type="Desktop",1.082,
            IF(val_type="Drive-by",1.10,
                1.00)))
)</f>
        <v/>
      </c>
      <c r="Q82" s="32">
        <f>MAX(O82*P82,0)</f>
        <v/>
      </c>
      <c r="R82" s="43">
        <f>B82*Q82</f>
        <v/>
      </c>
    </row>
    <row r="83">
      <c r="A83" s="17">
        <f>'Loan Tape (S&amp;P)'!A83</f>
        <v/>
      </c>
      <c r="B83" s="18">
        <f>'Loan Tape (S&amp;P)'!B83</f>
        <v/>
      </c>
      <c r="C83" s="18">
        <f>'Loan Tape (S&amp;P)'!D83</f>
        <v/>
      </c>
      <c r="D83" s="20">
        <f>'FF Calculations'!E83</f>
        <v/>
      </c>
      <c r="E83" s="20">
        <f>'Control Panel'!$B$19</f>
        <v/>
      </c>
      <c r="F83" s="17">
        <f>'Loan Tape (S&amp;P)'!I83</f>
        <v/>
      </c>
      <c r="G83" s="20">
        <f>IFERROR(VLOOKUP(F83,'LS Parameters'!$A$6:$B$10,2,FALSE),0.05)</f>
        <v/>
      </c>
      <c r="H83" s="17">
        <f>'Loan Tape (S&amp;P)'!J83</f>
        <v/>
      </c>
      <c r="I83" s="20">
        <f>IFERROR(VLOOKUP(H83,'LS Parameters'!$A$14:$B$25,2,FALSE),0)</f>
        <v/>
      </c>
      <c r="J83" s="20">
        <f>E83+G83+I83</f>
        <v/>
      </c>
      <c r="K83" s="20">
        <f>'Control Panel'!$B$20</f>
        <v/>
      </c>
      <c r="L83" s="20">
        <f>J83+K83</f>
        <v/>
      </c>
      <c r="M83" s="20">
        <f>1-(D83*L83)</f>
        <v/>
      </c>
      <c r="N83" s="20">
        <f>VLOOKUP('Control Panel'!$B$6,'Jurisdiction Parameters'!$A:$N,14,FALSE)</f>
        <v/>
      </c>
      <c r="O83" s="20">
        <f>IF(M83&gt;0,N83,1-M83+N83)</f>
        <v/>
      </c>
      <c r="P83" s="21">
        <f>LET(
    val_type,'Loan Tape (S&amp;P)'!AU83,
    IF(val_type="Full",1.00,
        IF(val_type="Desktop",1.083,
            IF(val_type="Drive-by",1.10,
                1.00)))
)</f>
        <v/>
      </c>
      <c r="Q83" s="32">
        <f>MAX(O83*P83,0)</f>
        <v/>
      </c>
      <c r="R83" s="43">
        <f>B83*Q83</f>
        <v/>
      </c>
    </row>
    <row r="84">
      <c r="A84" s="17">
        <f>'Loan Tape (S&amp;P)'!A84</f>
        <v/>
      </c>
      <c r="B84" s="18">
        <f>'Loan Tape (S&amp;P)'!B84</f>
        <v/>
      </c>
      <c r="C84" s="18">
        <f>'Loan Tape (S&amp;P)'!D84</f>
        <v/>
      </c>
      <c r="D84" s="20">
        <f>'FF Calculations'!E84</f>
        <v/>
      </c>
      <c r="E84" s="20">
        <f>'Control Panel'!$B$19</f>
        <v/>
      </c>
      <c r="F84" s="17">
        <f>'Loan Tape (S&amp;P)'!I84</f>
        <v/>
      </c>
      <c r="G84" s="20">
        <f>IFERROR(VLOOKUP(F84,'LS Parameters'!$A$6:$B$10,2,FALSE),0.05)</f>
        <v/>
      </c>
      <c r="H84" s="17">
        <f>'Loan Tape (S&amp;P)'!J84</f>
        <v/>
      </c>
      <c r="I84" s="20">
        <f>IFERROR(VLOOKUP(H84,'LS Parameters'!$A$14:$B$25,2,FALSE),0)</f>
        <v/>
      </c>
      <c r="J84" s="20">
        <f>E84+G84+I84</f>
        <v/>
      </c>
      <c r="K84" s="20">
        <f>'Control Panel'!$B$20</f>
        <v/>
      </c>
      <c r="L84" s="20">
        <f>J84+K84</f>
        <v/>
      </c>
      <c r="M84" s="20">
        <f>1-(D84*L84)</f>
        <v/>
      </c>
      <c r="N84" s="20">
        <f>VLOOKUP('Control Panel'!$B$6,'Jurisdiction Parameters'!$A:$N,14,FALSE)</f>
        <v/>
      </c>
      <c r="O84" s="20">
        <f>IF(M84&gt;0,N84,1-M84+N84)</f>
        <v/>
      </c>
      <c r="P84" s="21">
        <f>LET(
    val_type,'Loan Tape (S&amp;P)'!AU84,
    IF(val_type="Full",1.00,
        IF(val_type="Desktop",1.084,
            IF(val_type="Drive-by",1.10,
                1.00)))
)</f>
        <v/>
      </c>
      <c r="Q84" s="32">
        <f>MAX(O84*P84,0)</f>
        <v/>
      </c>
      <c r="R84" s="43">
        <f>B84*Q84</f>
        <v/>
      </c>
    </row>
    <row r="85">
      <c r="A85" s="17">
        <f>'Loan Tape (S&amp;P)'!A85</f>
        <v/>
      </c>
      <c r="B85" s="18">
        <f>'Loan Tape (S&amp;P)'!B85</f>
        <v/>
      </c>
      <c r="C85" s="18">
        <f>'Loan Tape (S&amp;P)'!D85</f>
        <v/>
      </c>
      <c r="D85" s="20">
        <f>'FF Calculations'!E85</f>
        <v/>
      </c>
      <c r="E85" s="20">
        <f>'Control Panel'!$B$19</f>
        <v/>
      </c>
      <c r="F85" s="17">
        <f>'Loan Tape (S&amp;P)'!I85</f>
        <v/>
      </c>
      <c r="G85" s="20">
        <f>IFERROR(VLOOKUP(F85,'LS Parameters'!$A$6:$B$10,2,FALSE),0.05)</f>
        <v/>
      </c>
      <c r="H85" s="17">
        <f>'Loan Tape (S&amp;P)'!J85</f>
        <v/>
      </c>
      <c r="I85" s="20">
        <f>IFERROR(VLOOKUP(H85,'LS Parameters'!$A$14:$B$25,2,FALSE),0)</f>
        <v/>
      </c>
      <c r="J85" s="20">
        <f>E85+G85+I85</f>
        <v/>
      </c>
      <c r="K85" s="20">
        <f>'Control Panel'!$B$20</f>
        <v/>
      </c>
      <c r="L85" s="20">
        <f>J85+K85</f>
        <v/>
      </c>
      <c r="M85" s="20">
        <f>1-(D85*L85)</f>
        <v/>
      </c>
      <c r="N85" s="20">
        <f>VLOOKUP('Control Panel'!$B$6,'Jurisdiction Parameters'!$A:$N,14,FALSE)</f>
        <v/>
      </c>
      <c r="O85" s="20">
        <f>IF(M85&gt;0,N85,1-M85+N85)</f>
        <v/>
      </c>
      <c r="P85" s="21">
        <f>LET(
    val_type,'Loan Tape (S&amp;P)'!AU85,
    IF(val_type="Full",1.00,
        IF(val_type="Desktop",1.085,
            IF(val_type="Drive-by",1.10,
                1.00)))
)</f>
        <v/>
      </c>
      <c r="Q85" s="32">
        <f>MAX(O85*P85,0)</f>
        <v/>
      </c>
      <c r="R85" s="43">
        <f>B85*Q85</f>
        <v/>
      </c>
    </row>
    <row r="86">
      <c r="A86" s="17">
        <f>'Loan Tape (S&amp;P)'!A86</f>
        <v/>
      </c>
      <c r="B86" s="18">
        <f>'Loan Tape (S&amp;P)'!B86</f>
        <v/>
      </c>
      <c r="C86" s="18">
        <f>'Loan Tape (S&amp;P)'!D86</f>
        <v/>
      </c>
      <c r="D86" s="20">
        <f>'FF Calculations'!E86</f>
        <v/>
      </c>
      <c r="E86" s="20">
        <f>'Control Panel'!$B$19</f>
        <v/>
      </c>
      <c r="F86" s="17">
        <f>'Loan Tape (S&amp;P)'!I86</f>
        <v/>
      </c>
      <c r="G86" s="20">
        <f>IFERROR(VLOOKUP(F86,'LS Parameters'!$A$6:$B$10,2,FALSE),0.05)</f>
        <v/>
      </c>
      <c r="H86" s="17">
        <f>'Loan Tape (S&amp;P)'!J86</f>
        <v/>
      </c>
      <c r="I86" s="20">
        <f>IFERROR(VLOOKUP(H86,'LS Parameters'!$A$14:$B$25,2,FALSE),0)</f>
        <v/>
      </c>
      <c r="J86" s="20">
        <f>E86+G86+I86</f>
        <v/>
      </c>
      <c r="K86" s="20">
        <f>'Control Panel'!$B$20</f>
        <v/>
      </c>
      <c r="L86" s="20">
        <f>J86+K86</f>
        <v/>
      </c>
      <c r="M86" s="20">
        <f>1-(D86*L86)</f>
        <v/>
      </c>
      <c r="N86" s="20">
        <f>VLOOKUP('Control Panel'!$B$6,'Jurisdiction Parameters'!$A:$N,14,FALSE)</f>
        <v/>
      </c>
      <c r="O86" s="20">
        <f>IF(M86&gt;0,N86,1-M86+N86)</f>
        <v/>
      </c>
      <c r="P86" s="21">
        <f>LET(
    val_type,'Loan Tape (S&amp;P)'!AU86,
    IF(val_type="Full",1.00,
        IF(val_type="Desktop",1.086,
            IF(val_type="Drive-by",1.10,
                1.00)))
)</f>
        <v/>
      </c>
      <c r="Q86" s="32">
        <f>MAX(O86*P86,0)</f>
        <v/>
      </c>
      <c r="R86" s="43">
        <f>B86*Q86</f>
        <v/>
      </c>
    </row>
    <row r="87">
      <c r="A87" s="17">
        <f>'Loan Tape (S&amp;P)'!A87</f>
        <v/>
      </c>
      <c r="B87" s="18">
        <f>'Loan Tape (S&amp;P)'!B87</f>
        <v/>
      </c>
      <c r="C87" s="18">
        <f>'Loan Tape (S&amp;P)'!D87</f>
        <v/>
      </c>
      <c r="D87" s="20">
        <f>'FF Calculations'!E87</f>
        <v/>
      </c>
      <c r="E87" s="20">
        <f>'Control Panel'!$B$19</f>
        <v/>
      </c>
      <c r="F87" s="17">
        <f>'Loan Tape (S&amp;P)'!I87</f>
        <v/>
      </c>
      <c r="G87" s="20">
        <f>IFERROR(VLOOKUP(F87,'LS Parameters'!$A$6:$B$10,2,FALSE),0.05)</f>
        <v/>
      </c>
      <c r="H87" s="17">
        <f>'Loan Tape (S&amp;P)'!J87</f>
        <v/>
      </c>
      <c r="I87" s="20">
        <f>IFERROR(VLOOKUP(H87,'LS Parameters'!$A$14:$B$25,2,FALSE),0)</f>
        <v/>
      </c>
      <c r="J87" s="20">
        <f>E87+G87+I87</f>
        <v/>
      </c>
      <c r="K87" s="20">
        <f>'Control Panel'!$B$20</f>
        <v/>
      </c>
      <c r="L87" s="20">
        <f>J87+K87</f>
        <v/>
      </c>
      <c r="M87" s="20">
        <f>1-(D87*L87)</f>
        <v/>
      </c>
      <c r="N87" s="20">
        <f>VLOOKUP('Control Panel'!$B$6,'Jurisdiction Parameters'!$A:$N,14,FALSE)</f>
        <v/>
      </c>
      <c r="O87" s="20">
        <f>IF(M87&gt;0,N87,1-M87+N87)</f>
        <v/>
      </c>
      <c r="P87" s="21">
        <f>LET(
    val_type,'Loan Tape (S&amp;P)'!AU87,
    IF(val_type="Full",1.00,
        IF(val_type="Desktop",1.087,
            IF(val_type="Drive-by",1.10,
                1.00)))
)</f>
        <v/>
      </c>
      <c r="Q87" s="32">
        <f>MAX(O87*P87,0)</f>
        <v/>
      </c>
      <c r="R87" s="43">
        <f>B87*Q87</f>
        <v/>
      </c>
    </row>
    <row r="88">
      <c r="A88" s="17">
        <f>'Loan Tape (S&amp;P)'!A88</f>
        <v/>
      </c>
      <c r="B88" s="18">
        <f>'Loan Tape (S&amp;P)'!B88</f>
        <v/>
      </c>
      <c r="C88" s="18">
        <f>'Loan Tape (S&amp;P)'!D88</f>
        <v/>
      </c>
      <c r="D88" s="20">
        <f>'FF Calculations'!E88</f>
        <v/>
      </c>
      <c r="E88" s="20">
        <f>'Control Panel'!$B$19</f>
        <v/>
      </c>
      <c r="F88" s="17">
        <f>'Loan Tape (S&amp;P)'!I88</f>
        <v/>
      </c>
      <c r="G88" s="20">
        <f>IFERROR(VLOOKUP(F88,'LS Parameters'!$A$6:$B$10,2,FALSE),0.05)</f>
        <v/>
      </c>
      <c r="H88" s="17">
        <f>'Loan Tape (S&amp;P)'!J88</f>
        <v/>
      </c>
      <c r="I88" s="20">
        <f>IFERROR(VLOOKUP(H88,'LS Parameters'!$A$14:$B$25,2,FALSE),0)</f>
        <v/>
      </c>
      <c r="J88" s="20">
        <f>E88+G88+I88</f>
        <v/>
      </c>
      <c r="K88" s="20">
        <f>'Control Panel'!$B$20</f>
        <v/>
      </c>
      <c r="L88" s="20">
        <f>J88+K88</f>
        <v/>
      </c>
      <c r="M88" s="20">
        <f>1-(D88*L88)</f>
        <v/>
      </c>
      <c r="N88" s="20">
        <f>VLOOKUP('Control Panel'!$B$6,'Jurisdiction Parameters'!$A:$N,14,FALSE)</f>
        <v/>
      </c>
      <c r="O88" s="20">
        <f>IF(M88&gt;0,N88,1-M88+N88)</f>
        <v/>
      </c>
      <c r="P88" s="21">
        <f>LET(
    val_type,'Loan Tape (S&amp;P)'!AU88,
    IF(val_type="Full",1.00,
        IF(val_type="Desktop",1.088,
            IF(val_type="Drive-by",1.10,
                1.00)))
)</f>
        <v/>
      </c>
      <c r="Q88" s="32">
        <f>MAX(O88*P88,0)</f>
        <v/>
      </c>
      <c r="R88" s="43">
        <f>B88*Q88</f>
        <v/>
      </c>
    </row>
    <row r="89">
      <c r="A89" s="17">
        <f>'Loan Tape (S&amp;P)'!A89</f>
        <v/>
      </c>
      <c r="B89" s="18">
        <f>'Loan Tape (S&amp;P)'!B89</f>
        <v/>
      </c>
      <c r="C89" s="18">
        <f>'Loan Tape (S&amp;P)'!D89</f>
        <v/>
      </c>
      <c r="D89" s="20">
        <f>'FF Calculations'!E89</f>
        <v/>
      </c>
      <c r="E89" s="20">
        <f>'Control Panel'!$B$19</f>
        <v/>
      </c>
      <c r="F89" s="17">
        <f>'Loan Tape (S&amp;P)'!I89</f>
        <v/>
      </c>
      <c r="G89" s="20">
        <f>IFERROR(VLOOKUP(F89,'LS Parameters'!$A$6:$B$10,2,FALSE),0.05)</f>
        <v/>
      </c>
      <c r="H89" s="17">
        <f>'Loan Tape (S&amp;P)'!J89</f>
        <v/>
      </c>
      <c r="I89" s="20">
        <f>IFERROR(VLOOKUP(H89,'LS Parameters'!$A$14:$B$25,2,FALSE),0)</f>
        <v/>
      </c>
      <c r="J89" s="20">
        <f>E89+G89+I89</f>
        <v/>
      </c>
      <c r="K89" s="20">
        <f>'Control Panel'!$B$20</f>
        <v/>
      </c>
      <c r="L89" s="20">
        <f>J89+K89</f>
        <v/>
      </c>
      <c r="M89" s="20">
        <f>1-(D89*L89)</f>
        <v/>
      </c>
      <c r="N89" s="20">
        <f>VLOOKUP('Control Panel'!$B$6,'Jurisdiction Parameters'!$A:$N,14,FALSE)</f>
        <v/>
      </c>
      <c r="O89" s="20">
        <f>IF(M89&gt;0,N89,1-M89+N89)</f>
        <v/>
      </c>
      <c r="P89" s="21">
        <f>LET(
    val_type,'Loan Tape (S&amp;P)'!AU89,
    IF(val_type="Full",1.00,
        IF(val_type="Desktop",1.089,
            IF(val_type="Drive-by",1.10,
                1.00)))
)</f>
        <v/>
      </c>
      <c r="Q89" s="32">
        <f>MAX(O89*P89,0)</f>
        <v/>
      </c>
      <c r="R89" s="43">
        <f>B89*Q89</f>
        <v/>
      </c>
    </row>
    <row r="90">
      <c r="A90" s="17">
        <f>'Loan Tape (S&amp;P)'!A90</f>
        <v/>
      </c>
      <c r="B90" s="18">
        <f>'Loan Tape (S&amp;P)'!B90</f>
        <v/>
      </c>
      <c r="C90" s="18">
        <f>'Loan Tape (S&amp;P)'!D90</f>
        <v/>
      </c>
      <c r="D90" s="20">
        <f>'FF Calculations'!E90</f>
        <v/>
      </c>
      <c r="E90" s="20">
        <f>'Control Panel'!$B$19</f>
        <v/>
      </c>
      <c r="F90" s="17">
        <f>'Loan Tape (S&amp;P)'!I90</f>
        <v/>
      </c>
      <c r="G90" s="20">
        <f>IFERROR(VLOOKUP(F90,'LS Parameters'!$A$6:$B$10,2,FALSE),0.05)</f>
        <v/>
      </c>
      <c r="H90" s="17">
        <f>'Loan Tape (S&amp;P)'!J90</f>
        <v/>
      </c>
      <c r="I90" s="20">
        <f>IFERROR(VLOOKUP(H90,'LS Parameters'!$A$14:$B$25,2,FALSE),0)</f>
        <v/>
      </c>
      <c r="J90" s="20">
        <f>E90+G90+I90</f>
        <v/>
      </c>
      <c r="K90" s="20">
        <f>'Control Panel'!$B$20</f>
        <v/>
      </c>
      <c r="L90" s="20">
        <f>J90+K90</f>
        <v/>
      </c>
      <c r="M90" s="20">
        <f>1-(D90*L90)</f>
        <v/>
      </c>
      <c r="N90" s="20">
        <f>VLOOKUP('Control Panel'!$B$6,'Jurisdiction Parameters'!$A:$N,14,FALSE)</f>
        <v/>
      </c>
      <c r="O90" s="20">
        <f>IF(M90&gt;0,N90,1-M90+N90)</f>
        <v/>
      </c>
      <c r="P90" s="21">
        <f>LET(
    val_type,'Loan Tape (S&amp;P)'!AU90,
    IF(val_type="Full",1.00,
        IF(val_type="Desktop",1.090,
            IF(val_type="Drive-by",1.10,
                1.00)))
)</f>
        <v/>
      </c>
      <c r="Q90" s="32">
        <f>MAX(O90*P90,0)</f>
        <v/>
      </c>
      <c r="R90" s="43">
        <f>B90*Q90</f>
        <v/>
      </c>
    </row>
    <row r="91">
      <c r="A91" s="17">
        <f>'Loan Tape (S&amp;P)'!A91</f>
        <v/>
      </c>
      <c r="B91" s="18">
        <f>'Loan Tape (S&amp;P)'!B91</f>
        <v/>
      </c>
      <c r="C91" s="18">
        <f>'Loan Tape (S&amp;P)'!D91</f>
        <v/>
      </c>
      <c r="D91" s="20">
        <f>'FF Calculations'!E91</f>
        <v/>
      </c>
      <c r="E91" s="20">
        <f>'Control Panel'!$B$19</f>
        <v/>
      </c>
      <c r="F91" s="17">
        <f>'Loan Tape (S&amp;P)'!I91</f>
        <v/>
      </c>
      <c r="G91" s="20">
        <f>IFERROR(VLOOKUP(F91,'LS Parameters'!$A$6:$B$10,2,FALSE),0.05)</f>
        <v/>
      </c>
      <c r="H91" s="17">
        <f>'Loan Tape (S&amp;P)'!J91</f>
        <v/>
      </c>
      <c r="I91" s="20">
        <f>IFERROR(VLOOKUP(H91,'LS Parameters'!$A$14:$B$25,2,FALSE),0)</f>
        <v/>
      </c>
      <c r="J91" s="20">
        <f>E91+G91+I91</f>
        <v/>
      </c>
      <c r="K91" s="20">
        <f>'Control Panel'!$B$20</f>
        <v/>
      </c>
      <c r="L91" s="20">
        <f>J91+K91</f>
        <v/>
      </c>
      <c r="M91" s="20">
        <f>1-(D91*L91)</f>
        <v/>
      </c>
      <c r="N91" s="20">
        <f>VLOOKUP('Control Panel'!$B$6,'Jurisdiction Parameters'!$A:$N,14,FALSE)</f>
        <v/>
      </c>
      <c r="O91" s="20">
        <f>IF(M91&gt;0,N91,1-M91+N91)</f>
        <v/>
      </c>
      <c r="P91" s="21">
        <f>LET(
    val_type,'Loan Tape (S&amp;P)'!AU91,
    IF(val_type="Full",1.00,
        IF(val_type="Desktop",1.091,
            IF(val_type="Drive-by",1.10,
                1.00)))
)</f>
        <v/>
      </c>
      <c r="Q91" s="32">
        <f>MAX(O91*P91,0)</f>
        <v/>
      </c>
      <c r="R91" s="43">
        <f>B91*Q91</f>
        <v/>
      </c>
    </row>
    <row r="92">
      <c r="A92" s="17">
        <f>'Loan Tape (S&amp;P)'!A92</f>
        <v/>
      </c>
      <c r="B92" s="18">
        <f>'Loan Tape (S&amp;P)'!B92</f>
        <v/>
      </c>
      <c r="C92" s="18">
        <f>'Loan Tape (S&amp;P)'!D92</f>
        <v/>
      </c>
      <c r="D92" s="20">
        <f>'FF Calculations'!E92</f>
        <v/>
      </c>
      <c r="E92" s="20">
        <f>'Control Panel'!$B$19</f>
        <v/>
      </c>
      <c r="F92" s="17">
        <f>'Loan Tape (S&amp;P)'!I92</f>
        <v/>
      </c>
      <c r="G92" s="20">
        <f>IFERROR(VLOOKUP(F92,'LS Parameters'!$A$6:$B$10,2,FALSE),0.05)</f>
        <v/>
      </c>
      <c r="H92" s="17">
        <f>'Loan Tape (S&amp;P)'!J92</f>
        <v/>
      </c>
      <c r="I92" s="20">
        <f>IFERROR(VLOOKUP(H92,'LS Parameters'!$A$14:$B$25,2,FALSE),0)</f>
        <v/>
      </c>
      <c r="J92" s="20">
        <f>E92+G92+I92</f>
        <v/>
      </c>
      <c r="K92" s="20">
        <f>'Control Panel'!$B$20</f>
        <v/>
      </c>
      <c r="L92" s="20">
        <f>J92+K92</f>
        <v/>
      </c>
      <c r="M92" s="20">
        <f>1-(D92*L92)</f>
        <v/>
      </c>
      <c r="N92" s="20">
        <f>VLOOKUP('Control Panel'!$B$6,'Jurisdiction Parameters'!$A:$N,14,FALSE)</f>
        <v/>
      </c>
      <c r="O92" s="20">
        <f>IF(M92&gt;0,N92,1-M92+N92)</f>
        <v/>
      </c>
      <c r="P92" s="21">
        <f>LET(
    val_type,'Loan Tape (S&amp;P)'!AU92,
    IF(val_type="Full",1.00,
        IF(val_type="Desktop",1.092,
            IF(val_type="Drive-by",1.10,
                1.00)))
)</f>
        <v/>
      </c>
      <c r="Q92" s="32">
        <f>MAX(O92*P92,0)</f>
        <v/>
      </c>
      <c r="R92" s="43">
        <f>B92*Q92</f>
        <v/>
      </c>
    </row>
    <row r="93">
      <c r="A93" s="17">
        <f>'Loan Tape (S&amp;P)'!A93</f>
        <v/>
      </c>
      <c r="B93" s="18">
        <f>'Loan Tape (S&amp;P)'!B93</f>
        <v/>
      </c>
      <c r="C93" s="18">
        <f>'Loan Tape (S&amp;P)'!D93</f>
        <v/>
      </c>
      <c r="D93" s="20">
        <f>'FF Calculations'!E93</f>
        <v/>
      </c>
      <c r="E93" s="20">
        <f>'Control Panel'!$B$19</f>
        <v/>
      </c>
      <c r="F93" s="17">
        <f>'Loan Tape (S&amp;P)'!I93</f>
        <v/>
      </c>
      <c r="G93" s="20">
        <f>IFERROR(VLOOKUP(F93,'LS Parameters'!$A$6:$B$10,2,FALSE),0.05)</f>
        <v/>
      </c>
      <c r="H93" s="17">
        <f>'Loan Tape (S&amp;P)'!J93</f>
        <v/>
      </c>
      <c r="I93" s="20">
        <f>IFERROR(VLOOKUP(H93,'LS Parameters'!$A$14:$B$25,2,FALSE),0)</f>
        <v/>
      </c>
      <c r="J93" s="20">
        <f>E93+G93+I93</f>
        <v/>
      </c>
      <c r="K93" s="20">
        <f>'Control Panel'!$B$20</f>
        <v/>
      </c>
      <c r="L93" s="20">
        <f>J93+K93</f>
        <v/>
      </c>
      <c r="M93" s="20">
        <f>1-(D93*L93)</f>
        <v/>
      </c>
      <c r="N93" s="20">
        <f>VLOOKUP('Control Panel'!$B$6,'Jurisdiction Parameters'!$A:$N,14,FALSE)</f>
        <v/>
      </c>
      <c r="O93" s="20">
        <f>IF(M93&gt;0,N93,1-M93+N93)</f>
        <v/>
      </c>
      <c r="P93" s="21">
        <f>LET(
    val_type,'Loan Tape (S&amp;P)'!AU93,
    IF(val_type="Full",1.00,
        IF(val_type="Desktop",1.093,
            IF(val_type="Drive-by",1.10,
                1.00)))
)</f>
        <v/>
      </c>
      <c r="Q93" s="32">
        <f>MAX(O93*P93,0)</f>
        <v/>
      </c>
      <c r="R93" s="43">
        <f>B93*Q93</f>
        <v/>
      </c>
    </row>
    <row r="94">
      <c r="A94" s="17">
        <f>'Loan Tape (S&amp;P)'!A94</f>
        <v/>
      </c>
      <c r="B94" s="18">
        <f>'Loan Tape (S&amp;P)'!B94</f>
        <v/>
      </c>
      <c r="C94" s="18">
        <f>'Loan Tape (S&amp;P)'!D94</f>
        <v/>
      </c>
      <c r="D94" s="20">
        <f>'FF Calculations'!E94</f>
        <v/>
      </c>
      <c r="E94" s="20">
        <f>'Control Panel'!$B$19</f>
        <v/>
      </c>
      <c r="F94" s="17">
        <f>'Loan Tape (S&amp;P)'!I94</f>
        <v/>
      </c>
      <c r="G94" s="20">
        <f>IFERROR(VLOOKUP(F94,'LS Parameters'!$A$6:$B$10,2,FALSE),0.05)</f>
        <v/>
      </c>
      <c r="H94" s="17">
        <f>'Loan Tape (S&amp;P)'!J94</f>
        <v/>
      </c>
      <c r="I94" s="20">
        <f>IFERROR(VLOOKUP(H94,'LS Parameters'!$A$14:$B$25,2,FALSE),0)</f>
        <v/>
      </c>
      <c r="J94" s="20">
        <f>E94+G94+I94</f>
        <v/>
      </c>
      <c r="K94" s="20">
        <f>'Control Panel'!$B$20</f>
        <v/>
      </c>
      <c r="L94" s="20">
        <f>J94+K94</f>
        <v/>
      </c>
      <c r="M94" s="20">
        <f>1-(D94*L94)</f>
        <v/>
      </c>
      <c r="N94" s="20">
        <f>VLOOKUP('Control Panel'!$B$6,'Jurisdiction Parameters'!$A:$N,14,FALSE)</f>
        <v/>
      </c>
      <c r="O94" s="20">
        <f>IF(M94&gt;0,N94,1-M94+N94)</f>
        <v/>
      </c>
      <c r="P94" s="21">
        <f>LET(
    val_type,'Loan Tape (S&amp;P)'!AU94,
    IF(val_type="Full",1.00,
        IF(val_type="Desktop",1.094,
            IF(val_type="Drive-by",1.10,
                1.00)))
)</f>
        <v/>
      </c>
      <c r="Q94" s="32">
        <f>MAX(O94*P94,0)</f>
        <v/>
      </c>
      <c r="R94" s="43">
        <f>B94*Q94</f>
        <v/>
      </c>
    </row>
    <row r="95">
      <c r="A95" s="17">
        <f>'Loan Tape (S&amp;P)'!A95</f>
        <v/>
      </c>
      <c r="B95" s="18">
        <f>'Loan Tape (S&amp;P)'!B95</f>
        <v/>
      </c>
      <c r="C95" s="18">
        <f>'Loan Tape (S&amp;P)'!D95</f>
        <v/>
      </c>
      <c r="D95" s="20">
        <f>'FF Calculations'!E95</f>
        <v/>
      </c>
      <c r="E95" s="20">
        <f>'Control Panel'!$B$19</f>
        <v/>
      </c>
      <c r="F95" s="17">
        <f>'Loan Tape (S&amp;P)'!I95</f>
        <v/>
      </c>
      <c r="G95" s="20">
        <f>IFERROR(VLOOKUP(F95,'LS Parameters'!$A$6:$B$10,2,FALSE),0.05)</f>
        <v/>
      </c>
      <c r="H95" s="17">
        <f>'Loan Tape (S&amp;P)'!J95</f>
        <v/>
      </c>
      <c r="I95" s="20">
        <f>IFERROR(VLOOKUP(H95,'LS Parameters'!$A$14:$B$25,2,FALSE),0)</f>
        <v/>
      </c>
      <c r="J95" s="20">
        <f>E95+G95+I95</f>
        <v/>
      </c>
      <c r="K95" s="20">
        <f>'Control Panel'!$B$20</f>
        <v/>
      </c>
      <c r="L95" s="20">
        <f>J95+K95</f>
        <v/>
      </c>
      <c r="M95" s="20">
        <f>1-(D95*L95)</f>
        <v/>
      </c>
      <c r="N95" s="20">
        <f>VLOOKUP('Control Panel'!$B$6,'Jurisdiction Parameters'!$A:$N,14,FALSE)</f>
        <v/>
      </c>
      <c r="O95" s="20">
        <f>IF(M95&gt;0,N95,1-M95+N95)</f>
        <v/>
      </c>
      <c r="P95" s="21">
        <f>LET(
    val_type,'Loan Tape (S&amp;P)'!AU95,
    IF(val_type="Full",1.00,
        IF(val_type="Desktop",1.095,
            IF(val_type="Drive-by",1.10,
                1.00)))
)</f>
        <v/>
      </c>
      <c r="Q95" s="32">
        <f>MAX(O95*P95,0)</f>
        <v/>
      </c>
      <c r="R95" s="43">
        <f>B95*Q95</f>
        <v/>
      </c>
    </row>
    <row r="96">
      <c r="A96" s="17">
        <f>'Loan Tape (S&amp;P)'!A96</f>
        <v/>
      </c>
      <c r="B96" s="18">
        <f>'Loan Tape (S&amp;P)'!B96</f>
        <v/>
      </c>
      <c r="C96" s="18">
        <f>'Loan Tape (S&amp;P)'!D96</f>
        <v/>
      </c>
      <c r="D96" s="20">
        <f>'FF Calculations'!E96</f>
        <v/>
      </c>
      <c r="E96" s="20">
        <f>'Control Panel'!$B$19</f>
        <v/>
      </c>
      <c r="F96" s="17">
        <f>'Loan Tape (S&amp;P)'!I96</f>
        <v/>
      </c>
      <c r="G96" s="20">
        <f>IFERROR(VLOOKUP(F96,'LS Parameters'!$A$6:$B$10,2,FALSE),0.05)</f>
        <v/>
      </c>
      <c r="H96" s="17">
        <f>'Loan Tape (S&amp;P)'!J96</f>
        <v/>
      </c>
      <c r="I96" s="20">
        <f>IFERROR(VLOOKUP(H96,'LS Parameters'!$A$14:$B$25,2,FALSE),0)</f>
        <v/>
      </c>
      <c r="J96" s="20">
        <f>E96+G96+I96</f>
        <v/>
      </c>
      <c r="K96" s="20">
        <f>'Control Panel'!$B$20</f>
        <v/>
      </c>
      <c r="L96" s="20">
        <f>J96+K96</f>
        <v/>
      </c>
      <c r="M96" s="20">
        <f>1-(D96*L96)</f>
        <v/>
      </c>
      <c r="N96" s="20">
        <f>VLOOKUP('Control Panel'!$B$6,'Jurisdiction Parameters'!$A:$N,14,FALSE)</f>
        <v/>
      </c>
      <c r="O96" s="20">
        <f>IF(M96&gt;0,N96,1-M96+N96)</f>
        <v/>
      </c>
      <c r="P96" s="21">
        <f>LET(
    val_type,'Loan Tape (S&amp;P)'!AU96,
    IF(val_type="Full",1.00,
        IF(val_type="Desktop",1.096,
            IF(val_type="Drive-by",1.10,
                1.00)))
)</f>
        <v/>
      </c>
      <c r="Q96" s="32">
        <f>MAX(O96*P96,0)</f>
        <v/>
      </c>
      <c r="R96" s="43">
        <f>B96*Q96</f>
        <v/>
      </c>
    </row>
    <row r="97">
      <c r="A97" s="17">
        <f>'Loan Tape (S&amp;P)'!A97</f>
        <v/>
      </c>
      <c r="B97" s="18">
        <f>'Loan Tape (S&amp;P)'!B97</f>
        <v/>
      </c>
      <c r="C97" s="18">
        <f>'Loan Tape (S&amp;P)'!D97</f>
        <v/>
      </c>
      <c r="D97" s="20">
        <f>'FF Calculations'!E97</f>
        <v/>
      </c>
      <c r="E97" s="20">
        <f>'Control Panel'!$B$19</f>
        <v/>
      </c>
      <c r="F97" s="17">
        <f>'Loan Tape (S&amp;P)'!I97</f>
        <v/>
      </c>
      <c r="G97" s="20">
        <f>IFERROR(VLOOKUP(F97,'LS Parameters'!$A$6:$B$10,2,FALSE),0.05)</f>
        <v/>
      </c>
      <c r="H97" s="17">
        <f>'Loan Tape (S&amp;P)'!J97</f>
        <v/>
      </c>
      <c r="I97" s="20">
        <f>IFERROR(VLOOKUP(H97,'LS Parameters'!$A$14:$B$25,2,FALSE),0)</f>
        <v/>
      </c>
      <c r="J97" s="20">
        <f>E97+G97+I97</f>
        <v/>
      </c>
      <c r="K97" s="20">
        <f>'Control Panel'!$B$20</f>
        <v/>
      </c>
      <c r="L97" s="20">
        <f>J97+K97</f>
        <v/>
      </c>
      <c r="M97" s="20">
        <f>1-(D97*L97)</f>
        <v/>
      </c>
      <c r="N97" s="20">
        <f>VLOOKUP('Control Panel'!$B$6,'Jurisdiction Parameters'!$A:$N,14,FALSE)</f>
        <v/>
      </c>
      <c r="O97" s="20">
        <f>IF(M97&gt;0,N97,1-M97+N97)</f>
        <v/>
      </c>
      <c r="P97" s="21">
        <f>LET(
    val_type,'Loan Tape (S&amp;P)'!AU97,
    IF(val_type="Full",1.00,
        IF(val_type="Desktop",1.097,
            IF(val_type="Drive-by",1.10,
                1.00)))
)</f>
        <v/>
      </c>
      <c r="Q97" s="32">
        <f>MAX(O97*P97,0)</f>
        <v/>
      </c>
      <c r="R97" s="43">
        <f>B97*Q97</f>
        <v/>
      </c>
    </row>
    <row r="98">
      <c r="A98" s="17">
        <f>'Loan Tape (S&amp;P)'!A98</f>
        <v/>
      </c>
      <c r="B98" s="18">
        <f>'Loan Tape (S&amp;P)'!B98</f>
        <v/>
      </c>
      <c r="C98" s="18">
        <f>'Loan Tape (S&amp;P)'!D98</f>
        <v/>
      </c>
      <c r="D98" s="20">
        <f>'FF Calculations'!E98</f>
        <v/>
      </c>
      <c r="E98" s="20">
        <f>'Control Panel'!$B$19</f>
        <v/>
      </c>
      <c r="F98" s="17">
        <f>'Loan Tape (S&amp;P)'!I98</f>
        <v/>
      </c>
      <c r="G98" s="20">
        <f>IFERROR(VLOOKUP(F98,'LS Parameters'!$A$6:$B$10,2,FALSE),0.05)</f>
        <v/>
      </c>
      <c r="H98" s="17">
        <f>'Loan Tape (S&amp;P)'!J98</f>
        <v/>
      </c>
      <c r="I98" s="20">
        <f>IFERROR(VLOOKUP(H98,'LS Parameters'!$A$14:$B$25,2,FALSE),0)</f>
        <v/>
      </c>
      <c r="J98" s="20">
        <f>E98+G98+I98</f>
        <v/>
      </c>
      <c r="K98" s="20">
        <f>'Control Panel'!$B$20</f>
        <v/>
      </c>
      <c r="L98" s="20">
        <f>J98+K98</f>
        <v/>
      </c>
      <c r="M98" s="20">
        <f>1-(D98*L98)</f>
        <v/>
      </c>
      <c r="N98" s="20">
        <f>VLOOKUP('Control Panel'!$B$6,'Jurisdiction Parameters'!$A:$N,14,FALSE)</f>
        <v/>
      </c>
      <c r="O98" s="20">
        <f>IF(M98&gt;0,N98,1-M98+N98)</f>
        <v/>
      </c>
      <c r="P98" s="21">
        <f>LET(
    val_type,'Loan Tape (S&amp;P)'!AU98,
    IF(val_type="Full",1.00,
        IF(val_type="Desktop",1.098,
            IF(val_type="Drive-by",1.10,
                1.00)))
)</f>
        <v/>
      </c>
      <c r="Q98" s="32">
        <f>MAX(O98*P98,0)</f>
        <v/>
      </c>
      <c r="R98" s="43">
        <f>B98*Q98</f>
        <v/>
      </c>
    </row>
    <row r="99">
      <c r="A99" s="17">
        <f>'Loan Tape (S&amp;P)'!A99</f>
        <v/>
      </c>
      <c r="B99" s="18">
        <f>'Loan Tape (S&amp;P)'!B99</f>
        <v/>
      </c>
      <c r="C99" s="18">
        <f>'Loan Tape (S&amp;P)'!D99</f>
        <v/>
      </c>
      <c r="D99" s="20">
        <f>'FF Calculations'!E99</f>
        <v/>
      </c>
      <c r="E99" s="20">
        <f>'Control Panel'!$B$19</f>
        <v/>
      </c>
      <c r="F99" s="17">
        <f>'Loan Tape (S&amp;P)'!I99</f>
        <v/>
      </c>
      <c r="G99" s="20">
        <f>IFERROR(VLOOKUP(F99,'LS Parameters'!$A$6:$B$10,2,FALSE),0.05)</f>
        <v/>
      </c>
      <c r="H99" s="17">
        <f>'Loan Tape (S&amp;P)'!J99</f>
        <v/>
      </c>
      <c r="I99" s="20">
        <f>IFERROR(VLOOKUP(H99,'LS Parameters'!$A$14:$B$25,2,FALSE),0)</f>
        <v/>
      </c>
      <c r="J99" s="20">
        <f>E99+G99+I99</f>
        <v/>
      </c>
      <c r="K99" s="20">
        <f>'Control Panel'!$B$20</f>
        <v/>
      </c>
      <c r="L99" s="20">
        <f>J99+K99</f>
        <v/>
      </c>
      <c r="M99" s="20">
        <f>1-(D99*L99)</f>
        <v/>
      </c>
      <c r="N99" s="20">
        <f>VLOOKUP('Control Panel'!$B$6,'Jurisdiction Parameters'!$A:$N,14,FALSE)</f>
        <v/>
      </c>
      <c r="O99" s="20">
        <f>IF(M99&gt;0,N99,1-M99+N99)</f>
        <v/>
      </c>
      <c r="P99" s="21">
        <f>LET(
    val_type,'Loan Tape (S&amp;P)'!AU99,
    IF(val_type="Full",1.00,
        IF(val_type="Desktop",1.099,
            IF(val_type="Drive-by",1.10,
                1.00)))
)</f>
        <v/>
      </c>
      <c r="Q99" s="32">
        <f>MAX(O99*P99,0)</f>
        <v/>
      </c>
      <c r="R99" s="43">
        <f>B99*Q99</f>
        <v/>
      </c>
    </row>
    <row r="100">
      <c r="A100" s="17">
        <f>'Loan Tape (S&amp;P)'!A100</f>
        <v/>
      </c>
      <c r="B100" s="18">
        <f>'Loan Tape (S&amp;P)'!B100</f>
        <v/>
      </c>
      <c r="C100" s="18">
        <f>'Loan Tape (S&amp;P)'!D100</f>
        <v/>
      </c>
      <c r="D100" s="20">
        <f>'FF Calculations'!E100</f>
        <v/>
      </c>
      <c r="E100" s="20">
        <f>'Control Panel'!$B$19</f>
        <v/>
      </c>
      <c r="F100" s="17">
        <f>'Loan Tape (S&amp;P)'!I100</f>
        <v/>
      </c>
      <c r="G100" s="20">
        <f>IFERROR(VLOOKUP(F100,'LS Parameters'!$A$6:$B$10,2,FALSE),0.05)</f>
        <v/>
      </c>
      <c r="H100" s="17">
        <f>'Loan Tape (S&amp;P)'!J100</f>
        <v/>
      </c>
      <c r="I100" s="20">
        <f>IFERROR(VLOOKUP(H100,'LS Parameters'!$A$14:$B$25,2,FALSE),0)</f>
        <v/>
      </c>
      <c r="J100" s="20">
        <f>E100+G100+I100</f>
        <v/>
      </c>
      <c r="K100" s="20">
        <f>'Control Panel'!$B$20</f>
        <v/>
      </c>
      <c r="L100" s="20">
        <f>J100+K100</f>
        <v/>
      </c>
      <c r="M100" s="20">
        <f>1-(D100*L100)</f>
        <v/>
      </c>
      <c r="N100" s="20">
        <f>VLOOKUP('Control Panel'!$B$6,'Jurisdiction Parameters'!$A:$N,14,FALSE)</f>
        <v/>
      </c>
      <c r="O100" s="20">
        <f>IF(M100&gt;0,N100,1-M100+N100)</f>
        <v/>
      </c>
      <c r="P100" s="21">
        <f>LET(
    val_type,'Loan Tape (S&amp;P)'!AU100,
    IF(val_type="Full",1.00,
        IF(val_type="Desktop",1.0100,
            IF(val_type="Drive-by",1.10,
                1.00)))
)</f>
        <v/>
      </c>
      <c r="Q100" s="32">
        <f>MAX(O100*P100,0)</f>
        <v/>
      </c>
      <c r="R100" s="43">
        <f>B100*Q100</f>
        <v/>
      </c>
    </row>
    <row r="101">
      <c r="A101" s="17">
        <f>'Loan Tape (S&amp;P)'!A101</f>
        <v/>
      </c>
      <c r="B101" s="18">
        <f>'Loan Tape (S&amp;P)'!B101</f>
        <v/>
      </c>
      <c r="C101" s="18">
        <f>'Loan Tape (S&amp;P)'!D101</f>
        <v/>
      </c>
      <c r="D101" s="20">
        <f>'FF Calculations'!E101</f>
        <v/>
      </c>
      <c r="E101" s="20">
        <f>'Control Panel'!$B$19</f>
        <v/>
      </c>
      <c r="F101" s="17">
        <f>'Loan Tape (S&amp;P)'!I101</f>
        <v/>
      </c>
      <c r="G101" s="20">
        <f>IFERROR(VLOOKUP(F101,'LS Parameters'!$A$6:$B$10,2,FALSE),0.05)</f>
        <v/>
      </c>
      <c r="H101" s="17">
        <f>'Loan Tape (S&amp;P)'!J101</f>
        <v/>
      </c>
      <c r="I101" s="20">
        <f>IFERROR(VLOOKUP(H101,'LS Parameters'!$A$14:$B$25,2,FALSE),0)</f>
        <v/>
      </c>
      <c r="J101" s="20">
        <f>E101+G101+I101</f>
        <v/>
      </c>
      <c r="K101" s="20">
        <f>'Control Panel'!$B$20</f>
        <v/>
      </c>
      <c r="L101" s="20">
        <f>J101+K101</f>
        <v/>
      </c>
      <c r="M101" s="20">
        <f>1-(D101*L101)</f>
        <v/>
      </c>
      <c r="N101" s="20">
        <f>VLOOKUP('Control Panel'!$B$6,'Jurisdiction Parameters'!$A:$N,14,FALSE)</f>
        <v/>
      </c>
      <c r="O101" s="20">
        <f>IF(M101&gt;0,N101,1-M101+N101)</f>
        <v/>
      </c>
      <c r="P101" s="21">
        <f>LET(
    val_type,'Loan Tape (S&amp;P)'!AU101,
    IF(val_type="Full",1.00,
        IF(val_type="Desktop",1.0101,
            IF(val_type="Drive-by",1.10,
                1.00)))
)</f>
        <v/>
      </c>
      <c r="Q101" s="32">
        <f>MAX(O101*P101,0)</f>
        <v/>
      </c>
      <c r="R101" s="43">
        <f>B101*Q101</f>
        <v/>
      </c>
    </row>
    <row r="102">
      <c r="A102" s="17">
        <f>'Loan Tape (S&amp;P)'!A102</f>
        <v/>
      </c>
      <c r="B102" s="18">
        <f>'Loan Tape (S&amp;P)'!B102</f>
        <v/>
      </c>
      <c r="C102" s="18">
        <f>'Loan Tape (S&amp;P)'!D102</f>
        <v/>
      </c>
      <c r="D102" s="20">
        <f>'FF Calculations'!E102</f>
        <v/>
      </c>
      <c r="E102" s="20">
        <f>'Control Panel'!$B$19</f>
        <v/>
      </c>
      <c r="F102" s="17">
        <f>'Loan Tape (S&amp;P)'!I102</f>
        <v/>
      </c>
      <c r="G102" s="20">
        <f>IFERROR(VLOOKUP(F102,'LS Parameters'!$A$6:$B$10,2,FALSE),0.05)</f>
        <v/>
      </c>
      <c r="H102" s="17">
        <f>'Loan Tape (S&amp;P)'!J102</f>
        <v/>
      </c>
      <c r="I102" s="20">
        <f>IFERROR(VLOOKUP(H102,'LS Parameters'!$A$14:$B$25,2,FALSE),0)</f>
        <v/>
      </c>
      <c r="J102" s="20">
        <f>E102+G102+I102</f>
        <v/>
      </c>
      <c r="K102" s="20">
        <f>'Control Panel'!$B$20</f>
        <v/>
      </c>
      <c r="L102" s="20">
        <f>J102+K102</f>
        <v/>
      </c>
      <c r="M102" s="20">
        <f>1-(D102*L102)</f>
        <v/>
      </c>
      <c r="N102" s="20">
        <f>VLOOKUP('Control Panel'!$B$6,'Jurisdiction Parameters'!$A:$N,14,FALSE)</f>
        <v/>
      </c>
      <c r="O102" s="20">
        <f>IF(M102&gt;0,N102,1-M102+N102)</f>
        <v/>
      </c>
      <c r="P102" s="21">
        <f>LET(
    val_type,'Loan Tape (S&amp;P)'!AU102,
    IF(val_type="Full",1.00,
        IF(val_type="Desktop",1.0102,
            IF(val_type="Drive-by",1.10,
                1.00)))
)</f>
        <v/>
      </c>
      <c r="Q102" s="32">
        <f>MAX(O102*P102,0)</f>
        <v/>
      </c>
      <c r="R102" s="43">
        <f>B102*Q102</f>
        <v/>
      </c>
    </row>
    <row r="103">
      <c r="A103" s="17">
        <f>'Loan Tape (S&amp;P)'!A103</f>
        <v/>
      </c>
      <c r="B103" s="18">
        <f>'Loan Tape (S&amp;P)'!B103</f>
        <v/>
      </c>
      <c r="C103" s="18">
        <f>'Loan Tape (S&amp;P)'!D103</f>
        <v/>
      </c>
      <c r="D103" s="20">
        <f>'FF Calculations'!E103</f>
        <v/>
      </c>
      <c r="E103" s="20">
        <f>'Control Panel'!$B$19</f>
        <v/>
      </c>
      <c r="F103" s="17">
        <f>'Loan Tape (S&amp;P)'!I103</f>
        <v/>
      </c>
      <c r="G103" s="20">
        <f>IFERROR(VLOOKUP(F103,'LS Parameters'!$A$6:$B$10,2,FALSE),0.05)</f>
        <v/>
      </c>
      <c r="H103" s="17">
        <f>'Loan Tape (S&amp;P)'!J103</f>
        <v/>
      </c>
      <c r="I103" s="20">
        <f>IFERROR(VLOOKUP(H103,'LS Parameters'!$A$14:$B$25,2,FALSE),0)</f>
        <v/>
      </c>
      <c r="J103" s="20">
        <f>E103+G103+I103</f>
        <v/>
      </c>
      <c r="K103" s="20">
        <f>'Control Panel'!$B$20</f>
        <v/>
      </c>
      <c r="L103" s="20">
        <f>J103+K103</f>
        <v/>
      </c>
      <c r="M103" s="20">
        <f>1-(D103*L103)</f>
        <v/>
      </c>
      <c r="N103" s="20">
        <f>VLOOKUP('Control Panel'!$B$6,'Jurisdiction Parameters'!$A:$N,14,FALSE)</f>
        <v/>
      </c>
      <c r="O103" s="20">
        <f>IF(M103&gt;0,N103,1-M103+N103)</f>
        <v/>
      </c>
      <c r="P103" s="21">
        <f>LET(
    val_type,'Loan Tape (S&amp;P)'!AU103,
    IF(val_type="Full",1.00,
        IF(val_type="Desktop",1.0103,
            IF(val_type="Drive-by",1.10,
                1.00)))
)</f>
        <v/>
      </c>
      <c r="Q103" s="32">
        <f>MAX(O103*P103,0)</f>
        <v/>
      </c>
      <c r="R103" s="43">
        <f>B103*Q103</f>
        <v/>
      </c>
    </row>
    <row r="104">
      <c r="A104" s="17">
        <f>'Loan Tape (S&amp;P)'!A104</f>
        <v/>
      </c>
      <c r="B104" s="18">
        <f>'Loan Tape (S&amp;P)'!B104</f>
        <v/>
      </c>
      <c r="C104" s="18">
        <f>'Loan Tape (S&amp;P)'!D104</f>
        <v/>
      </c>
      <c r="D104" s="20">
        <f>'FF Calculations'!E104</f>
        <v/>
      </c>
      <c r="E104" s="20">
        <f>'Control Panel'!$B$19</f>
        <v/>
      </c>
      <c r="F104" s="17">
        <f>'Loan Tape (S&amp;P)'!I104</f>
        <v/>
      </c>
      <c r="G104" s="20">
        <f>IFERROR(VLOOKUP(F104,'LS Parameters'!$A$6:$B$10,2,FALSE),0.05)</f>
        <v/>
      </c>
      <c r="H104" s="17">
        <f>'Loan Tape (S&amp;P)'!J104</f>
        <v/>
      </c>
      <c r="I104" s="20">
        <f>IFERROR(VLOOKUP(H104,'LS Parameters'!$A$14:$B$25,2,FALSE),0)</f>
        <v/>
      </c>
      <c r="J104" s="20">
        <f>E104+G104+I104</f>
        <v/>
      </c>
      <c r="K104" s="20">
        <f>'Control Panel'!$B$20</f>
        <v/>
      </c>
      <c r="L104" s="20">
        <f>J104+K104</f>
        <v/>
      </c>
      <c r="M104" s="20">
        <f>1-(D104*L104)</f>
        <v/>
      </c>
      <c r="N104" s="20">
        <f>VLOOKUP('Control Panel'!$B$6,'Jurisdiction Parameters'!$A:$N,14,FALSE)</f>
        <v/>
      </c>
      <c r="O104" s="20">
        <f>IF(M104&gt;0,N104,1-M104+N104)</f>
        <v/>
      </c>
      <c r="P104" s="21">
        <f>LET(
    val_type,'Loan Tape (S&amp;P)'!AU104,
    IF(val_type="Full",1.00,
        IF(val_type="Desktop",1.0104,
            IF(val_type="Drive-by",1.10,
                1.00)))
)</f>
        <v/>
      </c>
      <c r="Q104" s="32">
        <f>MAX(O104*P104,0)</f>
        <v/>
      </c>
      <c r="R104" s="43">
        <f>B104*Q104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5:C19"/>
  <sheetViews>
    <sheetView workbookViewId="0">
      <selection activeCell="A1" sqref="A1"/>
    </sheetView>
  </sheetViews>
  <sheetFormatPr baseColWidth="8" defaultRowHeight="15"/>
  <sheetData>
    <row r="15">
      <c r="A15" s="45" t="inlineStr">
        <is>
          <t>LOSS SEVERITY (WALS) METRICS</t>
        </is>
      </c>
    </row>
    <row r="17">
      <c r="A17" s="39" t="inlineStr">
        <is>
          <t>Pool WALS %</t>
        </is>
      </c>
      <c r="B17" s="46">
        <f>SUMPRODUCT('LS Calculations'!$B$5:$B$104,'LS Calculations'!$Q$5:$Q$104)/SUM('LS Calculations'!$B$5:$B$104)</f>
        <v/>
      </c>
      <c r="C17" s="39" t="inlineStr">
        <is>
          <t>Balance-weighted average loss severity</t>
        </is>
      </c>
    </row>
    <row r="18">
      <c r="A18" s="39" t="inlineStr">
        <is>
          <t>Expected Loss %</t>
        </is>
      </c>
      <c r="B18" s="46">
        <f>B11*B17</f>
        <v/>
      </c>
      <c r="C18" s="39" t="inlineStr">
        <is>
          <t>WAFF × WALS = Expected Loss</t>
        </is>
      </c>
    </row>
    <row r="19">
      <c r="A19" s="39" t="inlineStr">
        <is>
          <t>Expected Loss Amount</t>
        </is>
      </c>
      <c r="B19" s="47">
        <f>B18*B8</f>
        <v/>
      </c>
      <c r="C19" s="39" t="inlineStr">
        <is>
          <t>Expected loss in £</t>
        </is>
      </c>
    </row>
  </sheetData>
  <mergeCells count="1">
    <mergeCell ref="A15:C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11" customWidth="1" min="5" max="5"/>
    <col width="11" customWidth="1" min="6" max="6"/>
    <col width="7" customWidth="1" min="7" max="7"/>
    <col width="11" customWidth="1" min="8" max="8"/>
    <col width="7" customWidth="1" min="9" max="9"/>
  </cols>
  <sheetData>
    <row r="1" ht="30" customHeight="1">
      <c r="A1" s="70" t="inlineStr">
        <is>
          <t>WAFF ANALYTICS &amp; ADJUSTMENT DRIVER DASHBOARD</t>
        </is>
      </c>
    </row>
    <row r="3">
      <c r="A3" s="71" t="inlineStr">
        <is>
          <t>KEY POOL METRICS</t>
        </is>
      </c>
    </row>
    <row r="4">
      <c r="A4" s="54" t="inlineStr">
        <is>
          <t>Pool WAFF (%)</t>
        </is>
      </c>
      <c r="B4" s="72">
        <f>IFERROR('Pool Summary'!B5,0)</f>
        <v/>
      </c>
    </row>
    <row r="5">
      <c r="A5" s="54" t="inlineStr">
        <is>
          <t>Pool WALS (%)</t>
        </is>
      </c>
      <c r="B5" s="72">
        <f>IFERROR('Pool Summary'!B6,0)</f>
        <v/>
      </c>
    </row>
    <row r="6">
      <c r="A6" s="54" t="inlineStr">
        <is>
          <t>Expected Loss (%)</t>
        </is>
      </c>
      <c r="B6" s="72">
        <f>IFERROR('Pool Summary'!B7,0)</f>
        <v/>
      </c>
    </row>
    <row r="7">
      <c r="A7" s="54" t="inlineStr">
        <is>
          <t>Base FF (Wtd Avg)</t>
        </is>
      </c>
      <c r="B7" s="72">
        <f>IFERROR(SUMPRODUCT('FF Calculations'!F5:F104,'Loan Tape (S&amp;P)'!M5:M104)/SUM('Loan Tape (S&amp;P)'!M5:M104),0)</f>
        <v/>
      </c>
    </row>
    <row r="8">
      <c r="A8" s="54" t="inlineStr">
        <is>
          <t>Adjusted FF (Wtd Avg)</t>
        </is>
      </c>
      <c r="B8" s="72">
        <f>IFERROR(SUMPRODUCT('FF Calculations'!Z5:Z104,'Loan Tape (S&amp;P)'!M5:M104)/SUM('Loan Tape (S&amp;P)'!M5:M104),0)</f>
        <v/>
      </c>
    </row>
    <row r="9">
      <c r="A9" s="54" t="inlineStr">
        <is>
          <t>Overall FF Multiplier</t>
        </is>
      </c>
      <c r="B9" s="73">
        <f>IFERROR(B8/B7,0)</f>
        <v/>
      </c>
    </row>
    <row r="11">
      <c r="A11" s="71" t="inlineStr">
        <is>
          <t>ADJUSTMENT DRIVER ANALYSIS</t>
        </is>
      </c>
    </row>
    <row r="12">
      <c r="A12" s="74" t="inlineStr">
        <is>
          <t>Adjustment</t>
        </is>
      </c>
      <c r="B12" s="74" t="inlineStr">
        <is>
          <t>Wtd Avg</t>
        </is>
      </c>
      <c r="C12" s="74" t="inlineStr">
        <is>
          <t>Min</t>
        </is>
      </c>
      <c r="D12" s="74" t="inlineStr">
        <is>
          <t>Max</t>
        </is>
      </c>
      <c r="E12" s="74" t="inlineStr">
        <is>
          <t>Impact (%)</t>
        </is>
      </c>
      <c r="F12" s="74" t="inlineStr">
        <is>
          <t>% of Total</t>
        </is>
      </c>
      <c r="G12" s="74" t="inlineStr">
        <is>
          <t>Rank</t>
        </is>
      </c>
      <c r="H12" s="74" t="inlineStr">
        <is>
          <t>% Affected</t>
        </is>
      </c>
    </row>
    <row r="13">
      <c r="A13" t="inlineStr">
        <is>
          <t>LTV Multiplier</t>
        </is>
      </c>
      <c r="B13" s="75">
        <f>IFERROR(SUMPRODUCT('FF Calculations'!E5:E104,'Loan Tape (S&amp;P)'!M5:M104)/SUM('Loan Tape (S&amp;P)'!M5:M104),1)</f>
        <v/>
      </c>
      <c r="C13" s="75">
        <f>IFERROR(MIN('FF Calculations'!E5:E104),1)</f>
        <v/>
      </c>
      <c r="D13" s="75">
        <f>IFERROR(MAX('FF Calculations'!E5:E104),1)</f>
        <v/>
      </c>
      <c r="E13" s="61">
        <f>IFERROR((B13-1)*$B$7,0)</f>
        <v/>
      </c>
      <c r="F13" s="76">
        <f>IFERROR(E13/SUM($E$13:$E$32),0)</f>
        <v/>
      </c>
      <c r="G13">
        <f>IFERROR(RANK(E13,$E$13:$E$32,0),99)</f>
        <v/>
      </c>
      <c r="H13" s="76">
        <f>IFERROR(COUNTIF('FF Calculations'!E5:E104,"&gt;1")/COUNTA('FF Calculations'!E5:E104),0)</f>
        <v/>
      </c>
    </row>
    <row r="14">
      <c r="A14" t="inlineStr">
        <is>
          <t>Originator</t>
        </is>
      </c>
      <c r="B14" s="75">
        <f>IFERROR(SUMPRODUCT('FF Calculations'!G5:G104,'Loan Tape (S&amp;P)'!M5:M104)/SUM('Loan Tape (S&amp;P)'!M5:M104),1)</f>
        <v/>
      </c>
      <c r="C14" s="75">
        <f>IFERROR(MIN('FF Calculations'!G5:G104),1)</f>
        <v/>
      </c>
      <c r="D14" s="75">
        <f>IFERROR(MAX('FF Calculations'!G5:G104),1)</f>
        <v/>
      </c>
      <c r="E14" s="61">
        <f>IFERROR((B14-1)*$B$7,0)</f>
        <v/>
      </c>
      <c r="F14" s="76">
        <f>IFERROR(E14/SUM($E$13:$E$32),0)</f>
        <v/>
      </c>
      <c r="G14">
        <f>IFERROR(RANK(E14,$E$13:$E$32,0),99)</f>
        <v/>
      </c>
      <c r="H14" s="76">
        <f>IFERROR(COUNTIF('FF Calculations'!G5:G104,"&gt;1")/COUNTA('FF Calculations'!G5:G104),0)</f>
        <v/>
      </c>
    </row>
    <row r="15">
      <c r="A15" t="inlineStr">
        <is>
          <t>Income Multiple</t>
        </is>
      </c>
      <c r="B15" s="75">
        <f>IFERROR(SUMPRODUCT('FF Calculations'!H5:H104,'Loan Tape (S&amp;P)'!M5:M104)/SUM('Loan Tape (S&amp;P)'!M5:M104),1)</f>
        <v/>
      </c>
      <c r="C15" s="75">
        <f>IFERROR(MIN('FF Calculations'!H5:H104),1)</f>
        <v/>
      </c>
      <c r="D15" s="75">
        <f>IFERROR(MAX('FF Calculations'!H5:H104),1)</f>
        <v/>
      </c>
      <c r="E15" s="61">
        <f>IFERROR((B15-1)*$B$7,0)</f>
        <v/>
      </c>
      <c r="F15" s="76">
        <f>IFERROR(E15/SUM($E$13:$E$32),0)</f>
        <v/>
      </c>
      <c r="G15">
        <f>IFERROR(RANK(E15,$E$13:$E$32,0),99)</f>
        <v/>
      </c>
      <c r="H15" s="76">
        <f>IFERROR(COUNTIF('FF Calculations'!H5:H104,"&gt;1")/COUNTA('FF Calculations'!H5:H104),0)</f>
        <v/>
      </c>
    </row>
    <row r="16">
      <c r="A16" t="inlineStr">
        <is>
          <t>BTL/DSCR</t>
        </is>
      </c>
      <c r="B16" s="75">
        <f>IFERROR(SUMPRODUCT('FF Calculations'!I5:I104,'Loan Tape (S&amp;P)'!M5:M104)/SUM('Loan Tape (S&amp;P)'!M5:M104),1)</f>
        <v/>
      </c>
      <c r="C16" s="75">
        <f>IFERROR(MIN('FF Calculations'!I5:I104),1)</f>
        <v/>
      </c>
      <c r="D16" s="75">
        <f>IFERROR(MAX('FF Calculations'!I5:I104),1)</f>
        <v/>
      </c>
      <c r="E16" s="61">
        <f>IFERROR((B16-1)*$B$7,0)</f>
        <v/>
      </c>
      <c r="F16" s="76">
        <f>IFERROR(E16/SUM($E$13:$E$32),0)</f>
        <v/>
      </c>
      <c r="G16">
        <f>IFERROR(RANK(E16,$E$13:$E$32,0),99)</f>
        <v/>
      </c>
      <c r="H16" s="76">
        <f>IFERROR(COUNTIF('FF Calculations'!I5:I104,"&gt;1")/COUNTA('FF Calculations'!I5:I104),0)</f>
        <v/>
      </c>
    </row>
    <row r="17">
      <c r="A17" t="inlineStr">
        <is>
          <t>Lien Position</t>
        </is>
      </c>
      <c r="B17" s="75">
        <f>IFERROR(SUMPRODUCT('FF Calculations'!J5:J104,'Loan Tape (S&amp;P)'!M5:M104)/SUM('Loan Tape (S&amp;P)'!M5:M104),1)</f>
        <v/>
      </c>
      <c r="C17" s="75">
        <f>IFERROR(MIN('FF Calculations'!J5:J104),1)</f>
        <v/>
      </c>
      <c r="D17" s="75">
        <f>IFERROR(MAX('FF Calculations'!J5:J104),1)</f>
        <v/>
      </c>
      <c r="E17" s="61">
        <f>IFERROR((B17-1)*$B$7,0)</f>
        <v/>
      </c>
      <c r="F17" s="76">
        <f>IFERROR(E17/SUM($E$13:$E$32),0)</f>
        <v/>
      </c>
      <c r="G17">
        <f>IFERROR(RANK(E17,$E$13:$E$32,0),99)</f>
        <v/>
      </c>
      <c r="H17" s="76">
        <f>IFERROR(COUNTIF('FF Calculations'!J5:J104,"&gt;1")/COUNTA('FF Calculations'!J5:J104),0)</f>
        <v/>
      </c>
    </row>
    <row r="18">
      <c r="A18" t="inlineStr">
        <is>
          <t>Loan Purpose</t>
        </is>
      </c>
      <c r="B18" s="75">
        <f>IFERROR(SUMPRODUCT('FF Calculations'!K5:K104,'Loan Tape (S&amp;P)'!M5:M104)/SUM('Loan Tape (S&amp;P)'!M5:M104),1)</f>
        <v/>
      </c>
      <c r="C18" s="75">
        <f>IFERROR(MIN('FF Calculations'!K5:K104),1)</f>
        <v/>
      </c>
      <c r="D18" s="75">
        <f>IFERROR(MAX('FF Calculations'!K5:K104),1)</f>
        <v/>
      </c>
      <c r="E18" s="61">
        <f>IFERROR((B18-1)*$B$7,0)</f>
        <v/>
      </c>
      <c r="F18" s="76">
        <f>IFERROR(E18/SUM($E$13:$E$32),0)</f>
        <v/>
      </c>
      <c r="G18">
        <f>IFERROR(RANK(E18,$E$13:$E$32,0),99)</f>
        <v/>
      </c>
      <c r="H18" s="76">
        <f>IFERROR(COUNTIF('FF Calculations'!K5:K104,"&gt;1")/COUNTA('FF Calculations'!K5:K104),0)</f>
        <v/>
      </c>
    </row>
    <row r="19">
      <c r="A19" t="inlineStr">
        <is>
          <t>Arrears</t>
        </is>
      </c>
      <c r="B19" s="75">
        <f>IFERROR(SUMPRODUCT('FF Calculations'!L5:L104,'Loan Tape (S&amp;P)'!M5:M104)/SUM('Loan Tape (S&amp;P)'!M5:M104),1)</f>
        <v/>
      </c>
      <c r="C19" s="75">
        <f>IFERROR(MIN('FF Calculations'!L5:L104),1)</f>
        <v/>
      </c>
      <c r="D19" s="75">
        <f>IFERROR(MAX('FF Calculations'!L5:L104),1)</f>
        <v/>
      </c>
      <c r="E19" s="61">
        <f>IFERROR((B19-1)*$B$7,0)</f>
        <v/>
      </c>
      <c r="F19" s="76">
        <f>IFERROR(E19/SUM($E$13:$E$32),0)</f>
        <v/>
      </c>
      <c r="G19">
        <f>IFERROR(RANK(E19,$E$13:$E$32,0),99)</f>
        <v/>
      </c>
      <c r="H19" s="76">
        <f>IFERROR(COUNTIF('FF Calculations'!L5:L104,"&gt;1")/COUNTA('FF Calculations'!L5:L104),0)</f>
        <v/>
      </c>
    </row>
    <row r="20">
      <c r="A20" t="inlineStr">
        <is>
          <t>Seasoning</t>
        </is>
      </c>
      <c r="B20" s="75">
        <f>IFERROR(SUMPRODUCT('FF Calculations'!M5:M104,'Loan Tape (S&amp;P)'!M5:M104)/SUM('Loan Tape (S&amp;P)'!M5:M104),1)</f>
        <v/>
      </c>
      <c r="C20" s="75">
        <f>IFERROR(MIN('FF Calculations'!M5:M104),1)</f>
        <v/>
      </c>
      <c r="D20" s="75">
        <f>IFERROR(MAX('FF Calculations'!M5:M104),1)</f>
        <v/>
      </c>
      <c r="E20" s="61">
        <f>IFERROR((B20-1)*$B$7,0)</f>
        <v/>
      </c>
      <c r="F20" s="76">
        <f>IFERROR(E20/SUM($E$13:$E$32),0)</f>
        <v/>
      </c>
      <c r="G20">
        <f>IFERROR(RANK(E20,$E$13:$E$32,0),99)</f>
        <v/>
      </c>
      <c r="H20" s="76">
        <f>IFERROR(COUNTIF('FF Calculations'!M5:M104,"&gt;1")/COUNTA('FF Calculations'!M5:M104),0)</f>
        <v/>
      </c>
    </row>
    <row r="21">
      <c r="A21" t="inlineStr">
        <is>
          <t>First Time Buyer</t>
        </is>
      </c>
      <c r="B21" s="75">
        <f>IFERROR(SUMPRODUCT('FF Calculations'!N5:N104,'Loan Tape (S&amp;P)'!M5:M104)/SUM('Loan Tape (S&amp;P)'!M5:M104),1)</f>
        <v/>
      </c>
      <c r="C21" s="75">
        <f>IFERROR(MIN('FF Calculations'!N5:N104),1)</f>
        <v/>
      </c>
      <c r="D21" s="75">
        <f>IFERROR(MAX('FF Calculations'!N5:N104),1)</f>
        <v/>
      </c>
      <c r="E21" s="61">
        <f>IFERROR((B21-1)*$B$7,0)</f>
        <v/>
      </c>
      <c r="F21" s="76">
        <f>IFERROR(E21/SUM($E$13:$E$32),0)</f>
        <v/>
      </c>
      <c r="G21">
        <f>IFERROR(RANK(E21,$E$13:$E$32,0),99)</f>
        <v/>
      </c>
      <c r="H21" s="76">
        <f>IFERROR(COUNTIF('FF Calculations'!N5:N104,"&gt;1")/COUNTA('FF Calculations'!N5:N104),0)</f>
        <v/>
      </c>
    </row>
    <row r="22">
      <c r="A22" t="inlineStr">
        <is>
          <t>Help to Buy</t>
        </is>
      </c>
      <c r="B22" s="75">
        <f>IFERROR(SUMPRODUCT('FF Calculations'!O5:O104,'Loan Tape (S&amp;P)'!M5:M104)/SUM('Loan Tape (S&amp;P)'!M5:M104),1)</f>
        <v/>
      </c>
      <c r="C22" s="75">
        <f>IFERROR(MIN('FF Calculations'!O5:O104),1)</f>
        <v/>
      </c>
      <c r="D22" s="75">
        <f>IFERROR(MAX('FF Calculations'!O5:O104),1)</f>
        <v/>
      </c>
      <c r="E22" s="61">
        <f>IFERROR((B22-1)*$B$7,0)</f>
        <v/>
      </c>
      <c r="F22" s="76">
        <f>IFERROR(E22/SUM($E$13:$E$32),0)</f>
        <v/>
      </c>
      <c r="G22">
        <f>IFERROR(RANK(E22,$E$13:$E$32,0),99)</f>
        <v/>
      </c>
      <c r="H22" s="76">
        <f>IFERROR(COUNTIF('FF Calculations'!O5:O104,"&gt;1")/COUNTA('FF Calculations'!O5:O104),0)</f>
        <v/>
      </c>
    </row>
    <row r="23">
      <c r="A23" t="inlineStr">
        <is>
          <t>Shared Ownership</t>
        </is>
      </c>
      <c r="B23" s="75">
        <f>IFERROR(SUMPRODUCT('FF Calculations'!P5:P104,'Loan Tape (S&amp;P)'!M5:M104)/SUM('Loan Tape (S&amp;P)'!M5:M104),1)</f>
        <v/>
      </c>
      <c r="C23" s="75">
        <f>IFERROR(MIN('FF Calculations'!P5:P104),1)</f>
        <v/>
      </c>
      <c r="D23" s="75">
        <f>IFERROR(MAX('FF Calculations'!P5:P104),1)</f>
        <v/>
      </c>
      <c r="E23" s="61">
        <f>IFERROR((B23-1)*$B$7,0)</f>
        <v/>
      </c>
      <c r="F23" s="76">
        <f>IFERROR(E23/SUM($E$13:$E$32),0)</f>
        <v/>
      </c>
      <c r="G23">
        <f>IFERROR(RANK(E23,$E$13:$E$32,0),99)</f>
        <v/>
      </c>
      <c r="H23" s="76">
        <f>IFERROR(COUNTIF('FF Calculations'!P5:P104,"&gt;1")/COUNTA('FF Calculations'!P5:P104),0)</f>
        <v/>
      </c>
    </row>
    <row r="24">
      <c r="A24" t="inlineStr">
        <is>
          <t>Right to Buy</t>
        </is>
      </c>
      <c r="B24" s="75">
        <f>IFERROR(SUMPRODUCT('FF Calculations'!Q5:Q104,'Loan Tape (S&amp;P)'!M5:M104)/SUM('Loan Tape (S&amp;P)'!M5:M104),1)</f>
        <v/>
      </c>
      <c r="C24" s="75">
        <f>IFERROR(MIN('FF Calculations'!Q5:Q104),1)</f>
        <v/>
      </c>
      <c r="D24" s="75">
        <f>IFERROR(MAX('FF Calculations'!Q5:Q104),1)</f>
        <v/>
      </c>
      <c r="E24" s="61">
        <f>IFERROR((B24-1)*$B$7,0)</f>
        <v/>
      </c>
      <c r="F24" s="76">
        <f>IFERROR(E24/SUM($E$13:$E$32),0)</f>
        <v/>
      </c>
      <c r="G24">
        <f>IFERROR(RANK(E24,$E$13:$E$32,0),99)</f>
        <v/>
      </c>
      <c r="H24" s="76">
        <f>IFERROR(COUNTIF('FF Calculations'!Q5:Q104,"&gt;1")/COUNTA('FF Calculations'!Q5:Q104),0)</f>
        <v/>
      </c>
    </row>
    <row r="25">
      <c r="A25" t="inlineStr">
        <is>
          <t>Self-Certification</t>
        </is>
      </c>
      <c r="B25" s="75">
        <f>IFERROR(SUMPRODUCT('FF Calculations'!R5:R104,'Loan Tape (S&amp;P)'!M5:M104)/SUM('Loan Tape (S&amp;P)'!M5:M104),1)</f>
        <v/>
      </c>
      <c r="C25" s="75">
        <f>IFERROR(MIN('FF Calculations'!R5:R104),1)</f>
        <v/>
      </c>
      <c r="D25" s="75">
        <f>IFERROR(MAX('FF Calculations'!R5:R104),1)</f>
        <v/>
      </c>
      <c r="E25" s="61">
        <f>IFERROR((B25-1)*$B$7,0)</f>
        <v/>
      </c>
      <c r="F25" s="76">
        <f>IFERROR(E25/SUM($E$13:$E$32),0)</f>
        <v/>
      </c>
      <c r="G25">
        <f>IFERROR(RANK(E25,$E$13:$E$32,0),99)</f>
        <v/>
      </c>
      <c r="H25" s="76">
        <f>IFERROR(COUNTIF('FF Calculations'!R5:R104,"&gt;1")/COUNTA('FF Calculations'!R5:R104),0)</f>
        <v/>
      </c>
    </row>
    <row r="26">
      <c r="A26" t="inlineStr">
        <is>
          <t>Payment Shock</t>
        </is>
      </c>
      <c r="B26" s="75">
        <f>IFERROR(SUMPRODUCT('FF Calculations'!S5:S104,'Loan Tape (S&amp;P)'!M5:M104)/SUM('Loan Tape (S&amp;P)'!M5:M104),1)</f>
        <v/>
      </c>
      <c r="C26" s="75">
        <f>IFERROR(MIN('FF Calculations'!S5:S104),1)</f>
        <v/>
      </c>
      <c r="D26" s="75">
        <f>IFERROR(MAX('FF Calculations'!S5:S104),1)</f>
        <v/>
      </c>
      <c r="E26" s="61">
        <f>IFERROR((B26-1)*$B$7,0)</f>
        <v/>
      </c>
      <c r="F26" s="76">
        <f>IFERROR(E26/SUM($E$13:$E$32),0)</f>
        <v/>
      </c>
      <c r="G26">
        <f>IFERROR(RANK(E26,$E$13:$E$32,0),99)</f>
        <v/>
      </c>
      <c r="H26" s="76">
        <f>IFERROR(COUNTIF('FF Calculations'!S5:S104,"&gt;1")/COUNTA('FF Calculations'!S5:S104),0)</f>
        <v/>
      </c>
    </row>
    <row r="27">
      <c r="A27" t="inlineStr">
        <is>
          <t>Interest Only</t>
        </is>
      </c>
      <c r="B27" s="75">
        <f>IFERROR(SUMPRODUCT('FF Calculations'!T5:T104,'Loan Tape (S&amp;P)'!M5:M104)/SUM('Loan Tape (S&amp;P)'!M5:M104),1)</f>
        <v/>
      </c>
      <c r="C27" s="75">
        <f>IFERROR(MIN('FF Calculations'!T5:T104),1)</f>
        <v/>
      </c>
      <c r="D27" s="75">
        <f>IFERROR(MAX('FF Calculations'!T5:T104),1)</f>
        <v/>
      </c>
      <c r="E27" s="61">
        <f>IFERROR((B27-1)*$B$7,0)</f>
        <v/>
      </c>
      <c r="F27" s="76">
        <f>IFERROR(E27/SUM($E$13:$E$32),0)</f>
        <v/>
      </c>
      <c r="G27">
        <f>IFERROR(RANK(E27,$E$13:$E$32,0),99)</f>
        <v/>
      </c>
      <c r="H27" s="76">
        <f>IFERROR(COUNTIF('FF Calculations'!T5:T104,"&gt;1")/COUNTA('FF Calculations'!T5:T104),0)</f>
        <v/>
      </c>
    </row>
    <row r="28">
      <c r="A28" t="inlineStr">
        <is>
          <t>Self-Employed</t>
        </is>
      </c>
      <c r="B28" s="75">
        <f>IFERROR(SUMPRODUCT('FF Calculations'!U5:U104,'Loan Tape (S&amp;P)'!M5:M104)/SUM('Loan Tape (S&amp;P)'!M5:M104),1)</f>
        <v/>
      </c>
      <c r="C28" s="75">
        <f>IFERROR(MIN('FF Calculations'!U5:U104),1)</f>
        <v/>
      </c>
      <c r="D28" s="75">
        <f>IFERROR(MAX('FF Calculations'!U5:U104),1)</f>
        <v/>
      </c>
      <c r="E28" s="61">
        <f>IFERROR((B28-1)*$B$7,0)</f>
        <v/>
      </c>
      <c r="F28" s="76">
        <f>IFERROR(E28/SUM($E$13:$E$32),0)</f>
        <v/>
      </c>
      <c r="G28">
        <f>IFERROR(RANK(E28,$E$13:$E$32,0),99)</f>
        <v/>
      </c>
      <c r="H28" s="76">
        <f>IFERROR(COUNTIF('FF Calculations'!U5:U104,"&gt;1")/COUNTA('FF Calculations'!U5:U104),0)</f>
        <v/>
      </c>
    </row>
    <row r="29">
      <c r="A29" t="inlineStr">
        <is>
          <t>Commercial</t>
        </is>
      </c>
      <c r="B29" s="75">
        <f>IFERROR(SUMPRODUCT('FF Calculations'!V5:V104,'Loan Tape (S&amp;P)'!M5:M104)/SUM('Loan Tape (S&amp;P)'!M5:M104),1)</f>
        <v/>
      </c>
      <c r="C29" s="75">
        <f>IFERROR(MIN('FF Calculations'!V5:V104),1)</f>
        <v/>
      </c>
      <c r="D29" s="75">
        <f>IFERROR(MAX('FF Calculations'!V5:V104),1)</f>
        <v/>
      </c>
      <c r="E29" s="61">
        <f>IFERROR((B29-1)*$B$7,0)</f>
        <v/>
      </c>
      <c r="F29" s="76">
        <f>IFERROR(E29/SUM($E$13:$E$32),0)</f>
        <v/>
      </c>
      <c r="G29">
        <f>IFERROR(RANK(E29,$E$13:$E$32,0),99)</f>
        <v/>
      </c>
      <c r="H29" s="76">
        <f>IFERROR(COUNTIF('FF Calculations'!V5:V104,"&gt;1")/COUNTA('FF Calculations'!V5:V104),0)</f>
        <v/>
      </c>
    </row>
    <row r="30">
      <c r="A30" t="inlineStr">
        <is>
          <t>CCJ</t>
        </is>
      </c>
      <c r="B30" s="75">
        <f>IFERROR(SUMPRODUCT('FF Calculations'!W5:W104,'Loan Tape (S&amp;P)'!M5:M104)/SUM('Loan Tape (S&amp;P)'!M5:M104),1)</f>
        <v/>
      </c>
      <c r="C30" s="75">
        <f>IFERROR(MIN('FF Calculations'!W5:W104),1)</f>
        <v/>
      </c>
      <c r="D30" s="75">
        <f>IFERROR(MAX('FF Calculations'!W5:W104),1)</f>
        <v/>
      </c>
      <c r="E30" s="61">
        <f>IFERROR((B30-1)*$B$7,0)</f>
        <v/>
      </c>
      <c r="F30" s="76">
        <f>IFERROR(E30/SUM($E$13:$E$32),0)</f>
        <v/>
      </c>
      <c r="G30">
        <f>IFERROR(RANK(E30,$E$13:$E$32,0),99)</f>
        <v/>
      </c>
      <c r="H30" s="76">
        <f>IFERROR(COUNTIF('FF Calculations'!W5:W104,"&gt;1")/COUNTA('FF Calculations'!W5:W104),0)</f>
        <v/>
      </c>
    </row>
    <row r="31">
      <c r="A31" t="inlineStr">
        <is>
          <t>Bankruptcy/IVA</t>
        </is>
      </c>
      <c r="B31" s="75">
        <f>IFERROR(SUMPRODUCT('FF Calculations'!X5:X104,'Loan Tape (S&amp;P)'!M5:M104)/SUM('Loan Tape (S&amp;P)'!M5:M104),1)</f>
        <v/>
      </c>
      <c r="C31" s="75">
        <f>IFERROR(MIN('FF Calculations'!X5:X104),1)</f>
        <v/>
      </c>
      <c r="D31" s="75">
        <f>IFERROR(MAX('FF Calculations'!X5:X104),1)</f>
        <v/>
      </c>
      <c r="E31" s="61">
        <f>IFERROR((B31-1)*$B$7,0)</f>
        <v/>
      </c>
      <c r="F31" s="76">
        <f>IFERROR(E31/SUM($E$13:$E$32),0)</f>
        <v/>
      </c>
      <c r="G31">
        <f>IFERROR(RANK(E31,$E$13:$E$32,0),99)</f>
        <v/>
      </c>
      <c r="H31" s="76">
        <f>IFERROR(COUNTIF('FF Calculations'!X5:X104,"&gt;1")/COUNTA('FF Calculations'!X5:X104),0)</f>
        <v/>
      </c>
    </row>
    <row r="32">
      <c r="A32" t="inlineStr">
        <is>
          <t>Reperforming</t>
        </is>
      </c>
      <c r="B32" s="75">
        <f>IFERROR(SUMPRODUCT('FF Calculations'!Y5:Y104,'Loan Tape (S&amp;P)'!M5:M104)/SUM('Loan Tape (S&amp;P)'!M5:M104),1)</f>
        <v/>
      </c>
      <c r="C32" s="75">
        <f>IFERROR(MIN('FF Calculations'!Y5:Y104),1)</f>
        <v/>
      </c>
      <c r="D32" s="75">
        <f>IFERROR(MAX('FF Calculations'!Y5:Y104),1)</f>
        <v/>
      </c>
      <c r="E32" s="61">
        <f>IFERROR((B32-1)*$B$7,0)</f>
        <v/>
      </c>
      <c r="F32" s="76">
        <f>IFERROR(E32/SUM($E$13:$E$32),0)</f>
        <v/>
      </c>
      <c r="G32">
        <f>IFERROR(RANK(E32,$E$13:$E$32,0),99)</f>
        <v/>
      </c>
      <c r="H32" s="76">
        <f>IFERROR(COUNTIF('FF Calculations'!Y5:Y104,"&gt;1")/COUNTA('FF Calculations'!Y5:Y104),0)</f>
        <v/>
      </c>
    </row>
    <row r="35">
      <c r="A35" s="71" t="inlineStr">
        <is>
          <t>DEAL / POOL CUT COMPARISON</t>
        </is>
      </c>
    </row>
    <row r="36">
      <c r="A36" s="2" t="inlineStr">
        <is>
          <t>Paste values from other deals below</t>
        </is>
      </c>
    </row>
    <row r="37">
      <c r="A37" s="77" t="inlineStr">
        <is>
          <t>Metric</t>
        </is>
      </c>
      <c r="B37" s="77" t="inlineStr">
        <is>
          <t>Current</t>
        </is>
      </c>
      <c r="C37" s="77" t="inlineStr">
        <is>
          <t>Deal 2</t>
        </is>
      </c>
      <c r="D37" s="77" t="inlineStr">
        <is>
          <t>Deal 3</t>
        </is>
      </c>
      <c r="E37" s="77" t="inlineStr">
        <is>
          <t>Deal 4</t>
        </is>
      </c>
      <c r="F37" s="77" t="inlineStr">
        <is>
          <t>Δ vs D2</t>
        </is>
      </c>
      <c r="G37" s="77" t="inlineStr">
        <is>
          <t>Δ vs D3</t>
        </is>
      </c>
      <c r="H37" s="77" t="inlineStr">
        <is>
          <t>Δ vs D4</t>
        </is>
      </c>
      <c r="I37" s="77" t="inlineStr">
        <is>
          <t>Best</t>
        </is>
      </c>
    </row>
    <row r="38">
      <c r="A38" t="inlineStr">
        <is>
          <t>Pool WAFF</t>
        </is>
      </c>
      <c r="B38" s="61">
        <f>B4</f>
        <v/>
      </c>
      <c r="C38" t="inlineStr"/>
      <c r="D38" t="inlineStr"/>
      <c r="E38" t="inlineStr"/>
      <c r="F38" s="78">
        <f>IFERROR(IF(C38="","",C38-B38),"")</f>
        <v/>
      </c>
      <c r="G38" s="78">
        <f>IFERROR(IF(D38="","",D38-B38),"")</f>
        <v/>
      </c>
      <c r="H38" s="78">
        <f>IFERROR(IF(E38="","",E38-B38),"")</f>
        <v/>
      </c>
      <c r="I38">
        <f>IFERROR(IF(COUNTBLANK(B38:E38)&gt;0,"",IF(B38=MIN($B38:$E38),"Curr",IF(C38=MIN($B38:$E38),"D2",IF(D38=MIN($B38:$E38),"D3","D4")))),"")</f>
        <v/>
      </c>
    </row>
    <row r="39">
      <c r="A39" t="inlineStr">
        <is>
          <t>Pool WALS</t>
        </is>
      </c>
      <c r="B39" s="61">
        <f>B5</f>
        <v/>
      </c>
      <c r="C39" t="inlineStr"/>
      <c r="D39" t="inlineStr"/>
      <c r="E39" t="inlineStr"/>
      <c r="F39" s="78">
        <f>IFERROR(IF(C39="","",C39-B39),"")</f>
        <v/>
      </c>
      <c r="G39" s="78">
        <f>IFERROR(IF(D39="","",D39-B39),"")</f>
        <v/>
      </c>
      <c r="H39" s="78">
        <f>IFERROR(IF(E39="","",E39-B39),"")</f>
        <v/>
      </c>
      <c r="I39">
        <f>IFERROR(IF(COUNTBLANK(B39:E39)&gt;0,"",IF(B39=MIN($B39:$E39),"Curr",IF(C39=MIN($B39:$E39),"D2",IF(D39=MIN($B39:$E39),"D3","D4")))),"")</f>
        <v/>
      </c>
    </row>
    <row r="40">
      <c r="A40" t="inlineStr">
        <is>
          <t>Expected Loss</t>
        </is>
      </c>
      <c r="B40" s="61">
        <f>B6</f>
        <v/>
      </c>
      <c r="C40" t="inlineStr"/>
      <c r="D40" t="inlineStr"/>
      <c r="E40" t="inlineStr"/>
      <c r="F40" s="78">
        <f>IFERROR(IF(C40="","",C40-B40),"")</f>
        <v/>
      </c>
      <c r="G40" s="78">
        <f>IFERROR(IF(D40="","",D40-B40),"")</f>
        <v/>
      </c>
      <c r="H40" s="78">
        <f>IFERROR(IF(E40="","",E40-B40),"")</f>
        <v/>
      </c>
      <c r="I40">
        <f>IFERROR(IF(COUNTBLANK(B40:E40)&gt;0,"",IF(B40=MIN($B40:$E40),"Curr",IF(C40=MIN($B40:$E40),"D2",IF(D40=MIN($B40:$E40),"D3","D4")))),"")</f>
        <v/>
      </c>
    </row>
    <row r="41">
      <c r="A41" t="inlineStr">
        <is>
          <t>FF Multiplier</t>
        </is>
      </c>
      <c r="B41" s="61">
        <f>B9</f>
        <v/>
      </c>
      <c r="C41" t="inlineStr"/>
      <c r="D41" t="inlineStr"/>
      <c r="E41" t="inlineStr"/>
      <c r="F41" s="78">
        <f>IFERROR(IF(C41="","",C41-B41),"")</f>
        <v/>
      </c>
      <c r="G41" s="78">
        <f>IFERROR(IF(D41="","",D41-B41),"")</f>
        <v/>
      </c>
      <c r="H41" s="78">
        <f>IFERROR(IF(E41="","",E41-B41),"")</f>
        <v/>
      </c>
      <c r="I41">
        <f>IFERROR(IF(COUNTBLANK(B41:E41)&gt;0,"",IF(B41=MIN($B41:$E41),"Curr",IF(C41=MIN($B41:$E41),"D2",IF(D41=MIN($B41:$E41),"D3","D4")))),"")</f>
        <v/>
      </c>
    </row>
    <row r="42">
      <c r="A42" t="inlineStr">
        <is>
          <t>LTV Impact</t>
        </is>
      </c>
      <c r="B42" s="61">
        <f>E13</f>
        <v/>
      </c>
      <c r="C42" t="inlineStr"/>
      <c r="D42" t="inlineStr"/>
      <c r="E42" t="inlineStr"/>
      <c r="F42" s="78">
        <f>IFERROR(IF(C42="","",C42-B42),"")</f>
        <v/>
      </c>
      <c r="G42" s="78">
        <f>IFERROR(IF(D42="","",D42-B42),"")</f>
        <v/>
      </c>
      <c r="H42" s="78">
        <f>IFERROR(IF(E42="","",E42-B42),"")</f>
        <v/>
      </c>
      <c r="I42">
        <f>IFERROR(IF(COUNTBLANK(B42:E42)&gt;0,"",IF(B42=MIN($B42:$E42),"Curr",IF(C42=MIN($B42:$E42),"D2",IF(D42=MIN($B42:$E42),"D3","D4")))),"")</f>
        <v/>
      </c>
    </row>
    <row r="43">
      <c r="A43" t="inlineStr">
        <is>
          <t>Seasoning Impact</t>
        </is>
      </c>
      <c r="B43" s="61">
        <f>E20</f>
        <v/>
      </c>
      <c r="C43" t="inlineStr"/>
      <c r="D43" t="inlineStr"/>
      <c r="E43" t="inlineStr"/>
      <c r="F43" s="78">
        <f>IFERROR(IF(C43="","",C43-B43),"")</f>
        <v/>
      </c>
      <c r="G43" s="78">
        <f>IFERROR(IF(D43="","",D43-B43),"")</f>
        <v/>
      </c>
      <c r="H43" s="78">
        <f>IFERROR(IF(E43="","",E43-B43),"")</f>
        <v/>
      </c>
      <c r="I43">
        <f>IFERROR(IF(COUNTBLANK(B43:E43)&gt;0,"",IF(B43=MIN($B43:$E43),"Curr",IF(C43=MIN($B43:$E43),"D2",IF(D43=MIN($B43:$E43),"D3","D4")))),"")</f>
        <v/>
      </c>
    </row>
    <row r="44">
      <c r="A44" t="inlineStr">
        <is>
          <t>Product Features</t>
        </is>
      </c>
      <c r="B44" s="61">
        <f>SUM(E21:E25)</f>
        <v/>
      </c>
      <c r="C44" t="inlineStr"/>
      <c r="D44" t="inlineStr"/>
      <c r="E44" t="inlineStr"/>
      <c r="F44" s="78">
        <f>IFERROR(IF(C44="","",C44-B44),"")</f>
        <v/>
      </c>
      <c r="G44" s="78">
        <f>IFERROR(IF(D44="","",D44-B44),"")</f>
        <v/>
      </c>
      <c r="H44" s="78">
        <f>IFERROR(IF(E44="","",E44-B44),"")</f>
        <v/>
      </c>
      <c r="I44">
        <f>IFERROR(IF(COUNTBLANK(B44:E44)&gt;0,"",IF(B44=MIN($B44:$E44),"Curr",IF(C44=MIN($B44:$E44),"D2",IF(D44=MIN($B44:$E44),"D3","D4")))),"")</f>
        <v/>
      </c>
    </row>
    <row r="47">
      <c r="A47" s="71" t="inlineStr">
        <is>
          <t>S&amp;P NIR COMPARISON</t>
        </is>
      </c>
    </row>
    <row r="48">
      <c r="A48" s="2" t="inlineStr">
        <is>
          <t>Paste S&amp;P NIR values to compare</t>
        </is>
      </c>
    </row>
    <row r="49">
      <c r="A49" s="79" t="inlineStr">
        <is>
          <t>Adjustment</t>
        </is>
      </c>
      <c r="B49" s="79" t="inlineStr">
        <is>
          <t>Our Model</t>
        </is>
      </c>
      <c r="C49" s="79" t="inlineStr">
        <is>
          <t>S&amp;P NIR</t>
        </is>
      </c>
      <c r="D49" s="79" t="inlineStr">
        <is>
          <t>Variance</t>
        </is>
      </c>
      <c r="E49" s="79" t="inlineStr">
        <is>
          <t>Var %</t>
        </is>
      </c>
      <c r="F49" s="79" t="inlineStr">
        <is>
          <t>±5%</t>
        </is>
      </c>
      <c r="G49" s="79" t="inlineStr">
        <is>
          <t>±10%</t>
        </is>
      </c>
      <c r="H49" s="79" t="inlineStr">
        <is>
          <t>Status</t>
        </is>
      </c>
    </row>
    <row r="50">
      <c r="A50" t="inlineStr">
        <is>
          <t>LTV Multiplier</t>
        </is>
      </c>
      <c r="B50" s="75">
        <f>B13</f>
        <v/>
      </c>
      <c r="C50" t="inlineStr"/>
      <c r="D50" s="80">
        <f>IFERROR(IF(C50="","",B50-C50),"")</f>
        <v/>
      </c>
      <c r="E50" s="81">
        <f>IFERROR(IF(C50="","",D50/C50),"")</f>
        <v/>
      </c>
      <c r="F50" s="82">
        <f>IF(C50="","",IF(ABS(E50)&lt;=0.05,"✓","✗"))</f>
        <v/>
      </c>
      <c r="G50" s="82">
        <f>IF(C50="","",IF(ABS(E50)&lt;=0.10,"✓","✗"))</f>
        <v/>
      </c>
      <c r="H50">
        <f>IF(C50="","",IF(ABS(E50)&lt;0.05,"Target",IF(ABS(E50)&lt;0.10,"Close","Review")))</f>
        <v/>
      </c>
    </row>
    <row r="51">
      <c r="A51" t="inlineStr">
        <is>
          <t>Originator</t>
        </is>
      </c>
      <c r="B51" s="75">
        <f>B14</f>
        <v/>
      </c>
      <c r="C51" t="inlineStr"/>
      <c r="D51" s="80">
        <f>IFERROR(IF(C51="","",B51-C51),"")</f>
        <v/>
      </c>
      <c r="E51" s="81">
        <f>IFERROR(IF(C51="","",D51/C51),"")</f>
        <v/>
      </c>
      <c r="F51" s="82">
        <f>IF(C51="","",IF(ABS(E51)&lt;=0.05,"✓","✗"))</f>
        <v/>
      </c>
      <c r="G51" s="82">
        <f>IF(C51="","",IF(ABS(E51)&lt;=0.10,"✓","✗"))</f>
        <v/>
      </c>
      <c r="H51">
        <f>IF(C51="","",IF(ABS(E51)&lt;0.05,"Target",IF(ABS(E51)&lt;0.10,"Close","Review")))</f>
        <v/>
      </c>
    </row>
    <row r="52">
      <c r="A52" t="inlineStr">
        <is>
          <t>Income Multiple</t>
        </is>
      </c>
      <c r="B52" s="75">
        <f>B15</f>
        <v/>
      </c>
      <c r="C52" t="inlineStr"/>
      <c r="D52" s="80">
        <f>IFERROR(IF(C52="","",B52-C52),"")</f>
        <v/>
      </c>
      <c r="E52" s="81">
        <f>IFERROR(IF(C52="","",D52/C52),"")</f>
        <v/>
      </c>
      <c r="F52" s="82">
        <f>IF(C52="","",IF(ABS(E52)&lt;=0.05,"✓","✗"))</f>
        <v/>
      </c>
      <c r="G52" s="82">
        <f>IF(C52="","",IF(ABS(E52)&lt;=0.10,"✓","✗"))</f>
        <v/>
      </c>
      <c r="H52">
        <f>IF(C52="","",IF(ABS(E52)&lt;0.05,"Target",IF(ABS(E52)&lt;0.10,"Close","Review")))</f>
        <v/>
      </c>
    </row>
    <row r="53">
      <c r="A53" t="inlineStr">
        <is>
          <t>BTL/DSCR</t>
        </is>
      </c>
      <c r="B53" s="75">
        <f>B16</f>
        <v/>
      </c>
      <c r="C53" t="inlineStr"/>
      <c r="D53" s="80">
        <f>IFERROR(IF(C53="","",B53-C53),"")</f>
        <v/>
      </c>
      <c r="E53" s="81">
        <f>IFERROR(IF(C53="","",D53/C53),"")</f>
        <v/>
      </c>
      <c r="F53" s="82">
        <f>IF(C53="","",IF(ABS(E53)&lt;=0.05,"✓","✗"))</f>
        <v/>
      </c>
      <c r="G53" s="82">
        <f>IF(C53="","",IF(ABS(E53)&lt;=0.10,"✓","✗"))</f>
        <v/>
      </c>
      <c r="H53">
        <f>IF(C53="","",IF(ABS(E53)&lt;0.05,"Target",IF(ABS(E53)&lt;0.10,"Close","Review")))</f>
        <v/>
      </c>
    </row>
    <row r="54">
      <c r="A54" t="inlineStr">
        <is>
          <t>Lien Position</t>
        </is>
      </c>
      <c r="B54" s="75">
        <f>B17</f>
        <v/>
      </c>
      <c r="C54" t="inlineStr"/>
      <c r="D54" s="80">
        <f>IFERROR(IF(C54="","",B54-C54),"")</f>
        <v/>
      </c>
      <c r="E54" s="81">
        <f>IFERROR(IF(C54="","",D54/C54),"")</f>
        <v/>
      </c>
      <c r="F54" s="82">
        <f>IF(C54="","",IF(ABS(E54)&lt;=0.05,"✓","✗"))</f>
        <v/>
      </c>
      <c r="G54" s="82">
        <f>IF(C54="","",IF(ABS(E54)&lt;=0.10,"✓","✗"))</f>
        <v/>
      </c>
      <c r="H54">
        <f>IF(C54="","",IF(ABS(E54)&lt;0.05,"Target",IF(ABS(E54)&lt;0.10,"Close","Review")))</f>
        <v/>
      </c>
    </row>
    <row r="55">
      <c r="A55" t="inlineStr">
        <is>
          <t>Loan Purpose</t>
        </is>
      </c>
      <c r="B55" s="75">
        <f>B18</f>
        <v/>
      </c>
      <c r="C55" t="inlineStr"/>
      <c r="D55" s="80">
        <f>IFERROR(IF(C55="","",B55-C55),"")</f>
        <v/>
      </c>
      <c r="E55" s="81">
        <f>IFERROR(IF(C55="","",D55/C55),"")</f>
        <v/>
      </c>
      <c r="F55" s="82">
        <f>IF(C55="","",IF(ABS(E55)&lt;=0.05,"✓","✗"))</f>
        <v/>
      </c>
      <c r="G55" s="82">
        <f>IF(C55="","",IF(ABS(E55)&lt;=0.10,"✓","✗"))</f>
        <v/>
      </c>
      <c r="H55">
        <f>IF(C55="","",IF(ABS(E55)&lt;0.05,"Target",IF(ABS(E55)&lt;0.10,"Close","Review")))</f>
        <v/>
      </c>
    </row>
    <row r="56">
      <c r="A56" t="inlineStr">
        <is>
          <t>Arrears</t>
        </is>
      </c>
      <c r="B56" s="75">
        <f>B19</f>
        <v/>
      </c>
      <c r="C56" t="inlineStr"/>
      <c r="D56" s="80">
        <f>IFERROR(IF(C56="","",B56-C56),"")</f>
        <v/>
      </c>
      <c r="E56" s="81">
        <f>IFERROR(IF(C56="","",D56/C56),"")</f>
        <v/>
      </c>
      <c r="F56" s="82">
        <f>IF(C56="","",IF(ABS(E56)&lt;=0.05,"✓","✗"))</f>
        <v/>
      </c>
      <c r="G56" s="82">
        <f>IF(C56="","",IF(ABS(E56)&lt;=0.10,"✓","✗"))</f>
        <v/>
      </c>
      <c r="H56">
        <f>IF(C56="","",IF(ABS(E56)&lt;0.05,"Target",IF(ABS(E56)&lt;0.10,"Close","Review")))</f>
        <v/>
      </c>
    </row>
    <row r="57">
      <c r="A57" t="inlineStr">
        <is>
          <t>Seasoning</t>
        </is>
      </c>
      <c r="B57" s="75">
        <f>B20</f>
        <v/>
      </c>
      <c r="C57" t="inlineStr"/>
      <c r="D57" s="80">
        <f>IFERROR(IF(C57="","",B57-C57),"")</f>
        <v/>
      </c>
      <c r="E57" s="81">
        <f>IFERROR(IF(C57="","",D57/C57),"")</f>
        <v/>
      </c>
      <c r="F57" s="82">
        <f>IF(C57="","",IF(ABS(E57)&lt;=0.05,"✓","✗"))</f>
        <v/>
      </c>
      <c r="G57" s="82">
        <f>IF(C57="","",IF(ABS(E57)&lt;=0.10,"✓","✗"))</f>
        <v/>
      </c>
      <c r="H57">
        <f>IF(C57="","",IF(ABS(E57)&lt;0.05,"Target",IF(ABS(E57)&lt;0.10,"Close","Review")))</f>
        <v/>
      </c>
    </row>
    <row r="58">
      <c r="A58" t="inlineStr">
        <is>
          <t>First Time Buyer</t>
        </is>
      </c>
      <c r="B58" s="75">
        <f>B21</f>
        <v/>
      </c>
      <c r="C58" t="inlineStr"/>
      <c r="D58" s="80">
        <f>IFERROR(IF(C58="","",B58-C58),"")</f>
        <v/>
      </c>
      <c r="E58" s="81">
        <f>IFERROR(IF(C58="","",D58/C58),"")</f>
        <v/>
      </c>
      <c r="F58" s="82">
        <f>IF(C58="","",IF(ABS(E58)&lt;=0.05,"✓","✗"))</f>
        <v/>
      </c>
      <c r="G58" s="82">
        <f>IF(C58="","",IF(ABS(E58)&lt;=0.10,"✓","✗"))</f>
        <v/>
      </c>
      <c r="H58">
        <f>IF(C58="","",IF(ABS(E58)&lt;0.05,"Target",IF(ABS(E58)&lt;0.10,"Close","Review")))</f>
        <v/>
      </c>
    </row>
    <row r="59">
      <c r="A59" t="inlineStr">
        <is>
          <t>Help to Buy</t>
        </is>
      </c>
      <c r="B59" s="75">
        <f>B22</f>
        <v/>
      </c>
      <c r="C59" t="inlineStr"/>
      <c r="D59" s="80">
        <f>IFERROR(IF(C59="","",B59-C59),"")</f>
        <v/>
      </c>
      <c r="E59" s="81">
        <f>IFERROR(IF(C59="","",D59/C59),"")</f>
        <v/>
      </c>
      <c r="F59" s="82">
        <f>IF(C59="","",IF(ABS(E59)&lt;=0.05,"✓","✗"))</f>
        <v/>
      </c>
      <c r="G59" s="82">
        <f>IF(C59="","",IF(ABS(E59)&lt;=0.10,"✓","✗"))</f>
        <v/>
      </c>
      <c r="H59">
        <f>IF(C59="","",IF(ABS(E59)&lt;0.05,"Target",IF(ABS(E59)&lt;0.10,"Close","Review")))</f>
        <v/>
      </c>
    </row>
  </sheetData>
  <mergeCells count="7">
    <mergeCell ref="A48:H48"/>
    <mergeCell ref="A1:M1"/>
    <mergeCell ref="A36:I36"/>
    <mergeCell ref="A11:H11"/>
    <mergeCell ref="A3:C3"/>
    <mergeCell ref="A47:H47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2:G14"/>
  <sheetViews>
    <sheetView workbookViewId="0">
      <selection activeCell="A1" sqref="A1"/>
    </sheetView>
  </sheetViews>
  <sheetFormatPr baseColWidth="8" defaultRowHeight="15"/>
  <sheetData>
    <row r="12">
      <c r="A12" s="48" t="inlineStr">
        <is>
          <t>Expected Loss %</t>
        </is>
      </c>
      <c r="B12" s="32">
        <f>B10*B11</f>
        <v/>
      </c>
      <c r="C12" s="32">
        <f>C10*C11</f>
        <v/>
      </c>
      <c r="D12" s="32">
        <f>D10*D11</f>
        <v/>
      </c>
      <c r="E12" s="32">
        <f>E10*E11</f>
        <v/>
      </c>
      <c r="F12" s="32">
        <f>F10*F11</f>
        <v/>
      </c>
      <c r="G12" s="32">
        <f>G10*G11</f>
        <v/>
      </c>
    </row>
    <row r="14">
      <c r="A14" s="49" t="inlineStr">
        <is>
          <t>Required CE %</t>
        </is>
      </c>
      <c r="B14" s="42">
        <f>B12*B8</f>
        <v/>
      </c>
      <c r="C14" s="42">
        <f>C12*C8</f>
        <v/>
      </c>
      <c r="D14" s="42">
        <f>D12*D8</f>
        <v/>
      </c>
      <c r="E14" s="42">
        <f>E12*E8</f>
        <v/>
      </c>
      <c r="F14" s="42">
        <f>F12*F8</f>
        <v/>
      </c>
      <c r="G14" s="42">
        <f>G12*G8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A19"/>
  <sheetViews>
    <sheetView workbookViewId="0">
      <selection activeCell="A1" sqref="A1"/>
    </sheetView>
  </sheetViews>
  <sheetFormatPr baseColWidth="8" defaultRowHeight="15"/>
  <sheetData>
    <row r="3">
      <c r="A3" s="69" t="inlineStr">
        <is>
          <t>Version 4.0 - 15-Jan-2026</t>
        </is>
      </c>
    </row>
    <row r="4">
      <c r="A4" t="inlineStr">
        <is>
          <t>Updates:</t>
        </is>
      </c>
    </row>
    <row r="5">
      <c r="A5" t="inlineStr">
        <is>
          <t>• All FF adjustment formulas now reference FF Adj Parameters dynamically</t>
        </is>
      </c>
    </row>
    <row r="6">
      <c r="A6" t="inlineStr">
        <is>
          <t>• Updated all field codes to BoE convention (AR1, AR2, etc.)</t>
        </is>
      </c>
    </row>
    <row r="7">
      <c r="A7" t="inlineStr">
        <is>
          <t>• Fixed BoE Mapping sheet to eliminate sheet8.xml error</t>
        </is>
      </c>
    </row>
    <row r="8">
      <c r="A8" t="inlineStr">
        <is>
          <t>• Rebuilt FF Adj Parameters with proper lookup structure</t>
        </is>
      </c>
    </row>
    <row r="10">
      <c r="A10" s="69" t="inlineStr">
        <is>
          <t>Version 5.0 - 15-Jan-2026</t>
        </is>
      </c>
    </row>
    <row r="11">
      <c r="A11" t="inlineStr">
        <is>
          <t>✓ ZERO hardcoded values in entire model</t>
        </is>
      </c>
    </row>
    <row r="12">
      <c r="A12" t="inlineStr">
        <is>
          <t>✓ ALL BV codes → AR codes (132 replacements)</t>
        </is>
      </c>
    </row>
    <row r="13">
      <c r="A13" t="inlineStr">
        <is>
          <t>✓ Code conversion tables in FF Adj Parameters</t>
        </is>
      </c>
    </row>
    <row r="14">
      <c r="A14" t="inlineStr">
        <is>
          <t>✓ FF Parameters tab consolidated</t>
        </is>
      </c>
    </row>
    <row r="15">
      <c r="A15" t="inlineStr">
        <is>
          <t>✓ Comprehensive WAFF Analytics Dashboard</t>
        </is>
      </c>
    </row>
    <row r="16">
      <c r="A16" t="inlineStr">
        <is>
          <t>✓ 20 adjustment drivers with contribution analysis</t>
        </is>
      </c>
    </row>
    <row r="17">
      <c r="A17" t="inlineStr">
        <is>
          <t>✓ Deal comparison framework (4 deals)</t>
        </is>
      </c>
    </row>
    <row r="18">
      <c r="A18" t="inlineStr">
        <is>
          <t>✓ S&amp;P NIR comparison capability</t>
        </is>
      </c>
    </row>
    <row r="19">
      <c r="A19" t="inlineStr">
        <is>
          <t>✓ Visualization charts (Bar + Pie)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UNITED KINGDOM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IRELAND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0.32175</v>
      </c>
      <c r="C6" s="4" t="inlineStr">
        <is>
          <t>LTV_22</t>
        </is>
      </c>
      <c r="D6" s="4" t="n"/>
    </row>
    <row r="7">
      <c r="A7" s="7" t="n">
        <v>0.23</v>
      </c>
      <c r="B7" s="10" t="n">
        <v>0.32395</v>
      </c>
      <c r="C7" s="4" t="inlineStr">
        <is>
          <t>LTV_23</t>
        </is>
      </c>
      <c r="D7" s="4" t="n"/>
    </row>
    <row r="8">
      <c r="A8" s="7" t="n">
        <v>0.24</v>
      </c>
      <c r="B8" s="10" t="n">
        <v>0.32626</v>
      </c>
      <c r="C8" s="4" t="inlineStr">
        <is>
          <t>LTV_24</t>
        </is>
      </c>
      <c r="D8" s="4" t="n"/>
    </row>
    <row r="9">
      <c r="A9" s="7" t="n">
        <v>0.25</v>
      </c>
      <c r="B9" s="10" t="n">
        <v>0.32868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0.33121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0.33407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0.3369300000000001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0.34012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0.34342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0.34705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0.35079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0.35486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0.35915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0.36366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0.3685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0.37378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0.37928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0.3851100000000001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0.3913800000000001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0.3979800000000001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0.40513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0.41261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0.4206400000000001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0.42922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0.43824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0.44792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0.4582600000000001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0.46926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0.48092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0.4933500000000001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0.5065500000000001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0.52074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0.5357000000000001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0.55165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0.5687000000000001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0.58674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0.60599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0.62656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0.6483400000000001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0.67166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0.6964100000000001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0.7227000000000001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0.75075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0.78056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0.8123500000000001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0.84623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0.8822000000000001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0.9204800000000001</v>
      </c>
      <c r="C53" s="4" t="inlineStr">
        <is>
          <t>LTV_69</t>
        </is>
      </c>
      <c r="D53" s="4" t="n"/>
    </row>
    <row r="54">
      <c r="A54" s="7" t="n">
        <v>0.7</v>
      </c>
      <c r="B54" s="10" t="n">
        <v>0.9612900000000001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1.00474</v>
      </c>
      <c r="C55" s="4" t="inlineStr">
        <is>
          <t>LTV_71</t>
        </is>
      </c>
      <c r="D55" s="4" t="n"/>
    </row>
    <row r="56">
      <c r="A56" s="7" t="n">
        <v>0.72</v>
      </c>
      <c r="B56" s="10" t="n">
        <v>1.05083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1.1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1.15225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1.2078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1.26698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1.32979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1.39656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1.46751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1.54275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1.62261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1.7072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1.79674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1.89134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1.99122</v>
      </c>
      <c r="C69" s="4" t="inlineStr">
        <is>
          <t>LTV_85</t>
        </is>
      </c>
      <c r="D69" s="4" t="n"/>
    </row>
    <row r="70">
      <c r="A70" s="7" t="n">
        <v>0.86</v>
      </c>
      <c r="B70" s="10" t="n">
        <v>2.09638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2.20671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2.3221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2.44233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2.56696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2.69533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2.82667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2.95977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3.09331</v>
      </c>
      <c r="C78" s="4" t="inlineStr">
        <is>
          <t>LTV_94</t>
        </is>
      </c>
      <c r="D78" s="4" t="n"/>
    </row>
    <row r="79">
      <c r="A79" s="7" t="n">
        <v>0.95</v>
      </c>
      <c r="B79" s="10" t="n">
        <v>3.22586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3.35566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3.48095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3.600080000000001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3.7114</v>
      </c>
      <c r="C83" s="4" t="inlineStr">
        <is>
          <t>LTV_99</t>
        </is>
      </c>
      <c r="D83" s="4" t="n"/>
    </row>
    <row r="84">
      <c r="A84" s="7" t="n">
        <v>1</v>
      </c>
      <c r="B84" s="10" t="n">
        <v>3.81392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3.90665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3.98915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4.061420000000001</v>
      </c>
      <c r="C87" s="4" t="inlineStr">
        <is>
          <t>LTV_103</t>
        </is>
      </c>
      <c r="D87" s="4" t="n"/>
    </row>
    <row r="88">
      <c r="A88" s="7" t="n">
        <v>1.04</v>
      </c>
      <c r="B88" s="10" t="n">
        <v>4.123900000000001</v>
      </c>
      <c r="C88" s="4" t="inlineStr">
        <is>
          <t>LTV_104</t>
        </is>
      </c>
      <c r="D88" s="4" t="n"/>
    </row>
    <row r="89">
      <c r="A89" s="7" t="n">
        <v>1.05</v>
      </c>
      <c r="B89" s="10" t="n">
        <v>4.177140000000001</v>
      </c>
      <c r="C89" s="4" t="inlineStr">
        <is>
          <t>LTV_105</t>
        </is>
      </c>
      <c r="D89" s="4" t="n"/>
    </row>
    <row r="90">
      <c r="A90" s="7" t="n">
        <v>1.06</v>
      </c>
      <c r="B90" s="10" t="n">
        <v>4.222020000000001</v>
      </c>
      <c r="C90" s="4" t="inlineStr">
        <is>
          <t>LTV_106</t>
        </is>
      </c>
      <c r="D90" s="4" t="n"/>
    </row>
    <row r="91">
      <c r="A91" s="7" t="n">
        <v>1.07</v>
      </c>
      <c r="B91" s="10" t="n">
        <v>4.25942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4.29044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4.31585</v>
      </c>
      <c r="C93" s="4" t="inlineStr">
        <is>
          <t>LTV_109</t>
        </is>
      </c>
      <c r="D93" s="4" t="n"/>
    </row>
    <row r="94">
      <c r="A94" s="7" t="n">
        <v>1.1</v>
      </c>
      <c r="B94" s="10" t="n">
        <v>4.33664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4.353470000000001</v>
      </c>
      <c r="C95" s="4" t="inlineStr">
        <is>
          <t>LTV_111</t>
        </is>
      </c>
      <c r="D95" s="4" t="n"/>
    </row>
    <row r="96">
      <c r="A96" s="7" t="n">
        <v>1.12</v>
      </c>
      <c r="B96" s="10" t="n">
        <v>4.36711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4.37811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4.387020000000001</v>
      </c>
      <c r="C98" s="4" t="inlineStr">
        <is>
          <t>LTV_114</t>
        </is>
      </c>
      <c r="D98" s="4" t="n"/>
    </row>
    <row r="99">
      <c r="A99" s="7" t="n">
        <v>1.15</v>
      </c>
      <c r="B99" s="10" t="n">
        <v>4.394060000000001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4.39967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4.40429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4.40781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4.410780000000001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4.41298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4.41485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4.41628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4.417490000000001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4.41837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4.419140000000001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4.41969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4.42013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4.420570000000001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4.420790000000001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4.42112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4.42123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4.42145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4.42156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4.42156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4.421670000000001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4.42178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4.42178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4.42178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4.42189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4.42189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4.42189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4.42189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4.42189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4.42189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4.42189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4.422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4.422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4.422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4.422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4.422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NETHERLANDS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0.277875</v>
      </c>
      <c r="C6" s="4" t="inlineStr">
        <is>
          <t>LTV_22</t>
        </is>
      </c>
      <c r="D6" s="4" t="n"/>
    </row>
    <row r="7">
      <c r="A7" s="7" t="n">
        <v>0.23</v>
      </c>
      <c r="B7" s="10" t="n">
        <v>0.279775</v>
      </c>
      <c r="C7" s="4" t="inlineStr">
        <is>
          <t>LTV_23</t>
        </is>
      </c>
      <c r="D7" s="4" t="n"/>
    </row>
    <row r="8">
      <c r="A8" s="7" t="n">
        <v>0.24</v>
      </c>
      <c r="B8" s="10" t="n">
        <v>0.28177</v>
      </c>
      <c r="C8" s="4" t="inlineStr">
        <is>
          <t>LTV_24</t>
        </is>
      </c>
      <c r="D8" s="4" t="n"/>
    </row>
    <row r="9">
      <c r="A9" s="7" t="n">
        <v>0.25</v>
      </c>
      <c r="B9" s="10" t="n">
        <v>0.28386</v>
      </c>
      <c r="C9" s="4" t="inlineStr">
        <is>
          <t>LTV_25</t>
        </is>
      </c>
      <c r="D9" s="4" t="n"/>
    </row>
    <row r="10">
      <c r="A10" s="7" t="n">
        <v>0.26</v>
      </c>
      <c r="B10" s="10" t="n">
        <v>0.286045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0.288515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0.290985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0.2937399999999999</v>
      </c>
      <c r="C13" s="4" t="inlineStr">
        <is>
          <t>LTV_29</t>
        </is>
      </c>
      <c r="D13" s="4" t="n"/>
    </row>
    <row r="14">
      <c r="A14" s="7" t="n">
        <v>0.3</v>
      </c>
      <c r="B14" s="10" t="n">
        <v>0.29659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0.299725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0.302955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0.30647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0.310175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0.31407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0.31825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0.32281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0.32756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0.332595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0.33801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0.34371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0.349885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0.356345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0.36328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0.37069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0.37848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0.38684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0.39577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0.40527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0.41534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0.426075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0.437475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0.44973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0.46265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0.4764249999999999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0.49115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0.50673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0.5233549999999999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0.5411199999999999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0.55993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0.58007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0.601445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0.62415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0.6483749999999999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0.6741199999999999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0.7015750000000001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0.7308349999999999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0.7619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0.79496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0.830205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0.86773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0.907535</v>
      </c>
      <c r="C56" s="4" t="inlineStr">
        <is>
          <t>LTV_72</t>
        </is>
      </c>
      <c r="D56" s="4" t="n"/>
    </row>
    <row r="57">
      <c r="A57" s="7" t="n">
        <v>0.73</v>
      </c>
      <c r="B57" s="10" t="n">
        <v>0.95</v>
      </c>
      <c r="C57" s="4" t="inlineStr">
        <is>
          <t>LTV_73</t>
        </is>
      </c>
      <c r="D57" s="4" t="n"/>
    </row>
    <row r="58">
      <c r="A58" s="7" t="n">
        <v>0.74</v>
      </c>
      <c r="B58" s="10" t="n">
        <v>0.995125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1.0431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1.09421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1.148455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1.20612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1.267395</v>
      </c>
      <c r="C63" s="4" t="inlineStr">
        <is>
          <t>LTV_79</t>
        </is>
      </c>
      <c r="D63" s="4" t="n"/>
    </row>
    <row r="64">
      <c r="A64" s="7" t="n">
        <v>0.8</v>
      </c>
      <c r="B64" s="10" t="n">
        <v>1.332375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1.401345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1.4744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1.55173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1.63343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1.71969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1.81051</v>
      </c>
      <c r="C70" s="4" t="inlineStr">
        <is>
          <t>LTV_86</t>
        </is>
      </c>
      <c r="D70" s="4" t="n"/>
    </row>
    <row r="71">
      <c r="A71" s="7" t="n">
        <v>0.87</v>
      </c>
      <c r="B71" s="10" t="n">
        <v>1.905795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2.00545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2.109285</v>
      </c>
      <c r="C73" s="4" t="inlineStr">
        <is>
          <t>LTV_89</t>
        </is>
      </c>
      <c r="D73" s="4" t="n"/>
    </row>
    <row r="74">
      <c r="A74" s="7" t="n">
        <v>0.9</v>
      </c>
      <c r="B74" s="10" t="n">
        <v>2.21692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2.327785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2.441215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2.556165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2.671495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2.78597</v>
      </c>
      <c r="C79" s="4" t="inlineStr">
        <is>
          <t>LTV_95</t>
        </is>
      </c>
      <c r="D79" s="4" t="n"/>
    </row>
    <row r="80">
      <c r="A80" s="7" t="n">
        <v>0.96</v>
      </c>
      <c r="B80" s="10" t="n">
        <v>2.89807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3.006275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3.10916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3.2053</v>
      </c>
      <c r="C83" s="4" t="inlineStr">
        <is>
          <t>LTV_99</t>
        </is>
      </c>
      <c r="D83" s="4" t="n"/>
    </row>
    <row r="84">
      <c r="A84" s="7" t="n">
        <v>1</v>
      </c>
      <c r="B84" s="10" t="n">
        <v>3.29384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3.373925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3.445175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3.50759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3.56155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3.60753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3.64629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3.67859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3.70538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3.727325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3.74528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3.759815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3.771595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3.781095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3.78879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3.79487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3.799715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3.803704999999999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3.806745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3.80931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3.81121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3.812824999999999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3.81406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3.815105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3.815865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3.81653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3.817005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3.817385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3.817765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3.817955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3.818239999999999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3.818335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3.818525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3.818619999999999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3.818619999999999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3.818715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3.81881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3.81881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3.81881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3.818905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3.818905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3.818905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3.818905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3.818905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3.818905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3.818905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3.819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3.819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3.819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3.819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3.819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2026-01-14T11:21:24Z</dcterms:created>
  <dcterms:modified xmlns:dcterms="http://purl.org/dc/terms/" xmlns:xsi="http://www.w3.org/2001/XMLSchema-instance" xsi:type="dcterms:W3CDTF">2026-01-15T23:22:02Z</dcterms:modified>
</cp:coreProperties>
</file>