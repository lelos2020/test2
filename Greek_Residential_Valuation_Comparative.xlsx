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User Guide" sheetId="1" state="visible" r:id="rId1"/>
    <sheet xmlns:r="http://schemas.openxmlformats.org/officeDocument/2006/relationships" name="5. Summary &amp; Report" sheetId="2" state="visible" r:id="rId2"/>
    <sheet xmlns:r="http://schemas.openxmlformats.org/officeDocument/2006/relationships" name="1. Subject Property" sheetId="3" state="visible" r:id="rId3"/>
    <sheet xmlns:r="http://schemas.openxmlformats.org/officeDocument/2006/relationships" name="2. Comparables" sheetId="4" state="visible" r:id="rId4"/>
    <sheet xmlns:r="http://schemas.openxmlformats.org/officeDocument/2006/relationships" name="3. Adjustment Factors" sheetId="5" state="visible" r:id="rId5"/>
    <sheet xmlns:r="http://schemas.openxmlformats.org/officeDocument/2006/relationships" name="4. Comparative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€#,##0"/>
    <numFmt numFmtId="166" formatCode="0.00 sqm"/>
  </numFmts>
  <fonts count="17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sz val="9"/>
    </font>
    <font>
      <name val="Calibri"/>
      <b val="1"/>
      <sz val="10"/>
    </font>
    <font>
      <name val="Calibri"/>
      <i val="1"/>
      <color rgb="00C00000"/>
      <sz val="9"/>
    </font>
    <font>
      <name val="Calibri"/>
      <b val="1"/>
      <color rgb="00FFFFFF"/>
      <sz val="10"/>
    </font>
    <font>
      <name val="Calibri"/>
      <b val="1"/>
      <sz val="12"/>
    </font>
    <font>
      <name val="Calibri"/>
      <b val="1"/>
      <color rgb="00C00000"/>
      <sz val="14"/>
    </font>
    <font>
      <name val="Calibri"/>
      <b val="1"/>
      <color rgb="001F4E78"/>
      <sz val="16"/>
    </font>
    <font>
      <name val="Calibri"/>
      <i val="1"/>
      <sz val="12"/>
    </font>
    <font>
      <name val="Calibri"/>
      <sz val="10"/>
    </font>
    <font>
      <name val="Calibri"/>
      <b val="1"/>
      <color rgb="00FFFFFF"/>
      <sz val="14"/>
    </font>
    <font>
      <name val="Calibri"/>
      <sz val="9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EEBF7"/>
        <bgColor rgb="00DEEBF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3" borderId="1" pivotButton="0" quotePrefix="0" xfId="0"/>
    <xf numFmtId="0" fontId="4" fillId="4" borderId="1" pivotButton="0" quotePrefix="0" xfId="0"/>
    <xf numFmtId="0" fontId="4" fillId="5" borderId="0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right" vertical="center"/>
    </xf>
    <xf numFmtId="0" fontId="4" fillId="0" borderId="0" pivotButton="0" quotePrefix="0" xfId="0"/>
    <xf numFmtId="2" fontId="4" fillId="6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right" vertical="center"/>
    </xf>
    <xf numFmtId="164" fontId="0" fillId="3" borderId="1" pivotButton="0" quotePrefix="0" xfId="0"/>
    <xf numFmtId="0" fontId="0" fillId="3" borderId="1" applyAlignment="1" pivotButton="0" quotePrefix="0" xfId="0">
      <alignment horizontal="right" vertical="center"/>
    </xf>
    <xf numFmtId="2" fontId="0" fillId="3" borderId="1" applyAlignment="1" pivotButton="0" quotePrefix="0" xfId="0">
      <alignment horizontal="right" vertical="center"/>
    </xf>
    <xf numFmtId="2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164" fontId="0" fillId="3" borderId="1" pivotButton="0" quotePrefix="0" xfId="0"/>
    <xf numFmtId="0" fontId="6" fillId="4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pivotButton="0" quotePrefix="0" xfId="0"/>
    <xf numFmtId="2" fontId="6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10" fontId="0" fillId="3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right" vertical="center"/>
    </xf>
    <xf numFmtId="9" fontId="0" fillId="3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3" fontId="9" fillId="6" borderId="1" applyAlignment="1" pivotButton="0" quotePrefix="0" xfId="0">
      <alignment horizontal="right" vertical="center"/>
    </xf>
    <xf numFmtId="9" fontId="6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165" fontId="10" fillId="6" borderId="1" applyAlignment="1" pivotButton="0" quotePrefix="0" xfId="0">
      <alignment horizontal="right" vertical="center"/>
    </xf>
    <xf numFmtId="0" fontId="11" fillId="0" borderId="0" pivotButton="0" quotePrefix="0" xfId="0"/>
    <xf numFmtId="0" fontId="12" fillId="0" borderId="0" pivotButton="0" quotePrefix="0" xfId="0"/>
    <xf numFmtId="0" fontId="16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top" wrapText="1"/>
    </xf>
    <xf numFmtId="0" fontId="13" fillId="0" borderId="0" pivotButton="0" quotePrefix="0" xfId="0"/>
    <xf numFmtId="166" fontId="0" fillId="0" borderId="1" pivotButton="0" quotePrefix="0" xfId="0"/>
    <xf numFmtId="0" fontId="14" fillId="2" borderId="0" applyAlignment="1" pivotButton="0" quotePrefix="0" xfId="0">
      <alignment horizontal="center" vertical="center" wrapText="1"/>
    </xf>
    <xf numFmtId="165" fontId="9" fillId="6" borderId="0" applyAlignment="1" pivotButton="0" quotePrefix="0" xfId="0">
      <alignment horizontal="center" vertical="center" wrapText="1"/>
    </xf>
    <xf numFmtId="165" fontId="10" fillId="6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2"/>
  <sheetViews>
    <sheetView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>
      <c r="B2" s="38" t="inlineStr">
        <is>
          <t>USER GUIDE</t>
        </is>
      </c>
    </row>
    <row r="3">
      <c r="B3" s="39" t="inlineStr">
        <is>
          <t>Greek Residential Valuation - Comparative Method Model</t>
        </is>
      </c>
    </row>
    <row r="5">
      <c r="B5" s="40" t="inlineStr">
        <is>
          <t>MODEL OVERVIEW</t>
        </is>
      </c>
    </row>
    <row r="6" ht="150" customHeight="1">
      <c r="B6" s="41" t="inlineStr">
        <is>
          <t>This Excel model implements the Greek residential valuation methodology using the Comparative Method (Μέθοδος Συγκριτικών Στοιχείων).
Key Features:
• Greek weighted area calculation (Ανηγμένη Επιφάνεια)
• 10 adjustment categories per Greek standards
• Automated calculations with manual input control
• Compliant with ΣΕΚΕ 2018, EVS 2016, and IVS
• Replicates NOVAL, Danos, and other Greek valuers methodology</t>
        </is>
      </c>
    </row>
    <row r="7"/>
    <row r="8"/>
    <row r="9"/>
    <row r="10"/>
    <row r="12">
      <c r="B12" s="40" t="inlineStr">
        <is>
          <t>WORKFLOW (6 STEPS)</t>
        </is>
      </c>
    </row>
    <row r="13" ht="435" customHeight="1">
      <c r="B13" s="41" t="inlineStr">
        <is>
          <t>1. Enter Subject Property Details (Sheet 1)
   → Complete all property characteristics
   → System calculates weighted area automatically
2. Enter Comparable Properties (Sheet 2)
   → Add 5-10 comparable sales data
   → Include asking prices, areas, characteristics
   → System calculates weighted areas and €/sqm
3. Review Adjustment Factors (Sheet 3)
   → Reference table with Greek standard adjustments
   → Use as guide for Sheet 4 inputs
4. Apply Adjustments (Sheet 4)
   → Select best 5 comparables
   → Enter adjustment % for each category
   → Assign weights (must total 100%)
   → System calculates adjusted values
5. Review Summary (Sheet 5)
   → Final valuation result
   → Executive summary format
6. Validate Results
   → Check against market expectations
   → Verify all weights total 100%
   → Review adjustment logic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8">
      <c r="B28" s="40" t="inlineStr">
        <is>
          <t>GREEK-SPECIFIC ELEMENTS</t>
        </is>
      </c>
    </row>
    <row r="29" ht="210" customHeight="1">
      <c r="B29" s="41" t="inlineStr">
        <is>
          <t>Weighted Area Calculation:
• Main floor: 1.00x
• Attic/Loft (σοφίτα): 0.35x
• Basement/Storage (υπόγειο): 0.20x
• Semi-basement: 0.50x
• Large balconies: 0.50x
Critical Adjustments:
• Transaction type: -15% to -20% for asking prices
• Age: ±1.5% per year (Greek composite method)
• Floor: ±2-3% per floor
• Location: ±15-20% for neighborhood quality</t>
        </is>
      </c>
    </row>
    <row r="30"/>
    <row r="31"/>
    <row r="32"/>
    <row r="33"/>
    <row r="34"/>
    <row r="35"/>
    <row r="37">
      <c r="B37" s="40" t="inlineStr">
        <is>
          <t>COLOR CODING</t>
        </is>
      </c>
    </row>
    <row r="38" ht="105" customHeight="1">
      <c r="B38" s="41" t="inlineStr">
        <is>
          <t>Blue cells = Input required (manual entry)
Green cells = Formula/Calculated (do not edit)
Orange cells = Final results
Grey cells = Reference/Information
Dark blue headers = Section titles</t>
        </is>
      </c>
    </row>
    <row r="39"/>
    <row r="40"/>
    <row r="42">
      <c r="B42" s="40" t="inlineStr">
        <is>
          <t>IMPORTANT NOTES</t>
        </is>
      </c>
    </row>
    <row r="43" ht="120" customHeight="1">
      <c r="B43" s="41" t="inlineStr">
        <is>
          <t>• All adjustments are applied to comparables, not subject
• Positive % = Subject is better than comparable
• Negative % = Subject is worse than comparable
• Use actual transaction data when possible
• Asking prices require -15% to -20% adjustment
• Validate against 2-3 actual Greek reports</t>
        </is>
      </c>
    </row>
    <row r="44"/>
    <row r="45"/>
    <row r="46"/>
    <row r="48">
      <c r="B48" s="40" t="inlineStr">
        <is>
          <t>DATA SOURCES</t>
        </is>
      </c>
    </row>
    <row r="49" ht="120" customHeight="1">
      <c r="B49" s="41" t="inlineStr">
        <is>
          <t>Model based on analysis of:
• ΣΕΚΕ 2018 Textbook (Greek Valuers Association)
• NOVAL Property REIC reports (2023-2024)
• Danos Valuation reports
• REA Partners valuations
• Multiple residential comparables (Kolonaki, Glyfada, etc.)</t>
        </is>
      </c>
    </row>
    <row r="50"/>
    <row r="51"/>
    <row r="52"/>
  </sheetData>
  <mergeCells count="14">
    <mergeCell ref="B49:H52"/>
    <mergeCell ref="B42:H42"/>
    <mergeCell ref="B43:H46"/>
    <mergeCell ref="B12:H12"/>
    <mergeCell ref="B13:H26"/>
    <mergeCell ref="B29:H35"/>
    <mergeCell ref="B2:H2"/>
    <mergeCell ref="B48:H48"/>
    <mergeCell ref="B38:H40"/>
    <mergeCell ref="B3:H3"/>
    <mergeCell ref="B5:H5"/>
    <mergeCell ref="B37:H37"/>
    <mergeCell ref="B6:H10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1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>
      <c r="B2" s="38" t="inlineStr">
        <is>
          <t>GREEK RESIDENTIAL VALUATION</t>
        </is>
      </c>
    </row>
    <row r="3">
      <c r="B3" s="39" t="inlineStr">
        <is>
          <t>Comparative Method - Valuation Summary</t>
        </is>
      </c>
    </row>
    <row r="4">
      <c r="B4" s="42" t="inlineStr">
        <is>
          <t>Report Date: 30 December 2025</t>
        </is>
      </c>
    </row>
    <row r="6">
      <c r="B6" s="3" t="inlineStr">
        <is>
          <t>EXECUTIVE SUMMARY</t>
        </is>
      </c>
    </row>
    <row r="7">
      <c r="B7" s="4" t="inlineStr">
        <is>
          <t>Property Address:</t>
        </is>
      </c>
      <c r="C7" s="6" t="n"/>
      <c r="D7" s="7" t="n"/>
      <c r="E7" s="5">
        <f>'1. Subject Property'!E7</f>
        <v/>
      </c>
      <c r="F7" s="6" t="n"/>
      <c r="G7" s="6" t="n"/>
      <c r="H7" s="7" t="n"/>
    </row>
    <row r="8">
      <c r="B8" s="4" t="inlineStr">
        <is>
          <t>Location:</t>
        </is>
      </c>
      <c r="C8" s="6" t="n"/>
      <c r="D8" s="7" t="n"/>
      <c r="E8" s="5">
        <f>'1. Subject Property'!E8</f>
        <v/>
      </c>
      <c r="F8" s="6" t="n"/>
      <c r="G8" s="6" t="n"/>
      <c r="H8" s="7" t="n"/>
    </row>
    <row r="9">
      <c r="B9" s="4" t="inlineStr">
        <is>
          <t>Building Year:</t>
        </is>
      </c>
      <c r="C9" s="6" t="n"/>
      <c r="D9" s="7" t="n"/>
      <c r="E9" s="5">
        <f>'1. Subject Property'!E9</f>
        <v/>
      </c>
      <c r="F9" s="6" t="n"/>
      <c r="G9" s="6" t="n"/>
      <c r="H9" s="7" t="n"/>
    </row>
    <row r="10">
      <c r="B10" s="4" t="inlineStr">
        <is>
          <t>Floor Level:</t>
        </is>
      </c>
      <c r="C10" s="6" t="n"/>
      <c r="D10" s="7" t="n"/>
      <c r="E10" s="5">
        <f>'1. Subject Property'!E19</f>
        <v/>
      </c>
      <c r="F10" s="6" t="n"/>
      <c r="G10" s="6" t="n"/>
      <c r="H10" s="7" t="n"/>
    </row>
    <row r="11">
      <c r="B11" s="4" t="inlineStr">
        <is>
          <t>Total Weighted Area:</t>
        </is>
      </c>
      <c r="C11" s="6" t="n"/>
      <c r="D11" s="7" t="n"/>
      <c r="E11" s="43">
        <f>'1. Subject Property'!E35</f>
        <v/>
      </c>
      <c r="F11" s="6" t="n"/>
      <c r="G11" s="6" t="n"/>
      <c r="H11" s="7" t="n"/>
    </row>
    <row r="13">
      <c r="B13" s="44" t="inlineStr">
        <is>
          <t>ESTIMATED MARKET VALUE</t>
        </is>
      </c>
    </row>
    <row r="14">
      <c r="B14" s="12" t="inlineStr">
        <is>
          <t>Value per sqm (Comparative Method):</t>
        </is>
      </c>
      <c r="F14" s="45">
        <f>'4. Comparative Analysis'!S15</f>
        <v/>
      </c>
    </row>
    <row r="15">
      <c r="B15" s="36" t="inlineStr">
        <is>
          <t>Total Property Value:</t>
        </is>
      </c>
      <c r="F15" s="46">
        <f>'4. Comparative Analysis'!R17</f>
        <v/>
      </c>
    </row>
    <row r="17">
      <c r="B17" s="3" t="inlineStr">
        <is>
          <t>METHODOLOGY</t>
        </is>
      </c>
    </row>
    <row r="18" ht="120" customHeight="1">
      <c r="B18" s="47" t="inlineStr">
        <is>
          <t>This valuation applies the Comparative Method (Μέθοδος Συγκριτικών Στοιχείων) following Greek valuation standards (ΣΕΚΕ 2018) and professional practice (EVS 2016/IVS compliant).
The methodology includes:
• Weighted area calculation using Greek coefficients (basement: 0.2, attic: 0.35)
• Systematic adjustments across 10 key categories
• Transaction type adjustment for asking vs actual prices
• Age adjustment using Greek composite method
• Weighted average from multiple comparables
This model replicates the methodology used by Greek valuation firms (NOVAL, Danos, etc.) for REIT reporting and professional appraisals.</t>
        </is>
      </c>
    </row>
    <row r="19"/>
    <row r="20"/>
    <row r="21"/>
    <row r="22"/>
    <row r="23"/>
    <row r="25">
      <c r="B25" s="3" t="inlineStr">
        <is>
          <t>COMPARABLES SUMMARY</t>
        </is>
      </c>
    </row>
    <row r="26">
      <c r="B26" s="48" t="inlineStr">
        <is>
          <t>#</t>
        </is>
      </c>
      <c r="C26" s="48" t="inlineStr">
        <is>
          <t>Location</t>
        </is>
      </c>
      <c r="D26" s="48" t="inlineStr">
        <is>
          <t>Asking €/sqm</t>
        </is>
      </c>
      <c r="E26" s="48" t="inlineStr">
        <is>
          <t>Adjusted €/sqm</t>
        </is>
      </c>
      <c r="F26" s="48" t="inlineStr">
        <is>
          <t>Weight</t>
        </is>
      </c>
    </row>
    <row r="27">
      <c r="B27" s="5" t="n">
        <v>1</v>
      </c>
      <c r="C27" s="5">
        <f>'4. Comparative Analysis'!D10</f>
        <v/>
      </c>
      <c r="D27" s="29">
        <f>'4. Comparative Analysis'!H10</f>
        <v/>
      </c>
      <c r="E27" s="29">
        <f>'4. Comparative Analysis'!S10</f>
        <v/>
      </c>
      <c r="F27" s="49">
        <f>'4. Comparative Analysis'!T10</f>
        <v/>
      </c>
    </row>
    <row r="28">
      <c r="B28" s="5" t="n">
        <v>2</v>
      </c>
      <c r="C28" s="5">
        <f>'4. Comparative Analysis'!D11</f>
        <v/>
      </c>
      <c r="D28" s="29">
        <f>'4. Comparative Analysis'!H11</f>
        <v/>
      </c>
      <c r="E28" s="29">
        <f>'4. Comparative Analysis'!S11</f>
        <v/>
      </c>
      <c r="F28" s="49">
        <f>'4. Comparative Analysis'!T11</f>
        <v/>
      </c>
    </row>
    <row r="29">
      <c r="B29" s="5" t="n">
        <v>3</v>
      </c>
      <c r="C29" s="5">
        <f>'4. Comparative Analysis'!D12</f>
        <v/>
      </c>
      <c r="D29" s="29">
        <f>'4. Comparative Analysis'!H12</f>
        <v/>
      </c>
      <c r="E29" s="29">
        <f>'4. Comparative Analysis'!S12</f>
        <v/>
      </c>
      <c r="F29" s="49">
        <f>'4. Comparative Analysis'!T12</f>
        <v/>
      </c>
    </row>
    <row r="30">
      <c r="B30" s="5" t="n">
        <v>4</v>
      </c>
      <c r="C30" s="5">
        <f>'4. Comparative Analysis'!D13</f>
        <v/>
      </c>
      <c r="D30" s="29">
        <f>'4. Comparative Analysis'!H13</f>
        <v/>
      </c>
      <c r="E30" s="29">
        <f>'4. Comparative Analysis'!S13</f>
        <v/>
      </c>
      <c r="F30" s="49">
        <f>'4. Comparative Analysis'!T13</f>
        <v/>
      </c>
    </row>
    <row r="31">
      <c r="B31" s="5" t="n">
        <v>5</v>
      </c>
      <c r="C31" s="5">
        <f>'4. Comparative Analysis'!D14</f>
        <v/>
      </c>
      <c r="D31" s="29">
        <f>'4. Comparative Analysis'!H14</f>
        <v/>
      </c>
      <c r="E31" s="29">
        <f>'4. Comparative Analysis'!S14</f>
        <v/>
      </c>
      <c r="F31" s="49">
        <f>'4. Comparative Analysis'!T14</f>
        <v/>
      </c>
    </row>
  </sheetData>
  <mergeCells count="22">
    <mergeCell ref="B11:D11"/>
    <mergeCell ref="B8:D8"/>
    <mergeCell ref="B6:H6"/>
    <mergeCell ref="B15:E15"/>
    <mergeCell ref="E7:H7"/>
    <mergeCell ref="B10:D10"/>
    <mergeCell ref="B18:H23"/>
    <mergeCell ref="B4:H4"/>
    <mergeCell ref="B9:D9"/>
    <mergeCell ref="B25:H25"/>
    <mergeCell ref="B3:H3"/>
    <mergeCell ref="E8:H8"/>
    <mergeCell ref="F14:H14"/>
    <mergeCell ref="B2:H2"/>
    <mergeCell ref="B7:D7"/>
    <mergeCell ref="E10:H10"/>
    <mergeCell ref="B14:E14"/>
    <mergeCell ref="E9:H9"/>
    <mergeCell ref="B17:H17"/>
    <mergeCell ref="B13:H13"/>
    <mergeCell ref="E11:H11"/>
    <mergeCell ref="F15:H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9"/>
  <sheetViews>
    <sheetView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GREEK RESIDENTIAL VALUATION - COMPARATIVE METHOD</t>
        </is>
      </c>
    </row>
    <row r="3">
      <c r="B3" s="2" t="inlineStr">
        <is>
          <t>Valuation Date: 30/12/2025</t>
        </is>
      </c>
    </row>
    <row r="5">
      <c r="B5" s="3" t="inlineStr">
        <is>
          <t>SUBJECT PROPERTY DETAILS</t>
        </is>
      </c>
    </row>
    <row r="6">
      <c r="B6" s="4" t="inlineStr">
        <is>
          <t>Property Characteristic</t>
        </is>
      </c>
      <c r="E6" s="4" t="inlineStr">
        <is>
          <t>Value</t>
        </is>
      </c>
      <c r="G6" s="4" t="inlineStr">
        <is>
          <t>Unit</t>
        </is>
      </c>
    </row>
    <row r="7">
      <c r="B7" s="5" t="inlineStr">
        <is>
          <t>Address</t>
        </is>
      </c>
      <c r="C7" s="6" t="n"/>
      <c r="D7" s="7" t="n"/>
      <c r="E7" s="8" t="inlineStr"/>
      <c r="F7" s="7" t="n"/>
      <c r="G7" s="5" t="inlineStr">
        <is>
          <t>text</t>
        </is>
      </c>
      <c r="H7" s="7" t="n"/>
    </row>
    <row r="8">
      <c r="B8" s="5" t="inlineStr">
        <is>
          <t>Area</t>
        </is>
      </c>
      <c r="C8" s="6" t="n"/>
      <c r="D8" s="7" t="n"/>
      <c r="E8" s="8" t="inlineStr">
        <is>
          <t>Kolonaki, Athens</t>
        </is>
      </c>
      <c r="F8" s="7" t="n"/>
      <c r="G8" s="5" t="inlineStr">
        <is>
          <t>text</t>
        </is>
      </c>
      <c r="H8" s="7" t="n"/>
    </row>
    <row r="9">
      <c r="B9" s="5" t="inlineStr">
        <is>
          <t>Building Year</t>
        </is>
      </c>
      <c r="C9" s="6" t="n"/>
      <c r="D9" s="7" t="n"/>
      <c r="E9" s="8" t="n">
        <v>1970</v>
      </c>
      <c r="F9" s="7" t="n"/>
      <c r="G9" s="5" t="inlineStr">
        <is>
          <t>year</t>
        </is>
      </c>
      <c r="H9" s="7" t="n"/>
    </row>
    <row r="10">
      <c r="B10" s="5" t="inlineStr"/>
      <c r="C10" s="6" t="n"/>
      <c r="D10" s="7" t="n"/>
      <c r="G10" s="5" t="inlineStr"/>
      <c r="H10" s="7" t="n"/>
    </row>
    <row r="11">
      <c r="B11" s="9" t="inlineStr">
        <is>
          <t>AREAS (sqm)</t>
        </is>
      </c>
      <c r="C11" s="6" t="n"/>
      <c r="D11" s="6" t="n"/>
      <c r="E11" s="6" t="n"/>
      <c r="F11" s="6" t="n"/>
      <c r="G11" s="6" t="n"/>
      <c r="H11" s="7" t="n"/>
    </row>
    <row r="12">
      <c r="B12" s="5" t="inlineStr">
        <is>
          <t>Main Floor Area</t>
        </is>
      </c>
      <c r="C12" s="6" t="n"/>
      <c r="D12" s="7" t="n"/>
      <c r="E12" s="8" t="n">
        <v>100</v>
      </c>
      <c r="F12" s="7" t="n"/>
      <c r="G12" s="5" t="inlineStr">
        <is>
          <t>sqm</t>
        </is>
      </c>
      <c r="H12" s="7" t="n"/>
    </row>
    <row r="13">
      <c r="B13" s="5" t="inlineStr">
        <is>
          <t>Attic/Loft Area</t>
        </is>
      </c>
      <c r="C13" s="6" t="n"/>
      <c r="D13" s="7" t="n"/>
      <c r="E13" s="8" t="n">
        <v>0</v>
      </c>
      <c r="F13" s="7" t="n"/>
      <c r="G13" s="5" t="inlineStr">
        <is>
          <t>sqm</t>
        </is>
      </c>
      <c r="H13" s="7" t="n"/>
    </row>
    <row r="14">
      <c r="B14" s="5" t="inlineStr">
        <is>
          <t>Basement/Storage Area</t>
        </is>
      </c>
      <c r="C14" s="6" t="n"/>
      <c r="D14" s="7" t="n"/>
      <c r="E14" s="8" t="n">
        <v>5</v>
      </c>
      <c r="F14" s="7" t="n"/>
      <c r="G14" s="5" t="inlineStr">
        <is>
          <t>sqm</t>
        </is>
      </c>
      <c r="H14" s="7" t="n"/>
    </row>
    <row r="15">
      <c r="B15" s="5" t="inlineStr">
        <is>
          <t>Semi-basement Area</t>
        </is>
      </c>
      <c r="C15" s="6" t="n"/>
      <c r="D15" s="7" t="n"/>
      <c r="E15" s="8" t="n">
        <v>0</v>
      </c>
      <c r="F15" s="7" t="n"/>
      <c r="G15" s="5" t="inlineStr">
        <is>
          <t>sqm</t>
        </is>
      </c>
      <c r="H15" s="7" t="n"/>
    </row>
    <row r="16">
      <c r="B16" s="5" t="inlineStr">
        <is>
          <t>Balconies &gt;10sqm</t>
        </is>
      </c>
      <c r="C16" s="6" t="n"/>
      <c r="D16" s="7" t="n"/>
      <c r="E16" s="8" t="n">
        <v>0</v>
      </c>
      <c r="F16" s="7" t="n"/>
      <c r="G16" s="5" t="inlineStr">
        <is>
          <t>sqm</t>
        </is>
      </c>
      <c r="H16" s="7" t="n"/>
    </row>
    <row r="17">
      <c r="B17" s="5" t="inlineStr"/>
      <c r="C17" s="6" t="n"/>
      <c r="D17" s="7" t="n"/>
      <c r="G17" s="5" t="inlineStr"/>
      <c r="H17" s="7" t="n"/>
    </row>
    <row r="18">
      <c r="B18" s="9" t="inlineStr">
        <is>
          <t>CHARACTERISTICS</t>
        </is>
      </c>
      <c r="C18" s="6" t="n"/>
      <c r="D18" s="7" t="n"/>
      <c r="E18" s="6" t="n"/>
      <c r="F18" s="6" t="n"/>
      <c r="G18" s="6" t="n"/>
      <c r="H18" s="7" t="n"/>
    </row>
    <row r="19">
      <c r="B19" s="5" t="inlineStr">
        <is>
          <t>Floor Level</t>
        </is>
      </c>
      <c r="C19" s="6" t="n"/>
      <c r="D19" s="7" t="n"/>
      <c r="E19" s="8" t="n">
        <v>3</v>
      </c>
      <c r="F19" s="7" t="n"/>
      <c r="G19" s="5" t="inlineStr">
        <is>
          <t>floor</t>
        </is>
      </c>
      <c r="H19" s="7" t="n"/>
    </row>
    <row r="20">
      <c r="B20" s="5" t="inlineStr">
        <is>
          <t>Total Floors in Building</t>
        </is>
      </c>
      <c r="C20" s="6" t="n"/>
      <c r="D20" s="7" t="n"/>
      <c r="E20" s="8" t="n">
        <v>5</v>
      </c>
      <c r="F20" s="7" t="n"/>
      <c r="G20" s="5" t="inlineStr">
        <is>
          <t>floors</t>
        </is>
      </c>
      <c r="H20" s="7" t="n"/>
    </row>
    <row r="21">
      <c r="B21" s="5" t="inlineStr">
        <is>
          <t>Condition</t>
        </is>
      </c>
      <c r="C21" s="6" t="n"/>
      <c r="D21" s="7" t="n"/>
      <c r="E21" s="8" t="inlineStr">
        <is>
          <t>Good</t>
        </is>
      </c>
      <c r="F21" s="7" t="n"/>
      <c r="G21" s="5" t="inlineStr">
        <is>
          <t>dropdown</t>
        </is>
      </c>
      <c r="H21" s="7" t="n"/>
    </row>
    <row r="22">
      <c r="B22" s="5" t="inlineStr">
        <is>
          <t>Layout Type</t>
        </is>
      </c>
      <c r="C22" s="6" t="n"/>
      <c r="D22" s="7" t="n"/>
      <c r="E22" s="8" t="inlineStr">
        <is>
          <t>Through (Διαμπερές)</t>
        </is>
      </c>
      <c r="F22" s="7" t="n"/>
      <c r="G22" s="5" t="inlineStr">
        <is>
          <t>dropdown</t>
        </is>
      </c>
      <c r="H22" s="7" t="n"/>
    </row>
    <row r="23">
      <c r="B23" s="5" t="inlineStr">
        <is>
          <t>Views</t>
        </is>
      </c>
      <c r="C23" s="6" t="n"/>
      <c r="D23" s="7" t="n"/>
      <c r="E23" s="8" t="inlineStr">
        <is>
          <t>Open horizon</t>
        </is>
      </c>
      <c r="F23" s="7" t="n"/>
      <c r="G23" s="5" t="inlineStr">
        <is>
          <t>dropdown</t>
        </is>
      </c>
      <c r="H23" s="7" t="n"/>
    </row>
    <row r="24">
      <c r="B24" s="5" t="inlineStr"/>
      <c r="C24" s="6" t="n"/>
      <c r="D24" s="7" t="n"/>
      <c r="G24" s="5" t="inlineStr"/>
      <c r="H24" s="7" t="n"/>
    </row>
    <row r="25">
      <c r="B25" s="9" t="inlineStr">
        <is>
          <t>AMENITIES (Yes/No)</t>
        </is>
      </c>
      <c r="C25" s="6" t="n"/>
      <c r="D25" s="7" t="n"/>
      <c r="E25" s="6" t="n"/>
      <c r="F25" s="6" t="n"/>
      <c r="G25" s="7" t="n"/>
      <c r="H25" s="7" t="n"/>
    </row>
    <row r="26">
      <c r="B26" s="5" t="inlineStr">
        <is>
          <t>Parking Space</t>
        </is>
      </c>
      <c r="C26" s="6" t="n"/>
      <c r="D26" s="7" t="n"/>
      <c r="E26" s="8" t="inlineStr">
        <is>
          <t>Yes</t>
        </is>
      </c>
      <c r="F26" s="7" t="n"/>
      <c r="G26" s="5" t="inlineStr">
        <is>
          <t>Y/N</t>
        </is>
      </c>
      <c r="H26" s="7" t="n"/>
    </row>
    <row r="27">
      <c r="B27" s="5" t="inlineStr">
        <is>
          <t>Storage Room</t>
        </is>
      </c>
      <c r="C27" s="6" t="n"/>
      <c r="D27" s="7" t="n"/>
      <c r="E27" s="8" t="inlineStr">
        <is>
          <t>Yes</t>
        </is>
      </c>
      <c r="F27" s="7" t="n"/>
      <c r="G27" s="5" t="inlineStr">
        <is>
          <t>Y/N</t>
        </is>
      </c>
      <c r="H27" s="7" t="n"/>
    </row>
    <row r="28">
      <c r="B28" s="5" t="inlineStr">
        <is>
          <t>Elevator</t>
        </is>
      </c>
      <c r="C28" s="6" t="n"/>
      <c r="D28" s="7" t="n"/>
      <c r="E28" s="8" t="inlineStr">
        <is>
          <t>Yes</t>
        </is>
      </c>
      <c r="F28" s="7" t="n"/>
      <c r="G28" s="5" t="inlineStr">
        <is>
          <t>Y/N</t>
        </is>
      </c>
      <c r="H28" s="7" t="n"/>
    </row>
    <row r="29">
      <c r="B29" s="5" t="inlineStr">
        <is>
          <t>Autonomous Heating</t>
        </is>
      </c>
      <c r="C29" s="6" t="n"/>
      <c r="D29" s="7" t="n"/>
      <c r="E29" s="8" t="inlineStr">
        <is>
          <t>No</t>
        </is>
      </c>
      <c r="F29" s="7" t="n"/>
      <c r="G29" s="5" t="inlineStr">
        <is>
          <t>Y/N</t>
        </is>
      </c>
      <c r="H29" s="7" t="n"/>
    </row>
    <row r="30">
      <c r="B30" s="5" t="inlineStr">
        <is>
          <t>Air Conditioning</t>
        </is>
      </c>
      <c r="C30" s="6" t="n"/>
      <c r="D30" s="7" t="n"/>
      <c r="E30" s="8" t="inlineStr">
        <is>
          <t>Yes</t>
        </is>
      </c>
      <c r="F30" s="7" t="n"/>
      <c r="G30" s="5" t="inlineStr">
        <is>
          <t>Y/N</t>
        </is>
      </c>
      <c r="H30" s="7" t="n"/>
    </row>
    <row r="32">
      <c r="B32" s="10" t="inlineStr">
        <is>
          <t>WEIGHTED AREA CALCULATION</t>
        </is>
      </c>
    </row>
    <row r="33">
      <c r="B33" s="4" t="inlineStr">
        <is>
          <t>Component</t>
        </is>
      </c>
      <c r="C33" s="4" t="inlineStr">
        <is>
          <t>Area (sqm)</t>
        </is>
      </c>
      <c r="D33" s="4" t="inlineStr">
        <is>
          <t>Weight Factor</t>
        </is>
      </c>
      <c r="E33" s="4" t="inlineStr">
        <is>
          <t>Weighted Area</t>
        </is>
      </c>
    </row>
    <row r="34">
      <c r="B34" s="5" t="inlineStr">
        <is>
          <t>Main Floor Area</t>
        </is>
      </c>
      <c r="C34" s="11">
        <f>E8</f>
        <v/>
      </c>
      <c r="D34" s="11" t="n">
        <v>1</v>
      </c>
      <c r="E34" s="11">
        <f>C34*D34</f>
        <v/>
      </c>
    </row>
    <row r="35">
      <c r="B35" s="5" t="inlineStr">
        <is>
          <t>Attic/Loft (σοφίτα)</t>
        </is>
      </c>
      <c r="C35" s="11">
        <f>E9</f>
        <v/>
      </c>
      <c r="D35" s="11" t="n">
        <v>0.35</v>
      </c>
      <c r="E35" s="11">
        <f>C35*D35</f>
        <v/>
      </c>
    </row>
    <row r="36">
      <c r="B36" s="5" t="inlineStr">
        <is>
          <t>Basement/Storage (υπόγειο)</t>
        </is>
      </c>
      <c r="C36" s="11">
        <f>E10</f>
        <v/>
      </c>
      <c r="D36" s="11" t="n">
        <v>0.2</v>
      </c>
      <c r="E36" s="11">
        <f>C36*D36</f>
        <v/>
      </c>
    </row>
    <row r="37">
      <c r="B37" s="5" t="inlineStr">
        <is>
          <t>Semi-basement</t>
        </is>
      </c>
      <c r="C37" s="11">
        <f>E11</f>
        <v/>
      </c>
      <c r="D37" s="11" t="n">
        <v>0.5</v>
      </c>
      <c r="E37" s="11">
        <f>C37*D37</f>
        <v/>
      </c>
    </row>
    <row r="38">
      <c r="B38" s="5" t="inlineStr">
        <is>
          <t>Balconies &gt;10sqm</t>
        </is>
      </c>
      <c r="C38" s="11">
        <f>E12</f>
        <v/>
      </c>
      <c r="D38" s="11" t="n">
        <v>0.5</v>
      </c>
      <c r="E38" s="11">
        <f>C38*D38</f>
        <v/>
      </c>
    </row>
    <row r="39">
      <c r="B39" s="12" t="inlineStr">
        <is>
          <t>TOTAL WEIGHTED AREA (Ανηγμένη Επιφάνεια)</t>
        </is>
      </c>
      <c r="E39" s="13">
        <f>SUM(E34:E38)</f>
        <v/>
      </c>
    </row>
  </sheetData>
  <mergeCells count="72">
    <mergeCell ref="B11:D11"/>
    <mergeCell ref="E12:F12"/>
    <mergeCell ref="G21:H21"/>
    <mergeCell ref="G12:H12"/>
    <mergeCell ref="B14:D14"/>
    <mergeCell ref="B23:D23"/>
    <mergeCell ref="B8:D8"/>
    <mergeCell ref="G11:H11"/>
    <mergeCell ref="G27:H27"/>
    <mergeCell ref="B17:D17"/>
    <mergeCell ref="B13:D13"/>
    <mergeCell ref="E23:F23"/>
    <mergeCell ref="E14:F14"/>
    <mergeCell ref="G23:H23"/>
    <mergeCell ref="G8:H8"/>
    <mergeCell ref="B29:D29"/>
    <mergeCell ref="B5:H5"/>
    <mergeCell ref="E8:F8"/>
    <mergeCell ref="G17:H17"/>
    <mergeCell ref="B10:D10"/>
    <mergeCell ref="B28:D28"/>
    <mergeCell ref="B32:H32"/>
    <mergeCell ref="B19:D19"/>
    <mergeCell ref="E20:F20"/>
    <mergeCell ref="G7:H7"/>
    <mergeCell ref="E29:F29"/>
    <mergeCell ref="G10:H10"/>
    <mergeCell ref="E19:F19"/>
    <mergeCell ref="G19:H19"/>
    <mergeCell ref="B9:D9"/>
    <mergeCell ref="E28:F28"/>
    <mergeCell ref="E13:F13"/>
    <mergeCell ref="G28:H28"/>
    <mergeCell ref="B30:D30"/>
    <mergeCell ref="G13:H13"/>
    <mergeCell ref="B15:D15"/>
    <mergeCell ref="G18:H18"/>
    <mergeCell ref="E9:F9"/>
    <mergeCell ref="B25:H25"/>
    <mergeCell ref="B24:D24"/>
    <mergeCell ref="B20:D20"/>
    <mergeCell ref="E30:F30"/>
    <mergeCell ref="B18:H18"/>
    <mergeCell ref="E15:F15"/>
    <mergeCell ref="G24:H24"/>
    <mergeCell ref="G30:H30"/>
    <mergeCell ref="G15:H15"/>
    <mergeCell ref="B26:D26"/>
    <mergeCell ref="E27:F27"/>
    <mergeCell ref="B2:H2"/>
    <mergeCell ref="G14:H14"/>
    <mergeCell ref="B11:H11"/>
    <mergeCell ref="B7:D7"/>
    <mergeCell ref="B25:D25"/>
    <mergeCell ref="E26:F26"/>
    <mergeCell ref="G26:H26"/>
    <mergeCell ref="B16:D16"/>
    <mergeCell ref="G29:H29"/>
    <mergeCell ref="G20:H20"/>
    <mergeCell ref="E16:F16"/>
    <mergeCell ref="E7:F7"/>
    <mergeCell ref="G16:H16"/>
    <mergeCell ref="B22:D22"/>
    <mergeCell ref="G25:H25"/>
    <mergeCell ref="B18:D18"/>
    <mergeCell ref="B27:D27"/>
    <mergeCell ref="E22:F22"/>
    <mergeCell ref="B21:D21"/>
    <mergeCell ref="G22:H22"/>
    <mergeCell ref="B12:D12"/>
    <mergeCell ref="G9:H9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P16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25" customWidth="1" min="3" max="3"/>
    <col width="15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2">
      <c r="B2" s="1" t="inlineStr">
        <is>
          <t>COMPARABLE PROPERTIES DATABASE</t>
        </is>
      </c>
    </row>
    <row r="4">
      <c r="B4" s="14" t="inlineStr">
        <is>
          <t>Instructions: Enter comparable property data. System will calculate weighted areas automatically.</t>
        </is>
      </c>
    </row>
    <row r="6">
      <c r="B6" s="15" t="inlineStr">
        <is>
          <t>ID</t>
        </is>
      </c>
      <c r="C6" s="15" t="inlineStr">
        <is>
          <t>Address / Source</t>
        </is>
      </c>
      <c r="D6" s="15" t="inlineStr">
        <is>
          <t>Area</t>
        </is>
      </c>
      <c r="E6" s="15" t="inlineStr">
        <is>
          <t>Asking Price (€)</t>
        </is>
      </c>
      <c r="F6" s="15" t="inlineStr">
        <is>
          <t>Transaction Type</t>
        </is>
      </c>
      <c r="G6" s="15" t="inlineStr">
        <is>
          <t>Date</t>
        </is>
      </c>
      <c r="H6" s="15" t="inlineStr">
        <is>
          <t>Floor</t>
        </is>
      </c>
      <c r="I6" s="15" t="inlineStr">
        <is>
          <t>Building Year</t>
        </is>
      </c>
      <c r="J6" s="15" t="inlineStr">
        <is>
          <t>Main Area</t>
        </is>
      </c>
      <c r="K6" s="15" t="inlineStr">
        <is>
          <t>Attic</t>
        </is>
      </c>
      <c r="L6" s="15" t="inlineStr">
        <is>
          <t>Basement</t>
        </is>
      </c>
      <c r="M6" s="15" t="inlineStr">
        <is>
          <t>Semi-base</t>
        </is>
      </c>
      <c r="N6" s="15" t="inlineStr">
        <is>
          <t>Balconies</t>
        </is>
      </c>
      <c r="O6" s="15" t="inlineStr">
        <is>
          <t>Weighted Area</t>
        </is>
      </c>
      <c r="P6" s="15" t="inlineStr">
        <is>
          <t>€/sqm</t>
        </is>
      </c>
    </row>
    <row r="7">
      <c r="B7" s="8" t="inlineStr">
        <is>
          <t>COMP-1</t>
        </is>
      </c>
      <c r="C7" s="8" t="inlineStr">
        <is>
          <t>Sample Address 1</t>
        </is>
      </c>
      <c r="D7" s="8" t="inlineStr">
        <is>
          <t>Kolonaki</t>
        </is>
      </c>
      <c r="E7" s="16" t="n">
        <v>200000</v>
      </c>
      <c r="F7" s="8" t="inlineStr">
        <is>
          <t>Asking</t>
        </is>
      </c>
      <c r="G7" s="22" t="n">
        <v>46021</v>
      </c>
      <c r="H7" s="18" t="n">
        <v>3</v>
      </c>
      <c r="I7" s="18" t="n">
        <v>1975</v>
      </c>
      <c r="J7" s="19" t="n">
        <v>95</v>
      </c>
      <c r="K7" s="19" t="n">
        <v>0</v>
      </c>
      <c r="L7" s="19" t="n">
        <v>5</v>
      </c>
      <c r="M7" s="19" t="n">
        <v>0</v>
      </c>
      <c r="N7" s="19" t="n">
        <v>0</v>
      </c>
      <c r="O7" s="20">
        <f>J7+K7*0.35+L7*0.2+M7*0.5+N7*0.5</f>
        <v/>
      </c>
      <c r="P7" s="21">
        <f>IF(O7&gt;0,E7/O7,"")</f>
        <v/>
      </c>
    </row>
    <row r="8">
      <c r="B8" s="8" t="inlineStr">
        <is>
          <t>COMP-2</t>
        </is>
      </c>
      <c r="C8" s="8" t="inlineStr">
        <is>
          <t>Sample Address 2</t>
        </is>
      </c>
      <c r="D8" s="8" t="inlineStr">
        <is>
          <t>Kolonaki</t>
        </is>
      </c>
      <c r="E8" s="16" t="inlineStr"/>
      <c r="F8" s="8" t="inlineStr"/>
      <c r="G8" s="8" t="inlineStr"/>
      <c r="H8" s="18" t="inlineStr"/>
      <c r="I8" s="18" t="inlineStr"/>
      <c r="J8" s="19" t="inlineStr"/>
      <c r="K8" s="19" t="inlineStr"/>
      <c r="L8" s="19" t="inlineStr"/>
      <c r="M8" s="19" t="inlineStr"/>
      <c r="N8" s="19" t="inlineStr"/>
      <c r="O8" s="20">
        <f>J8+K8*0.35+L8*0.2+M8*0.5+N8*0.5</f>
        <v/>
      </c>
      <c r="P8" s="21">
        <f>IF(O8&gt;0,E8/O8,"")</f>
        <v/>
      </c>
    </row>
    <row r="9">
      <c r="B9" s="8" t="inlineStr">
        <is>
          <t>COMP-3</t>
        </is>
      </c>
      <c r="C9" s="8" t="inlineStr">
        <is>
          <t>Sample Address 3</t>
        </is>
      </c>
      <c r="D9" s="8" t="inlineStr">
        <is>
          <t>Kolonaki</t>
        </is>
      </c>
      <c r="E9" s="16" t="inlineStr"/>
      <c r="F9" s="8" t="inlineStr"/>
      <c r="G9" s="8" t="inlineStr"/>
      <c r="H9" s="18" t="inlineStr"/>
      <c r="I9" s="18" t="inlineStr"/>
      <c r="J9" s="19" t="inlineStr"/>
      <c r="K9" s="19" t="inlineStr"/>
      <c r="L9" s="19" t="inlineStr"/>
      <c r="M9" s="19" t="inlineStr"/>
      <c r="N9" s="19" t="inlineStr"/>
      <c r="O9" s="20">
        <f>J9+K9*0.35+L9*0.2+M9*0.5+N9*0.5</f>
        <v/>
      </c>
      <c r="P9" s="21">
        <f>IF(O9&gt;0,E9/O9,"")</f>
        <v/>
      </c>
    </row>
    <row r="10">
      <c r="B10" s="8" t="inlineStr">
        <is>
          <t>COMP-4</t>
        </is>
      </c>
      <c r="C10" s="8" t="inlineStr">
        <is>
          <t>Sample Address 4</t>
        </is>
      </c>
      <c r="D10" s="8" t="inlineStr">
        <is>
          <t>Kolonaki</t>
        </is>
      </c>
      <c r="E10" s="16" t="inlineStr"/>
      <c r="F10" s="8" t="inlineStr"/>
      <c r="G10" s="8" t="inlineStr"/>
      <c r="H10" s="18" t="inlineStr"/>
      <c r="I10" s="18" t="inlineStr"/>
      <c r="J10" s="19" t="inlineStr"/>
      <c r="K10" s="19" t="inlineStr"/>
      <c r="L10" s="19" t="inlineStr"/>
      <c r="M10" s="19" t="inlineStr"/>
      <c r="N10" s="19" t="inlineStr"/>
      <c r="O10" s="20">
        <f>J10+K10*0.35+L10*0.2+M10*0.5+N10*0.5</f>
        <v/>
      </c>
      <c r="P10" s="21">
        <f>IF(O10&gt;0,E10/O10,"")</f>
        <v/>
      </c>
    </row>
    <row r="11">
      <c r="B11" s="8" t="inlineStr">
        <is>
          <t>COMP-5</t>
        </is>
      </c>
      <c r="C11" s="8" t="inlineStr">
        <is>
          <t>Sample Address 5</t>
        </is>
      </c>
      <c r="D11" s="8" t="inlineStr">
        <is>
          <t>Kolonaki</t>
        </is>
      </c>
      <c r="E11" s="16" t="inlineStr"/>
      <c r="F11" s="8" t="inlineStr"/>
      <c r="G11" s="8" t="inlineStr"/>
      <c r="H11" s="18" t="inlineStr"/>
      <c r="I11" s="18" t="inlineStr"/>
      <c r="J11" s="19" t="inlineStr"/>
      <c r="K11" s="19" t="inlineStr"/>
      <c r="L11" s="19" t="inlineStr"/>
      <c r="M11" s="19" t="inlineStr"/>
      <c r="N11" s="19" t="inlineStr"/>
      <c r="O11" s="20">
        <f>J11+K11*0.35+L11*0.2+M11*0.5+N11*0.5</f>
        <v/>
      </c>
      <c r="P11" s="21">
        <f>IF(O11&gt;0,E11/O11,"")</f>
        <v/>
      </c>
    </row>
    <row r="12">
      <c r="B12" s="8" t="inlineStr">
        <is>
          <t>COMP-6</t>
        </is>
      </c>
      <c r="C12" s="8" t="inlineStr">
        <is>
          <t>Sample Address 6</t>
        </is>
      </c>
      <c r="D12" s="8" t="inlineStr">
        <is>
          <t>Kolonaki</t>
        </is>
      </c>
      <c r="E12" s="16" t="inlineStr"/>
      <c r="F12" s="8" t="inlineStr"/>
      <c r="G12" s="8" t="inlineStr"/>
      <c r="H12" s="18" t="inlineStr"/>
      <c r="I12" s="18" t="inlineStr"/>
      <c r="J12" s="19" t="inlineStr"/>
      <c r="K12" s="19" t="inlineStr"/>
      <c r="L12" s="19" t="inlineStr"/>
      <c r="M12" s="19" t="inlineStr"/>
      <c r="N12" s="19" t="inlineStr"/>
      <c r="O12" s="20">
        <f>J12+K12*0.35+L12*0.2+M12*0.5+N12*0.5</f>
        <v/>
      </c>
      <c r="P12" s="21">
        <f>IF(O12&gt;0,E12/O12,"")</f>
        <v/>
      </c>
    </row>
    <row r="13">
      <c r="B13" s="8" t="inlineStr">
        <is>
          <t>COMP-7</t>
        </is>
      </c>
      <c r="C13" s="8" t="inlineStr">
        <is>
          <t>Sample Address 7</t>
        </is>
      </c>
      <c r="D13" s="8" t="inlineStr">
        <is>
          <t>Kolonaki</t>
        </is>
      </c>
      <c r="E13" s="16" t="inlineStr"/>
      <c r="F13" s="8" t="inlineStr"/>
      <c r="G13" s="8" t="inlineStr"/>
      <c r="H13" s="18" t="inlineStr"/>
      <c r="I13" s="18" t="inlineStr"/>
      <c r="J13" s="19" t="inlineStr"/>
      <c r="K13" s="19" t="inlineStr"/>
      <c r="L13" s="19" t="inlineStr"/>
      <c r="M13" s="19" t="inlineStr"/>
      <c r="N13" s="19" t="inlineStr"/>
      <c r="O13" s="20">
        <f>J13+K13*0.35+L13*0.2+M13*0.5+N13*0.5</f>
        <v/>
      </c>
      <c r="P13" s="21">
        <f>IF(O13&gt;0,E13/O13,"")</f>
        <v/>
      </c>
    </row>
    <row r="14">
      <c r="B14" s="8" t="inlineStr">
        <is>
          <t>COMP-8</t>
        </is>
      </c>
      <c r="C14" s="8" t="inlineStr">
        <is>
          <t>Sample Address 8</t>
        </is>
      </c>
      <c r="D14" s="8" t="inlineStr">
        <is>
          <t>Kolonaki</t>
        </is>
      </c>
      <c r="E14" s="16" t="inlineStr"/>
      <c r="F14" s="8" t="inlineStr"/>
      <c r="G14" s="8" t="inlineStr"/>
      <c r="H14" s="18" t="inlineStr"/>
      <c r="I14" s="18" t="inlineStr"/>
      <c r="J14" s="19" t="inlineStr"/>
      <c r="K14" s="19" t="inlineStr"/>
      <c r="L14" s="19" t="inlineStr"/>
      <c r="M14" s="19" t="inlineStr"/>
      <c r="N14" s="19" t="inlineStr"/>
      <c r="O14" s="20">
        <f>J14+K14*0.35+L14*0.2+M14*0.5+N14*0.5</f>
        <v/>
      </c>
      <c r="P14" s="21">
        <f>IF(O14&gt;0,E14/O14,"")</f>
        <v/>
      </c>
    </row>
    <row r="15">
      <c r="B15" s="8" t="inlineStr">
        <is>
          <t>COMP-9</t>
        </is>
      </c>
      <c r="C15" s="8" t="inlineStr">
        <is>
          <t>Sample Address 9</t>
        </is>
      </c>
      <c r="D15" s="8" t="inlineStr">
        <is>
          <t>Kolonaki</t>
        </is>
      </c>
      <c r="E15" s="16" t="inlineStr"/>
      <c r="F15" s="8" t="inlineStr"/>
      <c r="G15" s="8" t="inlineStr"/>
      <c r="H15" s="18" t="inlineStr"/>
      <c r="I15" s="18" t="inlineStr"/>
      <c r="J15" s="19" t="inlineStr"/>
      <c r="K15" s="19" t="inlineStr"/>
      <c r="L15" s="19" t="inlineStr"/>
      <c r="M15" s="19" t="inlineStr"/>
      <c r="N15" s="19" t="inlineStr"/>
      <c r="O15" s="20">
        <f>J15+K15*0.35+L15*0.2+M15*0.5+N15*0.5</f>
        <v/>
      </c>
      <c r="P15" s="21">
        <f>IF(O15&gt;0,E15/O15,"")</f>
        <v/>
      </c>
    </row>
    <row r="16">
      <c r="B16" s="8" t="inlineStr">
        <is>
          <t>COMP-10</t>
        </is>
      </c>
      <c r="C16" s="8" t="inlineStr">
        <is>
          <t>Sample Address 10</t>
        </is>
      </c>
      <c r="D16" s="8" t="inlineStr">
        <is>
          <t>Kolonaki</t>
        </is>
      </c>
      <c r="E16" s="16" t="inlineStr"/>
      <c r="F16" s="8" t="inlineStr"/>
      <c r="G16" s="8" t="inlineStr"/>
      <c r="H16" s="18" t="inlineStr"/>
      <c r="I16" s="18" t="inlineStr"/>
      <c r="J16" s="19" t="inlineStr"/>
      <c r="K16" s="19" t="inlineStr"/>
      <c r="L16" s="19" t="inlineStr"/>
      <c r="M16" s="19" t="inlineStr"/>
      <c r="N16" s="19" t="inlineStr"/>
      <c r="O16" s="20">
        <f>J16+K16*0.35+L16*0.2+M16*0.5+N16*0.5</f>
        <v/>
      </c>
      <c r="P16" s="21">
        <f>IF(O16&gt;0,E16/O16,"")</f>
        <v/>
      </c>
    </row>
  </sheetData>
  <mergeCells count="2">
    <mergeCell ref="B2:P2"/>
    <mergeCell ref="B4:P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81"/>
  <sheetViews>
    <sheetView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ADJUSTMENT FACTORS TABLE (Συντελεστές Αναγωγής)</t>
        </is>
      </c>
    </row>
    <row r="3">
      <c r="B3" s="14" t="inlineStr">
        <is>
          <t>Reference: ΣΕΚΕ 2018 + Greek Valuation Practice (NOVAL, Danos, etc.)</t>
        </is>
      </c>
    </row>
    <row r="5">
      <c r="B5" s="3" t="inlineStr">
        <is>
          <t>1. TRANSACTION TYPE (Δικαιοπραξία / Ζητούμενη)</t>
        </is>
      </c>
    </row>
    <row r="6">
      <c r="B6" s="23" t="inlineStr">
        <is>
          <t>Characteristic</t>
        </is>
      </c>
      <c r="C6" s="6" t="n"/>
      <c r="D6" s="7" t="n"/>
      <c r="E6" s="23" t="inlineStr">
        <is>
          <t>Min Adj.</t>
        </is>
      </c>
      <c r="F6" s="7" t="n"/>
    </row>
    <row r="7">
      <c r="B7" s="5" t="inlineStr">
        <is>
          <t>Actual Transaction (Πράξη)</t>
        </is>
      </c>
      <c r="C7" s="6" t="n"/>
      <c r="D7" s="7" t="n"/>
      <c r="E7" s="24" t="inlineStr">
        <is>
          <t>0%</t>
        </is>
      </c>
      <c r="F7" s="7" t="n"/>
    </row>
    <row r="8">
      <c r="B8" s="5" t="inlineStr">
        <is>
          <t>Asking Price - Fresh (&lt;3mo)</t>
        </is>
      </c>
      <c r="C8" s="6" t="n"/>
      <c r="D8" s="7" t="n"/>
      <c r="E8" s="24" t="inlineStr">
        <is>
          <t>-10%</t>
        </is>
      </c>
      <c r="F8" s="7" t="n"/>
    </row>
    <row r="9">
      <c r="B9" s="5" t="inlineStr">
        <is>
          <t>Asking Price - Standard</t>
        </is>
      </c>
      <c r="C9" s="6" t="n"/>
      <c r="D9" s="7" t="n"/>
      <c r="E9" s="24" t="inlineStr">
        <is>
          <t>-15%</t>
        </is>
      </c>
      <c r="F9" s="7" t="n"/>
    </row>
    <row r="10">
      <c r="B10" s="5" t="inlineStr">
        <is>
          <t>Asking Price - Stale (&gt;6mo)</t>
        </is>
      </c>
      <c r="C10" s="6" t="n"/>
      <c r="D10" s="7" t="n"/>
      <c r="E10" s="24" t="inlineStr">
        <is>
          <t>-20%</t>
        </is>
      </c>
      <c r="F10" s="7" t="n"/>
    </row>
    <row r="12">
      <c r="B12" s="3" t="inlineStr">
        <is>
          <t>2. LOCATION/MARKETABILITY (Θέση / Εμπορικότητα)</t>
        </is>
      </c>
    </row>
    <row r="13">
      <c r="B13" s="23" t="inlineStr">
        <is>
          <t>Characteristic</t>
        </is>
      </c>
      <c r="C13" s="6" t="n"/>
      <c r="D13" s="7" t="n"/>
      <c r="E13" s="23" t="inlineStr">
        <is>
          <t>Min Adj.</t>
        </is>
      </c>
      <c r="F13" s="7" t="n"/>
    </row>
    <row r="14">
      <c r="B14" s="5" t="inlineStr">
        <is>
          <t>Prime location - much better</t>
        </is>
      </c>
      <c r="C14" s="6" t="n"/>
      <c r="D14" s="7" t="n"/>
      <c r="E14" s="24" t="inlineStr">
        <is>
          <t>+15%</t>
        </is>
      </c>
      <c r="F14" s="7" t="n"/>
    </row>
    <row r="15">
      <c r="B15" s="5" t="inlineStr">
        <is>
          <t>Better location</t>
        </is>
      </c>
      <c r="C15" s="6" t="n"/>
      <c r="D15" s="7" t="n"/>
      <c r="E15" s="24" t="inlineStr">
        <is>
          <t>+5%</t>
        </is>
      </c>
      <c r="F15" s="7" t="n"/>
    </row>
    <row r="16">
      <c r="B16" s="5" t="inlineStr">
        <is>
          <t>Similar location</t>
        </is>
      </c>
      <c r="C16" s="6" t="n"/>
      <c r="D16" s="7" t="n"/>
      <c r="E16" s="24" t="inlineStr">
        <is>
          <t>0%</t>
        </is>
      </c>
      <c r="F16" s="7" t="n"/>
    </row>
    <row r="17">
      <c r="B17" s="5" t="inlineStr">
        <is>
          <t>Worse location</t>
        </is>
      </c>
      <c r="C17" s="6" t="n"/>
      <c r="D17" s="7" t="n"/>
      <c r="E17" s="24" t="inlineStr">
        <is>
          <t>-5%</t>
        </is>
      </c>
      <c r="F17" s="7" t="n"/>
    </row>
    <row r="18">
      <c r="B18" s="5" t="inlineStr">
        <is>
          <t>Much worse location</t>
        </is>
      </c>
      <c r="C18" s="6" t="n"/>
      <c r="D18" s="7" t="n"/>
      <c r="E18" s="24" t="inlineStr">
        <is>
          <t>-15%</t>
        </is>
      </c>
      <c r="F18" s="7" t="n"/>
    </row>
    <row r="20">
      <c r="B20" s="3" t="inlineStr">
        <is>
          <t>3. ACCESS (Πρόσβαση)</t>
        </is>
      </c>
    </row>
    <row r="21">
      <c r="B21" s="23" t="inlineStr">
        <is>
          <t>Characteristic</t>
        </is>
      </c>
      <c r="C21" s="6" t="n"/>
      <c r="D21" s="7" t="n"/>
      <c r="E21" s="23" t="inlineStr">
        <is>
          <t>Min Adj.</t>
        </is>
      </c>
      <c r="F21" s="7" t="n"/>
    </row>
    <row r="22">
      <c r="B22" s="5" t="inlineStr">
        <is>
          <t>Much better access (metro &lt;200m)</t>
        </is>
      </c>
      <c r="C22" s="6" t="n"/>
      <c r="D22" s="7" t="n"/>
      <c r="E22" s="24" t="inlineStr">
        <is>
          <t>+5%</t>
        </is>
      </c>
      <c r="F22" s="7" t="n"/>
    </row>
    <row r="23">
      <c r="B23" s="5" t="inlineStr">
        <is>
          <t>Better access</t>
        </is>
      </c>
      <c r="C23" s="6" t="n"/>
      <c r="D23" s="7" t="n"/>
      <c r="E23" s="24" t="inlineStr">
        <is>
          <t>+3%</t>
        </is>
      </c>
      <c r="F23" s="7" t="n"/>
    </row>
    <row r="24">
      <c r="B24" s="5" t="inlineStr">
        <is>
          <t>Similar access</t>
        </is>
      </c>
      <c r="C24" s="6" t="n"/>
      <c r="D24" s="7" t="n"/>
      <c r="E24" s="24" t="inlineStr">
        <is>
          <t>0%</t>
        </is>
      </c>
      <c r="F24" s="7" t="n"/>
    </row>
    <row r="25">
      <c r="B25" s="5" t="inlineStr">
        <is>
          <t>Worse access</t>
        </is>
      </c>
      <c r="C25" s="6" t="n"/>
      <c r="D25" s="7" t="n"/>
      <c r="E25" s="24" t="inlineStr">
        <is>
          <t>-3%</t>
        </is>
      </c>
      <c r="F25" s="7" t="n"/>
    </row>
    <row r="26">
      <c r="B26" s="5" t="inlineStr">
        <is>
          <t>Much worse access</t>
        </is>
      </c>
      <c r="C26" s="6" t="n"/>
      <c r="D26" s="7" t="n"/>
      <c r="E26" s="24" t="inlineStr">
        <is>
          <t>-5%</t>
        </is>
      </c>
      <c r="F26" s="7" t="n"/>
    </row>
    <row r="28">
      <c r="B28" s="3" t="inlineStr">
        <is>
          <t>4. VIEWS (Προβολή / Θέα)</t>
        </is>
      </c>
    </row>
    <row r="29">
      <c r="B29" s="23" t="inlineStr">
        <is>
          <t>Characteristic</t>
        </is>
      </c>
      <c r="C29" s="6" t="n"/>
      <c r="D29" s="7" t="n"/>
      <c r="E29" s="23" t="inlineStr">
        <is>
          <t>Min Adj.</t>
        </is>
      </c>
      <c r="F29" s="7" t="n"/>
    </row>
    <row r="30">
      <c r="B30" s="5" t="inlineStr">
        <is>
          <t>Acropolis view</t>
        </is>
      </c>
      <c r="C30" s="6" t="n"/>
      <c r="D30" s="7" t="n"/>
      <c r="E30" s="24" t="inlineStr">
        <is>
          <t>+15%</t>
        </is>
      </c>
      <c r="F30" s="7" t="n"/>
    </row>
    <row r="31">
      <c r="B31" s="5" t="inlineStr">
        <is>
          <t>Sea view</t>
        </is>
      </c>
      <c r="C31" s="6" t="n"/>
      <c r="D31" s="7" t="n"/>
      <c r="E31" s="24" t="inlineStr">
        <is>
          <t>+10%</t>
        </is>
      </c>
      <c r="F31" s="7" t="n"/>
    </row>
    <row r="32">
      <c r="B32" s="5" t="inlineStr">
        <is>
          <t>Open horizon / Mountain view</t>
        </is>
      </c>
      <c r="C32" s="6" t="n"/>
      <c r="D32" s="7" t="n"/>
      <c r="E32" s="24" t="inlineStr">
        <is>
          <t>+5%</t>
        </is>
      </c>
      <c r="F32" s="7" t="n"/>
    </row>
    <row r="33">
      <c r="B33" s="5" t="inlineStr">
        <is>
          <t>Normal view</t>
        </is>
      </c>
      <c r="C33" s="6" t="n"/>
      <c r="D33" s="7" t="n"/>
      <c r="E33" s="24" t="inlineStr">
        <is>
          <t>0%</t>
        </is>
      </c>
      <c r="F33" s="7" t="n"/>
    </row>
    <row r="34">
      <c r="B34" s="5" t="inlineStr">
        <is>
          <t>Limited/No view</t>
        </is>
      </c>
      <c r="C34" s="6" t="n"/>
      <c r="D34" s="7" t="n"/>
      <c r="E34" s="24" t="inlineStr">
        <is>
          <t>-5%</t>
        </is>
      </c>
      <c r="F34" s="7" t="n"/>
    </row>
    <row r="36">
      <c r="B36" s="3" t="inlineStr">
        <is>
          <t>5. AGE &amp; CONDITION (Ηλικία / Κατάσταση)</t>
        </is>
      </c>
    </row>
    <row r="37">
      <c r="B37" s="23" t="inlineStr">
        <is>
          <t>Characteristic</t>
        </is>
      </c>
      <c r="C37" s="6" t="n"/>
      <c r="D37" s="7" t="n"/>
      <c r="E37" s="23" t="inlineStr">
        <is>
          <t>Min Adj.</t>
        </is>
      </c>
      <c r="F37" s="7" t="n"/>
    </row>
    <row r="38">
      <c r="B38" s="5" t="inlineStr">
        <is>
          <t>Fully renovated (within 2 years)</t>
        </is>
      </c>
      <c r="C38" s="6" t="n"/>
      <c r="D38" s="7" t="n"/>
      <c r="E38" s="24" t="inlineStr">
        <is>
          <t>+10%</t>
        </is>
      </c>
      <c r="F38" s="7" t="n"/>
    </row>
    <row r="39">
      <c r="B39" s="5" t="inlineStr">
        <is>
          <t>Partially renovated</t>
        </is>
      </c>
      <c r="C39" s="6" t="n"/>
      <c r="D39" s="7" t="n"/>
      <c r="E39" s="24" t="inlineStr">
        <is>
          <t>+5%</t>
        </is>
      </c>
      <c r="F39" s="7" t="n"/>
    </row>
    <row r="40">
      <c r="B40" s="5" t="inlineStr">
        <is>
          <t>Good condition</t>
        </is>
      </c>
      <c r="C40" s="6" t="n"/>
      <c r="D40" s="7" t="n"/>
      <c r="E40" s="24" t="inlineStr">
        <is>
          <t>+3%</t>
        </is>
      </c>
      <c r="F40" s="7" t="n"/>
    </row>
    <row r="41">
      <c r="B41" s="5" t="inlineStr">
        <is>
          <t>Average condition</t>
        </is>
      </c>
      <c r="C41" s="6" t="n"/>
      <c r="D41" s="7" t="n"/>
      <c r="E41" s="24" t="inlineStr">
        <is>
          <t>0%</t>
        </is>
      </c>
      <c r="F41" s="7" t="n"/>
    </row>
    <row r="42">
      <c r="B42" s="5" t="inlineStr">
        <is>
          <t>Needs minor renovation</t>
        </is>
      </c>
      <c r="C42" s="6" t="n"/>
      <c r="D42" s="7" t="n"/>
      <c r="E42" s="24" t="inlineStr">
        <is>
          <t>-5%</t>
        </is>
      </c>
      <c r="F42" s="7" t="n"/>
    </row>
    <row r="43">
      <c r="B43" s="5" t="inlineStr">
        <is>
          <t>Needs major renovation</t>
        </is>
      </c>
      <c r="C43" s="6" t="n"/>
      <c r="D43" s="7" t="n"/>
      <c r="E43" s="24" t="inlineStr">
        <is>
          <t>-10%</t>
        </is>
      </c>
      <c r="F43" s="7" t="n"/>
    </row>
    <row r="45">
      <c r="B45" s="5" t="inlineStr">
        <is>
          <t>Age difference per year</t>
        </is>
      </c>
      <c r="C45" s="6" t="n"/>
      <c r="D45" s="7" t="n"/>
      <c r="E45" s="24" t="inlineStr">
        <is>
          <t>±1.0%</t>
        </is>
      </c>
      <c r="F45" s="7" t="n"/>
    </row>
    <row r="47">
      <c r="B47" s="3" t="inlineStr">
        <is>
          <t>6. FLOOR LEVEL (Όροφος)</t>
        </is>
      </c>
    </row>
    <row r="48">
      <c r="B48" s="23" t="inlineStr">
        <is>
          <t>Characteristic</t>
        </is>
      </c>
      <c r="C48" s="6" t="n"/>
      <c r="D48" s="7" t="n"/>
      <c r="E48" s="23" t="inlineStr">
        <is>
          <t>Min Adj.</t>
        </is>
      </c>
      <c r="F48" s="7" t="n"/>
    </row>
    <row r="49">
      <c r="B49" s="5" t="inlineStr">
        <is>
          <t>Ground floor (Ισόγειο)</t>
        </is>
      </c>
      <c r="C49" s="6" t="n"/>
      <c r="D49" s="7" t="n"/>
      <c r="E49" s="24" t="inlineStr">
        <is>
          <t>-10%</t>
        </is>
      </c>
      <c r="F49" s="7" t="n"/>
    </row>
    <row r="50">
      <c r="B50" s="5" t="inlineStr">
        <is>
          <t>Per floor difference</t>
        </is>
      </c>
      <c r="C50" s="6" t="n"/>
      <c r="D50" s="7" t="n"/>
      <c r="E50" s="24" t="inlineStr">
        <is>
          <t>±2%</t>
        </is>
      </c>
      <c r="F50" s="7" t="n"/>
    </row>
    <row r="51">
      <c r="B51" s="5" t="inlineStr">
        <is>
          <t>Penthouse/Top floor</t>
        </is>
      </c>
      <c r="C51" s="6" t="n"/>
      <c r="D51" s="7" t="n"/>
      <c r="E51" s="24" t="inlineStr">
        <is>
          <t>+5%</t>
        </is>
      </c>
      <c r="F51" s="7" t="n"/>
    </row>
    <row r="52">
      <c r="B52" s="5" t="inlineStr">
        <is>
          <t>Setback floor (Εσοχή)</t>
        </is>
      </c>
      <c r="C52" s="6" t="n"/>
      <c r="D52" s="7" t="n"/>
      <c r="E52" s="24" t="inlineStr">
        <is>
          <t>+2%</t>
        </is>
      </c>
      <c r="F52" s="7" t="n"/>
    </row>
    <row r="54">
      <c r="B54" s="3" t="inlineStr">
        <is>
          <t>7. AREA SIZE (Επιφάνεια)</t>
        </is>
      </c>
    </row>
    <row r="55">
      <c r="B55" s="23" t="inlineStr">
        <is>
          <t>Characteristic</t>
        </is>
      </c>
      <c r="C55" s="6" t="n"/>
      <c r="D55" s="7" t="n"/>
      <c r="E55" s="23" t="inlineStr">
        <is>
          <t>Min Adj.</t>
        </is>
      </c>
      <c r="F55" s="7" t="n"/>
    </row>
    <row r="56">
      <c r="B56" s="5" t="inlineStr">
        <is>
          <t>Smaller units (higher €/sqm)</t>
        </is>
      </c>
      <c r="C56" s="6" t="n"/>
      <c r="D56" s="7" t="n"/>
      <c r="E56" s="24" t="inlineStr">
        <is>
          <t>See formula</t>
        </is>
      </c>
      <c r="F56" s="7" t="n"/>
    </row>
    <row r="57">
      <c r="B57" s="5" t="inlineStr">
        <is>
          <t>Per 25 sqm difference</t>
        </is>
      </c>
      <c r="C57" s="6" t="n"/>
      <c r="D57" s="7" t="n"/>
      <c r="E57" s="24" t="inlineStr">
        <is>
          <t>±1.0%</t>
        </is>
      </c>
      <c r="F57" s="7" t="n"/>
    </row>
    <row r="58">
      <c r="B58" s="5" t="inlineStr">
        <is>
          <t>Per 50 sqm difference</t>
        </is>
      </c>
      <c r="C58" s="6" t="n"/>
      <c r="D58" s="7" t="n"/>
      <c r="E58" s="24" t="inlineStr">
        <is>
          <t>±2.0%</t>
        </is>
      </c>
      <c r="F58" s="7" t="n"/>
    </row>
    <row r="60">
      <c r="B60" s="3" t="inlineStr">
        <is>
          <t>8. LIGHT/VENTILATION (Φωτισμός / Αερισμός)</t>
        </is>
      </c>
    </row>
    <row r="61">
      <c r="B61" s="23" t="inlineStr">
        <is>
          <t>Characteristic</t>
        </is>
      </c>
      <c r="C61" s="6" t="n"/>
      <c r="D61" s="7" t="n"/>
      <c r="E61" s="23" t="inlineStr">
        <is>
          <t>Min Adj.</t>
        </is>
      </c>
      <c r="F61" s="7" t="n"/>
    </row>
    <row r="62">
      <c r="B62" s="5" t="inlineStr">
        <is>
          <t>Through apartment (Διαμπερές)</t>
        </is>
      </c>
      <c r="C62" s="6" t="n"/>
      <c r="D62" s="7" t="n"/>
      <c r="E62" s="24" t="inlineStr">
        <is>
          <t>+10%</t>
        </is>
      </c>
      <c r="F62" s="7" t="n"/>
    </row>
    <row r="63">
      <c r="B63" s="5" t="inlineStr">
        <is>
          <t>Corner apartment (Γωνιακό)</t>
        </is>
      </c>
      <c r="C63" s="6" t="n"/>
      <c r="D63" s="7" t="n"/>
      <c r="E63" s="24" t="inlineStr">
        <is>
          <t>+5%</t>
        </is>
      </c>
      <c r="F63" s="7" t="n"/>
    </row>
    <row r="64">
      <c r="B64" s="5" t="inlineStr">
        <is>
          <t>Normal (Front-facing)</t>
        </is>
      </c>
      <c r="C64" s="6" t="n"/>
      <c r="D64" s="7" t="n"/>
      <c r="E64" s="24" t="inlineStr">
        <is>
          <t>0%</t>
        </is>
      </c>
      <c r="F64" s="7" t="n"/>
    </row>
    <row r="65">
      <c r="B65" s="5" t="inlineStr">
        <is>
          <t>Internal/Courtyard (Εσωτερικό)</t>
        </is>
      </c>
      <c r="C65" s="6" t="n"/>
      <c r="D65" s="7" t="n"/>
      <c r="E65" s="24" t="inlineStr">
        <is>
          <t>-10%</t>
        </is>
      </c>
      <c r="F65" s="7" t="n"/>
    </row>
    <row r="67">
      <c r="B67" s="3" t="inlineStr">
        <is>
          <t>9. AMENITIES (Παροχές)</t>
        </is>
      </c>
    </row>
    <row r="68">
      <c r="B68" s="23" t="inlineStr">
        <is>
          <t>Characteristic</t>
        </is>
      </c>
      <c r="C68" s="6" t="n"/>
      <c r="D68" s="7" t="n"/>
      <c r="E68" s="23" t="inlineStr">
        <is>
          <t>Min Adj.</t>
        </is>
      </c>
      <c r="F68" s="7" t="n"/>
    </row>
    <row r="69">
      <c r="B69" s="5" t="inlineStr">
        <is>
          <t>Parking space - Covered</t>
        </is>
      </c>
      <c r="C69" s="6" t="n"/>
      <c r="D69" s="7" t="n"/>
      <c r="E69" s="24" t="inlineStr">
        <is>
          <t>+5%</t>
        </is>
      </c>
      <c r="F69" s="7" t="n"/>
    </row>
    <row r="70">
      <c r="B70" s="5" t="inlineStr">
        <is>
          <t>Parking space - Open/Pilotis</t>
        </is>
      </c>
      <c r="C70" s="6" t="n"/>
      <c r="D70" s="7" t="n"/>
      <c r="E70" s="24" t="inlineStr">
        <is>
          <t>+3%</t>
        </is>
      </c>
      <c r="F70" s="7" t="n"/>
    </row>
    <row r="71">
      <c r="B71" s="5" t="inlineStr">
        <is>
          <t>Storage room</t>
        </is>
      </c>
      <c r="C71" s="6" t="n"/>
      <c r="D71" s="7" t="n"/>
      <c r="E71" s="24" t="inlineStr">
        <is>
          <t>+2%</t>
        </is>
      </c>
      <c r="F71" s="7" t="n"/>
    </row>
    <row r="72">
      <c r="B72" s="5" t="inlineStr">
        <is>
          <t>No elevator (floors 2+)</t>
        </is>
      </c>
      <c r="C72" s="6" t="n"/>
      <c r="D72" s="7" t="n"/>
      <c r="E72" s="24" t="inlineStr">
        <is>
          <t>-5%</t>
        </is>
      </c>
      <c r="F72" s="7" t="n"/>
    </row>
    <row r="73">
      <c r="B73" s="5" t="inlineStr">
        <is>
          <t>Autonomous vs Central heating</t>
        </is>
      </c>
      <c r="C73" s="6" t="n"/>
      <c r="D73" s="7" t="n"/>
      <c r="E73" s="24" t="inlineStr">
        <is>
          <t>+5%</t>
        </is>
      </c>
      <c r="F73" s="7" t="n"/>
    </row>
    <row r="74">
      <c r="B74" s="5" t="inlineStr">
        <is>
          <t>Air conditioning</t>
        </is>
      </c>
      <c r="C74" s="6" t="n"/>
      <c r="D74" s="7" t="n"/>
      <c r="E74" s="24" t="inlineStr">
        <is>
          <t>+2%</t>
        </is>
      </c>
      <c r="F74" s="7" t="n"/>
    </row>
    <row r="76">
      <c r="B76" s="3" t="inlineStr">
        <is>
          <t>10. TIME ON MARKET (Χρόνος Αγγελίας)</t>
        </is>
      </c>
    </row>
    <row r="77">
      <c r="B77" s="23" t="inlineStr">
        <is>
          <t>Characteristic</t>
        </is>
      </c>
      <c r="C77" s="6" t="n"/>
      <c r="D77" s="7" t="n"/>
      <c r="E77" s="23" t="inlineStr">
        <is>
          <t>Min Adj.</t>
        </is>
      </c>
      <c r="F77" s="7" t="n"/>
    </row>
    <row r="78">
      <c r="B78" s="5" t="inlineStr">
        <is>
          <t>Fresh listing (&lt;3 months)</t>
        </is>
      </c>
      <c r="C78" s="6" t="n"/>
      <c r="D78" s="7" t="n"/>
      <c r="E78" s="24" t="inlineStr">
        <is>
          <t>0%</t>
        </is>
      </c>
      <c r="F78" s="7" t="n"/>
    </row>
    <row r="79">
      <c r="B79" s="5" t="inlineStr">
        <is>
          <t>3-6 months</t>
        </is>
      </c>
      <c r="C79" s="6" t="n"/>
      <c r="D79" s="7" t="n"/>
      <c r="E79" s="24" t="inlineStr">
        <is>
          <t>-2%</t>
        </is>
      </c>
      <c r="F79" s="7" t="n"/>
    </row>
    <row r="80">
      <c r="B80" s="5" t="inlineStr">
        <is>
          <t>6-12 months</t>
        </is>
      </c>
      <c r="C80" s="6" t="n"/>
      <c r="D80" s="7" t="n"/>
      <c r="E80" s="24" t="inlineStr">
        <is>
          <t>-5%</t>
        </is>
      </c>
      <c r="F80" s="7" t="n"/>
    </row>
    <row r="81">
      <c r="B81" s="5" t="inlineStr">
        <is>
          <t>12+ months</t>
        </is>
      </c>
      <c r="C81" s="6" t="n"/>
      <c r="D81" s="7" t="n"/>
      <c r="E81" s="24" t="inlineStr">
        <is>
          <t>-10%</t>
        </is>
      </c>
      <c r="F81" s="7" t="n"/>
    </row>
  </sheetData>
  <mergeCells count="183">
    <mergeCell ref="G21:H21"/>
    <mergeCell ref="B42:D42"/>
    <mergeCell ref="G81:H81"/>
    <mergeCell ref="E62:F62"/>
    <mergeCell ref="B57:D57"/>
    <mergeCell ref="E71:F71"/>
    <mergeCell ref="G71:H71"/>
    <mergeCell ref="E23:F23"/>
    <mergeCell ref="G23:H23"/>
    <mergeCell ref="E8:F8"/>
    <mergeCell ref="E64:F64"/>
    <mergeCell ref="B34:D34"/>
    <mergeCell ref="E79:F79"/>
    <mergeCell ref="E73:F73"/>
    <mergeCell ref="E51:F51"/>
    <mergeCell ref="B37:D37"/>
    <mergeCell ref="E63:F63"/>
    <mergeCell ref="G57:H57"/>
    <mergeCell ref="B30:D30"/>
    <mergeCell ref="B3:H3"/>
    <mergeCell ref="G18:H18"/>
    <mergeCell ref="B6:D6"/>
    <mergeCell ref="E65:F65"/>
    <mergeCell ref="E34:F34"/>
    <mergeCell ref="G34:H34"/>
    <mergeCell ref="B80:D80"/>
    <mergeCell ref="G68:H68"/>
    <mergeCell ref="E49:F49"/>
    <mergeCell ref="G58:H58"/>
    <mergeCell ref="B2:H2"/>
    <mergeCell ref="B62:D62"/>
    <mergeCell ref="B60:H60"/>
    <mergeCell ref="B72:D72"/>
    <mergeCell ref="B56:D56"/>
    <mergeCell ref="E22:F22"/>
    <mergeCell ref="B70:D70"/>
    <mergeCell ref="G22:H22"/>
    <mergeCell ref="B43:D43"/>
    <mergeCell ref="G77:H77"/>
    <mergeCell ref="E55:F55"/>
    <mergeCell ref="B8:D8"/>
    <mergeCell ref="B17:D17"/>
    <mergeCell ref="B73:D73"/>
    <mergeCell ref="E14:F14"/>
    <mergeCell ref="G61:H61"/>
    <mergeCell ref="E48:F48"/>
    <mergeCell ref="G70:H70"/>
    <mergeCell ref="G48:H48"/>
    <mergeCell ref="B10:D10"/>
    <mergeCell ref="E38:F38"/>
    <mergeCell ref="G7:H7"/>
    <mergeCell ref="G38:H38"/>
    <mergeCell ref="B9:D9"/>
    <mergeCell ref="B74:D74"/>
    <mergeCell ref="B54:H54"/>
    <mergeCell ref="B68:D68"/>
    <mergeCell ref="G62:H62"/>
    <mergeCell ref="E40:F40"/>
    <mergeCell ref="G49:H49"/>
    <mergeCell ref="G24:H24"/>
    <mergeCell ref="B45:D45"/>
    <mergeCell ref="G33:H33"/>
    <mergeCell ref="G65:H65"/>
    <mergeCell ref="E26:F26"/>
    <mergeCell ref="G26:H26"/>
    <mergeCell ref="E16:F16"/>
    <mergeCell ref="B31:D31"/>
    <mergeCell ref="G16:H16"/>
    <mergeCell ref="E25:F25"/>
    <mergeCell ref="G25:H25"/>
    <mergeCell ref="B21:D21"/>
    <mergeCell ref="G9:H9"/>
    <mergeCell ref="E18:F18"/>
    <mergeCell ref="B39:D39"/>
    <mergeCell ref="E58:F58"/>
    <mergeCell ref="B48:D48"/>
    <mergeCell ref="B28:H28"/>
    <mergeCell ref="E50:F50"/>
    <mergeCell ref="B14:D14"/>
    <mergeCell ref="B23:D23"/>
    <mergeCell ref="E68:F68"/>
    <mergeCell ref="G42:H42"/>
    <mergeCell ref="B13:D13"/>
    <mergeCell ref="E52:F52"/>
    <mergeCell ref="B78:D78"/>
    <mergeCell ref="B5:H5"/>
    <mergeCell ref="B20:H20"/>
    <mergeCell ref="E39:F39"/>
    <mergeCell ref="B76:H76"/>
    <mergeCell ref="G39:H39"/>
    <mergeCell ref="E29:F29"/>
    <mergeCell ref="B49:D49"/>
    <mergeCell ref="G37:H37"/>
    <mergeCell ref="B47:H47"/>
    <mergeCell ref="E13:F13"/>
    <mergeCell ref="B65:D65"/>
    <mergeCell ref="E69:F69"/>
    <mergeCell ref="G13:H13"/>
    <mergeCell ref="G69:H69"/>
    <mergeCell ref="E78:F78"/>
    <mergeCell ref="E31:F31"/>
    <mergeCell ref="B51:D51"/>
    <mergeCell ref="G78:H78"/>
    <mergeCell ref="E6:F6"/>
    <mergeCell ref="E77:F77"/>
    <mergeCell ref="E15:F15"/>
    <mergeCell ref="B63:D63"/>
    <mergeCell ref="B41:D41"/>
    <mergeCell ref="G15:H15"/>
    <mergeCell ref="E80:F80"/>
    <mergeCell ref="B50:D50"/>
    <mergeCell ref="G80:H80"/>
    <mergeCell ref="E61:F61"/>
    <mergeCell ref="B25:D25"/>
    <mergeCell ref="E70:F70"/>
    <mergeCell ref="G64:H64"/>
    <mergeCell ref="G79:H79"/>
    <mergeCell ref="E57:F57"/>
    <mergeCell ref="G73:H73"/>
    <mergeCell ref="G51:H51"/>
    <mergeCell ref="E32:F32"/>
    <mergeCell ref="E7:F7"/>
    <mergeCell ref="E72:F72"/>
    <mergeCell ref="B22:D22"/>
    <mergeCell ref="G32:H32"/>
    <mergeCell ref="E41:F41"/>
    <mergeCell ref="G63:H63"/>
    <mergeCell ref="G41:H41"/>
    <mergeCell ref="E81:F81"/>
    <mergeCell ref="G50:H50"/>
    <mergeCell ref="B77:D77"/>
    <mergeCell ref="E56:F56"/>
    <mergeCell ref="G56:H56"/>
    <mergeCell ref="E43:F43"/>
    <mergeCell ref="G43:H43"/>
    <mergeCell ref="G52:H52"/>
    <mergeCell ref="E24:F24"/>
    <mergeCell ref="B61:D61"/>
    <mergeCell ref="E33:F33"/>
    <mergeCell ref="E42:F42"/>
    <mergeCell ref="G8:H8"/>
    <mergeCell ref="E17:F17"/>
    <mergeCell ref="B29:D29"/>
    <mergeCell ref="B69:D69"/>
    <mergeCell ref="G17:H17"/>
    <mergeCell ref="B38:D38"/>
    <mergeCell ref="B36:H36"/>
    <mergeCell ref="E10:F10"/>
    <mergeCell ref="G10:H10"/>
    <mergeCell ref="B40:D40"/>
    <mergeCell ref="G6:H6"/>
    <mergeCell ref="B15:D15"/>
    <mergeCell ref="E9:F9"/>
    <mergeCell ref="B55:D55"/>
    <mergeCell ref="B24:D24"/>
    <mergeCell ref="E74:F74"/>
    <mergeCell ref="B64:D64"/>
    <mergeCell ref="G74:H74"/>
    <mergeCell ref="B33:D33"/>
    <mergeCell ref="E30:F30"/>
    <mergeCell ref="G30:H30"/>
    <mergeCell ref="B79:D79"/>
    <mergeCell ref="B32:D32"/>
    <mergeCell ref="B12:H12"/>
    <mergeCell ref="B26:D26"/>
    <mergeCell ref="E45:F45"/>
    <mergeCell ref="G14:H14"/>
    <mergeCell ref="G45:H45"/>
    <mergeCell ref="B7:D7"/>
    <mergeCell ref="B67:H67"/>
    <mergeCell ref="B16:D16"/>
    <mergeCell ref="B81:D81"/>
    <mergeCell ref="G55:H55"/>
    <mergeCell ref="G29:H29"/>
    <mergeCell ref="B71:D71"/>
    <mergeCell ref="B18:D18"/>
    <mergeCell ref="E37:F37"/>
    <mergeCell ref="B58:D58"/>
    <mergeCell ref="G31:H31"/>
    <mergeCell ref="B52:D52"/>
    <mergeCell ref="G40:H40"/>
    <mergeCell ref="E21:F21"/>
    <mergeCell ref="G72:H7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T18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8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2">
      <c r="B2" s="1" t="inlineStr">
        <is>
          <t>COMPARATIVE ANALYSIS - ADJUSTMENT SCHEDULE</t>
        </is>
      </c>
    </row>
    <row r="3">
      <c r="B3" s="2" t="inlineStr">
        <is>
          <t>Αναγωγές Συγκριτικών Στοιχείων - Greek Residential Comparative Method</t>
        </is>
      </c>
    </row>
    <row r="5">
      <c r="B5" s="25" t="inlineStr">
        <is>
          <t>Instructions: (1) Select comparables from sheet 2, (2) Enter adjustments for each category, (3) System calculates adjusted value</t>
        </is>
      </c>
    </row>
    <row r="7">
      <c r="B7" s="26" t="inlineStr">
        <is>
          <t>SUBJECT PROPERTY:</t>
        </is>
      </c>
      <c r="C7">
        <f>'1. Subject Property'!C7</f>
        <v/>
      </c>
      <c r="G7" s="26" t="inlineStr">
        <is>
          <t>Weighted Area:</t>
        </is>
      </c>
      <c r="H7" s="27">
        <f>'1. Subject Property'!E35</f>
        <v/>
      </c>
    </row>
    <row r="9">
      <c r="B9" s="28" t="inlineStr">
        <is>
          <t>Comparable</t>
        </is>
      </c>
      <c r="C9" s="7" t="n"/>
      <c r="D9" s="28" t="inlineStr">
        <is>
          <t>Location</t>
        </is>
      </c>
      <c r="E9" s="7" t="n"/>
      <c r="F9" s="28" t="inlineStr">
        <is>
          <t>Asking
Price (€)</t>
        </is>
      </c>
      <c r="G9" s="28" t="inlineStr">
        <is>
          <t>Weight.
Area</t>
        </is>
      </c>
      <c r="H9" s="28" t="inlineStr">
        <is>
          <t>€/sqm
Asked</t>
        </is>
      </c>
      <c r="I9" s="28" t="inlineStr">
        <is>
          <t>Trans.
Type</t>
        </is>
      </c>
      <c r="J9" s="28" t="inlineStr">
        <is>
          <t>Location</t>
        </is>
      </c>
      <c r="K9" s="28" t="inlineStr">
        <is>
          <t>Access</t>
        </is>
      </c>
      <c r="L9" s="28" t="inlineStr">
        <is>
          <t>Views</t>
        </is>
      </c>
      <c r="M9" s="28" t="inlineStr">
        <is>
          <t>Age/
Cond.</t>
        </is>
      </c>
      <c r="N9" s="28" t="inlineStr">
        <is>
          <t>Floor</t>
        </is>
      </c>
      <c r="O9" s="28" t="inlineStr">
        <is>
          <t>Area
Size</t>
        </is>
      </c>
      <c r="P9" s="28" t="inlineStr">
        <is>
          <t>Light/
Vent</t>
        </is>
      </c>
      <c r="Q9" s="28" t="inlineStr">
        <is>
          <t>Amen.</t>
        </is>
      </c>
      <c r="R9" s="28" t="inlineStr">
        <is>
          <t>Time</t>
        </is>
      </c>
      <c r="S9" s="28" t="inlineStr">
        <is>
          <t>Adj.
€/sqm</t>
        </is>
      </c>
      <c r="T9" s="28" t="inlineStr">
        <is>
          <t>Weight</t>
        </is>
      </c>
    </row>
    <row r="10">
      <c r="B10" s="5">
        <f>'2. Comparables'!B7</f>
        <v/>
      </c>
      <c r="C10" s="7" t="n"/>
      <c r="D10" s="5">
        <f>'2. Comparables'!C7</f>
        <v/>
      </c>
      <c r="E10" s="7" t="n"/>
      <c r="F10" s="29">
        <f>'2. Comparables'!E7</f>
        <v/>
      </c>
      <c r="G10" s="11">
        <f>'2. Comparables'!O7</f>
        <v/>
      </c>
      <c r="H10" s="29">
        <f>'2. Comparables'!P7</f>
        <v/>
      </c>
      <c r="I10" s="30" t="n">
        <v>0</v>
      </c>
      <c r="J10" s="30" t="n">
        <v>0</v>
      </c>
      <c r="K10" s="30" t="n">
        <v>0</v>
      </c>
      <c r="L10" s="30" t="n">
        <v>0</v>
      </c>
      <c r="M10" s="30" t="n">
        <v>0</v>
      </c>
      <c r="N10" s="30" t="n">
        <v>0</v>
      </c>
      <c r="O10" s="30" t="n">
        <v>0</v>
      </c>
      <c r="P10" s="30" t="n">
        <v>0</v>
      </c>
      <c r="Q10" s="30" t="n">
        <v>0</v>
      </c>
      <c r="R10" s="30" t="n">
        <v>0</v>
      </c>
      <c r="S10" s="31">
        <f>H10*(1+SUM(I10:R10))</f>
        <v/>
      </c>
      <c r="T10" s="32" t="n">
        <v>0.2</v>
      </c>
    </row>
    <row r="11">
      <c r="B11" s="5">
        <f>'2. Comparables'!B8</f>
        <v/>
      </c>
      <c r="C11" s="7" t="n"/>
      <c r="D11" s="5">
        <f>'2. Comparables'!C8</f>
        <v/>
      </c>
      <c r="E11" s="7" t="n"/>
      <c r="F11" s="29">
        <f>'2. Comparables'!E8</f>
        <v/>
      </c>
      <c r="G11" s="11">
        <f>'2. Comparables'!O8</f>
        <v/>
      </c>
      <c r="H11" s="29">
        <f>'2. Comparables'!P8</f>
        <v/>
      </c>
      <c r="I11" s="30" t="inlineStr"/>
      <c r="J11" s="30" t="inlineStr"/>
      <c r="K11" s="30" t="inlineStr"/>
      <c r="L11" s="30" t="inlineStr"/>
      <c r="M11" s="30" t="inlineStr"/>
      <c r="N11" s="30" t="inlineStr"/>
      <c r="O11" s="30" t="inlineStr"/>
      <c r="P11" s="30" t="inlineStr"/>
      <c r="Q11" s="30" t="inlineStr"/>
      <c r="R11" s="30" t="inlineStr"/>
      <c r="S11" s="31">
        <f>H11*(1+SUM(I11:R11))</f>
        <v/>
      </c>
      <c r="T11" s="32" t="n">
        <v>0.2</v>
      </c>
    </row>
    <row r="12">
      <c r="B12" s="5">
        <f>'2. Comparables'!B9</f>
        <v/>
      </c>
      <c r="C12" s="7" t="n"/>
      <c r="D12" s="5">
        <f>'2. Comparables'!C9</f>
        <v/>
      </c>
      <c r="E12" s="7" t="n"/>
      <c r="F12" s="29">
        <f>'2. Comparables'!E9</f>
        <v/>
      </c>
      <c r="G12" s="11">
        <f>'2. Comparables'!O9</f>
        <v/>
      </c>
      <c r="H12" s="29">
        <f>'2. Comparables'!P9</f>
        <v/>
      </c>
      <c r="I12" s="30" t="inlineStr"/>
      <c r="J12" s="30" t="inlineStr"/>
      <c r="K12" s="30" t="inlineStr"/>
      <c r="L12" s="30" t="inlineStr"/>
      <c r="M12" s="30" t="inlineStr"/>
      <c r="N12" s="30" t="inlineStr"/>
      <c r="O12" s="30" t="inlineStr"/>
      <c r="P12" s="30" t="inlineStr"/>
      <c r="Q12" s="30" t="inlineStr"/>
      <c r="R12" s="30" t="inlineStr"/>
      <c r="S12" s="31">
        <f>H12*(1+SUM(I12:R12))</f>
        <v/>
      </c>
      <c r="T12" s="32" t="n">
        <v>0.2</v>
      </c>
    </row>
    <row r="13">
      <c r="B13" s="5">
        <f>'2. Comparables'!B10</f>
        <v/>
      </c>
      <c r="C13" s="7" t="n"/>
      <c r="D13" s="5">
        <f>'2. Comparables'!C10</f>
        <v/>
      </c>
      <c r="E13" s="7" t="n"/>
      <c r="F13" s="29">
        <f>'2. Comparables'!E10</f>
        <v/>
      </c>
      <c r="G13" s="11">
        <f>'2. Comparables'!O10</f>
        <v/>
      </c>
      <c r="H13" s="29">
        <f>'2. Comparables'!P10</f>
        <v/>
      </c>
      <c r="I13" s="30" t="inlineStr"/>
      <c r="J13" s="30" t="inlineStr"/>
      <c r="K13" s="30" t="inlineStr"/>
      <c r="L13" s="30" t="inlineStr"/>
      <c r="M13" s="30" t="inlineStr"/>
      <c r="N13" s="30" t="inlineStr"/>
      <c r="O13" s="30" t="inlineStr"/>
      <c r="P13" s="30" t="inlineStr"/>
      <c r="Q13" s="30" t="inlineStr"/>
      <c r="R13" s="30" t="inlineStr"/>
      <c r="S13" s="31">
        <f>H13*(1+SUM(I13:R13))</f>
        <v/>
      </c>
      <c r="T13" s="32" t="n">
        <v>0.2</v>
      </c>
    </row>
    <row r="14">
      <c r="B14" s="5">
        <f>'2. Comparables'!B11</f>
        <v/>
      </c>
      <c r="C14" s="7" t="n"/>
      <c r="D14" s="5">
        <f>'2. Comparables'!C11</f>
        <v/>
      </c>
      <c r="E14" s="7" t="n"/>
      <c r="F14" s="29">
        <f>'2. Comparables'!E11</f>
        <v/>
      </c>
      <c r="G14" s="11">
        <f>'2. Comparables'!O11</f>
        <v/>
      </c>
      <c r="H14" s="29">
        <f>'2. Comparables'!P11</f>
        <v/>
      </c>
      <c r="I14" s="30" t="inlineStr"/>
      <c r="J14" s="30" t="inlineStr"/>
      <c r="K14" s="30" t="inlineStr"/>
      <c r="L14" s="30" t="inlineStr"/>
      <c r="M14" s="30" t="inlineStr"/>
      <c r="N14" s="30" t="inlineStr"/>
      <c r="O14" s="30" t="inlineStr"/>
      <c r="P14" s="30" t="inlineStr"/>
      <c r="Q14" s="30" t="inlineStr"/>
      <c r="R14" s="30" t="inlineStr"/>
      <c r="S14" s="31">
        <f>H14*(1+SUM(I14:R14))</f>
        <v/>
      </c>
      <c r="T14" s="32" t="n">
        <v>0.2</v>
      </c>
    </row>
    <row r="16">
      <c r="B16" s="33" t="inlineStr">
        <is>
          <t>WEIGHTED AVERAGE VALUE</t>
        </is>
      </c>
      <c r="S16" s="34">
        <f>SUMPRODUCT(S11:S15,T11:T15)</f>
        <v/>
      </c>
      <c r="T16" s="35">
        <f>SUM(T11:T15)</f>
        <v/>
      </c>
    </row>
    <row r="18">
      <c r="B18" s="36" t="inlineStr">
        <is>
          <t>ESTIMATED MARKET VALUE (per Comparative Method):</t>
        </is>
      </c>
      <c r="R18" s="37">
        <f>S16*'1. Subject Property'!E35</f>
        <v/>
      </c>
      <c r="S18" s="6" t="n"/>
      <c r="T18" s="7" t="n"/>
    </row>
  </sheetData>
  <mergeCells count="18">
    <mergeCell ref="B13:C13"/>
    <mergeCell ref="B3:T3"/>
    <mergeCell ref="B5:T5"/>
    <mergeCell ref="D10:E10"/>
    <mergeCell ref="B11:C11"/>
    <mergeCell ref="D11:E11"/>
    <mergeCell ref="D13:E13"/>
    <mergeCell ref="B18:Q18"/>
    <mergeCell ref="B10:C10"/>
    <mergeCell ref="R18:T18"/>
    <mergeCell ref="B16:R16"/>
    <mergeCell ref="D14:E14"/>
    <mergeCell ref="B14:C14"/>
    <mergeCell ref="B9:C9"/>
    <mergeCell ref="D9:E9"/>
    <mergeCell ref="B2:T2"/>
    <mergeCell ref="D12:E1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2025-12-30T09:31:39Z</dcterms:created>
  <dcterms:modified xmlns:dcterms="http://purl.org/dc/terms/" xmlns:xsi="http://www.w3.org/2001/XMLSchema-instance" xsi:type="dcterms:W3CDTF">2025-12-30T09:34:54Z</dcterms:modified>
</cp:coreProperties>
</file>