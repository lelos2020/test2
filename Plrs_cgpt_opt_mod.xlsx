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aris_Base" sheetId="1" state="visible" r:id="rId1"/>
    <sheet xmlns:r="http://schemas.openxmlformats.org/officeDocument/2006/relationships" name="Proposed_AE_X" sheetId="2" state="visible" r:id="rId2"/>
    <sheet xmlns:r="http://schemas.openxmlformats.org/officeDocument/2006/relationships" name="Prefunding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0"/>
    <numFmt numFmtId="166" formatCode="0.0000"/>
    <numFmt numFmtId="167" formatCode="0.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0000FF"/>
    </font>
    <font>
      <b val="1"/>
    </font>
    <font>
      <color rgb="00000000"/>
    </font>
    <font>
      <color rgb="000000FF"/>
    </font>
    <font>
      <b val="1"/>
      <color rgb="00000000"/>
    </font>
    <font>
      <color rgb="0040404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8F0FE"/>
      </patternFill>
    </fill>
  </fills>
  <borders count="6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/>
      <right/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 style="thin">
        <color rgb="00A0A0A0"/>
      </bottom>
      <diagonal/>
    </border>
    <border>
      <left/>
      <right/>
      <top style="thin">
        <color rgb="00A0A0A0"/>
      </top>
      <bottom style="thin">
        <color rgb="00A0A0A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0" borderId="0" pivotButton="0" quotePrefix="0" xfId="0"/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0" fillId="0" borderId="5" pivotButton="0" quotePrefix="0" xfId="0"/>
    <xf numFmtId="4" fontId="5" fillId="3" borderId="1" applyAlignment="1" pivotButton="0" quotePrefix="0" xfId="0">
      <alignment horizontal="right" vertical="center"/>
    </xf>
    <xf numFmtId="9" fontId="5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4" customWidth="1" min="9" max="9"/>
    <col width="8" customWidth="1" min="10" max="10"/>
  </cols>
  <sheetData>
    <row r="1">
      <c r="A1" s="1" t="inlineStr">
        <is>
          <t>Polaris 2025-3 – Baseline capital structure vs WAFF×WALS (S&amp;P)</t>
        </is>
      </c>
    </row>
    <row r="3">
      <c r="A3" s="2" t="inlineStr">
        <is>
          <t>INPUTS (blue)</t>
        </is>
      </c>
    </row>
    <row r="5">
      <c r="A5" s="3" t="inlineStr">
        <is>
          <t>Class</t>
        </is>
      </c>
      <c r="B5" s="3" t="inlineStr">
        <is>
          <t>Rating (S&amp;P)</t>
        </is>
      </c>
      <c r="C5" s="3" t="inlineStr">
        <is>
          <t>Amount (£m)</t>
        </is>
      </c>
      <c r="D5" s="3" t="inlineStr">
        <is>
          <t>Margin (bp)</t>
        </is>
      </c>
      <c r="E5" s="3" t="inlineStr">
        <is>
          <t>S&amp;P CE (%)</t>
        </is>
      </c>
      <c r="F5" s="3" t="inlineStr">
        <is>
          <t>Calc CE (%)</t>
        </is>
      </c>
      <c r="G5" s="3" t="inlineStr">
        <is>
          <t>WAFF×WALS credit coverage (%)</t>
        </is>
      </c>
      <c r="H5" s="3" t="inlineStr">
        <is>
          <t>Headroom (CE - coverage) (%)</t>
        </is>
      </c>
      <c r="I5" s="3" t="inlineStr">
        <is>
          <t>Headroom (£m)</t>
        </is>
      </c>
    </row>
    <row r="6">
      <c r="A6" s="4" t="inlineStr">
        <is>
          <t>A</t>
        </is>
      </c>
      <c r="B6" s="4" t="inlineStr">
        <is>
          <t>AAA (sf)</t>
        </is>
      </c>
      <c r="C6" s="5" t="n">
        <v>377.325</v>
      </c>
      <c r="D6" s="6" t="n">
        <v>0.82</v>
      </c>
      <c r="E6" s="6" t="n">
        <v>12.25</v>
      </c>
      <c r="F6" s="7">
        <f>SUM(C7:C12)/C13*100</f>
        <v/>
      </c>
      <c r="G6" s="7">
        <f>IF(J6="","",VLOOKUP(J6,$A$17:$E$22,4,FALSE))</f>
        <v/>
      </c>
      <c r="H6" s="7">
        <f>IF(G6="","",F6-G6)</f>
        <v/>
      </c>
      <c r="I6" s="8">
        <f>IF(H6="","",H6/100*C13)</f>
        <v/>
      </c>
      <c r="J6" t="inlineStr">
        <is>
          <t>AAA</t>
        </is>
      </c>
    </row>
    <row r="7">
      <c r="A7" s="4" t="inlineStr">
        <is>
          <t>B-Dfrd</t>
        </is>
      </c>
      <c r="B7" s="4" t="inlineStr">
        <is>
          <t>AA (sf)</t>
        </is>
      </c>
      <c r="C7" s="5" t="n">
        <v>23.65</v>
      </c>
      <c r="D7" s="6" t="n">
        <v>1.1</v>
      </c>
      <c r="E7" s="6" t="n">
        <v>6.75</v>
      </c>
      <c r="F7" s="7">
        <f>SUM(C8:C12)/C13*100</f>
        <v/>
      </c>
      <c r="G7" s="7">
        <f>IF(J7="","",VLOOKUP(J7,$A$17:$E$22,4,FALSE))</f>
        <v/>
      </c>
      <c r="H7" s="7">
        <f>IF(G7="","",F7-G7)</f>
        <v/>
      </c>
      <c r="I7" s="8">
        <f>IF(H7="","",H7/100*C13)</f>
        <v/>
      </c>
      <c r="J7" t="inlineStr">
        <is>
          <t>AA</t>
        </is>
      </c>
    </row>
    <row r="8">
      <c r="A8" s="4" t="inlineStr">
        <is>
          <t>C-Dfrd</t>
        </is>
      </c>
      <c r="B8" s="4" t="inlineStr">
        <is>
          <t>A- (sf)</t>
        </is>
      </c>
      <c r="C8" s="5" t="n">
        <v>13.975</v>
      </c>
      <c r="D8" s="6" t="n">
        <v>1.4</v>
      </c>
      <c r="E8" s="6" t="n">
        <v>3.5</v>
      </c>
      <c r="F8" s="7">
        <f>SUM(C9:C12)/C13*100</f>
        <v/>
      </c>
      <c r="G8" s="7">
        <f>IF(J8="","",VLOOKUP(J8,$A$17:$E$22,4,FALSE))</f>
        <v/>
      </c>
      <c r="H8" s="7">
        <f>IF(G8="","",F8-G8)</f>
        <v/>
      </c>
      <c r="I8" s="8">
        <f>IF(H8="","",H8/100*C13)</f>
        <v/>
      </c>
      <c r="J8" t="inlineStr">
        <is>
          <t>A</t>
        </is>
      </c>
    </row>
    <row r="9">
      <c r="A9" s="4" t="inlineStr">
        <is>
          <t>D-Dfrd</t>
        </is>
      </c>
      <c r="B9" s="4" t="inlineStr">
        <is>
          <t>BBB- (sf)</t>
        </is>
      </c>
      <c r="C9" s="5" t="n">
        <v>7.525</v>
      </c>
      <c r="D9" s="6" t="n">
        <v>1.65</v>
      </c>
      <c r="E9" s="6" t="n">
        <v>1.75</v>
      </c>
      <c r="F9" s="7">
        <f>SUM(C10:C12)/C13*100</f>
        <v/>
      </c>
      <c r="G9" s="7">
        <f>IF(J9="","",VLOOKUP(J9,$A$17:$E$22,4,FALSE))</f>
        <v/>
      </c>
      <c r="H9" s="7">
        <f>IF(G9="","",F9-G9)</f>
        <v/>
      </c>
      <c r="I9" s="8">
        <f>IF(H9="","",H9/100*C13)</f>
        <v/>
      </c>
      <c r="J9" t="inlineStr">
        <is>
          <t>BBB</t>
        </is>
      </c>
    </row>
    <row r="10">
      <c r="A10" s="4" t="inlineStr">
        <is>
          <t>E-Dfrd</t>
        </is>
      </c>
      <c r="B10" s="4" t="inlineStr">
        <is>
          <t>BB+ (sf)</t>
        </is>
      </c>
      <c r="C10" s="5" t="n">
        <v>3.225</v>
      </c>
      <c r="D10" s="6" t="n">
        <v>2.48</v>
      </c>
      <c r="E10" s="6" t="n">
        <v>1</v>
      </c>
      <c r="F10" s="7">
        <f>SUM(C11:C12)/C13*100</f>
        <v/>
      </c>
      <c r="G10" s="7">
        <f>IF(J10="","",VLOOKUP(J10,$A$17:$E$22,4,FALSE))</f>
        <v/>
      </c>
      <c r="H10" s="7">
        <f>IF(G10="","",F10-G10)</f>
        <v/>
      </c>
      <c r="I10" s="8">
        <f>IF(H10="","",H10/100*C13)</f>
        <v/>
      </c>
      <c r="J10" t="inlineStr">
        <is>
          <t>BB</t>
        </is>
      </c>
    </row>
    <row r="11">
      <c r="A11" s="4" t="inlineStr">
        <is>
          <t>F-Dfrd</t>
        </is>
      </c>
      <c r="B11" s="4" t="inlineStr">
        <is>
          <t>B- (sf)</t>
        </is>
      </c>
      <c r="C11" s="5" t="n">
        <v>3.44</v>
      </c>
      <c r="D11" s="6" t="n">
        <v>3.98</v>
      </c>
      <c r="E11" s="6" t="n">
        <v>0.2</v>
      </c>
      <c r="F11" s="7">
        <f>SUM(C12:C12)/C13*100</f>
        <v/>
      </c>
      <c r="G11" s="7">
        <f>IF(J11="","",VLOOKUP(J11,$A$17:$E$22,4,FALSE))</f>
        <v/>
      </c>
      <c r="H11" s="7">
        <f>IF(G11="","",F11-G11)</f>
        <v/>
      </c>
      <c r="I11" s="8">
        <f>IF(H11="","",H11/100*C13)</f>
        <v/>
      </c>
      <c r="J11" t="inlineStr">
        <is>
          <t>B</t>
        </is>
      </c>
    </row>
    <row r="12">
      <c r="A12" s="4" t="inlineStr">
        <is>
          <t>G-Dfrd</t>
        </is>
      </c>
      <c r="B12" s="4" t="inlineStr">
        <is>
          <t>CCC (sf)</t>
        </is>
      </c>
      <c r="C12" s="5" t="n">
        <v>0.86</v>
      </c>
      <c r="D12" s="6" t="n">
        <v>5.48</v>
      </c>
      <c r="E12" s="6" t="n">
        <v>0</v>
      </c>
      <c r="F12" s="7">
        <f>0</f>
        <v/>
      </c>
      <c r="G12" s="7">
        <f>IF(J12="","",VLOOKUP(J12,$A$17:$E$22,4,FALSE))</f>
        <v/>
      </c>
      <c r="H12" s="7">
        <f>IF(G12="","",F12-G12)</f>
        <v/>
      </c>
      <c r="I12" s="8">
        <f>IF(H12="","",H12/100*C13)</f>
        <v/>
      </c>
      <c r="J12" t="inlineStr"/>
    </row>
    <row r="13">
      <c r="A13" s="9" t="inlineStr">
        <is>
          <t>Total A–G</t>
        </is>
      </c>
      <c r="B13" s="10" t="n"/>
      <c r="C13" s="11">
        <f>SUM(C6:C12)</f>
        <v/>
      </c>
      <c r="D13" s="12" t="inlineStr"/>
      <c r="E13" s="12" t="inlineStr"/>
      <c r="F13" s="12" t="inlineStr"/>
      <c r="G13" s="12" t="inlineStr"/>
      <c r="H13" s="12" t="inlineStr"/>
      <c r="I13" s="12" t="inlineStr"/>
    </row>
    <row r="15">
      <c r="A15" s="13" t="inlineStr">
        <is>
          <t>S&amp;P Table 3 – WAFF/WALS (inputs)</t>
        </is>
      </c>
    </row>
    <row r="16">
      <c r="A16" s="3" t="inlineStr">
        <is>
          <t>Rating level</t>
        </is>
      </c>
      <c r="B16" s="3" t="inlineStr">
        <is>
          <t>WAFF (%)</t>
        </is>
      </c>
      <c r="C16" s="3" t="inlineStr">
        <is>
          <t>WALS (%)</t>
        </is>
      </c>
      <c r="D16" s="3" t="inlineStr">
        <is>
          <t>Credit coverage (%)</t>
        </is>
      </c>
      <c r="E16" s="3" t="inlineStr">
        <is>
          <t>Credit coverage (decimal)</t>
        </is>
      </c>
    </row>
    <row r="17">
      <c r="A17" s="4" t="inlineStr">
        <is>
          <t>AAA</t>
        </is>
      </c>
      <c r="B17" s="6" t="n">
        <v>30.82</v>
      </c>
      <c r="C17" s="6" t="n">
        <v>35.3</v>
      </c>
      <c r="D17" s="6" t="n">
        <v>10.88</v>
      </c>
      <c r="E17" s="14">
        <f>D17/100</f>
        <v/>
      </c>
    </row>
    <row r="18">
      <c r="A18" s="4" t="inlineStr">
        <is>
          <t>AA</t>
        </is>
      </c>
      <c r="B18" s="6" t="n">
        <v>20.67</v>
      </c>
      <c r="C18" s="6" t="n">
        <v>30.12</v>
      </c>
      <c r="D18" s="6" t="n">
        <v>6.23</v>
      </c>
      <c r="E18" s="14">
        <f>D18/100</f>
        <v/>
      </c>
    </row>
    <row r="19">
      <c r="A19" s="4" t="inlineStr">
        <is>
          <t>A</t>
        </is>
      </c>
      <c r="B19" s="6" t="n">
        <v>15.52</v>
      </c>
      <c r="C19" s="6" t="n">
        <v>21.8</v>
      </c>
      <c r="D19" s="6" t="n">
        <v>3.38</v>
      </c>
      <c r="E19" s="14">
        <f>D19/100</f>
        <v/>
      </c>
    </row>
    <row r="20">
      <c r="A20" s="4" t="inlineStr">
        <is>
          <t>BBB</t>
        </is>
      </c>
      <c r="B20" s="6" t="n">
        <v>10.35</v>
      </c>
      <c r="C20" s="6" t="n">
        <v>17.24</v>
      </c>
      <c r="D20" s="6" t="n">
        <v>1.78</v>
      </c>
      <c r="E20" s="14">
        <f>D20/100</f>
        <v/>
      </c>
    </row>
    <row r="21">
      <c r="A21" s="4" t="inlineStr">
        <is>
          <t>BB</t>
        </is>
      </c>
      <c r="B21" s="6" t="n">
        <v>5.17</v>
      </c>
      <c r="C21" s="6" t="n">
        <v>14.08</v>
      </c>
      <c r="D21" s="6" t="n">
        <v>0.73</v>
      </c>
      <c r="E21" s="14">
        <f>D21/100</f>
        <v/>
      </c>
    </row>
    <row r="22">
      <c r="A22" s="4" t="inlineStr">
        <is>
          <t>B</t>
        </is>
      </c>
      <c r="B22" s="6" t="n">
        <v>3.88</v>
      </c>
      <c r="C22" s="6" t="n">
        <v>11.28</v>
      </c>
      <c r="D22" s="6" t="n">
        <v>0.44</v>
      </c>
      <c r="E22" s="14">
        <f>D22/100</f>
        <v/>
      </c>
    </row>
    <row r="25">
      <c r="A25" s="13" t="inlineStr">
        <is>
          <t>Other classes (not in A–G CE denominator)</t>
        </is>
      </c>
    </row>
    <row r="26">
      <c r="A26" s="3" t="inlineStr">
        <is>
          <t>Class</t>
        </is>
      </c>
      <c r="B26" s="3" t="inlineStr">
        <is>
          <t>Rating (S&amp;P)</t>
        </is>
      </c>
      <c r="C26" s="3" t="inlineStr">
        <is>
          <t>Amount (£m)</t>
        </is>
      </c>
      <c r="D26" s="3" t="inlineStr">
        <is>
          <t>Margin (bp)</t>
        </is>
      </c>
      <c r="E26" s="3" t="inlineStr">
        <is>
          <t>S&amp;P CE (%)</t>
        </is>
      </c>
      <c r="F26" s="3" t="inlineStr">
        <is>
          <t>Included in A–G CE?</t>
        </is>
      </c>
      <c r="G26" s="3" t="inlineStr">
        <is>
          <t>Notes</t>
        </is>
      </c>
    </row>
    <row r="27">
      <c r="A27" s="4" t="inlineStr">
        <is>
          <t>X1-Dfrd</t>
        </is>
      </c>
      <c r="B27" s="4" t="inlineStr">
        <is>
          <t>B- (sf)</t>
        </is>
      </c>
      <c r="C27" s="5" t="n">
        <v>10.75</v>
      </c>
      <c r="D27" s="6" t="n">
        <v>3.59</v>
      </c>
      <c r="E27" s="6" t="n">
        <v>0</v>
      </c>
      <c r="F27" s="4" t="inlineStr">
        <is>
          <t>No</t>
        </is>
      </c>
      <c r="G27" s="4" t="inlineStr">
        <is>
          <t>Used for structural/tax/equity plumbing (0% CE in S&amp;P table)</t>
        </is>
      </c>
      <c r="H27" s="12" t="inlineStr"/>
      <c r="I27" s="12" t="inlineStr"/>
    </row>
    <row r="28">
      <c r="A28" s="4" t="inlineStr">
        <is>
          <t>X2-Dfrd</t>
        </is>
      </c>
      <c r="B28" s="4" t="inlineStr">
        <is>
          <t>CCC (sf)</t>
        </is>
      </c>
      <c r="C28" s="5" t="n">
        <v>6.45</v>
      </c>
      <c r="D28" s="6" t="n">
        <v>3.59</v>
      </c>
      <c r="E28" s="6" t="n">
        <v>0</v>
      </c>
      <c r="F28" s="4" t="inlineStr">
        <is>
          <t>No</t>
        </is>
      </c>
      <c r="G28" s="4" t="inlineStr">
        <is>
          <t>Used for structural/tax/equity plumbing (0% CE in S&amp;P table)</t>
        </is>
      </c>
      <c r="H28" s="12" t="inlineStr"/>
      <c r="I28" s="12" t="inlineStr"/>
    </row>
  </sheetData>
  <mergeCells count="5">
    <mergeCell ref="A25:I25"/>
    <mergeCell ref="A3:H3"/>
    <mergeCell ref="A15:E15"/>
    <mergeCell ref="A13:B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8" customWidth="1" min="4" max="4"/>
    <col width="18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Proposed optimisation – Notes only to Class E (+ single Class X), replace F/G with Equity</t>
        </is>
      </c>
    </row>
    <row r="3">
      <c r="A3" s="2" t="inlineStr">
        <is>
          <t>INPUTS (blue)</t>
        </is>
      </c>
    </row>
    <row r="5">
      <c r="A5" s="3" t="inlineStr">
        <is>
          <t>Tranche</t>
        </is>
      </c>
      <c r="B5" s="3" t="inlineStr">
        <is>
          <t>Type</t>
        </is>
      </c>
      <c r="C5" s="3" t="inlineStr">
        <is>
          <t>Amount (£m)</t>
        </is>
      </c>
      <c r="D5" s="3" t="inlineStr">
        <is>
          <t>Included in CE denom?</t>
        </is>
      </c>
      <c r="E5" s="3" t="inlineStr">
        <is>
          <t>CE denom amount (£m)</t>
        </is>
      </c>
      <c r="F5" s="3" t="inlineStr">
        <is>
          <t>CE (%) (calc)</t>
        </is>
      </c>
      <c r="G5" s="3" t="inlineStr">
        <is>
          <t>Target CE (%)</t>
        </is>
      </c>
      <c r="H5" s="3" t="inlineStr">
        <is>
          <t>Delta vs target (bp)</t>
        </is>
      </c>
    </row>
    <row r="6">
      <c r="A6" s="4" t="inlineStr">
        <is>
          <t>A</t>
        </is>
      </c>
      <c r="B6" s="4" t="inlineStr">
        <is>
          <t>Note</t>
        </is>
      </c>
      <c r="C6" s="5">
        <f>Polaris_Base!C6</f>
        <v/>
      </c>
      <c r="D6" s="4" t="inlineStr">
        <is>
          <t>Yes</t>
        </is>
      </c>
      <c r="E6" s="11">
        <f>IF(D6="Yes",C6,0)</f>
        <v/>
      </c>
      <c r="F6" s="7">
        <f>SUM(E7:E11)/E13*100</f>
        <v/>
      </c>
      <c r="G6" s="7">
        <f>Polaris_Base!E6</f>
        <v/>
      </c>
      <c r="H6" s="15">
        <f>(F6-G6)*100</f>
        <v/>
      </c>
    </row>
    <row r="7">
      <c r="A7" s="4" t="inlineStr">
        <is>
          <t>B</t>
        </is>
      </c>
      <c r="B7" s="4" t="inlineStr">
        <is>
          <t>Note</t>
        </is>
      </c>
      <c r="C7" s="5">
        <f>Polaris_Base!C7</f>
        <v/>
      </c>
      <c r="D7" s="4" t="inlineStr">
        <is>
          <t>Yes</t>
        </is>
      </c>
      <c r="E7" s="11">
        <f>IF(D7="Yes",C7,0)</f>
        <v/>
      </c>
      <c r="F7" s="7">
        <f>SUM(E8:E11)/E13*100</f>
        <v/>
      </c>
      <c r="G7" s="7">
        <f>Polaris_Base!E7</f>
        <v/>
      </c>
      <c r="H7" s="15">
        <f>(F7-G7)*100</f>
        <v/>
      </c>
    </row>
    <row r="8">
      <c r="A8" s="4" t="inlineStr">
        <is>
          <t>C</t>
        </is>
      </c>
      <c r="B8" s="4" t="inlineStr">
        <is>
          <t>Note</t>
        </is>
      </c>
      <c r="C8" s="5">
        <f>Polaris_Base!C8</f>
        <v/>
      </c>
      <c r="D8" s="4" t="inlineStr">
        <is>
          <t>Yes</t>
        </is>
      </c>
      <c r="E8" s="11">
        <f>IF(D8="Yes",C8,0)</f>
        <v/>
      </c>
      <c r="F8" s="7">
        <f>SUM(E9:E11)/E13*100</f>
        <v/>
      </c>
      <c r="G8" s="7">
        <f>Polaris_Base!E8</f>
        <v/>
      </c>
      <c r="H8" s="15">
        <f>(F8-G8)*100</f>
        <v/>
      </c>
    </row>
    <row r="9">
      <c r="A9" s="4" t="inlineStr">
        <is>
          <t>D</t>
        </is>
      </c>
      <c r="B9" s="4" t="inlineStr">
        <is>
          <t>Note</t>
        </is>
      </c>
      <c r="C9" s="5">
        <f>Polaris_Base!C9</f>
        <v/>
      </c>
      <c r="D9" s="4" t="inlineStr">
        <is>
          <t>Yes</t>
        </is>
      </c>
      <c r="E9" s="11">
        <f>IF(D9="Yes",C9,0)</f>
        <v/>
      </c>
      <c r="F9" s="7">
        <f>SUM(E10:E11)/E13*100</f>
        <v/>
      </c>
      <c r="G9" s="7">
        <f>Polaris_Base!E9</f>
        <v/>
      </c>
      <c r="H9" s="15">
        <f>(F9-G9)*100</f>
        <v/>
      </c>
    </row>
    <row r="10">
      <c r="A10" s="4" t="inlineStr">
        <is>
          <t>E</t>
        </is>
      </c>
      <c r="B10" s="4" t="inlineStr">
        <is>
          <t>Note</t>
        </is>
      </c>
      <c r="C10" s="5">
        <f>Polaris_Base!C10</f>
        <v/>
      </c>
      <c r="D10" s="4" t="inlineStr">
        <is>
          <t>Yes</t>
        </is>
      </c>
      <c r="E10" s="11">
        <f>IF(D10="Yes",C10,0)</f>
        <v/>
      </c>
      <c r="F10" s="7">
        <f>SUM(E11:E11)/E13*100</f>
        <v/>
      </c>
      <c r="G10" s="7">
        <f>Polaris_Base!E10</f>
        <v/>
      </c>
      <c r="H10" s="15">
        <f>(F10-G10)*100</f>
        <v/>
      </c>
    </row>
    <row r="11">
      <c r="A11" s="4" t="inlineStr">
        <is>
          <t>Equity tail (replaces F+G)</t>
        </is>
      </c>
      <c r="B11" s="4" t="inlineStr">
        <is>
          <t>Equity</t>
        </is>
      </c>
      <c r="C11" s="5">
        <f>Polaris_Base!C11+Polaris_Base!C12</f>
        <v/>
      </c>
      <c r="D11" s="4" t="inlineStr">
        <is>
          <t>Yes</t>
        </is>
      </c>
      <c r="E11" s="11">
        <f>IF(D11="Yes",C11,0)</f>
        <v/>
      </c>
      <c r="F11" s="7">
        <f>0</f>
        <v/>
      </c>
      <c r="G11" s="7">
        <f>Polaris_Base!E10</f>
        <v/>
      </c>
      <c r="H11" s="15">
        <f>(F11-G11)*100</f>
        <v/>
      </c>
    </row>
    <row r="12">
      <c r="A12" s="4" t="inlineStr">
        <is>
          <t>X (collapsed X1+X2)</t>
        </is>
      </c>
      <c r="B12" s="4" t="inlineStr">
        <is>
          <t>Note</t>
        </is>
      </c>
      <c r="C12" s="5">
        <f>Polaris_Base!C27+Polaris_Base!C28</f>
        <v/>
      </c>
      <c r="D12" s="4" t="inlineStr">
        <is>
          <t>No</t>
        </is>
      </c>
      <c r="E12" s="11">
        <f>IF(D12="Yes",C12,0)</f>
        <v/>
      </c>
      <c r="F12" s="7" t="inlineStr"/>
      <c r="G12" s="7" t="inlineStr"/>
      <c r="H12" s="15" t="inlineStr"/>
    </row>
    <row r="13">
      <c r="A13" s="9" t="inlineStr">
        <is>
          <t>Total CE denominator</t>
        </is>
      </c>
      <c r="B13" s="16" t="n"/>
      <c r="C13" s="16" t="n"/>
      <c r="D13" s="10" t="n"/>
      <c r="E13" s="11">
        <f>SUM(E6:E12)</f>
        <v/>
      </c>
      <c r="F13" s="12" t="inlineStr"/>
      <c r="G13" s="12" t="inlineStr"/>
      <c r="H13" s="12" t="inlineStr"/>
    </row>
  </sheetData>
  <mergeCells count="3">
    <mergeCell ref="A3:H3"/>
    <mergeCell ref="A13:D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Prefunding reserves – funding map under simplified structure</t>
        </is>
      </c>
    </row>
    <row r="3">
      <c r="A3" s="2" t="inlineStr">
        <is>
          <t>INPUTS (blue)</t>
        </is>
      </c>
    </row>
    <row r="5">
      <c r="A5" s="4" t="inlineStr">
        <is>
          <t>Pre-Funding Principal Reserve (£)</t>
        </is>
      </c>
      <c r="B5" s="17" t="n">
        <v>104381684.16</v>
      </c>
      <c r="D5" s="4" t="inlineStr">
        <is>
          <t>Assumption: % of Revenue Reserve funded from Class X proceeds</t>
        </is>
      </c>
      <c r="E5" s="18" t="n">
        <v>1</v>
      </c>
    </row>
    <row r="6">
      <c r="A6" s="4" t="inlineStr">
        <is>
          <t>Pre-Funding Revenue Reserve (£)</t>
        </is>
      </c>
      <c r="B6" s="17" t="n">
        <v>2799846.53</v>
      </c>
      <c r="D6" s="4" t="inlineStr">
        <is>
          <t>Class X size (£m) (from Proposed sheet)</t>
        </is>
      </c>
      <c r="E6" s="19">
        <f>Proposed_AE_X!C12*1000000</f>
        <v/>
      </c>
    </row>
    <row r="7">
      <c r="A7" s="4" t="inlineStr">
        <is>
          <t>Total Pre-Funding Reserves (£)</t>
        </is>
      </c>
      <c r="B7" s="20">
        <f>B5+B6</f>
        <v/>
      </c>
    </row>
    <row r="8">
      <c r="D8" s="4" t="inlineStr">
        <is>
          <t>Revenue Reserve funded from Class X (£)</t>
        </is>
      </c>
      <c r="E8" s="20">
        <f>MIN(B6,E6*E5)</f>
        <v/>
      </c>
    </row>
    <row r="9">
      <c r="D9" s="4" t="inlineStr">
        <is>
          <t>Revenue Reserve remainder (funded elsewhere) (£)</t>
        </is>
      </c>
      <c r="E9" s="20">
        <f>B6-E8</f>
        <v/>
      </c>
    </row>
    <row r="10">
      <c r="A10" s="9" t="inlineStr">
        <is>
          <t>Notes</t>
        </is>
      </c>
    </row>
    <row r="11">
      <c r="A11" s="21" t="inlineStr">
        <is>
          <t>This sheet isolates prefunding reserves; total transaction sources/uses will include initial loan purchase price, fees, swap premia, etc.</t>
        </is>
      </c>
      <c r="B11" s="22" t="n"/>
      <c r="C11" s="22" t="n"/>
      <c r="D11" s="22" t="n"/>
      <c r="E11" s="22" t="n"/>
      <c r="F11" s="22" t="n"/>
      <c r="G11" s="22" t="n"/>
      <c r="H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</row>
  </sheetData>
  <mergeCells count="3">
    <mergeCell ref="A3:H3"/>
    <mergeCell ref="A11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2025-12-16T22:29:21Z</dcterms:created>
  <dcterms:modified xmlns:dcterms="http://purl.org/dc/terms/" xmlns:xsi="http://www.w3.org/2001/XMLSchema-instance" xsi:type="dcterms:W3CDTF">2025-12-16T22:29:21Z</dcterms:modified>
</cp:coreProperties>
</file>