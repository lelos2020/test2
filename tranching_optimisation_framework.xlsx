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shflow_Asset" sheetId="3" state="visible" r:id="rId3"/>
    <sheet xmlns:r="http://schemas.openxmlformats.org/officeDocument/2006/relationships" name="Cashflow_Waterfall" sheetId="4" state="visible" r:id="rId4"/>
    <sheet xmlns:r="http://schemas.openxmlformats.org/officeDocument/2006/relationships" name="Tranche_Metrics" sheetId="5" state="visible" r:id="rId5"/>
    <sheet xmlns:r="http://schemas.openxmlformats.org/officeDocument/2006/relationships" name="Optimis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0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  <font>
      <sz val="11"/>
    </font>
    <font>
      <b val="1"/>
    </font>
    <font>
      <b val="1"/>
      <color rgb="001F4E79"/>
    </font>
    <font>
      <color rgb="000000FF"/>
    </font>
    <font>
      <color rgb="00666666"/>
    </font>
    <font>
      <color rgb="00008000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4" fillId="0" borderId="0" pivotButton="0" quotePrefix="0" xfId="0"/>
    <xf numFmtId="0" fontId="5" fillId="3" borderId="0" applyAlignment="1" pivotButton="0" quotePrefix="0" xfId="0">
      <alignment horizontal="left" vertical="center"/>
    </xf>
    <xf numFmtId="3" fontId="6" fillId="4" borderId="0" pivotButton="0" quotePrefix="0" xfId="0"/>
    <xf numFmtId="0" fontId="7" fillId="0" borderId="0" pivotButton="0" quotePrefix="0" xfId="0"/>
    <xf numFmtId="10" fontId="6" fillId="4" borderId="0" pivotButton="0" quotePrefix="0" xfId="0"/>
    <xf numFmtId="1" fontId="6" fillId="4" borderId="0" pivotButton="0" quotePrefix="0" xfId="0"/>
    <xf numFmtId="10" fontId="0" fillId="0" borderId="0" pivotButton="0" quotePrefix="0" xfId="0"/>
    <xf numFmtId="10" fontId="8" fillId="0" borderId="0" pivotButton="0" quotePrefix="0" xfId="0"/>
    <xf numFmtId="0" fontId="6" fillId="4" borderId="0" pivotButton="0" quotePrefix="0" xfId="0"/>
    <xf numFmtId="0" fontId="4" fillId="3" borderId="1" pivotButton="0" quotePrefix="0" xfId="0"/>
    <xf numFmtId="2" fontId="0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164" fontId="8" fillId="0" borderId="0" pivotButton="0" quotePrefix="0" xfId="0"/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right"/>
    </xf>
    <xf numFmtId="1" fontId="0" fillId="0" borderId="1" applyAlignment="1" pivotButton="0" quotePrefix="0" xfId="0">
      <alignment horizontal="center"/>
    </xf>
    <xf numFmtId="3" fontId="9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3" fontId="0" fillId="0" borderId="0" pivotButton="0" quotePrefix="0" xfId="0"/>
    <xf numFmtId="3" fontId="8" fillId="0" borderId="0" pivotButton="0" quotePrefix="0" xfId="0"/>
    <xf numFmtId="1" fontId="8" fillId="0" borderId="0" pivotButton="0" quotePrefix="0" xfId="0"/>
    <xf numFmtId="0" fontId="5" fillId="3" borderId="1" applyAlignment="1" pivotButton="0" quotePrefix="0" xfId="0">
      <alignment horizontal="center" wrapText="1"/>
    </xf>
    <xf numFmtId="3" fontId="8" fillId="0" borderId="1" applyAlignment="1" pivotButton="0" quotePrefix="0" xfId="0">
      <alignment horizontal="right"/>
    </xf>
    <xf numFmtId="1" fontId="0" fillId="0" borderId="0" pivotButton="0" quotePrefix="0" xfId="0"/>
    <xf numFmtId="2" fontId="9" fillId="0" borderId="0" pivotButton="0" quotePrefix="0" xfId="0"/>
    <xf numFmtId="2" fontId="8" fillId="0" borderId="0" pivotButton="0" quotePrefix="0" xfId="0"/>
    <xf numFmtId="0" fontId="9" fillId="0" borderId="0" pivotButton="0" quotePrefix="0" xfId="0"/>
    <xf numFmtId="164" fontId="9" fillId="0" borderId="0" pivotButton="0" quotePrefix="0" xfId="0"/>
    <xf numFmtId="10" fontId="9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110" customWidth="1" min="3" max="3"/>
  </cols>
  <sheetData>
    <row r="1" ht="22" customHeight="1">
      <c r="B1" s="1" t="inlineStr">
        <is>
          <t>Tranching Framework &amp; Optimisation — Excel Model (no macros)</t>
        </is>
      </c>
      <c r="C1" s="2" t="n"/>
    </row>
    <row r="3" ht="48" customHeight="1">
      <c r="B3" s="3" t="inlineStr">
        <is>
          <t>What this workbook does</t>
        </is>
      </c>
      <c r="C3" s="4" t="inlineStr">
        <is>
          <t>Implements a transparent tranching / credit-enhancement framework (BOTE-style) and a cashflow engine for a simple amortising pool. Includes an optimisation worksheet set up for Excel Solver (you run Solver in Excel).</t>
        </is>
      </c>
    </row>
    <row r="4" ht="64" customHeight="1">
      <c r="B4" s="3" t="inlineStr">
        <is>
          <t>How to use (quick)</t>
        </is>
      </c>
      <c r="C4" s="4" t="inlineStr">
        <is>
          <t xml:space="preserve">1) Go to Inputs and edit BLUE cells.
2) Review Cashflow_Asset and Cashflow_Waterfall for monthly results.
3) Check Tranche_Metrics for credit enhancement (CE), expected loss (E(L)), and rating-factor tests.
4) Go to Optimisation and follow the Solver setup instructions to size tranches / coupons to your objective.
</t>
        </is>
      </c>
    </row>
    <row r="5" ht="48" customHeight="1">
      <c r="B5" s="3" t="inlineStr">
        <is>
          <t>Model scope / limitations</t>
        </is>
      </c>
      <c r="C5" s="4" t="inlineStr">
        <is>
          <t>This is a simplified template intended for learning and prototyping. It assumes: a homogeneous amortising pool, CPR/CDR style prepay/default, single recovery lag, sequential-pay waterfall, and simple reserve mechanics. For complex structures (multiple triggers, pro-rata, turbo, step-ups, etc.), extend the waterfall logic.</t>
        </is>
      </c>
    </row>
    <row r="6" ht="64" customHeight="1">
      <c r="B6" s="3" t="inlineStr">
        <is>
          <t>Color conventions</t>
        </is>
      </c>
      <c r="C6" s="4" t="inlineStr">
        <is>
          <t>BLUE text = user inputs.
BLACK text = formulas.
GREEN text = links across sheets.
YELLOW fill = key assumptions.</t>
        </is>
      </c>
    </row>
    <row r="8">
      <c r="B8" s="5" t="inlineStr">
        <is>
          <t>Sheets</t>
        </is>
      </c>
    </row>
    <row r="9">
      <c r="B9" s="6" t="inlineStr">
        <is>
          <t>Inputs</t>
        </is>
      </c>
      <c r="C9" t="inlineStr">
        <is>
          <t>Deal/pool assumptions, tranche design variables, rating-factor table.</t>
        </is>
      </c>
    </row>
    <row r="10">
      <c r="B10" s="6" t="inlineStr">
        <is>
          <t>Cashflow_Asset</t>
        </is>
      </c>
      <c r="C10" t="inlineStr">
        <is>
          <t>Monthly pool cashflows: scheduled amortisation, prepayments, defaults, recoveries, fees.</t>
        </is>
      </c>
    </row>
    <row r="11">
      <c r="B11" s="6" t="inlineStr">
        <is>
          <t>Cashflow_Waterfall</t>
        </is>
      </c>
      <c r="C11" t="inlineStr">
        <is>
          <t>Monthly liability waterfall: interest, principal paydown, reserve, residual to equity.</t>
        </is>
      </c>
    </row>
    <row r="12">
      <c r="B12" s="6" t="inlineStr">
        <is>
          <t>Tranche_Metrics</t>
        </is>
      </c>
      <c r="C12" t="inlineStr">
        <is>
          <t>Credit enhancement, BOTE-style tests, PV metrics and IRRs.</t>
        </is>
      </c>
    </row>
    <row r="13">
      <c r="B13" s="6" t="inlineStr">
        <is>
          <t>Optimisation</t>
        </is>
      </c>
      <c r="C13" t="inlineStr">
        <is>
          <t>Solver-ready objective &amp; constraints with instructions.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I29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 ht="22" customHeight="1">
      <c r="B1" s="1" t="inlineStr">
        <is>
          <t>Inputs (edit BLUE cells)</t>
        </is>
      </c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B3" s="7" t="inlineStr">
        <is>
          <t>Pool assumptions</t>
        </is>
      </c>
    </row>
    <row r="4">
      <c r="B4" t="inlineStr">
        <is>
          <t>Initial Pool Balance</t>
        </is>
      </c>
      <c r="C4" s="8" t="n">
        <v>100000000</v>
      </c>
      <c r="D4" s="9" t="inlineStr">
        <is>
          <t>Currency</t>
        </is>
      </c>
    </row>
    <row r="5">
      <c r="B5" t="inlineStr">
        <is>
          <t>WAC (annual) %</t>
        </is>
      </c>
      <c r="C5" s="10" t="n">
        <v>0.12</v>
      </c>
      <c r="D5" s="9" t="inlineStr">
        <is>
          <t>Decimal</t>
        </is>
      </c>
    </row>
    <row r="6">
      <c r="B6" t="inlineStr">
        <is>
          <t>WAM (months)</t>
        </is>
      </c>
      <c r="C6" s="11" t="n">
        <v>60</v>
      </c>
      <c r="D6" s="9" t="inlineStr">
        <is>
          <t>Months</t>
        </is>
      </c>
    </row>
    <row r="7">
      <c r="B7" t="inlineStr">
        <is>
          <t>Servicing fee (annual) %</t>
        </is>
      </c>
      <c r="C7" s="10" t="n">
        <v>0.01</v>
      </c>
      <c r="D7" s="9" t="inlineStr">
        <is>
          <t>Decimal</t>
        </is>
      </c>
    </row>
    <row r="8">
      <c r="B8" t="inlineStr">
        <is>
          <t>CPR (annual) %</t>
        </is>
      </c>
      <c r="C8" s="10" t="n">
        <v>0.06</v>
      </c>
      <c r="D8" s="9" t="inlineStr">
        <is>
          <t>Decimal</t>
        </is>
      </c>
    </row>
    <row r="9">
      <c r="B9" t="inlineStr">
        <is>
          <t>CDR (annual) %</t>
        </is>
      </c>
      <c r="C9" s="10" t="n">
        <v>0.03</v>
      </c>
      <c r="D9" s="9" t="inlineStr">
        <is>
          <t>Decimal</t>
        </is>
      </c>
    </row>
    <row r="10">
      <c r="B10" t="inlineStr">
        <is>
          <t>Severity (loss given default) %</t>
        </is>
      </c>
      <c r="C10" s="10" t="n">
        <v>0.6</v>
      </c>
      <c r="D10" s="9" t="inlineStr">
        <is>
          <t>Decimal</t>
        </is>
      </c>
    </row>
    <row r="11">
      <c r="B11" t="inlineStr">
        <is>
          <t>Recovery lag (months)</t>
        </is>
      </c>
      <c r="C11" s="11" t="n">
        <v>6</v>
      </c>
      <c r="D11" s="9" t="inlineStr">
        <is>
          <t>Months</t>
        </is>
      </c>
    </row>
    <row r="12">
      <c r="B12" t="inlineStr">
        <is>
          <t>Discount rate for PV (annual) %</t>
        </is>
      </c>
      <c r="C12" s="10" t="n">
        <v>0.08</v>
      </c>
      <c r="D12" s="9" t="inlineStr">
        <is>
          <t>Decimal</t>
        </is>
      </c>
    </row>
    <row r="13">
      <c r="C13" s="12" t="n"/>
    </row>
    <row r="14" ht="18" customHeight="1">
      <c r="B14" s="7" t="inlineStr">
        <is>
          <t>Tranche design variables (decision variables for Solver)</t>
        </is>
      </c>
      <c r="C14" s="12" t="n"/>
    </row>
    <row r="15">
      <c r="B15" t="inlineStr">
        <is>
          <t>Class A % of NoteBase</t>
        </is>
      </c>
      <c r="C15" s="10" t="n">
        <v>0.8</v>
      </c>
      <c r="D15" s="9" t="inlineStr">
        <is>
          <t>Decision var</t>
        </is>
      </c>
    </row>
    <row r="16">
      <c r="B16" t="inlineStr">
        <is>
          <t>Class B % of NoteBase</t>
        </is>
      </c>
      <c r="C16" s="11" t="n">
        <v>0.15</v>
      </c>
      <c r="D16" s="9" t="inlineStr">
        <is>
          <t>Decision var</t>
        </is>
      </c>
    </row>
    <row r="17">
      <c r="B17" t="inlineStr">
        <is>
          <t>Residual % (unused NoteBase)</t>
        </is>
      </c>
      <c r="C17" s="13">
        <f>MAX(0,1-$C$15-$C$16)</f>
        <v/>
      </c>
      <c r="D17" s="9" t="inlineStr">
        <is>
          <t>Residual = 1 - A - B</t>
        </is>
      </c>
    </row>
    <row r="18">
      <c r="B18" t="inlineStr">
        <is>
          <t>Class A coupon (annual) %</t>
        </is>
      </c>
      <c r="C18" s="14" t="n">
        <v>0.055</v>
      </c>
      <c r="D18" s="9" t="inlineStr">
        <is>
          <t>Decision var</t>
        </is>
      </c>
    </row>
    <row r="19">
      <c r="B19" t="inlineStr">
        <is>
          <t>Class B coupon (annual) %</t>
        </is>
      </c>
      <c r="C19" s="14" t="n">
        <v>0.095</v>
      </c>
      <c r="D19" s="9" t="inlineStr">
        <is>
          <t>Decision var</t>
        </is>
      </c>
    </row>
    <row r="20">
      <c r="B20" t="inlineStr">
        <is>
          <t>Reserve fund (initial) % of pool</t>
        </is>
      </c>
      <c r="C20" s="14" t="n">
        <v>0.01</v>
      </c>
      <c r="D20" s="9" t="inlineStr">
        <is>
          <t>Decision var</t>
        </is>
      </c>
    </row>
    <row r="21">
      <c r="B21" t="inlineStr">
        <is>
          <t>Overcollateralisation (OC) % of pool</t>
        </is>
      </c>
      <c r="C21" s="14" t="n">
        <v>0</v>
      </c>
      <c r="D21" s="9" t="inlineStr">
        <is>
          <t>Decision var</t>
        </is>
      </c>
    </row>
    <row r="22"/>
    <row r="23" ht="18" customHeight="1">
      <c r="B23" s="7" t="inlineStr">
        <is>
          <t>Target rating factors (BOTE-style: CE / E(L))</t>
        </is>
      </c>
    </row>
    <row r="24">
      <c r="B24" s="15" t="inlineStr">
        <is>
          <t>Rating</t>
        </is>
      </c>
      <c r="C24" s="15" t="inlineStr">
        <is>
          <t>Factor n</t>
        </is>
      </c>
      <c r="D24" s="15" t="inlineStr">
        <is>
          <t>Notes</t>
        </is>
      </c>
    </row>
    <row r="25">
      <c r="B25" t="inlineStr">
        <is>
          <t>Aaa/AAA</t>
        </is>
      </c>
      <c r="C25" s="16" t="n">
        <v>5</v>
      </c>
      <c r="D25" t="inlineStr">
        <is>
          <t>Illustrative factor</t>
        </is>
      </c>
    </row>
    <row r="26">
      <c r="B26" t="inlineStr">
        <is>
          <t>Aa/AA</t>
        </is>
      </c>
      <c r="C26" s="16" t="n">
        <v>4</v>
      </c>
      <c r="D26" t="inlineStr">
        <is>
          <t>Illustrative factor</t>
        </is>
      </c>
    </row>
    <row r="27">
      <c r="B27" t="inlineStr">
        <is>
          <t>A</t>
        </is>
      </c>
      <c r="C27" s="16" t="n">
        <v>3</v>
      </c>
      <c r="D27" t="inlineStr">
        <is>
          <t>Illustrative factor</t>
        </is>
      </c>
    </row>
    <row r="28">
      <c r="B28" t="inlineStr">
        <is>
          <t>Baa/BBB</t>
        </is>
      </c>
      <c r="C28" s="16" t="n">
        <v>1.75</v>
      </c>
      <c r="D28" t="inlineStr">
        <is>
          <t>Illustrative mid-point</t>
        </is>
      </c>
    </row>
    <row r="29">
      <c r="B29" t="inlineStr">
        <is>
          <t>Ba/BB</t>
        </is>
      </c>
      <c r="C29" s="16" t="n">
        <v>1.25</v>
      </c>
      <c r="D29" t="inlineStr">
        <is>
          <t>Illustrative</t>
        </is>
      </c>
    </row>
    <row r="30"/>
    <row r="31" ht="18" customHeight="1">
      <c r="B31" s="7" t="inlineStr">
        <is>
          <t>Chosen rating targets for constraints</t>
        </is>
      </c>
    </row>
    <row r="32">
      <c r="B32" t="inlineStr">
        <is>
          <t>Target rating for Class A</t>
        </is>
      </c>
      <c r="C32" s="14" t="inlineStr">
        <is>
          <t>AAA</t>
        </is>
      </c>
      <c r="D32" s="9" t="inlineStr">
        <is>
          <t>Set factor via lookup</t>
        </is>
      </c>
    </row>
    <row r="33">
      <c r="B33" t="inlineStr">
        <is>
          <t>Target rating for Class B</t>
        </is>
      </c>
      <c r="C33" s="14" t="inlineStr">
        <is>
          <t>BBB</t>
        </is>
      </c>
      <c r="D33" s="9" t="inlineStr">
        <is>
          <t>Set factor via lookup</t>
        </is>
      </c>
    </row>
    <row r="34">
      <c r="B34" t="inlineStr">
        <is>
          <t>Factor for Class A</t>
        </is>
      </c>
      <c r="C34" s="17">
        <f>XLOOKUP($C$32,$B$25:$B$29,$C$25:$C$29)</f>
        <v/>
      </c>
    </row>
    <row r="35">
      <c r="B35" t="inlineStr">
        <is>
          <t>Factor for Class B</t>
        </is>
      </c>
      <c r="C35" s="17">
        <f>XLOOKUP($C$33,$B$25:$B$29,$C$25:$C$29)</f>
        <v/>
      </c>
    </row>
    <row r="36"/>
    <row r="37"/>
    <row r="38" ht="18" customHeight="1">
      <c r="B38" s="7" t="inlineStr">
        <is>
          <t>Waterfall toggles</t>
        </is>
      </c>
    </row>
    <row r="39">
      <c r="B39" t="inlineStr">
        <is>
          <t>Turbo: use excess interest to pay down Class A (1=yes,0=no)</t>
        </is>
      </c>
      <c r="C39" s="11" t="n">
        <v>1</v>
      </c>
      <c r="D39" s="9" t="inlineStr">
        <is>
          <t>Decision var (optional)</t>
        </is>
      </c>
    </row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</sheetData>
  <mergeCells count="6">
    <mergeCell ref="B38:F38"/>
    <mergeCell ref="B3:F3"/>
    <mergeCell ref="B31:F31"/>
    <mergeCell ref="B23:F23"/>
    <mergeCell ref="B14:I14"/>
    <mergeCell ref="B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P36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22" customHeight="1">
      <c r="B1" s="1" t="inlineStr">
        <is>
          <t>Asset cashflow engine (monthly)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B2" s="18" t="inlineStr">
        <is>
          <t>Parameters (linked)</t>
        </is>
      </c>
      <c r="C2" s="19">
        <f>Inputs!$C$5/12</f>
        <v/>
      </c>
      <c r="D2" s="9" t="inlineStr">
        <is>
          <t>Monthly rate (WAC/12)</t>
        </is>
      </c>
      <c r="E2" s="19">
        <f>1-(1-Inputs!$C$8)^(1/12)</f>
        <v/>
      </c>
      <c r="F2" s="9" t="inlineStr">
        <is>
          <t>SMM</t>
        </is>
      </c>
      <c r="G2" s="19">
        <f>1-(1-Inputs!$C$9)^(1/12)</f>
        <v/>
      </c>
      <c r="H2" s="9" t="inlineStr">
        <is>
          <t>MDR</t>
        </is>
      </c>
      <c r="I2" s="13">
        <f>Inputs!$C$10</f>
        <v/>
      </c>
      <c r="J2" s="9" t="inlineStr">
        <is>
          <t>Severity</t>
        </is>
      </c>
      <c r="K2" s="17">
        <f>Inputs!$C$11</f>
        <v/>
      </c>
      <c r="L2" s="9" t="inlineStr">
        <is>
          <t>Recovery lag (m)</t>
        </is>
      </c>
    </row>
    <row r="3">
      <c r="B3" s="20" t="inlineStr">
        <is>
          <t>Month</t>
        </is>
      </c>
      <c r="C3" s="21" t="inlineStr">
        <is>
          <t>Beg Bal</t>
        </is>
      </c>
      <c r="D3" s="21" t="inlineStr">
        <is>
          <t>Sched Pmt</t>
        </is>
      </c>
      <c r="E3" s="21" t="inlineStr">
        <is>
          <t>Interest</t>
        </is>
      </c>
      <c r="F3" s="21" t="inlineStr">
        <is>
          <t>Sched Prin</t>
        </is>
      </c>
      <c r="G3" s="21" t="inlineStr">
        <is>
          <t>Prepay</t>
        </is>
      </c>
      <c r="H3" s="21" t="inlineStr">
        <is>
          <t>Default</t>
        </is>
      </c>
      <c r="I3" s="21" t="inlineStr">
        <is>
          <t>Recovery</t>
        </is>
      </c>
      <c r="J3" s="21" t="inlineStr">
        <is>
          <t>Loss</t>
        </is>
      </c>
      <c r="K3" s="21" t="inlineStr">
        <is>
          <t>Serv Fee</t>
        </is>
      </c>
      <c r="L3" s="21" t="inlineStr">
        <is>
          <t>Net Cash</t>
        </is>
      </c>
      <c r="M3" s="21" t="inlineStr">
        <is>
          <t>End Bal</t>
        </is>
      </c>
      <c r="O3" s="18" t="inlineStr">
        <is>
          <t>Summary</t>
        </is>
      </c>
    </row>
    <row r="4">
      <c r="B4" s="22" t="n">
        <v>1</v>
      </c>
      <c r="C4" s="23">
        <f>Inputs!$C$4</f>
        <v/>
      </c>
      <c r="D4" s="24">
        <f>IF($B4&lt;=Inputs!$C$6,-PMT(Inputs!$C$5/12,Inputs!$C$6,Inputs!$C$4),0)</f>
        <v/>
      </c>
      <c r="E4" s="24">
        <f>IF($B4&lt;=Inputs!$C$6+Inputs!$C$11,$C4*Inputs!$C$5/12,0)</f>
        <v/>
      </c>
      <c r="F4" s="24">
        <f>IF($B4&lt;=Inputs!$C$6,MAX(0,$D4-$E4),0)</f>
        <v/>
      </c>
      <c r="G4" s="24">
        <f>IF($B4&lt;=Inputs!$C$6,MAX(0,($C4-$F4))*(1-(1-Inputs!$C$8)^(1/12)),0)</f>
        <v/>
      </c>
      <c r="H4" s="24">
        <f>IF($B4&lt;=Inputs!$C$6,MAX(0,($C4-$F4-$G4))*(1-(1-Inputs!$C$9)^(1/12)),0)</f>
        <v/>
      </c>
      <c r="I4" s="24">
        <f>IF($B4&gt;Inputs!$C$11,INDEX($H:$H,ROW()-Inputs!$C$11)* (1-Inputs!$C$10),0)</f>
        <v/>
      </c>
      <c r="J4" s="24">
        <f>$H4*Inputs!$C$10</f>
        <v/>
      </c>
      <c r="K4" s="24">
        <f>IF($B4&lt;=Inputs!$C$6+Inputs!$C$11,$C4*Inputs!$C$7/12,0)</f>
        <v/>
      </c>
      <c r="L4" s="24">
        <f>IF($B4&lt;=Inputs!$C$6+Inputs!$C$11,$E4+$F4+$G4+$I4-$K4,0)</f>
        <v/>
      </c>
      <c r="M4" s="24">
        <f>IF($B4&lt;=Inputs!$C$6,MAX(0,$C4-$F4-$G4-$H4),0)</f>
        <v/>
      </c>
      <c r="O4" s="6" t="inlineStr">
        <is>
          <t>Cum Gross Defaults</t>
        </is>
      </c>
      <c r="P4" s="25">
        <f>SUM($H4:$H363)</f>
        <v/>
      </c>
    </row>
    <row r="5">
      <c r="B5" s="22" t="n">
        <v>2</v>
      </c>
      <c r="C5" s="23">
        <f>IF($B5&lt;=Inputs!$C$6+Inputs!$C$11,$M4,"")</f>
        <v/>
      </c>
      <c r="D5" s="24">
        <f>IF($B5&lt;=Inputs!$C$6,-PMT(Inputs!$C$5/12,Inputs!$C$6,Inputs!$C$4),0)</f>
        <v/>
      </c>
      <c r="E5" s="24">
        <f>IF($B5&lt;=Inputs!$C$6+Inputs!$C$11,$C5*Inputs!$C$5/12,0)</f>
        <v/>
      </c>
      <c r="F5" s="24">
        <f>IF($B5&lt;=Inputs!$C$6,MAX(0,$D5-$E5),0)</f>
        <v/>
      </c>
      <c r="G5" s="24">
        <f>IF($B5&lt;=Inputs!$C$6,MAX(0,($C5-$F5))*(1-(1-Inputs!$C$8)^(1/12)),0)</f>
        <v/>
      </c>
      <c r="H5" s="24">
        <f>IF($B5&lt;=Inputs!$C$6,MAX(0,($C5-$F5-$G5))*(1-(1-Inputs!$C$9)^(1/12)),0)</f>
        <v/>
      </c>
      <c r="I5" s="24">
        <f>IF($B5&gt;Inputs!$C$11,INDEX($H:$H,ROW()-Inputs!$C$11)* (1-Inputs!$C$10),0)</f>
        <v/>
      </c>
      <c r="J5" s="24">
        <f>$H5*Inputs!$C$10</f>
        <v/>
      </c>
      <c r="K5" s="24">
        <f>IF($B5&lt;=Inputs!$C$6+Inputs!$C$11,$C5*Inputs!$C$7/12,0)</f>
        <v/>
      </c>
      <c r="L5" s="24">
        <f>IF($B5&lt;=Inputs!$C$6+Inputs!$C$11,$E5+$F5+$G5+$I5-$K5,0)</f>
        <v/>
      </c>
      <c r="M5" s="24">
        <f>IF($B5&lt;=Inputs!$C$6,MAX(0,$C5-$F5-$G5-$H5),0)</f>
        <v/>
      </c>
      <c r="O5" s="6" t="inlineStr">
        <is>
          <t>Cum Losses (gross)</t>
        </is>
      </c>
      <c r="P5" s="25">
        <f>SUM($J4:$J363)</f>
        <v/>
      </c>
    </row>
    <row r="6">
      <c r="B6" s="22" t="n">
        <v>3</v>
      </c>
      <c r="C6" s="23">
        <f>IF($B6&lt;=Inputs!$C$6+Inputs!$C$11,$M5,"")</f>
        <v/>
      </c>
      <c r="D6" s="24">
        <f>IF($B6&lt;=Inputs!$C$6,-PMT(Inputs!$C$5/12,Inputs!$C$6,Inputs!$C$4),0)</f>
        <v/>
      </c>
      <c r="E6" s="24">
        <f>IF($B6&lt;=Inputs!$C$6+Inputs!$C$11,$C6*Inputs!$C$5/12,0)</f>
        <v/>
      </c>
      <c r="F6" s="24">
        <f>IF($B6&lt;=Inputs!$C$6,MAX(0,$D6-$E6),0)</f>
        <v/>
      </c>
      <c r="G6" s="24">
        <f>IF($B6&lt;=Inputs!$C$6,MAX(0,($C6-$F6))*(1-(1-Inputs!$C$8)^(1/12)),0)</f>
        <v/>
      </c>
      <c r="H6" s="24">
        <f>IF($B6&lt;=Inputs!$C$6,MAX(0,($C6-$F6-$G6))*(1-(1-Inputs!$C$9)^(1/12)),0)</f>
        <v/>
      </c>
      <c r="I6" s="24">
        <f>IF($B6&gt;Inputs!$C$11,INDEX($H:$H,ROW()-Inputs!$C$11)* (1-Inputs!$C$10),0)</f>
        <v/>
      </c>
      <c r="J6" s="24">
        <f>$H6*Inputs!$C$10</f>
        <v/>
      </c>
      <c r="K6" s="24">
        <f>IF($B6&lt;=Inputs!$C$6+Inputs!$C$11,$C6*Inputs!$C$7/12,0)</f>
        <v/>
      </c>
      <c r="L6" s="24">
        <f>IF($B6&lt;=Inputs!$C$6+Inputs!$C$11,$E6+$F6+$G6+$I6-$K6,0)</f>
        <v/>
      </c>
      <c r="M6" s="24">
        <f>IF($B6&lt;=Inputs!$C$6,MAX(0,$C6-$F6-$G6-$H6),0)</f>
        <v/>
      </c>
      <c r="O6" s="6" t="inlineStr">
        <is>
          <t>Cum Recoveries</t>
        </is>
      </c>
      <c r="P6" s="25">
        <f>SUM($I4:$I363)</f>
        <v/>
      </c>
    </row>
    <row r="7">
      <c r="B7" s="22" t="n">
        <v>4</v>
      </c>
      <c r="C7" s="23">
        <f>IF($B7&lt;=Inputs!$C$6+Inputs!$C$11,$M6,"")</f>
        <v/>
      </c>
      <c r="D7" s="24">
        <f>IF($B7&lt;=Inputs!$C$6,-PMT(Inputs!$C$5/12,Inputs!$C$6,Inputs!$C$4),0)</f>
        <v/>
      </c>
      <c r="E7" s="24">
        <f>IF($B7&lt;=Inputs!$C$6+Inputs!$C$11,$C7*Inputs!$C$5/12,0)</f>
        <v/>
      </c>
      <c r="F7" s="24">
        <f>IF($B7&lt;=Inputs!$C$6,MAX(0,$D7-$E7),0)</f>
        <v/>
      </c>
      <c r="G7" s="24">
        <f>IF($B7&lt;=Inputs!$C$6,MAX(0,($C7-$F7))*(1-(1-Inputs!$C$8)^(1/12)),0)</f>
        <v/>
      </c>
      <c r="H7" s="24">
        <f>IF($B7&lt;=Inputs!$C$6,MAX(0,($C7-$F7-$G7))*(1-(1-Inputs!$C$9)^(1/12)),0)</f>
        <v/>
      </c>
      <c r="I7" s="24">
        <f>IF($B7&gt;Inputs!$C$11,INDEX($H:$H,ROW()-Inputs!$C$11)* (1-Inputs!$C$10),0)</f>
        <v/>
      </c>
      <c r="J7" s="24">
        <f>$H7*Inputs!$C$10</f>
        <v/>
      </c>
      <c r="K7" s="24">
        <f>IF($B7&lt;=Inputs!$C$6+Inputs!$C$11,$C7*Inputs!$C$7/12,0)</f>
        <v/>
      </c>
      <c r="L7" s="24">
        <f>IF($B7&lt;=Inputs!$C$6+Inputs!$C$11,$E7+$F7+$G7+$I7-$K7,0)</f>
        <v/>
      </c>
      <c r="M7" s="24">
        <f>IF($B7&lt;=Inputs!$C$6,MAX(0,$C7-$F7-$G7-$H7),0)</f>
        <v/>
      </c>
      <c r="O7" s="6" t="inlineStr">
        <is>
          <t>Cum Expected Loss (net)</t>
        </is>
      </c>
      <c r="P7" s="25">
        <f>SUM($J4:$J363)</f>
        <v/>
      </c>
    </row>
    <row r="8">
      <c r="B8" s="22" t="n">
        <v>5</v>
      </c>
      <c r="C8" s="23">
        <f>IF($B8&lt;=Inputs!$C$6+Inputs!$C$11,$M7,"")</f>
        <v/>
      </c>
      <c r="D8" s="24">
        <f>IF($B8&lt;=Inputs!$C$6,-PMT(Inputs!$C$5/12,Inputs!$C$6,Inputs!$C$4),0)</f>
        <v/>
      </c>
      <c r="E8" s="24">
        <f>IF($B8&lt;=Inputs!$C$6+Inputs!$C$11,$C8*Inputs!$C$5/12,0)</f>
        <v/>
      </c>
      <c r="F8" s="24">
        <f>IF($B8&lt;=Inputs!$C$6,MAX(0,$D8-$E8),0)</f>
        <v/>
      </c>
      <c r="G8" s="24">
        <f>IF($B8&lt;=Inputs!$C$6,MAX(0,($C8-$F8))*(1-(1-Inputs!$C$8)^(1/12)),0)</f>
        <v/>
      </c>
      <c r="H8" s="24">
        <f>IF($B8&lt;=Inputs!$C$6,MAX(0,($C8-$F8-$G8))*(1-(1-Inputs!$C$9)^(1/12)),0)</f>
        <v/>
      </c>
      <c r="I8" s="24">
        <f>IF($B8&gt;Inputs!$C$11,INDEX($H:$H,ROW()-Inputs!$C$11)* (1-Inputs!$C$10),0)</f>
        <v/>
      </c>
      <c r="J8" s="24">
        <f>$H8*Inputs!$C$10</f>
        <v/>
      </c>
      <c r="K8" s="24">
        <f>IF($B8&lt;=Inputs!$C$6+Inputs!$C$11,$C8*Inputs!$C$7/12,0)</f>
        <v/>
      </c>
      <c r="L8" s="24">
        <f>IF($B8&lt;=Inputs!$C$6+Inputs!$C$11,$E8+$F8+$G8+$I8-$K8,0)</f>
        <v/>
      </c>
      <c r="M8" s="24">
        <f>IF($B8&lt;=Inputs!$C$6,MAX(0,$C8-$F8-$G8-$H8),0)</f>
        <v/>
      </c>
      <c r="O8" s="6" t="inlineStr">
        <is>
          <t>E(L) % of initial</t>
        </is>
      </c>
      <c r="P8" s="12">
        <f>$P7/Inputs!$C$4</f>
        <v/>
      </c>
    </row>
    <row r="9">
      <c r="B9" s="22" t="n">
        <v>6</v>
      </c>
      <c r="C9" s="23">
        <f>IF($B9&lt;=Inputs!$C$6+Inputs!$C$11,$M8,"")</f>
        <v/>
      </c>
      <c r="D9" s="24">
        <f>IF($B9&lt;=Inputs!$C$6,-PMT(Inputs!$C$5/12,Inputs!$C$6,Inputs!$C$4),0)</f>
        <v/>
      </c>
      <c r="E9" s="24">
        <f>IF($B9&lt;=Inputs!$C$6+Inputs!$C$11,$C9*Inputs!$C$5/12,0)</f>
        <v/>
      </c>
      <c r="F9" s="24">
        <f>IF($B9&lt;=Inputs!$C$6,MAX(0,$D9-$E9),0)</f>
        <v/>
      </c>
      <c r="G9" s="24">
        <f>IF($B9&lt;=Inputs!$C$6,MAX(0,($C9-$F9))*(1-(1-Inputs!$C$8)^(1/12)),0)</f>
        <v/>
      </c>
      <c r="H9" s="24">
        <f>IF($B9&lt;=Inputs!$C$6,MAX(0,($C9-$F9-$G9))*(1-(1-Inputs!$C$9)^(1/12)),0)</f>
        <v/>
      </c>
      <c r="I9" s="24">
        <f>IF($B9&gt;Inputs!$C$11,INDEX($H:$H,ROW()-Inputs!$C$11)* (1-Inputs!$C$10),0)</f>
        <v/>
      </c>
      <c r="J9" s="24">
        <f>$H9*Inputs!$C$10</f>
        <v/>
      </c>
      <c r="K9" s="24">
        <f>IF($B9&lt;=Inputs!$C$6+Inputs!$C$11,$C9*Inputs!$C$7/12,0)</f>
        <v/>
      </c>
      <c r="L9" s="24">
        <f>IF($B9&lt;=Inputs!$C$6+Inputs!$C$11,$E9+$F9+$G9+$I9-$K9,0)</f>
        <v/>
      </c>
      <c r="M9" s="24">
        <f>IF($B9&lt;=Inputs!$C$6,MAX(0,$C9-$F9-$G9-$H9),0)</f>
        <v/>
      </c>
      <c r="O9" s="6" t="inlineStr">
        <is>
          <t>Pool Avg Life (yrs)</t>
        </is>
      </c>
      <c r="P9" s="16">
        <f>SUMPRODUCT($B4:$B363,($F4:$F363+$G4:$G363+$H4:$H363)) / (SUM($F4:$F363)+SUM($G4:$G363)+SUM($H4:$H363)) / 12</f>
        <v/>
      </c>
    </row>
    <row r="10">
      <c r="B10" s="22" t="n">
        <v>7</v>
      </c>
      <c r="C10" s="23">
        <f>IF($B10&lt;=Inputs!$C$6+Inputs!$C$11,$M9,"")</f>
        <v/>
      </c>
      <c r="D10" s="24">
        <f>IF($B10&lt;=Inputs!$C$6,-PMT(Inputs!$C$5/12,Inputs!$C$6,Inputs!$C$4),0)</f>
        <v/>
      </c>
      <c r="E10" s="24">
        <f>IF($B10&lt;=Inputs!$C$6+Inputs!$C$11,$C10*Inputs!$C$5/12,0)</f>
        <v/>
      </c>
      <c r="F10" s="24">
        <f>IF($B10&lt;=Inputs!$C$6,MAX(0,$D10-$E10),0)</f>
        <v/>
      </c>
      <c r="G10" s="24">
        <f>IF($B10&lt;=Inputs!$C$6,MAX(0,($C10-$F10))*(1-(1-Inputs!$C$8)^(1/12)),0)</f>
        <v/>
      </c>
      <c r="H10" s="24">
        <f>IF($B10&lt;=Inputs!$C$6,MAX(0,($C10-$F10-$G10))*(1-(1-Inputs!$C$9)^(1/12)),0)</f>
        <v/>
      </c>
      <c r="I10" s="24">
        <f>IF($B10&gt;Inputs!$C$11,INDEX($H:$H,ROW()-Inputs!$C$11)* (1-Inputs!$C$10),0)</f>
        <v/>
      </c>
      <c r="J10" s="24">
        <f>$H10*Inputs!$C$10</f>
        <v/>
      </c>
      <c r="K10" s="24">
        <f>IF($B10&lt;=Inputs!$C$6+Inputs!$C$11,$C10*Inputs!$C$7/12,0)</f>
        <v/>
      </c>
      <c r="L10" s="24">
        <f>IF($B10&lt;=Inputs!$C$6+Inputs!$C$11,$E10+$F10+$G10+$I10-$K10,0)</f>
        <v/>
      </c>
      <c r="M10" s="24">
        <f>IF($B10&lt;=Inputs!$C$6,MAX(0,$C10-$F10-$G10-$H10),0)</f>
        <v/>
      </c>
    </row>
    <row r="11">
      <c r="B11" s="22" t="n">
        <v>8</v>
      </c>
      <c r="C11" s="23">
        <f>IF($B11&lt;=Inputs!$C$6+Inputs!$C$11,$M10,"")</f>
        <v/>
      </c>
      <c r="D11" s="24">
        <f>IF($B11&lt;=Inputs!$C$6,-PMT(Inputs!$C$5/12,Inputs!$C$6,Inputs!$C$4),0)</f>
        <v/>
      </c>
      <c r="E11" s="24">
        <f>IF($B11&lt;=Inputs!$C$6+Inputs!$C$11,$C11*Inputs!$C$5/12,0)</f>
        <v/>
      </c>
      <c r="F11" s="24">
        <f>IF($B11&lt;=Inputs!$C$6,MAX(0,$D11-$E11),0)</f>
        <v/>
      </c>
      <c r="G11" s="24">
        <f>IF($B11&lt;=Inputs!$C$6,MAX(0,($C11-$F11))*(1-(1-Inputs!$C$8)^(1/12)),0)</f>
        <v/>
      </c>
      <c r="H11" s="24">
        <f>IF($B11&lt;=Inputs!$C$6,MAX(0,($C11-$F11-$G11))*(1-(1-Inputs!$C$9)^(1/12)),0)</f>
        <v/>
      </c>
      <c r="I11" s="24">
        <f>IF($B11&gt;Inputs!$C$11,INDEX($H:$H,ROW()-Inputs!$C$11)* (1-Inputs!$C$10),0)</f>
        <v/>
      </c>
      <c r="J11" s="24">
        <f>$H11*Inputs!$C$10</f>
        <v/>
      </c>
      <c r="K11" s="24">
        <f>IF($B11&lt;=Inputs!$C$6+Inputs!$C$11,$C11*Inputs!$C$7/12,0)</f>
        <v/>
      </c>
      <c r="L11" s="24">
        <f>IF($B11&lt;=Inputs!$C$6+Inputs!$C$11,$E11+$F11+$G11+$I11-$K11,0)</f>
        <v/>
      </c>
      <c r="M11" s="24">
        <f>IF($B11&lt;=Inputs!$C$6,MAX(0,$C11-$F11-$G11-$H11),0)</f>
        <v/>
      </c>
    </row>
    <row r="12">
      <c r="B12" s="22" t="n">
        <v>9</v>
      </c>
      <c r="C12" s="23">
        <f>IF($B12&lt;=Inputs!$C$6+Inputs!$C$11,$M11,"")</f>
        <v/>
      </c>
      <c r="D12" s="24">
        <f>IF($B12&lt;=Inputs!$C$6,-PMT(Inputs!$C$5/12,Inputs!$C$6,Inputs!$C$4),0)</f>
        <v/>
      </c>
      <c r="E12" s="24">
        <f>IF($B12&lt;=Inputs!$C$6+Inputs!$C$11,$C12*Inputs!$C$5/12,0)</f>
        <v/>
      </c>
      <c r="F12" s="24">
        <f>IF($B12&lt;=Inputs!$C$6,MAX(0,$D12-$E12),0)</f>
        <v/>
      </c>
      <c r="G12" s="24">
        <f>IF($B12&lt;=Inputs!$C$6,MAX(0,($C12-$F12))*(1-(1-Inputs!$C$8)^(1/12)),0)</f>
        <v/>
      </c>
      <c r="H12" s="24">
        <f>IF($B12&lt;=Inputs!$C$6,MAX(0,($C12-$F12-$G12))*(1-(1-Inputs!$C$9)^(1/12)),0)</f>
        <v/>
      </c>
      <c r="I12" s="24">
        <f>IF($B12&gt;Inputs!$C$11,INDEX($H:$H,ROW()-Inputs!$C$11)* (1-Inputs!$C$10),0)</f>
        <v/>
      </c>
      <c r="J12" s="24">
        <f>$H12*Inputs!$C$10</f>
        <v/>
      </c>
      <c r="K12" s="24">
        <f>IF($B12&lt;=Inputs!$C$6+Inputs!$C$11,$C12*Inputs!$C$7/12,0)</f>
        <v/>
      </c>
      <c r="L12" s="24">
        <f>IF($B12&lt;=Inputs!$C$6+Inputs!$C$11,$E12+$F12+$G12+$I12-$K12,0)</f>
        <v/>
      </c>
      <c r="M12" s="24">
        <f>IF($B12&lt;=Inputs!$C$6,MAX(0,$C12-$F12-$G12-$H12),0)</f>
        <v/>
      </c>
    </row>
    <row r="13">
      <c r="B13" s="22" t="n">
        <v>10</v>
      </c>
      <c r="C13" s="23">
        <f>IF($B13&lt;=Inputs!$C$6+Inputs!$C$11,$M12,"")</f>
        <v/>
      </c>
      <c r="D13" s="24">
        <f>IF($B13&lt;=Inputs!$C$6,-PMT(Inputs!$C$5/12,Inputs!$C$6,Inputs!$C$4),0)</f>
        <v/>
      </c>
      <c r="E13" s="24">
        <f>IF($B13&lt;=Inputs!$C$6+Inputs!$C$11,$C13*Inputs!$C$5/12,0)</f>
        <v/>
      </c>
      <c r="F13" s="24">
        <f>IF($B13&lt;=Inputs!$C$6,MAX(0,$D13-$E13),0)</f>
        <v/>
      </c>
      <c r="G13" s="24">
        <f>IF($B13&lt;=Inputs!$C$6,MAX(0,($C13-$F13))*(1-(1-Inputs!$C$8)^(1/12)),0)</f>
        <v/>
      </c>
      <c r="H13" s="24">
        <f>IF($B13&lt;=Inputs!$C$6,MAX(0,($C13-$F13-$G13))*(1-(1-Inputs!$C$9)^(1/12)),0)</f>
        <v/>
      </c>
      <c r="I13" s="24">
        <f>IF($B13&gt;Inputs!$C$11,INDEX($H:$H,ROW()-Inputs!$C$11)* (1-Inputs!$C$10),0)</f>
        <v/>
      </c>
      <c r="J13" s="24">
        <f>$H13*Inputs!$C$10</f>
        <v/>
      </c>
      <c r="K13" s="24">
        <f>IF($B13&lt;=Inputs!$C$6+Inputs!$C$11,$C13*Inputs!$C$7/12,0)</f>
        <v/>
      </c>
      <c r="L13" s="24">
        <f>IF($B13&lt;=Inputs!$C$6+Inputs!$C$11,$E13+$F13+$G13+$I13-$K13,0)</f>
        <v/>
      </c>
      <c r="M13" s="24">
        <f>IF($B13&lt;=Inputs!$C$6,MAX(0,$C13-$F13-$G13-$H13),0)</f>
        <v/>
      </c>
    </row>
    <row r="14">
      <c r="B14" s="22" t="n">
        <v>11</v>
      </c>
      <c r="C14" s="23">
        <f>IF($B14&lt;=Inputs!$C$6+Inputs!$C$11,$M13,"")</f>
        <v/>
      </c>
      <c r="D14" s="24">
        <f>IF($B14&lt;=Inputs!$C$6,-PMT(Inputs!$C$5/12,Inputs!$C$6,Inputs!$C$4),0)</f>
        <v/>
      </c>
      <c r="E14" s="24">
        <f>IF($B14&lt;=Inputs!$C$6+Inputs!$C$11,$C14*Inputs!$C$5/12,0)</f>
        <v/>
      </c>
      <c r="F14" s="24">
        <f>IF($B14&lt;=Inputs!$C$6,MAX(0,$D14-$E14),0)</f>
        <v/>
      </c>
      <c r="G14" s="24">
        <f>IF($B14&lt;=Inputs!$C$6,MAX(0,($C14-$F14))*(1-(1-Inputs!$C$8)^(1/12)),0)</f>
        <v/>
      </c>
      <c r="H14" s="24">
        <f>IF($B14&lt;=Inputs!$C$6,MAX(0,($C14-$F14-$G14))*(1-(1-Inputs!$C$9)^(1/12)),0)</f>
        <v/>
      </c>
      <c r="I14" s="24">
        <f>IF($B14&gt;Inputs!$C$11,INDEX($H:$H,ROW()-Inputs!$C$11)* (1-Inputs!$C$10),0)</f>
        <v/>
      </c>
      <c r="J14" s="24">
        <f>$H14*Inputs!$C$10</f>
        <v/>
      </c>
      <c r="K14" s="24">
        <f>IF($B14&lt;=Inputs!$C$6+Inputs!$C$11,$C14*Inputs!$C$7/12,0)</f>
        <v/>
      </c>
      <c r="L14" s="24">
        <f>IF($B14&lt;=Inputs!$C$6+Inputs!$C$11,$E14+$F14+$G14+$I14-$K14,0)</f>
        <v/>
      </c>
      <c r="M14" s="24">
        <f>IF($B14&lt;=Inputs!$C$6,MAX(0,$C14-$F14-$G14-$H14),0)</f>
        <v/>
      </c>
    </row>
    <row r="15">
      <c r="B15" s="22" t="n">
        <v>12</v>
      </c>
      <c r="C15" s="23">
        <f>IF($B15&lt;=Inputs!$C$6+Inputs!$C$11,$M14,"")</f>
        <v/>
      </c>
      <c r="D15" s="24">
        <f>IF($B15&lt;=Inputs!$C$6,-PMT(Inputs!$C$5/12,Inputs!$C$6,Inputs!$C$4),0)</f>
        <v/>
      </c>
      <c r="E15" s="24">
        <f>IF($B15&lt;=Inputs!$C$6+Inputs!$C$11,$C15*Inputs!$C$5/12,0)</f>
        <v/>
      </c>
      <c r="F15" s="24">
        <f>IF($B15&lt;=Inputs!$C$6,MAX(0,$D15-$E15),0)</f>
        <v/>
      </c>
      <c r="G15" s="24">
        <f>IF($B15&lt;=Inputs!$C$6,MAX(0,($C15-$F15))*(1-(1-Inputs!$C$8)^(1/12)),0)</f>
        <v/>
      </c>
      <c r="H15" s="24">
        <f>IF($B15&lt;=Inputs!$C$6,MAX(0,($C15-$F15-$G15))*(1-(1-Inputs!$C$9)^(1/12)),0)</f>
        <v/>
      </c>
      <c r="I15" s="24">
        <f>IF($B15&gt;Inputs!$C$11,INDEX($H:$H,ROW()-Inputs!$C$11)* (1-Inputs!$C$10),0)</f>
        <v/>
      </c>
      <c r="J15" s="24">
        <f>$H15*Inputs!$C$10</f>
        <v/>
      </c>
      <c r="K15" s="24">
        <f>IF($B15&lt;=Inputs!$C$6+Inputs!$C$11,$C15*Inputs!$C$7/12,0)</f>
        <v/>
      </c>
      <c r="L15" s="24">
        <f>IF($B15&lt;=Inputs!$C$6+Inputs!$C$11,$E15+$F15+$G15+$I15-$K15,0)</f>
        <v/>
      </c>
      <c r="M15" s="24">
        <f>IF($B15&lt;=Inputs!$C$6,MAX(0,$C15-$F15-$G15-$H15),0)</f>
        <v/>
      </c>
    </row>
    <row r="16">
      <c r="B16" s="22" t="n">
        <v>13</v>
      </c>
      <c r="C16" s="23">
        <f>IF($B16&lt;=Inputs!$C$6+Inputs!$C$11,$M15,"")</f>
        <v/>
      </c>
      <c r="D16" s="24">
        <f>IF($B16&lt;=Inputs!$C$6,-PMT(Inputs!$C$5/12,Inputs!$C$6,Inputs!$C$4),0)</f>
        <v/>
      </c>
      <c r="E16" s="24">
        <f>IF($B16&lt;=Inputs!$C$6+Inputs!$C$11,$C16*Inputs!$C$5/12,0)</f>
        <v/>
      </c>
      <c r="F16" s="24">
        <f>IF($B16&lt;=Inputs!$C$6,MAX(0,$D16-$E16),0)</f>
        <v/>
      </c>
      <c r="G16" s="24">
        <f>IF($B16&lt;=Inputs!$C$6,MAX(0,($C16-$F16))*(1-(1-Inputs!$C$8)^(1/12)),0)</f>
        <v/>
      </c>
      <c r="H16" s="24">
        <f>IF($B16&lt;=Inputs!$C$6,MAX(0,($C16-$F16-$G16))*(1-(1-Inputs!$C$9)^(1/12)),0)</f>
        <v/>
      </c>
      <c r="I16" s="24">
        <f>IF($B16&gt;Inputs!$C$11,INDEX($H:$H,ROW()-Inputs!$C$11)* (1-Inputs!$C$10),0)</f>
        <v/>
      </c>
      <c r="J16" s="24">
        <f>$H16*Inputs!$C$10</f>
        <v/>
      </c>
      <c r="K16" s="24">
        <f>IF($B16&lt;=Inputs!$C$6+Inputs!$C$11,$C16*Inputs!$C$7/12,0)</f>
        <v/>
      </c>
      <c r="L16" s="24">
        <f>IF($B16&lt;=Inputs!$C$6+Inputs!$C$11,$E16+$F16+$G16+$I16-$K16,0)</f>
        <v/>
      </c>
      <c r="M16" s="24">
        <f>IF($B16&lt;=Inputs!$C$6,MAX(0,$C16-$F16-$G16-$H16),0)</f>
        <v/>
      </c>
    </row>
    <row r="17">
      <c r="B17" s="22" t="n">
        <v>14</v>
      </c>
      <c r="C17" s="23">
        <f>IF($B17&lt;=Inputs!$C$6+Inputs!$C$11,$M16,"")</f>
        <v/>
      </c>
      <c r="D17" s="24">
        <f>IF($B17&lt;=Inputs!$C$6,-PMT(Inputs!$C$5/12,Inputs!$C$6,Inputs!$C$4),0)</f>
        <v/>
      </c>
      <c r="E17" s="24">
        <f>IF($B17&lt;=Inputs!$C$6+Inputs!$C$11,$C17*Inputs!$C$5/12,0)</f>
        <v/>
      </c>
      <c r="F17" s="24">
        <f>IF($B17&lt;=Inputs!$C$6,MAX(0,$D17-$E17),0)</f>
        <v/>
      </c>
      <c r="G17" s="24">
        <f>IF($B17&lt;=Inputs!$C$6,MAX(0,($C17-$F17))*(1-(1-Inputs!$C$8)^(1/12)),0)</f>
        <v/>
      </c>
      <c r="H17" s="24">
        <f>IF($B17&lt;=Inputs!$C$6,MAX(0,($C17-$F17-$G17))*(1-(1-Inputs!$C$9)^(1/12)),0)</f>
        <v/>
      </c>
      <c r="I17" s="24">
        <f>IF($B17&gt;Inputs!$C$11,INDEX($H:$H,ROW()-Inputs!$C$11)* (1-Inputs!$C$10),0)</f>
        <v/>
      </c>
      <c r="J17" s="24">
        <f>$H17*Inputs!$C$10</f>
        <v/>
      </c>
      <c r="K17" s="24">
        <f>IF($B17&lt;=Inputs!$C$6+Inputs!$C$11,$C17*Inputs!$C$7/12,0)</f>
        <v/>
      </c>
      <c r="L17" s="24">
        <f>IF($B17&lt;=Inputs!$C$6+Inputs!$C$11,$E17+$F17+$G17+$I17-$K17,0)</f>
        <v/>
      </c>
      <c r="M17" s="24">
        <f>IF($B17&lt;=Inputs!$C$6,MAX(0,$C17-$F17-$G17-$H17),0)</f>
        <v/>
      </c>
    </row>
    <row r="18">
      <c r="B18" s="22" t="n">
        <v>15</v>
      </c>
      <c r="C18" s="23">
        <f>IF($B18&lt;=Inputs!$C$6+Inputs!$C$11,$M17,"")</f>
        <v/>
      </c>
      <c r="D18" s="24">
        <f>IF($B18&lt;=Inputs!$C$6,-PMT(Inputs!$C$5/12,Inputs!$C$6,Inputs!$C$4),0)</f>
        <v/>
      </c>
      <c r="E18" s="24">
        <f>IF($B18&lt;=Inputs!$C$6+Inputs!$C$11,$C18*Inputs!$C$5/12,0)</f>
        <v/>
      </c>
      <c r="F18" s="24">
        <f>IF($B18&lt;=Inputs!$C$6,MAX(0,$D18-$E18),0)</f>
        <v/>
      </c>
      <c r="G18" s="24">
        <f>IF($B18&lt;=Inputs!$C$6,MAX(0,($C18-$F18))*(1-(1-Inputs!$C$8)^(1/12)),0)</f>
        <v/>
      </c>
      <c r="H18" s="24">
        <f>IF($B18&lt;=Inputs!$C$6,MAX(0,($C18-$F18-$G18))*(1-(1-Inputs!$C$9)^(1/12)),0)</f>
        <v/>
      </c>
      <c r="I18" s="24">
        <f>IF($B18&gt;Inputs!$C$11,INDEX($H:$H,ROW()-Inputs!$C$11)* (1-Inputs!$C$10),0)</f>
        <v/>
      </c>
      <c r="J18" s="24">
        <f>$H18*Inputs!$C$10</f>
        <v/>
      </c>
      <c r="K18" s="24">
        <f>IF($B18&lt;=Inputs!$C$6+Inputs!$C$11,$C18*Inputs!$C$7/12,0)</f>
        <v/>
      </c>
      <c r="L18" s="24">
        <f>IF($B18&lt;=Inputs!$C$6+Inputs!$C$11,$E18+$F18+$G18+$I18-$K18,0)</f>
        <v/>
      </c>
      <c r="M18" s="24">
        <f>IF($B18&lt;=Inputs!$C$6,MAX(0,$C18-$F18-$G18-$H18),0)</f>
        <v/>
      </c>
    </row>
    <row r="19">
      <c r="B19" s="22" t="n">
        <v>16</v>
      </c>
      <c r="C19" s="23">
        <f>IF($B19&lt;=Inputs!$C$6+Inputs!$C$11,$M18,"")</f>
        <v/>
      </c>
      <c r="D19" s="24">
        <f>IF($B19&lt;=Inputs!$C$6,-PMT(Inputs!$C$5/12,Inputs!$C$6,Inputs!$C$4),0)</f>
        <v/>
      </c>
      <c r="E19" s="24">
        <f>IF($B19&lt;=Inputs!$C$6+Inputs!$C$11,$C19*Inputs!$C$5/12,0)</f>
        <v/>
      </c>
      <c r="F19" s="24">
        <f>IF($B19&lt;=Inputs!$C$6,MAX(0,$D19-$E19),0)</f>
        <v/>
      </c>
      <c r="G19" s="24">
        <f>IF($B19&lt;=Inputs!$C$6,MAX(0,($C19-$F19))*(1-(1-Inputs!$C$8)^(1/12)),0)</f>
        <v/>
      </c>
      <c r="H19" s="24">
        <f>IF($B19&lt;=Inputs!$C$6,MAX(0,($C19-$F19-$G19))*(1-(1-Inputs!$C$9)^(1/12)),0)</f>
        <v/>
      </c>
      <c r="I19" s="24">
        <f>IF($B19&gt;Inputs!$C$11,INDEX($H:$H,ROW()-Inputs!$C$11)* (1-Inputs!$C$10),0)</f>
        <v/>
      </c>
      <c r="J19" s="24">
        <f>$H19*Inputs!$C$10</f>
        <v/>
      </c>
      <c r="K19" s="24">
        <f>IF($B19&lt;=Inputs!$C$6+Inputs!$C$11,$C19*Inputs!$C$7/12,0)</f>
        <v/>
      </c>
      <c r="L19" s="24">
        <f>IF($B19&lt;=Inputs!$C$6+Inputs!$C$11,$E19+$F19+$G19+$I19-$K19,0)</f>
        <v/>
      </c>
      <c r="M19" s="24">
        <f>IF($B19&lt;=Inputs!$C$6,MAX(0,$C19-$F19-$G19-$H19),0)</f>
        <v/>
      </c>
    </row>
    <row r="20">
      <c r="B20" s="22" t="n">
        <v>17</v>
      </c>
      <c r="C20" s="23">
        <f>IF($B20&lt;=Inputs!$C$6+Inputs!$C$11,$M19,"")</f>
        <v/>
      </c>
      <c r="D20" s="24">
        <f>IF($B20&lt;=Inputs!$C$6,-PMT(Inputs!$C$5/12,Inputs!$C$6,Inputs!$C$4),0)</f>
        <v/>
      </c>
      <c r="E20" s="24">
        <f>IF($B20&lt;=Inputs!$C$6+Inputs!$C$11,$C20*Inputs!$C$5/12,0)</f>
        <v/>
      </c>
      <c r="F20" s="24">
        <f>IF($B20&lt;=Inputs!$C$6,MAX(0,$D20-$E20),0)</f>
        <v/>
      </c>
      <c r="G20" s="24">
        <f>IF($B20&lt;=Inputs!$C$6,MAX(0,($C20-$F20))*(1-(1-Inputs!$C$8)^(1/12)),0)</f>
        <v/>
      </c>
      <c r="H20" s="24">
        <f>IF($B20&lt;=Inputs!$C$6,MAX(0,($C20-$F20-$G20))*(1-(1-Inputs!$C$9)^(1/12)),0)</f>
        <v/>
      </c>
      <c r="I20" s="24">
        <f>IF($B20&gt;Inputs!$C$11,INDEX($H:$H,ROW()-Inputs!$C$11)* (1-Inputs!$C$10),0)</f>
        <v/>
      </c>
      <c r="J20" s="24">
        <f>$H20*Inputs!$C$10</f>
        <v/>
      </c>
      <c r="K20" s="24">
        <f>IF($B20&lt;=Inputs!$C$6+Inputs!$C$11,$C20*Inputs!$C$7/12,0)</f>
        <v/>
      </c>
      <c r="L20" s="24">
        <f>IF($B20&lt;=Inputs!$C$6+Inputs!$C$11,$E20+$F20+$G20+$I20-$K20,0)</f>
        <v/>
      </c>
      <c r="M20" s="24">
        <f>IF($B20&lt;=Inputs!$C$6,MAX(0,$C20-$F20-$G20-$H20),0)</f>
        <v/>
      </c>
    </row>
    <row r="21">
      <c r="B21" s="22" t="n">
        <v>18</v>
      </c>
      <c r="C21" s="23">
        <f>IF($B21&lt;=Inputs!$C$6+Inputs!$C$11,$M20,"")</f>
        <v/>
      </c>
      <c r="D21" s="24">
        <f>IF($B21&lt;=Inputs!$C$6,-PMT(Inputs!$C$5/12,Inputs!$C$6,Inputs!$C$4),0)</f>
        <v/>
      </c>
      <c r="E21" s="24">
        <f>IF($B21&lt;=Inputs!$C$6+Inputs!$C$11,$C21*Inputs!$C$5/12,0)</f>
        <v/>
      </c>
      <c r="F21" s="24">
        <f>IF($B21&lt;=Inputs!$C$6,MAX(0,$D21-$E21),0)</f>
        <v/>
      </c>
      <c r="G21" s="24">
        <f>IF($B21&lt;=Inputs!$C$6,MAX(0,($C21-$F21))*(1-(1-Inputs!$C$8)^(1/12)),0)</f>
        <v/>
      </c>
      <c r="H21" s="24">
        <f>IF($B21&lt;=Inputs!$C$6,MAX(0,($C21-$F21-$G21))*(1-(1-Inputs!$C$9)^(1/12)),0)</f>
        <v/>
      </c>
      <c r="I21" s="24">
        <f>IF($B21&gt;Inputs!$C$11,INDEX($H:$H,ROW()-Inputs!$C$11)* (1-Inputs!$C$10),0)</f>
        <v/>
      </c>
      <c r="J21" s="24">
        <f>$H21*Inputs!$C$10</f>
        <v/>
      </c>
      <c r="K21" s="24">
        <f>IF($B21&lt;=Inputs!$C$6+Inputs!$C$11,$C21*Inputs!$C$7/12,0)</f>
        <v/>
      </c>
      <c r="L21" s="24">
        <f>IF($B21&lt;=Inputs!$C$6+Inputs!$C$11,$E21+$F21+$G21+$I21-$K21,0)</f>
        <v/>
      </c>
      <c r="M21" s="24">
        <f>IF($B21&lt;=Inputs!$C$6,MAX(0,$C21-$F21-$G21-$H21),0)</f>
        <v/>
      </c>
    </row>
    <row r="22">
      <c r="B22" s="22" t="n">
        <v>19</v>
      </c>
      <c r="C22" s="23">
        <f>IF($B22&lt;=Inputs!$C$6+Inputs!$C$11,$M21,"")</f>
        <v/>
      </c>
      <c r="D22" s="24">
        <f>IF($B22&lt;=Inputs!$C$6,-PMT(Inputs!$C$5/12,Inputs!$C$6,Inputs!$C$4),0)</f>
        <v/>
      </c>
      <c r="E22" s="24">
        <f>IF($B22&lt;=Inputs!$C$6+Inputs!$C$11,$C22*Inputs!$C$5/12,0)</f>
        <v/>
      </c>
      <c r="F22" s="24">
        <f>IF($B22&lt;=Inputs!$C$6,MAX(0,$D22-$E22),0)</f>
        <v/>
      </c>
      <c r="G22" s="24">
        <f>IF($B22&lt;=Inputs!$C$6,MAX(0,($C22-$F22))*(1-(1-Inputs!$C$8)^(1/12)),0)</f>
        <v/>
      </c>
      <c r="H22" s="24">
        <f>IF($B22&lt;=Inputs!$C$6,MAX(0,($C22-$F22-$G22))*(1-(1-Inputs!$C$9)^(1/12)),0)</f>
        <v/>
      </c>
      <c r="I22" s="24">
        <f>IF($B22&gt;Inputs!$C$11,INDEX($H:$H,ROW()-Inputs!$C$11)* (1-Inputs!$C$10),0)</f>
        <v/>
      </c>
      <c r="J22" s="24">
        <f>$H22*Inputs!$C$10</f>
        <v/>
      </c>
      <c r="K22" s="24">
        <f>IF($B22&lt;=Inputs!$C$6+Inputs!$C$11,$C22*Inputs!$C$7/12,0)</f>
        <v/>
      </c>
      <c r="L22" s="24">
        <f>IF($B22&lt;=Inputs!$C$6+Inputs!$C$11,$E22+$F22+$G22+$I22-$K22,0)</f>
        <v/>
      </c>
      <c r="M22" s="24">
        <f>IF($B22&lt;=Inputs!$C$6,MAX(0,$C22-$F22-$G22-$H22),0)</f>
        <v/>
      </c>
    </row>
    <row r="23">
      <c r="B23" s="22" t="n">
        <v>20</v>
      </c>
      <c r="C23" s="23">
        <f>IF($B23&lt;=Inputs!$C$6+Inputs!$C$11,$M22,"")</f>
        <v/>
      </c>
      <c r="D23" s="24">
        <f>IF($B23&lt;=Inputs!$C$6,-PMT(Inputs!$C$5/12,Inputs!$C$6,Inputs!$C$4),0)</f>
        <v/>
      </c>
      <c r="E23" s="24">
        <f>IF($B23&lt;=Inputs!$C$6+Inputs!$C$11,$C23*Inputs!$C$5/12,0)</f>
        <v/>
      </c>
      <c r="F23" s="24">
        <f>IF($B23&lt;=Inputs!$C$6,MAX(0,$D23-$E23),0)</f>
        <v/>
      </c>
      <c r="G23" s="24">
        <f>IF($B23&lt;=Inputs!$C$6,MAX(0,($C23-$F23))*(1-(1-Inputs!$C$8)^(1/12)),0)</f>
        <v/>
      </c>
      <c r="H23" s="24">
        <f>IF($B23&lt;=Inputs!$C$6,MAX(0,($C23-$F23-$G23))*(1-(1-Inputs!$C$9)^(1/12)),0)</f>
        <v/>
      </c>
      <c r="I23" s="24">
        <f>IF($B23&gt;Inputs!$C$11,INDEX($H:$H,ROW()-Inputs!$C$11)* (1-Inputs!$C$10),0)</f>
        <v/>
      </c>
      <c r="J23" s="24">
        <f>$H23*Inputs!$C$10</f>
        <v/>
      </c>
      <c r="K23" s="24">
        <f>IF($B23&lt;=Inputs!$C$6+Inputs!$C$11,$C23*Inputs!$C$7/12,0)</f>
        <v/>
      </c>
      <c r="L23" s="24">
        <f>IF($B23&lt;=Inputs!$C$6+Inputs!$C$11,$E23+$F23+$G23+$I23-$K23,0)</f>
        <v/>
      </c>
      <c r="M23" s="24">
        <f>IF($B23&lt;=Inputs!$C$6,MAX(0,$C23-$F23-$G23-$H23),0)</f>
        <v/>
      </c>
    </row>
    <row r="24">
      <c r="B24" s="22" t="n">
        <v>21</v>
      </c>
      <c r="C24" s="23">
        <f>IF($B24&lt;=Inputs!$C$6+Inputs!$C$11,$M23,"")</f>
        <v/>
      </c>
      <c r="D24" s="24">
        <f>IF($B24&lt;=Inputs!$C$6,-PMT(Inputs!$C$5/12,Inputs!$C$6,Inputs!$C$4),0)</f>
        <v/>
      </c>
      <c r="E24" s="24">
        <f>IF($B24&lt;=Inputs!$C$6+Inputs!$C$11,$C24*Inputs!$C$5/12,0)</f>
        <v/>
      </c>
      <c r="F24" s="24">
        <f>IF($B24&lt;=Inputs!$C$6,MAX(0,$D24-$E24),0)</f>
        <v/>
      </c>
      <c r="G24" s="24">
        <f>IF($B24&lt;=Inputs!$C$6,MAX(0,($C24-$F24))*(1-(1-Inputs!$C$8)^(1/12)),0)</f>
        <v/>
      </c>
      <c r="H24" s="24">
        <f>IF($B24&lt;=Inputs!$C$6,MAX(0,($C24-$F24-$G24))*(1-(1-Inputs!$C$9)^(1/12)),0)</f>
        <v/>
      </c>
      <c r="I24" s="24">
        <f>IF($B24&gt;Inputs!$C$11,INDEX($H:$H,ROW()-Inputs!$C$11)* (1-Inputs!$C$10),0)</f>
        <v/>
      </c>
      <c r="J24" s="24">
        <f>$H24*Inputs!$C$10</f>
        <v/>
      </c>
      <c r="K24" s="24">
        <f>IF($B24&lt;=Inputs!$C$6+Inputs!$C$11,$C24*Inputs!$C$7/12,0)</f>
        <v/>
      </c>
      <c r="L24" s="24">
        <f>IF($B24&lt;=Inputs!$C$6+Inputs!$C$11,$E24+$F24+$G24+$I24-$K24,0)</f>
        <v/>
      </c>
      <c r="M24" s="24">
        <f>IF($B24&lt;=Inputs!$C$6,MAX(0,$C24-$F24-$G24-$H24),0)</f>
        <v/>
      </c>
    </row>
    <row r="25">
      <c r="B25" s="22" t="n">
        <v>22</v>
      </c>
      <c r="C25" s="23">
        <f>IF($B25&lt;=Inputs!$C$6+Inputs!$C$11,$M24,"")</f>
        <v/>
      </c>
      <c r="D25" s="24">
        <f>IF($B25&lt;=Inputs!$C$6,-PMT(Inputs!$C$5/12,Inputs!$C$6,Inputs!$C$4),0)</f>
        <v/>
      </c>
      <c r="E25" s="24">
        <f>IF($B25&lt;=Inputs!$C$6+Inputs!$C$11,$C25*Inputs!$C$5/12,0)</f>
        <v/>
      </c>
      <c r="F25" s="24">
        <f>IF($B25&lt;=Inputs!$C$6,MAX(0,$D25-$E25),0)</f>
        <v/>
      </c>
      <c r="G25" s="24">
        <f>IF($B25&lt;=Inputs!$C$6,MAX(0,($C25-$F25))*(1-(1-Inputs!$C$8)^(1/12)),0)</f>
        <v/>
      </c>
      <c r="H25" s="24">
        <f>IF($B25&lt;=Inputs!$C$6,MAX(0,($C25-$F25-$G25))*(1-(1-Inputs!$C$9)^(1/12)),0)</f>
        <v/>
      </c>
      <c r="I25" s="24">
        <f>IF($B25&gt;Inputs!$C$11,INDEX($H:$H,ROW()-Inputs!$C$11)* (1-Inputs!$C$10),0)</f>
        <v/>
      </c>
      <c r="J25" s="24">
        <f>$H25*Inputs!$C$10</f>
        <v/>
      </c>
      <c r="K25" s="24">
        <f>IF($B25&lt;=Inputs!$C$6+Inputs!$C$11,$C25*Inputs!$C$7/12,0)</f>
        <v/>
      </c>
      <c r="L25" s="24">
        <f>IF($B25&lt;=Inputs!$C$6+Inputs!$C$11,$E25+$F25+$G25+$I25-$K25,0)</f>
        <v/>
      </c>
      <c r="M25" s="24">
        <f>IF($B25&lt;=Inputs!$C$6,MAX(0,$C25-$F25-$G25-$H25),0)</f>
        <v/>
      </c>
    </row>
    <row r="26">
      <c r="B26" s="22" t="n">
        <v>23</v>
      </c>
      <c r="C26" s="23">
        <f>IF($B26&lt;=Inputs!$C$6+Inputs!$C$11,$M25,"")</f>
        <v/>
      </c>
      <c r="D26" s="24">
        <f>IF($B26&lt;=Inputs!$C$6,-PMT(Inputs!$C$5/12,Inputs!$C$6,Inputs!$C$4),0)</f>
        <v/>
      </c>
      <c r="E26" s="24">
        <f>IF($B26&lt;=Inputs!$C$6+Inputs!$C$11,$C26*Inputs!$C$5/12,0)</f>
        <v/>
      </c>
      <c r="F26" s="24">
        <f>IF($B26&lt;=Inputs!$C$6,MAX(0,$D26-$E26),0)</f>
        <v/>
      </c>
      <c r="G26" s="24">
        <f>IF($B26&lt;=Inputs!$C$6,MAX(0,($C26-$F26))*(1-(1-Inputs!$C$8)^(1/12)),0)</f>
        <v/>
      </c>
      <c r="H26" s="24">
        <f>IF($B26&lt;=Inputs!$C$6,MAX(0,($C26-$F26-$G26))*(1-(1-Inputs!$C$9)^(1/12)),0)</f>
        <v/>
      </c>
      <c r="I26" s="24">
        <f>IF($B26&gt;Inputs!$C$11,INDEX($H:$H,ROW()-Inputs!$C$11)* (1-Inputs!$C$10),0)</f>
        <v/>
      </c>
      <c r="J26" s="24">
        <f>$H26*Inputs!$C$10</f>
        <v/>
      </c>
      <c r="K26" s="24">
        <f>IF($B26&lt;=Inputs!$C$6+Inputs!$C$11,$C26*Inputs!$C$7/12,0)</f>
        <v/>
      </c>
      <c r="L26" s="24">
        <f>IF($B26&lt;=Inputs!$C$6+Inputs!$C$11,$E26+$F26+$G26+$I26-$K26,0)</f>
        <v/>
      </c>
      <c r="M26" s="24">
        <f>IF($B26&lt;=Inputs!$C$6,MAX(0,$C26-$F26-$G26-$H26),0)</f>
        <v/>
      </c>
    </row>
    <row r="27">
      <c r="B27" s="22" t="n">
        <v>24</v>
      </c>
      <c r="C27" s="23">
        <f>IF($B27&lt;=Inputs!$C$6+Inputs!$C$11,$M26,"")</f>
        <v/>
      </c>
      <c r="D27" s="24">
        <f>IF($B27&lt;=Inputs!$C$6,-PMT(Inputs!$C$5/12,Inputs!$C$6,Inputs!$C$4),0)</f>
        <v/>
      </c>
      <c r="E27" s="24">
        <f>IF($B27&lt;=Inputs!$C$6+Inputs!$C$11,$C27*Inputs!$C$5/12,0)</f>
        <v/>
      </c>
      <c r="F27" s="24">
        <f>IF($B27&lt;=Inputs!$C$6,MAX(0,$D27-$E27),0)</f>
        <v/>
      </c>
      <c r="G27" s="24">
        <f>IF($B27&lt;=Inputs!$C$6,MAX(0,($C27-$F27))*(1-(1-Inputs!$C$8)^(1/12)),0)</f>
        <v/>
      </c>
      <c r="H27" s="24">
        <f>IF($B27&lt;=Inputs!$C$6,MAX(0,($C27-$F27-$G27))*(1-(1-Inputs!$C$9)^(1/12)),0)</f>
        <v/>
      </c>
      <c r="I27" s="24">
        <f>IF($B27&gt;Inputs!$C$11,INDEX($H:$H,ROW()-Inputs!$C$11)* (1-Inputs!$C$10),0)</f>
        <v/>
      </c>
      <c r="J27" s="24">
        <f>$H27*Inputs!$C$10</f>
        <v/>
      </c>
      <c r="K27" s="24">
        <f>IF($B27&lt;=Inputs!$C$6+Inputs!$C$11,$C27*Inputs!$C$7/12,0)</f>
        <v/>
      </c>
      <c r="L27" s="24">
        <f>IF($B27&lt;=Inputs!$C$6+Inputs!$C$11,$E27+$F27+$G27+$I27-$K27,0)</f>
        <v/>
      </c>
      <c r="M27" s="24">
        <f>IF($B27&lt;=Inputs!$C$6,MAX(0,$C27-$F27-$G27-$H27),0)</f>
        <v/>
      </c>
    </row>
    <row r="28">
      <c r="B28" s="22" t="n">
        <v>25</v>
      </c>
      <c r="C28" s="23">
        <f>IF($B28&lt;=Inputs!$C$6+Inputs!$C$11,$M27,"")</f>
        <v/>
      </c>
      <c r="D28" s="24">
        <f>IF($B28&lt;=Inputs!$C$6,-PMT(Inputs!$C$5/12,Inputs!$C$6,Inputs!$C$4),0)</f>
        <v/>
      </c>
      <c r="E28" s="24">
        <f>IF($B28&lt;=Inputs!$C$6+Inputs!$C$11,$C28*Inputs!$C$5/12,0)</f>
        <v/>
      </c>
      <c r="F28" s="24">
        <f>IF($B28&lt;=Inputs!$C$6,MAX(0,$D28-$E28),0)</f>
        <v/>
      </c>
      <c r="G28" s="24">
        <f>IF($B28&lt;=Inputs!$C$6,MAX(0,($C28-$F28))*(1-(1-Inputs!$C$8)^(1/12)),0)</f>
        <v/>
      </c>
      <c r="H28" s="24">
        <f>IF($B28&lt;=Inputs!$C$6,MAX(0,($C28-$F28-$G28))*(1-(1-Inputs!$C$9)^(1/12)),0)</f>
        <v/>
      </c>
      <c r="I28" s="24">
        <f>IF($B28&gt;Inputs!$C$11,INDEX($H:$H,ROW()-Inputs!$C$11)* (1-Inputs!$C$10),0)</f>
        <v/>
      </c>
      <c r="J28" s="24">
        <f>$H28*Inputs!$C$10</f>
        <v/>
      </c>
      <c r="K28" s="24">
        <f>IF($B28&lt;=Inputs!$C$6+Inputs!$C$11,$C28*Inputs!$C$7/12,0)</f>
        <v/>
      </c>
      <c r="L28" s="24">
        <f>IF($B28&lt;=Inputs!$C$6+Inputs!$C$11,$E28+$F28+$G28+$I28-$K28,0)</f>
        <v/>
      </c>
      <c r="M28" s="24">
        <f>IF($B28&lt;=Inputs!$C$6,MAX(0,$C28-$F28-$G28-$H28),0)</f>
        <v/>
      </c>
    </row>
    <row r="29">
      <c r="B29" s="22" t="n">
        <v>26</v>
      </c>
      <c r="C29" s="23">
        <f>IF($B29&lt;=Inputs!$C$6+Inputs!$C$11,$M28,"")</f>
        <v/>
      </c>
      <c r="D29" s="24">
        <f>IF($B29&lt;=Inputs!$C$6,-PMT(Inputs!$C$5/12,Inputs!$C$6,Inputs!$C$4),0)</f>
        <v/>
      </c>
      <c r="E29" s="24">
        <f>IF($B29&lt;=Inputs!$C$6+Inputs!$C$11,$C29*Inputs!$C$5/12,0)</f>
        <v/>
      </c>
      <c r="F29" s="24">
        <f>IF($B29&lt;=Inputs!$C$6,MAX(0,$D29-$E29),0)</f>
        <v/>
      </c>
      <c r="G29" s="24">
        <f>IF($B29&lt;=Inputs!$C$6,MAX(0,($C29-$F29))*(1-(1-Inputs!$C$8)^(1/12)),0)</f>
        <v/>
      </c>
      <c r="H29" s="24">
        <f>IF($B29&lt;=Inputs!$C$6,MAX(0,($C29-$F29-$G29))*(1-(1-Inputs!$C$9)^(1/12)),0)</f>
        <v/>
      </c>
      <c r="I29" s="24">
        <f>IF($B29&gt;Inputs!$C$11,INDEX($H:$H,ROW()-Inputs!$C$11)* (1-Inputs!$C$10),0)</f>
        <v/>
      </c>
      <c r="J29" s="24">
        <f>$H29*Inputs!$C$10</f>
        <v/>
      </c>
      <c r="K29" s="24">
        <f>IF($B29&lt;=Inputs!$C$6+Inputs!$C$11,$C29*Inputs!$C$7/12,0)</f>
        <v/>
      </c>
      <c r="L29" s="24">
        <f>IF($B29&lt;=Inputs!$C$6+Inputs!$C$11,$E29+$F29+$G29+$I29-$K29,0)</f>
        <v/>
      </c>
      <c r="M29" s="24">
        <f>IF($B29&lt;=Inputs!$C$6,MAX(0,$C29-$F29-$G29-$H29),0)</f>
        <v/>
      </c>
    </row>
    <row r="30">
      <c r="B30" s="22" t="n">
        <v>27</v>
      </c>
      <c r="C30" s="23">
        <f>IF($B30&lt;=Inputs!$C$6+Inputs!$C$11,$M29,"")</f>
        <v/>
      </c>
      <c r="D30" s="24">
        <f>IF($B30&lt;=Inputs!$C$6,-PMT(Inputs!$C$5/12,Inputs!$C$6,Inputs!$C$4),0)</f>
        <v/>
      </c>
      <c r="E30" s="24">
        <f>IF($B30&lt;=Inputs!$C$6+Inputs!$C$11,$C30*Inputs!$C$5/12,0)</f>
        <v/>
      </c>
      <c r="F30" s="24">
        <f>IF($B30&lt;=Inputs!$C$6,MAX(0,$D30-$E30),0)</f>
        <v/>
      </c>
      <c r="G30" s="24">
        <f>IF($B30&lt;=Inputs!$C$6,MAX(0,($C30-$F30))*(1-(1-Inputs!$C$8)^(1/12)),0)</f>
        <v/>
      </c>
      <c r="H30" s="24">
        <f>IF($B30&lt;=Inputs!$C$6,MAX(0,($C30-$F30-$G30))*(1-(1-Inputs!$C$9)^(1/12)),0)</f>
        <v/>
      </c>
      <c r="I30" s="24">
        <f>IF($B30&gt;Inputs!$C$11,INDEX($H:$H,ROW()-Inputs!$C$11)* (1-Inputs!$C$10),0)</f>
        <v/>
      </c>
      <c r="J30" s="24">
        <f>$H30*Inputs!$C$10</f>
        <v/>
      </c>
      <c r="K30" s="24">
        <f>IF($B30&lt;=Inputs!$C$6+Inputs!$C$11,$C30*Inputs!$C$7/12,0)</f>
        <v/>
      </c>
      <c r="L30" s="24">
        <f>IF($B30&lt;=Inputs!$C$6+Inputs!$C$11,$E30+$F30+$G30+$I30-$K30,0)</f>
        <v/>
      </c>
      <c r="M30" s="24">
        <f>IF($B30&lt;=Inputs!$C$6,MAX(0,$C30-$F30-$G30-$H30),0)</f>
        <v/>
      </c>
    </row>
    <row r="31">
      <c r="B31" s="22" t="n">
        <v>28</v>
      </c>
      <c r="C31" s="23">
        <f>IF($B31&lt;=Inputs!$C$6+Inputs!$C$11,$M30,"")</f>
        <v/>
      </c>
      <c r="D31" s="24">
        <f>IF($B31&lt;=Inputs!$C$6,-PMT(Inputs!$C$5/12,Inputs!$C$6,Inputs!$C$4),0)</f>
        <v/>
      </c>
      <c r="E31" s="24">
        <f>IF($B31&lt;=Inputs!$C$6+Inputs!$C$11,$C31*Inputs!$C$5/12,0)</f>
        <v/>
      </c>
      <c r="F31" s="24">
        <f>IF($B31&lt;=Inputs!$C$6,MAX(0,$D31-$E31),0)</f>
        <v/>
      </c>
      <c r="G31" s="24">
        <f>IF($B31&lt;=Inputs!$C$6,MAX(0,($C31-$F31))*(1-(1-Inputs!$C$8)^(1/12)),0)</f>
        <v/>
      </c>
      <c r="H31" s="24">
        <f>IF($B31&lt;=Inputs!$C$6,MAX(0,($C31-$F31-$G31))*(1-(1-Inputs!$C$9)^(1/12)),0)</f>
        <v/>
      </c>
      <c r="I31" s="24">
        <f>IF($B31&gt;Inputs!$C$11,INDEX($H:$H,ROW()-Inputs!$C$11)* (1-Inputs!$C$10),0)</f>
        <v/>
      </c>
      <c r="J31" s="24">
        <f>$H31*Inputs!$C$10</f>
        <v/>
      </c>
      <c r="K31" s="24">
        <f>IF($B31&lt;=Inputs!$C$6+Inputs!$C$11,$C31*Inputs!$C$7/12,0)</f>
        <v/>
      </c>
      <c r="L31" s="24">
        <f>IF($B31&lt;=Inputs!$C$6+Inputs!$C$11,$E31+$F31+$G31+$I31-$K31,0)</f>
        <v/>
      </c>
      <c r="M31" s="24">
        <f>IF($B31&lt;=Inputs!$C$6,MAX(0,$C31-$F31-$G31-$H31),0)</f>
        <v/>
      </c>
    </row>
    <row r="32">
      <c r="B32" s="22" t="n">
        <v>29</v>
      </c>
      <c r="C32" s="23">
        <f>IF($B32&lt;=Inputs!$C$6+Inputs!$C$11,$M31,"")</f>
        <v/>
      </c>
      <c r="D32" s="24">
        <f>IF($B32&lt;=Inputs!$C$6,-PMT(Inputs!$C$5/12,Inputs!$C$6,Inputs!$C$4),0)</f>
        <v/>
      </c>
      <c r="E32" s="24">
        <f>IF($B32&lt;=Inputs!$C$6+Inputs!$C$11,$C32*Inputs!$C$5/12,0)</f>
        <v/>
      </c>
      <c r="F32" s="24">
        <f>IF($B32&lt;=Inputs!$C$6,MAX(0,$D32-$E32),0)</f>
        <v/>
      </c>
      <c r="G32" s="24">
        <f>IF($B32&lt;=Inputs!$C$6,MAX(0,($C32-$F32))*(1-(1-Inputs!$C$8)^(1/12)),0)</f>
        <v/>
      </c>
      <c r="H32" s="24">
        <f>IF($B32&lt;=Inputs!$C$6,MAX(0,($C32-$F32-$G32))*(1-(1-Inputs!$C$9)^(1/12)),0)</f>
        <v/>
      </c>
      <c r="I32" s="24">
        <f>IF($B32&gt;Inputs!$C$11,INDEX($H:$H,ROW()-Inputs!$C$11)* (1-Inputs!$C$10),0)</f>
        <v/>
      </c>
      <c r="J32" s="24">
        <f>$H32*Inputs!$C$10</f>
        <v/>
      </c>
      <c r="K32" s="24">
        <f>IF($B32&lt;=Inputs!$C$6+Inputs!$C$11,$C32*Inputs!$C$7/12,0)</f>
        <v/>
      </c>
      <c r="L32" s="24">
        <f>IF($B32&lt;=Inputs!$C$6+Inputs!$C$11,$E32+$F32+$G32+$I32-$K32,0)</f>
        <v/>
      </c>
      <c r="M32" s="24">
        <f>IF($B32&lt;=Inputs!$C$6,MAX(0,$C32-$F32-$G32-$H32),0)</f>
        <v/>
      </c>
    </row>
    <row r="33">
      <c r="B33" s="22" t="n">
        <v>30</v>
      </c>
      <c r="C33" s="23">
        <f>IF($B33&lt;=Inputs!$C$6+Inputs!$C$11,$M32,"")</f>
        <v/>
      </c>
      <c r="D33" s="24">
        <f>IF($B33&lt;=Inputs!$C$6,-PMT(Inputs!$C$5/12,Inputs!$C$6,Inputs!$C$4),0)</f>
        <v/>
      </c>
      <c r="E33" s="24">
        <f>IF($B33&lt;=Inputs!$C$6+Inputs!$C$11,$C33*Inputs!$C$5/12,0)</f>
        <v/>
      </c>
      <c r="F33" s="24">
        <f>IF($B33&lt;=Inputs!$C$6,MAX(0,$D33-$E33),0)</f>
        <v/>
      </c>
      <c r="G33" s="24">
        <f>IF($B33&lt;=Inputs!$C$6,MAX(0,($C33-$F33))*(1-(1-Inputs!$C$8)^(1/12)),0)</f>
        <v/>
      </c>
      <c r="H33" s="24">
        <f>IF($B33&lt;=Inputs!$C$6,MAX(0,($C33-$F33-$G33))*(1-(1-Inputs!$C$9)^(1/12)),0)</f>
        <v/>
      </c>
      <c r="I33" s="24">
        <f>IF($B33&gt;Inputs!$C$11,INDEX($H:$H,ROW()-Inputs!$C$11)* (1-Inputs!$C$10),0)</f>
        <v/>
      </c>
      <c r="J33" s="24">
        <f>$H33*Inputs!$C$10</f>
        <v/>
      </c>
      <c r="K33" s="24">
        <f>IF($B33&lt;=Inputs!$C$6+Inputs!$C$11,$C33*Inputs!$C$7/12,0)</f>
        <v/>
      </c>
      <c r="L33" s="24">
        <f>IF($B33&lt;=Inputs!$C$6+Inputs!$C$11,$E33+$F33+$G33+$I33-$K33,0)</f>
        <v/>
      </c>
      <c r="M33" s="24">
        <f>IF($B33&lt;=Inputs!$C$6,MAX(0,$C33-$F33-$G33-$H33),0)</f>
        <v/>
      </c>
    </row>
    <row r="34">
      <c r="B34" s="22" t="n">
        <v>31</v>
      </c>
      <c r="C34" s="23">
        <f>IF($B34&lt;=Inputs!$C$6+Inputs!$C$11,$M33,"")</f>
        <v/>
      </c>
      <c r="D34" s="24">
        <f>IF($B34&lt;=Inputs!$C$6,-PMT(Inputs!$C$5/12,Inputs!$C$6,Inputs!$C$4),0)</f>
        <v/>
      </c>
      <c r="E34" s="24">
        <f>IF($B34&lt;=Inputs!$C$6+Inputs!$C$11,$C34*Inputs!$C$5/12,0)</f>
        <v/>
      </c>
      <c r="F34" s="24">
        <f>IF($B34&lt;=Inputs!$C$6,MAX(0,$D34-$E34),0)</f>
        <v/>
      </c>
      <c r="G34" s="24">
        <f>IF($B34&lt;=Inputs!$C$6,MAX(0,($C34-$F34))*(1-(1-Inputs!$C$8)^(1/12)),0)</f>
        <v/>
      </c>
      <c r="H34" s="24">
        <f>IF($B34&lt;=Inputs!$C$6,MAX(0,($C34-$F34-$G34))*(1-(1-Inputs!$C$9)^(1/12)),0)</f>
        <v/>
      </c>
      <c r="I34" s="24">
        <f>IF($B34&gt;Inputs!$C$11,INDEX($H:$H,ROW()-Inputs!$C$11)* (1-Inputs!$C$10),0)</f>
        <v/>
      </c>
      <c r="J34" s="24">
        <f>$H34*Inputs!$C$10</f>
        <v/>
      </c>
      <c r="K34" s="24">
        <f>IF($B34&lt;=Inputs!$C$6+Inputs!$C$11,$C34*Inputs!$C$7/12,0)</f>
        <v/>
      </c>
      <c r="L34" s="24">
        <f>IF($B34&lt;=Inputs!$C$6+Inputs!$C$11,$E34+$F34+$G34+$I34-$K34,0)</f>
        <v/>
      </c>
      <c r="M34" s="24">
        <f>IF($B34&lt;=Inputs!$C$6,MAX(0,$C34-$F34-$G34-$H34),0)</f>
        <v/>
      </c>
    </row>
    <row r="35">
      <c r="B35" s="22" t="n">
        <v>32</v>
      </c>
      <c r="C35" s="23">
        <f>IF($B35&lt;=Inputs!$C$6+Inputs!$C$11,$M34,"")</f>
        <v/>
      </c>
      <c r="D35" s="24">
        <f>IF($B35&lt;=Inputs!$C$6,-PMT(Inputs!$C$5/12,Inputs!$C$6,Inputs!$C$4),0)</f>
        <v/>
      </c>
      <c r="E35" s="24">
        <f>IF($B35&lt;=Inputs!$C$6+Inputs!$C$11,$C35*Inputs!$C$5/12,0)</f>
        <v/>
      </c>
      <c r="F35" s="24">
        <f>IF($B35&lt;=Inputs!$C$6,MAX(0,$D35-$E35),0)</f>
        <v/>
      </c>
      <c r="G35" s="24">
        <f>IF($B35&lt;=Inputs!$C$6,MAX(0,($C35-$F35))*(1-(1-Inputs!$C$8)^(1/12)),0)</f>
        <v/>
      </c>
      <c r="H35" s="24">
        <f>IF($B35&lt;=Inputs!$C$6,MAX(0,($C35-$F35-$G35))*(1-(1-Inputs!$C$9)^(1/12)),0)</f>
        <v/>
      </c>
      <c r="I35" s="24">
        <f>IF($B35&gt;Inputs!$C$11,INDEX($H:$H,ROW()-Inputs!$C$11)* (1-Inputs!$C$10),0)</f>
        <v/>
      </c>
      <c r="J35" s="24">
        <f>$H35*Inputs!$C$10</f>
        <v/>
      </c>
      <c r="K35" s="24">
        <f>IF($B35&lt;=Inputs!$C$6+Inputs!$C$11,$C35*Inputs!$C$7/12,0)</f>
        <v/>
      </c>
      <c r="L35" s="24">
        <f>IF($B35&lt;=Inputs!$C$6+Inputs!$C$11,$E35+$F35+$G35+$I35-$K35,0)</f>
        <v/>
      </c>
      <c r="M35" s="24">
        <f>IF($B35&lt;=Inputs!$C$6,MAX(0,$C35-$F35-$G35-$H35),0)</f>
        <v/>
      </c>
    </row>
    <row r="36">
      <c r="B36" s="22" t="n">
        <v>33</v>
      </c>
      <c r="C36" s="23">
        <f>IF($B36&lt;=Inputs!$C$6+Inputs!$C$11,$M35,"")</f>
        <v/>
      </c>
      <c r="D36" s="24">
        <f>IF($B36&lt;=Inputs!$C$6,-PMT(Inputs!$C$5/12,Inputs!$C$6,Inputs!$C$4),0)</f>
        <v/>
      </c>
      <c r="E36" s="24">
        <f>IF($B36&lt;=Inputs!$C$6+Inputs!$C$11,$C36*Inputs!$C$5/12,0)</f>
        <v/>
      </c>
      <c r="F36" s="24">
        <f>IF($B36&lt;=Inputs!$C$6,MAX(0,$D36-$E36),0)</f>
        <v/>
      </c>
      <c r="G36" s="24">
        <f>IF($B36&lt;=Inputs!$C$6,MAX(0,($C36-$F36))*(1-(1-Inputs!$C$8)^(1/12)),0)</f>
        <v/>
      </c>
      <c r="H36" s="24">
        <f>IF($B36&lt;=Inputs!$C$6,MAX(0,($C36-$F36-$G36))*(1-(1-Inputs!$C$9)^(1/12)),0)</f>
        <v/>
      </c>
      <c r="I36" s="24">
        <f>IF($B36&gt;Inputs!$C$11,INDEX($H:$H,ROW()-Inputs!$C$11)* (1-Inputs!$C$10),0)</f>
        <v/>
      </c>
      <c r="J36" s="24">
        <f>$H36*Inputs!$C$10</f>
        <v/>
      </c>
      <c r="K36" s="24">
        <f>IF($B36&lt;=Inputs!$C$6+Inputs!$C$11,$C36*Inputs!$C$7/12,0)</f>
        <v/>
      </c>
      <c r="L36" s="24">
        <f>IF($B36&lt;=Inputs!$C$6+Inputs!$C$11,$E36+$F36+$G36+$I36-$K36,0)</f>
        <v/>
      </c>
      <c r="M36" s="24">
        <f>IF($B36&lt;=Inputs!$C$6,MAX(0,$C36-$F36-$G36-$H36),0)</f>
        <v/>
      </c>
    </row>
    <row r="37">
      <c r="B37" s="22" t="n">
        <v>34</v>
      </c>
      <c r="C37" s="23">
        <f>IF($B37&lt;=Inputs!$C$6+Inputs!$C$11,$M36,"")</f>
        <v/>
      </c>
      <c r="D37" s="24">
        <f>IF($B37&lt;=Inputs!$C$6,-PMT(Inputs!$C$5/12,Inputs!$C$6,Inputs!$C$4),0)</f>
        <v/>
      </c>
      <c r="E37" s="24">
        <f>IF($B37&lt;=Inputs!$C$6+Inputs!$C$11,$C37*Inputs!$C$5/12,0)</f>
        <v/>
      </c>
      <c r="F37" s="24">
        <f>IF($B37&lt;=Inputs!$C$6,MAX(0,$D37-$E37),0)</f>
        <v/>
      </c>
      <c r="G37" s="24">
        <f>IF($B37&lt;=Inputs!$C$6,MAX(0,($C37-$F37))*(1-(1-Inputs!$C$8)^(1/12)),0)</f>
        <v/>
      </c>
      <c r="H37" s="24">
        <f>IF($B37&lt;=Inputs!$C$6,MAX(0,($C37-$F37-$G37))*(1-(1-Inputs!$C$9)^(1/12)),0)</f>
        <v/>
      </c>
      <c r="I37" s="24">
        <f>IF($B37&gt;Inputs!$C$11,INDEX($H:$H,ROW()-Inputs!$C$11)* (1-Inputs!$C$10),0)</f>
        <v/>
      </c>
      <c r="J37" s="24">
        <f>$H37*Inputs!$C$10</f>
        <v/>
      </c>
      <c r="K37" s="24">
        <f>IF($B37&lt;=Inputs!$C$6+Inputs!$C$11,$C37*Inputs!$C$7/12,0)</f>
        <v/>
      </c>
      <c r="L37" s="24">
        <f>IF($B37&lt;=Inputs!$C$6+Inputs!$C$11,$E37+$F37+$G37+$I37-$K37,0)</f>
        <v/>
      </c>
      <c r="M37" s="24">
        <f>IF($B37&lt;=Inputs!$C$6,MAX(0,$C37-$F37-$G37-$H37),0)</f>
        <v/>
      </c>
    </row>
    <row r="38">
      <c r="B38" s="22" t="n">
        <v>35</v>
      </c>
      <c r="C38" s="23">
        <f>IF($B38&lt;=Inputs!$C$6+Inputs!$C$11,$M37,"")</f>
        <v/>
      </c>
      <c r="D38" s="24">
        <f>IF($B38&lt;=Inputs!$C$6,-PMT(Inputs!$C$5/12,Inputs!$C$6,Inputs!$C$4),0)</f>
        <v/>
      </c>
      <c r="E38" s="24">
        <f>IF($B38&lt;=Inputs!$C$6+Inputs!$C$11,$C38*Inputs!$C$5/12,0)</f>
        <v/>
      </c>
      <c r="F38" s="24">
        <f>IF($B38&lt;=Inputs!$C$6,MAX(0,$D38-$E38),0)</f>
        <v/>
      </c>
      <c r="G38" s="24">
        <f>IF($B38&lt;=Inputs!$C$6,MAX(0,($C38-$F38))*(1-(1-Inputs!$C$8)^(1/12)),0)</f>
        <v/>
      </c>
      <c r="H38" s="24">
        <f>IF($B38&lt;=Inputs!$C$6,MAX(0,($C38-$F38-$G38))*(1-(1-Inputs!$C$9)^(1/12)),0)</f>
        <v/>
      </c>
      <c r="I38" s="24">
        <f>IF($B38&gt;Inputs!$C$11,INDEX($H:$H,ROW()-Inputs!$C$11)* (1-Inputs!$C$10),0)</f>
        <v/>
      </c>
      <c r="J38" s="24">
        <f>$H38*Inputs!$C$10</f>
        <v/>
      </c>
      <c r="K38" s="24">
        <f>IF($B38&lt;=Inputs!$C$6+Inputs!$C$11,$C38*Inputs!$C$7/12,0)</f>
        <v/>
      </c>
      <c r="L38" s="24">
        <f>IF($B38&lt;=Inputs!$C$6+Inputs!$C$11,$E38+$F38+$G38+$I38-$K38,0)</f>
        <v/>
      </c>
      <c r="M38" s="24">
        <f>IF($B38&lt;=Inputs!$C$6,MAX(0,$C38-$F38-$G38-$H38),0)</f>
        <v/>
      </c>
    </row>
    <row r="39">
      <c r="B39" s="22" t="n">
        <v>36</v>
      </c>
      <c r="C39" s="23">
        <f>IF($B39&lt;=Inputs!$C$6+Inputs!$C$11,$M38,"")</f>
        <v/>
      </c>
      <c r="D39" s="24">
        <f>IF($B39&lt;=Inputs!$C$6,-PMT(Inputs!$C$5/12,Inputs!$C$6,Inputs!$C$4),0)</f>
        <v/>
      </c>
      <c r="E39" s="24">
        <f>IF($B39&lt;=Inputs!$C$6+Inputs!$C$11,$C39*Inputs!$C$5/12,0)</f>
        <v/>
      </c>
      <c r="F39" s="24">
        <f>IF($B39&lt;=Inputs!$C$6,MAX(0,$D39-$E39),0)</f>
        <v/>
      </c>
      <c r="G39" s="24">
        <f>IF($B39&lt;=Inputs!$C$6,MAX(0,($C39-$F39))*(1-(1-Inputs!$C$8)^(1/12)),0)</f>
        <v/>
      </c>
      <c r="H39" s="24">
        <f>IF($B39&lt;=Inputs!$C$6,MAX(0,($C39-$F39-$G39))*(1-(1-Inputs!$C$9)^(1/12)),0)</f>
        <v/>
      </c>
      <c r="I39" s="24">
        <f>IF($B39&gt;Inputs!$C$11,INDEX($H:$H,ROW()-Inputs!$C$11)* (1-Inputs!$C$10),0)</f>
        <v/>
      </c>
      <c r="J39" s="24">
        <f>$H39*Inputs!$C$10</f>
        <v/>
      </c>
      <c r="K39" s="24">
        <f>IF($B39&lt;=Inputs!$C$6+Inputs!$C$11,$C39*Inputs!$C$7/12,0)</f>
        <v/>
      </c>
      <c r="L39" s="24">
        <f>IF($B39&lt;=Inputs!$C$6+Inputs!$C$11,$E39+$F39+$G39+$I39-$K39,0)</f>
        <v/>
      </c>
      <c r="M39" s="24">
        <f>IF($B39&lt;=Inputs!$C$6,MAX(0,$C39-$F39-$G39-$H39),0)</f>
        <v/>
      </c>
    </row>
    <row r="40">
      <c r="B40" s="22" t="n">
        <v>37</v>
      </c>
      <c r="C40" s="23">
        <f>IF($B40&lt;=Inputs!$C$6+Inputs!$C$11,$M39,"")</f>
        <v/>
      </c>
      <c r="D40" s="24">
        <f>IF($B40&lt;=Inputs!$C$6,-PMT(Inputs!$C$5/12,Inputs!$C$6,Inputs!$C$4),0)</f>
        <v/>
      </c>
      <c r="E40" s="24">
        <f>IF($B40&lt;=Inputs!$C$6+Inputs!$C$11,$C40*Inputs!$C$5/12,0)</f>
        <v/>
      </c>
      <c r="F40" s="24">
        <f>IF($B40&lt;=Inputs!$C$6,MAX(0,$D40-$E40),0)</f>
        <v/>
      </c>
      <c r="G40" s="24">
        <f>IF($B40&lt;=Inputs!$C$6,MAX(0,($C40-$F40))*(1-(1-Inputs!$C$8)^(1/12)),0)</f>
        <v/>
      </c>
      <c r="H40" s="24">
        <f>IF($B40&lt;=Inputs!$C$6,MAX(0,($C40-$F40-$G40))*(1-(1-Inputs!$C$9)^(1/12)),0)</f>
        <v/>
      </c>
      <c r="I40" s="24">
        <f>IF($B40&gt;Inputs!$C$11,INDEX($H:$H,ROW()-Inputs!$C$11)* (1-Inputs!$C$10),0)</f>
        <v/>
      </c>
      <c r="J40" s="24">
        <f>$H40*Inputs!$C$10</f>
        <v/>
      </c>
      <c r="K40" s="24">
        <f>IF($B40&lt;=Inputs!$C$6+Inputs!$C$11,$C40*Inputs!$C$7/12,0)</f>
        <v/>
      </c>
      <c r="L40" s="24">
        <f>IF($B40&lt;=Inputs!$C$6+Inputs!$C$11,$E40+$F40+$G40+$I40-$K40,0)</f>
        <v/>
      </c>
      <c r="M40" s="24">
        <f>IF($B40&lt;=Inputs!$C$6,MAX(0,$C40-$F40-$G40-$H40),0)</f>
        <v/>
      </c>
    </row>
    <row r="41">
      <c r="B41" s="22" t="n">
        <v>38</v>
      </c>
      <c r="C41" s="23">
        <f>IF($B41&lt;=Inputs!$C$6+Inputs!$C$11,$M40,"")</f>
        <v/>
      </c>
      <c r="D41" s="24">
        <f>IF($B41&lt;=Inputs!$C$6,-PMT(Inputs!$C$5/12,Inputs!$C$6,Inputs!$C$4),0)</f>
        <v/>
      </c>
      <c r="E41" s="24">
        <f>IF($B41&lt;=Inputs!$C$6+Inputs!$C$11,$C41*Inputs!$C$5/12,0)</f>
        <v/>
      </c>
      <c r="F41" s="24">
        <f>IF($B41&lt;=Inputs!$C$6,MAX(0,$D41-$E41),0)</f>
        <v/>
      </c>
      <c r="G41" s="24">
        <f>IF($B41&lt;=Inputs!$C$6,MAX(0,($C41-$F41))*(1-(1-Inputs!$C$8)^(1/12)),0)</f>
        <v/>
      </c>
      <c r="H41" s="24">
        <f>IF($B41&lt;=Inputs!$C$6,MAX(0,($C41-$F41-$G41))*(1-(1-Inputs!$C$9)^(1/12)),0)</f>
        <v/>
      </c>
      <c r="I41" s="24">
        <f>IF($B41&gt;Inputs!$C$11,INDEX($H:$H,ROW()-Inputs!$C$11)* (1-Inputs!$C$10),0)</f>
        <v/>
      </c>
      <c r="J41" s="24">
        <f>$H41*Inputs!$C$10</f>
        <v/>
      </c>
      <c r="K41" s="24">
        <f>IF($B41&lt;=Inputs!$C$6+Inputs!$C$11,$C41*Inputs!$C$7/12,0)</f>
        <v/>
      </c>
      <c r="L41" s="24">
        <f>IF($B41&lt;=Inputs!$C$6+Inputs!$C$11,$E41+$F41+$G41+$I41-$K41,0)</f>
        <v/>
      </c>
      <c r="M41" s="24">
        <f>IF($B41&lt;=Inputs!$C$6,MAX(0,$C41-$F41-$G41-$H41),0)</f>
        <v/>
      </c>
    </row>
    <row r="42">
      <c r="B42" s="22" t="n">
        <v>39</v>
      </c>
      <c r="C42" s="23">
        <f>IF($B42&lt;=Inputs!$C$6+Inputs!$C$11,$M41,"")</f>
        <v/>
      </c>
      <c r="D42" s="24">
        <f>IF($B42&lt;=Inputs!$C$6,-PMT(Inputs!$C$5/12,Inputs!$C$6,Inputs!$C$4),0)</f>
        <v/>
      </c>
      <c r="E42" s="24">
        <f>IF($B42&lt;=Inputs!$C$6+Inputs!$C$11,$C42*Inputs!$C$5/12,0)</f>
        <v/>
      </c>
      <c r="F42" s="24">
        <f>IF($B42&lt;=Inputs!$C$6,MAX(0,$D42-$E42),0)</f>
        <v/>
      </c>
      <c r="G42" s="24">
        <f>IF($B42&lt;=Inputs!$C$6,MAX(0,($C42-$F42))*(1-(1-Inputs!$C$8)^(1/12)),0)</f>
        <v/>
      </c>
      <c r="H42" s="24">
        <f>IF($B42&lt;=Inputs!$C$6,MAX(0,($C42-$F42-$G42))*(1-(1-Inputs!$C$9)^(1/12)),0)</f>
        <v/>
      </c>
      <c r="I42" s="24">
        <f>IF($B42&gt;Inputs!$C$11,INDEX($H:$H,ROW()-Inputs!$C$11)* (1-Inputs!$C$10),0)</f>
        <v/>
      </c>
      <c r="J42" s="24">
        <f>$H42*Inputs!$C$10</f>
        <v/>
      </c>
      <c r="K42" s="24">
        <f>IF($B42&lt;=Inputs!$C$6+Inputs!$C$11,$C42*Inputs!$C$7/12,0)</f>
        <v/>
      </c>
      <c r="L42" s="24">
        <f>IF($B42&lt;=Inputs!$C$6+Inputs!$C$11,$E42+$F42+$G42+$I42-$K42,0)</f>
        <v/>
      </c>
      <c r="M42" s="24">
        <f>IF($B42&lt;=Inputs!$C$6,MAX(0,$C42-$F42-$G42-$H42),0)</f>
        <v/>
      </c>
    </row>
    <row r="43">
      <c r="B43" s="22" t="n">
        <v>40</v>
      </c>
      <c r="C43" s="23">
        <f>IF($B43&lt;=Inputs!$C$6+Inputs!$C$11,$M42,"")</f>
        <v/>
      </c>
      <c r="D43" s="24">
        <f>IF($B43&lt;=Inputs!$C$6,-PMT(Inputs!$C$5/12,Inputs!$C$6,Inputs!$C$4),0)</f>
        <v/>
      </c>
      <c r="E43" s="24">
        <f>IF($B43&lt;=Inputs!$C$6+Inputs!$C$11,$C43*Inputs!$C$5/12,0)</f>
        <v/>
      </c>
      <c r="F43" s="24">
        <f>IF($B43&lt;=Inputs!$C$6,MAX(0,$D43-$E43),0)</f>
        <v/>
      </c>
      <c r="G43" s="24">
        <f>IF($B43&lt;=Inputs!$C$6,MAX(0,($C43-$F43))*(1-(1-Inputs!$C$8)^(1/12)),0)</f>
        <v/>
      </c>
      <c r="H43" s="24">
        <f>IF($B43&lt;=Inputs!$C$6,MAX(0,($C43-$F43-$G43))*(1-(1-Inputs!$C$9)^(1/12)),0)</f>
        <v/>
      </c>
      <c r="I43" s="24">
        <f>IF($B43&gt;Inputs!$C$11,INDEX($H:$H,ROW()-Inputs!$C$11)* (1-Inputs!$C$10),0)</f>
        <v/>
      </c>
      <c r="J43" s="24">
        <f>$H43*Inputs!$C$10</f>
        <v/>
      </c>
      <c r="K43" s="24">
        <f>IF($B43&lt;=Inputs!$C$6+Inputs!$C$11,$C43*Inputs!$C$7/12,0)</f>
        <v/>
      </c>
      <c r="L43" s="24">
        <f>IF($B43&lt;=Inputs!$C$6+Inputs!$C$11,$E43+$F43+$G43+$I43-$K43,0)</f>
        <v/>
      </c>
      <c r="M43" s="24">
        <f>IF($B43&lt;=Inputs!$C$6,MAX(0,$C43-$F43-$G43-$H43),0)</f>
        <v/>
      </c>
    </row>
    <row r="44">
      <c r="B44" s="22" t="n">
        <v>41</v>
      </c>
      <c r="C44" s="23">
        <f>IF($B44&lt;=Inputs!$C$6+Inputs!$C$11,$M43,"")</f>
        <v/>
      </c>
      <c r="D44" s="24">
        <f>IF($B44&lt;=Inputs!$C$6,-PMT(Inputs!$C$5/12,Inputs!$C$6,Inputs!$C$4),0)</f>
        <v/>
      </c>
      <c r="E44" s="24">
        <f>IF($B44&lt;=Inputs!$C$6+Inputs!$C$11,$C44*Inputs!$C$5/12,0)</f>
        <v/>
      </c>
      <c r="F44" s="24">
        <f>IF($B44&lt;=Inputs!$C$6,MAX(0,$D44-$E44),0)</f>
        <v/>
      </c>
      <c r="G44" s="24">
        <f>IF($B44&lt;=Inputs!$C$6,MAX(0,($C44-$F44))*(1-(1-Inputs!$C$8)^(1/12)),0)</f>
        <v/>
      </c>
      <c r="H44" s="24">
        <f>IF($B44&lt;=Inputs!$C$6,MAX(0,($C44-$F44-$G44))*(1-(1-Inputs!$C$9)^(1/12)),0)</f>
        <v/>
      </c>
      <c r="I44" s="24">
        <f>IF($B44&gt;Inputs!$C$11,INDEX($H:$H,ROW()-Inputs!$C$11)* (1-Inputs!$C$10),0)</f>
        <v/>
      </c>
      <c r="J44" s="24">
        <f>$H44*Inputs!$C$10</f>
        <v/>
      </c>
      <c r="K44" s="24">
        <f>IF($B44&lt;=Inputs!$C$6+Inputs!$C$11,$C44*Inputs!$C$7/12,0)</f>
        <v/>
      </c>
      <c r="L44" s="24">
        <f>IF($B44&lt;=Inputs!$C$6+Inputs!$C$11,$E44+$F44+$G44+$I44-$K44,0)</f>
        <v/>
      </c>
      <c r="M44" s="24">
        <f>IF($B44&lt;=Inputs!$C$6,MAX(0,$C44-$F44-$G44-$H44),0)</f>
        <v/>
      </c>
    </row>
    <row r="45">
      <c r="B45" s="22" t="n">
        <v>42</v>
      </c>
      <c r="C45" s="23">
        <f>IF($B45&lt;=Inputs!$C$6+Inputs!$C$11,$M44,"")</f>
        <v/>
      </c>
      <c r="D45" s="24">
        <f>IF($B45&lt;=Inputs!$C$6,-PMT(Inputs!$C$5/12,Inputs!$C$6,Inputs!$C$4),0)</f>
        <v/>
      </c>
      <c r="E45" s="24">
        <f>IF($B45&lt;=Inputs!$C$6+Inputs!$C$11,$C45*Inputs!$C$5/12,0)</f>
        <v/>
      </c>
      <c r="F45" s="24">
        <f>IF($B45&lt;=Inputs!$C$6,MAX(0,$D45-$E45),0)</f>
        <v/>
      </c>
      <c r="G45" s="24">
        <f>IF($B45&lt;=Inputs!$C$6,MAX(0,($C45-$F45))*(1-(1-Inputs!$C$8)^(1/12)),0)</f>
        <v/>
      </c>
      <c r="H45" s="24">
        <f>IF($B45&lt;=Inputs!$C$6,MAX(0,($C45-$F45-$G45))*(1-(1-Inputs!$C$9)^(1/12)),0)</f>
        <v/>
      </c>
      <c r="I45" s="24">
        <f>IF($B45&gt;Inputs!$C$11,INDEX($H:$H,ROW()-Inputs!$C$11)* (1-Inputs!$C$10),0)</f>
        <v/>
      </c>
      <c r="J45" s="24">
        <f>$H45*Inputs!$C$10</f>
        <v/>
      </c>
      <c r="K45" s="24">
        <f>IF($B45&lt;=Inputs!$C$6+Inputs!$C$11,$C45*Inputs!$C$7/12,0)</f>
        <v/>
      </c>
      <c r="L45" s="24">
        <f>IF($B45&lt;=Inputs!$C$6+Inputs!$C$11,$E45+$F45+$G45+$I45-$K45,0)</f>
        <v/>
      </c>
      <c r="M45" s="24">
        <f>IF($B45&lt;=Inputs!$C$6,MAX(0,$C45-$F45-$G45-$H45),0)</f>
        <v/>
      </c>
    </row>
    <row r="46">
      <c r="B46" s="22" t="n">
        <v>43</v>
      </c>
      <c r="C46" s="23">
        <f>IF($B46&lt;=Inputs!$C$6+Inputs!$C$11,$M45,"")</f>
        <v/>
      </c>
      <c r="D46" s="24">
        <f>IF($B46&lt;=Inputs!$C$6,-PMT(Inputs!$C$5/12,Inputs!$C$6,Inputs!$C$4),0)</f>
        <v/>
      </c>
      <c r="E46" s="24">
        <f>IF($B46&lt;=Inputs!$C$6+Inputs!$C$11,$C46*Inputs!$C$5/12,0)</f>
        <v/>
      </c>
      <c r="F46" s="24">
        <f>IF($B46&lt;=Inputs!$C$6,MAX(0,$D46-$E46),0)</f>
        <v/>
      </c>
      <c r="G46" s="24">
        <f>IF($B46&lt;=Inputs!$C$6,MAX(0,($C46-$F46))*(1-(1-Inputs!$C$8)^(1/12)),0)</f>
        <v/>
      </c>
      <c r="H46" s="24">
        <f>IF($B46&lt;=Inputs!$C$6,MAX(0,($C46-$F46-$G46))*(1-(1-Inputs!$C$9)^(1/12)),0)</f>
        <v/>
      </c>
      <c r="I46" s="24">
        <f>IF($B46&gt;Inputs!$C$11,INDEX($H:$H,ROW()-Inputs!$C$11)* (1-Inputs!$C$10),0)</f>
        <v/>
      </c>
      <c r="J46" s="24">
        <f>$H46*Inputs!$C$10</f>
        <v/>
      </c>
      <c r="K46" s="24">
        <f>IF($B46&lt;=Inputs!$C$6+Inputs!$C$11,$C46*Inputs!$C$7/12,0)</f>
        <v/>
      </c>
      <c r="L46" s="24">
        <f>IF($B46&lt;=Inputs!$C$6+Inputs!$C$11,$E46+$F46+$G46+$I46-$K46,0)</f>
        <v/>
      </c>
      <c r="M46" s="24">
        <f>IF($B46&lt;=Inputs!$C$6,MAX(0,$C46-$F46-$G46-$H46),0)</f>
        <v/>
      </c>
    </row>
    <row r="47">
      <c r="B47" s="22" t="n">
        <v>44</v>
      </c>
      <c r="C47" s="23">
        <f>IF($B47&lt;=Inputs!$C$6+Inputs!$C$11,$M46,"")</f>
        <v/>
      </c>
      <c r="D47" s="24">
        <f>IF($B47&lt;=Inputs!$C$6,-PMT(Inputs!$C$5/12,Inputs!$C$6,Inputs!$C$4),0)</f>
        <v/>
      </c>
      <c r="E47" s="24">
        <f>IF($B47&lt;=Inputs!$C$6+Inputs!$C$11,$C47*Inputs!$C$5/12,0)</f>
        <v/>
      </c>
      <c r="F47" s="24">
        <f>IF($B47&lt;=Inputs!$C$6,MAX(0,$D47-$E47),0)</f>
        <v/>
      </c>
      <c r="G47" s="24">
        <f>IF($B47&lt;=Inputs!$C$6,MAX(0,($C47-$F47))*(1-(1-Inputs!$C$8)^(1/12)),0)</f>
        <v/>
      </c>
      <c r="H47" s="24">
        <f>IF($B47&lt;=Inputs!$C$6,MAX(0,($C47-$F47-$G47))*(1-(1-Inputs!$C$9)^(1/12)),0)</f>
        <v/>
      </c>
      <c r="I47" s="24">
        <f>IF($B47&gt;Inputs!$C$11,INDEX($H:$H,ROW()-Inputs!$C$11)* (1-Inputs!$C$10),0)</f>
        <v/>
      </c>
      <c r="J47" s="24">
        <f>$H47*Inputs!$C$10</f>
        <v/>
      </c>
      <c r="K47" s="24">
        <f>IF($B47&lt;=Inputs!$C$6+Inputs!$C$11,$C47*Inputs!$C$7/12,0)</f>
        <v/>
      </c>
      <c r="L47" s="24">
        <f>IF($B47&lt;=Inputs!$C$6+Inputs!$C$11,$E47+$F47+$G47+$I47-$K47,0)</f>
        <v/>
      </c>
      <c r="M47" s="24">
        <f>IF($B47&lt;=Inputs!$C$6,MAX(0,$C47-$F47-$G47-$H47),0)</f>
        <v/>
      </c>
    </row>
    <row r="48">
      <c r="B48" s="22" t="n">
        <v>45</v>
      </c>
      <c r="C48" s="23">
        <f>IF($B48&lt;=Inputs!$C$6+Inputs!$C$11,$M47,"")</f>
        <v/>
      </c>
      <c r="D48" s="24">
        <f>IF($B48&lt;=Inputs!$C$6,-PMT(Inputs!$C$5/12,Inputs!$C$6,Inputs!$C$4),0)</f>
        <v/>
      </c>
      <c r="E48" s="24">
        <f>IF($B48&lt;=Inputs!$C$6+Inputs!$C$11,$C48*Inputs!$C$5/12,0)</f>
        <v/>
      </c>
      <c r="F48" s="24">
        <f>IF($B48&lt;=Inputs!$C$6,MAX(0,$D48-$E48),0)</f>
        <v/>
      </c>
      <c r="G48" s="24">
        <f>IF($B48&lt;=Inputs!$C$6,MAX(0,($C48-$F48))*(1-(1-Inputs!$C$8)^(1/12)),0)</f>
        <v/>
      </c>
      <c r="H48" s="24">
        <f>IF($B48&lt;=Inputs!$C$6,MAX(0,($C48-$F48-$G48))*(1-(1-Inputs!$C$9)^(1/12)),0)</f>
        <v/>
      </c>
      <c r="I48" s="24">
        <f>IF($B48&gt;Inputs!$C$11,INDEX($H:$H,ROW()-Inputs!$C$11)* (1-Inputs!$C$10),0)</f>
        <v/>
      </c>
      <c r="J48" s="24">
        <f>$H48*Inputs!$C$10</f>
        <v/>
      </c>
      <c r="K48" s="24">
        <f>IF($B48&lt;=Inputs!$C$6+Inputs!$C$11,$C48*Inputs!$C$7/12,0)</f>
        <v/>
      </c>
      <c r="L48" s="24">
        <f>IF($B48&lt;=Inputs!$C$6+Inputs!$C$11,$E48+$F48+$G48+$I48-$K48,0)</f>
        <v/>
      </c>
      <c r="M48" s="24">
        <f>IF($B48&lt;=Inputs!$C$6,MAX(0,$C48-$F48-$G48-$H48),0)</f>
        <v/>
      </c>
    </row>
    <row r="49">
      <c r="B49" s="22" t="n">
        <v>46</v>
      </c>
      <c r="C49" s="23">
        <f>IF($B49&lt;=Inputs!$C$6+Inputs!$C$11,$M48,"")</f>
        <v/>
      </c>
      <c r="D49" s="24">
        <f>IF($B49&lt;=Inputs!$C$6,-PMT(Inputs!$C$5/12,Inputs!$C$6,Inputs!$C$4),0)</f>
        <v/>
      </c>
      <c r="E49" s="24">
        <f>IF($B49&lt;=Inputs!$C$6+Inputs!$C$11,$C49*Inputs!$C$5/12,0)</f>
        <v/>
      </c>
      <c r="F49" s="24">
        <f>IF($B49&lt;=Inputs!$C$6,MAX(0,$D49-$E49),0)</f>
        <v/>
      </c>
      <c r="G49" s="24">
        <f>IF($B49&lt;=Inputs!$C$6,MAX(0,($C49-$F49))*(1-(1-Inputs!$C$8)^(1/12)),0)</f>
        <v/>
      </c>
      <c r="H49" s="24">
        <f>IF($B49&lt;=Inputs!$C$6,MAX(0,($C49-$F49-$G49))*(1-(1-Inputs!$C$9)^(1/12)),0)</f>
        <v/>
      </c>
      <c r="I49" s="24">
        <f>IF($B49&gt;Inputs!$C$11,INDEX($H:$H,ROW()-Inputs!$C$11)* (1-Inputs!$C$10),0)</f>
        <v/>
      </c>
      <c r="J49" s="24">
        <f>$H49*Inputs!$C$10</f>
        <v/>
      </c>
      <c r="K49" s="24">
        <f>IF($B49&lt;=Inputs!$C$6+Inputs!$C$11,$C49*Inputs!$C$7/12,0)</f>
        <v/>
      </c>
      <c r="L49" s="24">
        <f>IF($B49&lt;=Inputs!$C$6+Inputs!$C$11,$E49+$F49+$G49+$I49-$K49,0)</f>
        <v/>
      </c>
      <c r="M49" s="24">
        <f>IF($B49&lt;=Inputs!$C$6,MAX(0,$C49-$F49-$G49-$H49),0)</f>
        <v/>
      </c>
    </row>
    <row r="50">
      <c r="B50" s="22" t="n">
        <v>47</v>
      </c>
      <c r="C50" s="23">
        <f>IF($B50&lt;=Inputs!$C$6+Inputs!$C$11,$M49,"")</f>
        <v/>
      </c>
      <c r="D50" s="24">
        <f>IF($B50&lt;=Inputs!$C$6,-PMT(Inputs!$C$5/12,Inputs!$C$6,Inputs!$C$4),0)</f>
        <v/>
      </c>
      <c r="E50" s="24">
        <f>IF($B50&lt;=Inputs!$C$6+Inputs!$C$11,$C50*Inputs!$C$5/12,0)</f>
        <v/>
      </c>
      <c r="F50" s="24">
        <f>IF($B50&lt;=Inputs!$C$6,MAX(0,$D50-$E50),0)</f>
        <v/>
      </c>
      <c r="G50" s="24">
        <f>IF($B50&lt;=Inputs!$C$6,MAX(0,($C50-$F50))*(1-(1-Inputs!$C$8)^(1/12)),0)</f>
        <v/>
      </c>
      <c r="H50" s="24">
        <f>IF($B50&lt;=Inputs!$C$6,MAX(0,($C50-$F50-$G50))*(1-(1-Inputs!$C$9)^(1/12)),0)</f>
        <v/>
      </c>
      <c r="I50" s="24">
        <f>IF($B50&gt;Inputs!$C$11,INDEX($H:$H,ROW()-Inputs!$C$11)* (1-Inputs!$C$10),0)</f>
        <v/>
      </c>
      <c r="J50" s="24">
        <f>$H50*Inputs!$C$10</f>
        <v/>
      </c>
      <c r="K50" s="24">
        <f>IF($B50&lt;=Inputs!$C$6+Inputs!$C$11,$C50*Inputs!$C$7/12,0)</f>
        <v/>
      </c>
      <c r="L50" s="24">
        <f>IF($B50&lt;=Inputs!$C$6+Inputs!$C$11,$E50+$F50+$G50+$I50-$K50,0)</f>
        <v/>
      </c>
      <c r="M50" s="24">
        <f>IF($B50&lt;=Inputs!$C$6,MAX(0,$C50-$F50-$G50-$H50),0)</f>
        <v/>
      </c>
    </row>
    <row r="51">
      <c r="B51" s="22" t="n">
        <v>48</v>
      </c>
      <c r="C51" s="23">
        <f>IF($B51&lt;=Inputs!$C$6+Inputs!$C$11,$M50,"")</f>
        <v/>
      </c>
      <c r="D51" s="24">
        <f>IF($B51&lt;=Inputs!$C$6,-PMT(Inputs!$C$5/12,Inputs!$C$6,Inputs!$C$4),0)</f>
        <v/>
      </c>
      <c r="E51" s="24">
        <f>IF($B51&lt;=Inputs!$C$6+Inputs!$C$11,$C51*Inputs!$C$5/12,0)</f>
        <v/>
      </c>
      <c r="F51" s="24">
        <f>IF($B51&lt;=Inputs!$C$6,MAX(0,$D51-$E51),0)</f>
        <v/>
      </c>
      <c r="G51" s="24">
        <f>IF($B51&lt;=Inputs!$C$6,MAX(0,($C51-$F51))*(1-(1-Inputs!$C$8)^(1/12)),0)</f>
        <v/>
      </c>
      <c r="H51" s="24">
        <f>IF($B51&lt;=Inputs!$C$6,MAX(0,($C51-$F51-$G51))*(1-(1-Inputs!$C$9)^(1/12)),0)</f>
        <v/>
      </c>
      <c r="I51" s="24">
        <f>IF($B51&gt;Inputs!$C$11,INDEX($H:$H,ROW()-Inputs!$C$11)* (1-Inputs!$C$10),0)</f>
        <v/>
      </c>
      <c r="J51" s="24">
        <f>$H51*Inputs!$C$10</f>
        <v/>
      </c>
      <c r="K51" s="24">
        <f>IF($B51&lt;=Inputs!$C$6+Inputs!$C$11,$C51*Inputs!$C$7/12,0)</f>
        <v/>
      </c>
      <c r="L51" s="24">
        <f>IF($B51&lt;=Inputs!$C$6+Inputs!$C$11,$E51+$F51+$G51+$I51-$K51,0)</f>
        <v/>
      </c>
      <c r="M51" s="24">
        <f>IF($B51&lt;=Inputs!$C$6,MAX(0,$C51-$F51-$G51-$H51),0)</f>
        <v/>
      </c>
    </row>
    <row r="52">
      <c r="B52" s="22" t="n">
        <v>49</v>
      </c>
      <c r="C52" s="23">
        <f>IF($B52&lt;=Inputs!$C$6+Inputs!$C$11,$M51,"")</f>
        <v/>
      </c>
      <c r="D52" s="24">
        <f>IF($B52&lt;=Inputs!$C$6,-PMT(Inputs!$C$5/12,Inputs!$C$6,Inputs!$C$4),0)</f>
        <v/>
      </c>
      <c r="E52" s="24">
        <f>IF($B52&lt;=Inputs!$C$6+Inputs!$C$11,$C52*Inputs!$C$5/12,0)</f>
        <v/>
      </c>
      <c r="F52" s="24">
        <f>IF($B52&lt;=Inputs!$C$6,MAX(0,$D52-$E52),0)</f>
        <v/>
      </c>
      <c r="G52" s="24">
        <f>IF($B52&lt;=Inputs!$C$6,MAX(0,($C52-$F52))*(1-(1-Inputs!$C$8)^(1/12)),0)</f>
        <v/>
      </c>
      <c r="H52" s="24">
        <f>IF($B52&lt;=Inputs!$C$6,MAX(0,($C52-$F52-$G52))*(1-(1-Inputs!$C$9)^(1/12)),0)</f>
        <v/>
      </c>
      <c r="I52" s="24">
        <f>IF($B52&gt;Inputs!$C$11,INDEX($H:$H,ROW()-Inputs!$C$11)* (1-Inputs!$C$10),0)</f>
        <v/>
      </c>
      <c r="J52" s="24">
        <f>$H52*Inputs!$C$10</f>
        <v/>
      </c>
      <c r="K52" s="24">
        <f>IF($B52&lt;=Inputs!$C$6+Inputs!$C$11,$C52*Inputs!$C$7/12,0)</f>
        <v/>
      </c>
      <c r="L52" s="24">
        <f>IF($B52&lt;=Inputs!$C$6+Inputs!$C$11,$E52+$F52+$G52+$I52-$K52,0)</f>
        <v/>
      </c>
      <c r="M52" s="24">
        <f>IF($B52&lt;=Inputs!$C$6,MAX(0,$C52-$F52-$G52-$H52),0)</f>
        <v/>
      </c>
    </row>
    <row r="53">
      <c r="B53" s="22" t="n">
        <v>50</v>
      </c>
      <c r="C53" s="23">
        <f>IF($B53&lt;=Inputs!$C$6+Inputs!$C$11,$M52,"")</f>
        <v/>
      </c>
      <c r="D53" s="24">
        <f>IF($B53&lt;=Inputs!$C$6,-PMT(Inputs!$C$5/12,Inputs!$C$6,Inputs!$C$4),0)</f>
        <v/>
      </c>
      <c r="E53" s="24">
        <f>IF($B53&lt;=Inputs!$C$6+Inputs!$C$11,$C53*Inputs!$C$5/12,0)</f>
        <v/>
      </c>
      <c r="F53" s="24">
        <f>IF($B53&lt;=Inputs!$C$6,MAX(0,$D53-$E53),0)</f>
        <v/>
      </c>
      <c r="G53" s="24">
        <f>IF($B53&lt;=Inputs!$C$6,MAX(0,($C53-$F53))*(1-(1-Inputs!$C$8)^(1/12)),0)</f>
        <v/>
      </c>
      <c r="H53" s="24">
        <f>IF($B53&lt;=Inputs!$C$6,MAX(0,($C53-$F53-$G53))*(1-(1-Inputs!$C$9)^(1/12)),0)</f>
        <v/>
      </c>
      <c r="I53" s="24">
        <f>IF($B53&gt;Inputs!$C$11,INDEX($H:$H,ROW()-Inputs!$C$11)* (1-Inputs!$C$10),0)</f>
        <v/>
      </c>
      <c r="J53" s="24">
        <f>$H53*Inputs!$C$10</f>
        <v/>
      </c>
      <c r="K53" s="24">
        <f>IF($B53&lt;=Inputs!$C$6+Inputs!$C$11,$C53*Inputs!$C$7/12,0)</f>
        <v/>
      </c>
      <c r="L53" s="24">
        <f>IF($B53&lt;=Inputs!$C$6+Inputs!$C$11,$E53+$F53+$G53+$I53-$K53,0)</f>
        <v/>
      </c>
      <c r="M53" s="24">
        <f>IF($B53&lt;=Inputs!$C$6,MAX(0,$C53-$F53-$G53-$H53),0)</f>
        <v/>
      </c>
    </row>
    <row r="54">
      <c r="B54" s="22" t="n">
        <v>51</v>
      </c>
      <c r="C54" s="23">
        <f>IF($B54&lt;=Inputs!$C$6+Inputs!$C$11,$M53,"")</f>
        <v/>
      </c>
      <c r="D54" s="24">
        <f>IF($B54&lt;=Inputs!$C$6,-PMT(Inputs!$C$5/12,Inputs!$C$6,Inputs!$C$4),0)</f>
        <v/>
      </c>
      <c r="E54" s="24">
        <f>IF($B54&lt;=Inputs!$C$6+Inputs!$C$11,$C54*Inputs!$C$5/12,0)</f>
        <v/>
      </c>
      <c r="F54" s="24">
        <f>IF($B54&lt;=Inputs!$C$6,MAX(0,$D54-$E54),0)</f>
        <v/>
      </c>
      <c r="G54" s="24">
        <f>IF($B54&lt;=Inputs!$C$6,MAX(0,($C54-$F54))*(1-(1-Inputs!$C$8)^(1/12)),0)</f>
        <v/>
      </c>
      <c r="H54" s="24">
        <f>IF($B54&lt;=Inputs!$C$6,MAX(0,($C54-$F54-$G54))*(1-(1-Inputs!$C$9)^(1/12)),0)</f>
        <v/>
      </c>
      <c r="I54" s="24">
        <f>IF($B54&gt;Inputs!$C$11,INDEX($H:$H,ROW()-Inputs!$C$11)* (1-Inputs!$C$10),0)</f>
        <v/>
      </c>
      <c r="J54" s="24">
        <f>$H54*Inputs!$C$10</f>
        <v/>
      </c>
      <c r="K54" s="24">
        <f>IF($B54&lt;=Inputs!$C$6+Inputs!$C$11,$C54*Inputs!$C$7/12,0)</f>
        <v/>
      </c>
      <c r="L54" s="24">
        <f>IF($B54&lt;=Inputs!$C$6+Inputs!$C$11,$E54+$F54+$G54+$I54-$K54,0)</f>
        <v/>
      </c>
      <c r="M54" s="24">
        <f>IF($B54&lt;=Inputs!$C$6,MAX(0,$C54-$F54-$G54-$H54),0)</f>
        <v/>
      </c>
    </row>
    <row r="55">
      <c r="B55" s="22" t="n">
        <v>52</v>
      </c>
      <c r="C55" s="23">
        <f>IF($B55&lt;=Inputs!$C$6+Inputs!$C$11,$M54,"")</f>
        <v/>
      </c>
      <c r="D55" s="24">
        <f>IF($B55&lt;=Inputs!$C$6,-PMT(Inputs!$C$5/12,Inputs!$C$6,Inputs!$C$4),0)</f>
        <v/>
      </c>
      <c r="E55" s="24">
        <f>IF($B55&lt;=Inputs!$C$6+Inputs!$C$11,$C55*Inputs!$C$5/12,0)</f>
        <v/>
      </c>
      <c r="F55" s="24">
        <f>IF($B55&lt;=Inputs!$C$6,MAX(0,$D55-$E55),0)</f>
        <v/>
      </c>
      <c r="G55" s="24">
        <f>IF($B55&lt;=Inputs!$C$6,MAX(0,($C55-$F55))*(1-(1-Inputs!$C$8)^(1/12)),0)</f>
        <v/>
      </c>
      <c r="H55" s="24">
        <f>IF($B55&lt;=Inputs!$C$6,MAX(0,($C55-$F55-$G55))*(1-(1-Inputs!$C$9)^(1/12)),0)</f>
        <v/>
      </c>
      <c r="I55" s="24">
        <f>IF($B55&gt;Inputs!$C$11,INDEX($H:$H,ROW()-Inputs!$C$11)* (1-Inputs!$C$10),0)</f>
        <v/>
      </c>
      <c r="J55" s="24">
        <f>$H55*Inputs!$C$10</f>
        <v/>
      </c>
      <c r="K55" s="24">
        <f>IF($B55&lt;=Inputs!$C$6+Inputs!$C$11,$C55*Inputs!$C$7/12,0)</f>
        <v/>
      </c>
      <c r="L55" s="24">
        <f>IF($B55&lt;=Inputs!$C$6+Inputs!$C$11,$E55+$F55+$G55+$I55-$K55,0)</f>
        <v/>
      </c>
      <c r="M55" s="24">
        <f>IF($B55&lt;=Inputs!$C$6,MAX(0,$C55-$F55-$G55-$H55),0)</f>
        <v/>
      </c>
    </row>
    <row r="56">
      <c r="B56" s="22" t="n">
        <v>53</v>
      </c>
      <c r="C56" s="23">
        <f>IF($B56&lt;=Inputs!$C$6+Inputs!$C$11,$M55,"")</f>
        <v/>
      </c>
      <c r="D56" s="24">
        <f>IF($B56&lt;=Inputs!$C$6,-PMT(Inputs!$C$5/12,Inputs!$C$6,Inputs!$C$4),0)</f>
        <v/>
      </c>
      <c r="E56" s="24">
        <f>IF($B56&lt;=Inputs!$C$6+Inputs!$C$11,$C56*Inputs!$C$5/12,0)</f>
        <v/>
      </c>
      <c r="F56" s="24">
        <f>IF($B56&lt;=Inputs!$C$6,MAX(0,$D56-$E56),0)</f>
        <v/>
      </c>
      <c r="G56" s="24">
        <f>IF($B56&lt;=Inputs!$C$6,MAX(0,($C56-$F56))*(1-(1-Inputs!$C$8)^(1/12)),0)</f>
        <v/>
      </c>
      <c r="H56" s="24">
        <f>IF($B56&lt;=Inputs!$C$6,MAX(0,($C56-$F56-$G56))*(1-(1-Inputs!$C$9)^(1/12)),0)</f>
        <v/>
      </c>
      <c r="I56" s="24">
        <f>IF($B56&gt;Inputs!$C$11,INDEX($H:$H,ROW()-Inputs!$C$11)* (1-Inputs!$C$10),0)</f>
        <v/>
      </c>
      <c r="J56" s="24">
        <f>$H56*Inputs!$C$10</f>
        <v/>
      </c>
      <c r="K56" s="24">
        <f>IF($B56&lt;=Inputs!$C$6+Inputs!$C$11,$C56*Inputs!$C$7/12,0)</f>
        <v/>
      </c>
      <c r="L56" s="24">
        <f>IF($B56&lt;=Inputs!$C$6+Inputs!$C$11,$E56+$F56+$G56+$I56-$K56,0)</f>
        <v/>
      </c>
      <c r="M56" s="24">
        <f>IF($B56&lt;=Inputs!$C$6,MAX(0,$C56-$F56-$G56-$H56),0)</f>
        <v/>
      </c>
    </row>
    <row r="57">
      <c r="B57" s="22" t="n">
        <v>54</v>
      </c>
      <c r="C57" s="23">
        <f>IF($B57&lt;=Inputs!$C$6+Inputs!$C$11,$M56,"")</f>
        <v/>
      </c>
      <c r="D57" s="24">
        <f>IF($B57&lt;=Inputs!$C$6,-PMT(Inputs!$C$5/12,Inputs!$C$6,Inputs!$C$4),0)</f>
        <v/>
      </c>
      <c r="E57" s="24">
        <f>IF($B57&lt;=Inputs!$C$6+Inputs!$C$11,$C57*Inputs!$C$5/12,0)</f>
        <v/>
      </c>
      <c r="F57" s="24">
        <f>IF($B57&lt;=Inputs!$C$6,MAX(0,$D57-$E57),0)</f>
        <v/>
      </c>
      <c r="G57" s="24">
        <f>IF($B57&lt;=Inputs!$C$6,MAX(0,($C57-$F57))*(1-(1-Inputs!$C$8)^(1/12)),0)</f>
        <v/>
      </c>
      <c r="H57" s="24">
        <f>IF($B57&lt;=Inputs!$C$6,MAX(0,($C57-$F57-$G57))*(1-(1-Inputs!$C$9)^(1/12)),0)</f>
        <v/>
      </c>
      <c r="I57" s="24">
        <f>IF($B57&gt;Inputs!$C$11,INDEX($H:$H,ROW()-Inputs!$C$11)* (1-Inputs!$C$10),0)</f>
        <v/>
      </c>
      <c r="J57" s="24">
        <f>$H57*Inputs!$C$10</f>
        <v/>
      </c>
      <c r="K57" s="24">
        <f>IF($B57&lt;=Inputs!$C$6+Inputs!$C$11,$C57*Inputs!$C$7/12,0)</f>
        <v/>
      </c>
      <c r="L57" s="24">
        <f>IF($B57&lt;=Inputs!$C$6+Inputs!$C$11,$E57+$F57+$G57+$I57-$K57,0)</f>
        <v/>
      </c>
      <c r="M57" s="24">
        <f>IF($B57&lt;=Inputs!$C$6,MAX(0,$C57-$F57-$G57-$H57),0)</f>
        <v/>
      </c>
    </row>
    <row r="58">
      <c r="B58" s="22" t="n">
        <v>55</v>
      </c>
      <c r="C58" s="23">
        <f>IF($B58&lt;=Inputs!$C$6+Inputs!$C$11,$M57,"")</f>
        <v/>
      </c>
      <c r="D58" s="24">
        <f>IF($B58&lt;=Inputs!$C$6,-PMT(Inputs!$C$5/12,Inputs!$C$6,Inputs!$C$4),0)</f>
        <v/>
      </c>
      <c r="E58" s="24">
        <f>IF($B58&lt;=Inputs!$C$6+Inputs!$C$11,$C58*Inputs!$C$5/12,0)</f>
        <v/>
      </c>
      <c r="F58" s="24">
        <f>IF($B58&lt;=Inputs!$C$6,MAX(0,$D58-$E58),0)</f>
        <v/>
      </c>
      <c r="G58" s="24">
        <f>IF($B58&lt;=Inputs!$C$6,MAX(0,($C58-$F58))*(1-(1-Inputs!$C$8)^(1/12)),0)</f>
        <v/>
      </c>
      <c r="H58" s="24">
        <f>IF($B58&lt;=Inputs!$C$6,MAX(0,($C58-$F58-$G58))*(1-(1-Inputs!$C$9)^(1/12)),0)</f>
        <v/>
      </c>
      <c r="I58" s="24">
        <f>IF($B58&gt;Inputs!$C$11,INDEX($H:$H,ROW()-Inputs!$C$11)* (1-Inputs!$C$10),0)</f>
        <v/>
      </c>
      <c r="J58" s="24">
        <f>$H58*Inputs!$C$10</f>
        <v/>
      </c>
      <c r="K58" s="24">
        <f>IF($B58&lt;=Inputs!$C$6+Inputs!$C$11,$C58*Inputs!$C$7/12,0)</f>
        <v/>
      </c>
      <c r="L58" s="24">
        <f>IF($B58&lt;=Inputs!$C$6+Inputs!$C$11,$E58+$F58+$G58+$I58-$K58,0)</f>
        <v/>
      </c>
      <c r="M58" s="24">
        <f>IF($B58&lt;=Inputs!$C$6,MAX(0,$C58-$F58-$G58-$H58),0)</f>
        <v/>
      </c>
    </row>
    <row r="59">
      <c r="B59" s="22" t="n">
        <v>56</v>
      </c>
      <c r="C59" s="23">
        <f>IF($B59&lt;=Inputs!$C$6+Inputs!$C$11,$M58,"")</f>
        <v/>
      </c>
      <c r="D59" s="24">
        <f>IF($B59&lt;=Inputs!$C$6,-PMT(Inputs!$C$5/12,Inputs!$C$6,Inputs!$C$4),0)</f>
        <v/>
      </c>
      <c r="E59" s="24">
        <f>IF($B59&lt;=Inputs!$C$6+Inputs!$C$11,$C59*Inputs!$C$5/12,0)</f>
        <v/>
      </c>
      <c r="F59" s="24">
        <f>IF($B59&lt;=Inputs!$C$6,MAX(0,$D59-$E59),0)</f>
        <v/>
      </c>
      <c r="G59" s="24">
        <f>IF($B59&lt;=Inputs!$C$6,MAX(0,($C59-$F59))*(1-(1-Inputs!$C$8)^(1/12)),0)</f>
        <v/>
      </c>
      <c r="H59" s="24">
        <f>IF($B59&lt;=Inputs!$C$6,MAX(0,($C59-$F59-$G59))*(1-(1-Inputs!$C$9)^(1/12)),0)</f>
        <v/>
      </c>
      <c r="I59" s="24">
        <f>IF($B59&gt;Inputs!$C$11,INDEX($H:$H,ROW()-Inputs!$C$11)* (1-Inputs!$C$10),0)</f>
        <v/>
      </c>
      <c r="J59" s="24">
        <f>$H59*Inputs!$C$10</f>
        <v/>
      </c>
      <c r="K59" s="24">
        <f>IF($B59&lt;=Inputs!$C$6+Inputs!$C$11,$C59*Inputs!$C$7/12,0)</f>
        <v/>
      </c>
      <c r="L59" s="24">
        <f>IF($B59&lt;=Inputs!$C$6+Inputs!$C$11,$E59+$F59+$G59+$I59-$K59,0)</f>
        <v/>
      </c>
      <c r="M59" s="24">
        <f>IF($B59&lt;=Inputs!$C$6,MAX(0,$C59-$F59-$G59-$H59),0)</f>
        <v/>
      </c>
    </row>
    <row r="60">
      <c r="B60" s="22" t="n">
        <v>57</v>
      </c>
      <c r="C60" s="23">
        <f>IF($B60&lt;=Inputs!$C$6+Inputs!$C$11,$M59,"")</f>
        <v/>
      </c>
      <c r="D60" s="24">
        <f>IF($B60&lt;=Inputs!$C$6,-PMT(Inputs!$C$5/12,Inputs!$C$6,Inputs!$C$4),0)</f>
        <v/>
      </c>
      <c r="E60" s="24">
        <f>IF($B60&lt;=Inputs!$C$6+Inputs!$C$11,$C60*Inputs!$C$5/12,0)</f>
        <v/>
      </c>
      <c r="F60" s="24">
        <f>IF($B60&lt;=Inputs!$C$6,MAX(0,$D60-$E60),0)</f>
        <v/>
      </c>
      <c r="G60" s="24">
        <f>IF($B60&lt;=Inputs!$C$6,MAX(0,($C60-$F60))*(1-(1-Inputs!$C$8)^(1/12)),0)</f>
        <v/>
      </c>
      <c r="H60" s="24">
        <f>IF($B60&lt;=Inputs!$C$6,MAX(0,($C60-$F60-$G60))*(1-(1-Inputs!$C$9)^(1/12)),0)</f>
        <v/>
      </c>
      <c r="I60" s="24">
        <f>IF($B60&gt;Inputs!$C$11,INDEX($H:$H,ROW()-Inputs!$C$11)* (1-Inputs!$C$10),0)</f>
        <v/>
      </c>
      <c r="J60" s="24">
        <f>$H60*Inputs!$C$10</f>
        <v/>
      </c>
      <c r="K60" s="24">
        <f>IF($B60&lt;=Inputs!$C$6+Inputs!$C$11,$C60*Inputs!$C$7/12,0)</f>
        <v/>
      </c>
      <c r="L60" s="24">
        <f>IF($B60&lt;=Inputs!$C$6+Inputs!$C$11,$E60+$F60+$G60+$I60-$K60,0)</f>
        <v/>
      </c>
      <c r="M60" s="24">
        <f>IF($B60&lt;=Inputs!$C$6,MAX(0,$C60-$F60-$G60-$H60),0)</f>
        <v/>
      </c>
    </row>
    <row r="61">
      <c r="B61" s="22" t="n">
        <v>58</v>
      </c>
      <c r="C61" s="23">
        <f>IF($B61&lt;=Inputs!$C$6+Inputs!$C$11,$M60,"")</f>
        <v/>
      </c>
      <c r="D61" s="24">
        <f>IF($B61&lt;=Inputs!$C$6,-PMT(Inputs!$C$5/12,Inputs!$C$6,Inputs!$C$4),0)</f>
        <v/>
      </c>
      <c r="E61" s="24">
        <f>IF($B61&lt;=Inputs!$C$6+Inputs!$C$11,$C61*Inputs!$C$5/12,0)</f>
        <v/>
      </c>
      <c r="F61" s="24">
        <f>IF($B61&lt;=Inputs!$C$6,MAX(0,$D61-$E61),0)</f>
        <v/>
      </c>
      <c r="G61" s="24">
        <f>IF($B61&lt;=Inputs!$C$6,MAX(0,($C61-$F61))*(1-(1-Inputs!$C$8)^(1/12)),0)</f>
        <v/>
      </c>
      <c r="H61" s="24">
        <f>IF($B61&lt;=Inputs!$C$6,MAX(0,($C61-$F61-$G61))*(1-(1-Inputs!$C$9)^(1/12)),0)</f>
        <v/>
      </c>
      <c r="I61" s="24">
        <f>IF($B61&gt;Inputs!$C$11,INDEX($H:$H,ROW()-Inputs!$C$11)* (1-Inputs!$C$10),0)</f>
        <v/>
      </c>
      <c r="J61" s="24">
        <f>$H61*Inputs!$C$10</f>
        <v/>
      </c>
      <c r="K61" s="24">
        <f>IF($B61&lt;=Inputs!$C$6+Inputs!$C$11,$C61*Inputs!$C$7/12,0)</f>
        <v/>
      </c>
      <c r="L61" s="24">
        <f>IF($B61&lt;=Inputs!$C$6+Inputs!$C$11,$E61+$F61+$G61+$I61-$K61,0)</f>
        <v/>
      </c>
      <c r="M61" s="24">
        <f>IF($B61&lt;=Inputs!$C$6,MAX(0,$C61-$F61-$G61-$H61),0)</f>
        <v/>
      </c>
    </row>
    <row r="62">
      <c r="B62" s="22" t="n">
        <v>59</v>
      </c>
      <c r="C62" s="23">
        <f>IF($B62&lt;=Inputs!$C$6+Inputs!$C$11,$M61,"")</f>
        <v/>
      </c>
      <c r="D62" s="24">
        <f>IF($B62&lt;=Inputs!$C$6,-PMT(Inputs!$C$5/12,Inputs!$C$6,Inputs!$C$4),0)</f>
        <v/>
      </c>
      <c r="E62" s="24">
        <f>IF($B62&lt;=Inputs!$C$6+Inputs!$C$11,$C62*Inputs!$C$5/12,0)</f>
        <v/>
      </c>
      <c r="F62" s="24">
        <f>IF($B62&lt;=Inputs!$C$6,MAX(0,$D62-$E62),0)</f>
        <v/>
      </c>
      <c r="G62" s="24">
        <f>IF($B62&lt;=Inputs!$C$6,MAX(0,($C62-$F62))*(1-(1-Inputs!$C$8)^(1/12)),0)</f>
        <v/>
      </c>
      <c r="H62" s="24">
        <f>IF($B62&lt;=Inputs!$C$6,MAX(0,($C62-$F62-$G62))*(1-(1-Inputs!$C$9)^(1/12)),0)</f>
        <v/>
      </c>
      <c r="I62" s="24">
        <f>IF($B62&gt;Inputs!$C$11,INDEX($H:$H,ROW()-Inputs!$C$11)* (1-Inputs!$C$10),0)</f>
        <v/>
      </c>
      <c r="J62" s="24">
        <f>$H62*Inputs!$C$10</f>
        <v/>
      </c>
      <c r="K62" s="24">
        <f>IF($B62&lt;=Inputs!$C$6+Inputs!$C$11,$C62*Inputs!$C$7/12,0)</f>
        <v/>
      </c>
      <c r="L62" s="24">
        <f>IF($B62&lt;=Inputs!$C$6+Inputs!$C$11,$E62+$F62+$G62+$I62-$K62,0)</f>
        <v/>
      </c>
      <c r="M62" s="24">
        <f>IF($B62&lt;=Inputs!$C$6,MAX(0,$C62-$F62-$G62-$H62),0)</f>
        <v/>
      </c>
    </row>
    <row r="63">
      <c r="B63" s="22" t="n">
        <v>60</v>
      </c>
      <c r="C63" s="23">
        <f>IF($B63&lt;=Inputs!$C$6+Inputs!$C$11,$M62,"")</f>
        <v/>
      </c>
      <c r="D63" s="24">
        <f>IF($B63&lt;=Inputs!$C$6,-PMT(Inputs!$C$5/12,Inputs!$C$6,Inputs!$C$4),0)</f>
        <v/>
      </c>
      <c r="E63" s="24">
        <f>IF($B63&lt;=Inputs!$C$6+Inputs!$C$11,$C63*Inputs!$C$5/12,0)</f>
        <v/>
      </c>
      <c r="F63" s="24">
        <f>IF($B63&lt;=Inputs!$C$6,MAX(0,$D63-$E63),0)</f>
        <v/>
      </c>
      <c r="G63" s="24">
        <f>IF($B63&lt;=Inputs!$C$6,MAX(0,($C63-$F63))*(1-(1-Inputs!$C$8)^(1/12)),0)</f>
        <v/>
      </c>
      <c r="H63" s="24">
        <f>IF($B63&lt;=Inputs!$C$6,MAX(0,($C63-$F63-$G63))*(1-(1-Inputs!$C$9)^(1/12)),0)</f>
        <v/>
      </c>
      <c r="I63" s="24">
        <f>IF($B63&gt;Inputs!$C$11,INDEX($H:$H,ROW()-Inputs!$C$11)* (1-Inputs!$C$10),0)</f>
        <v/>
      </c>
      <c r="J63" s="24">
        <f>$H63*Inputs!$C$10</f>
        <v/>
      </c>
      <c r="K63" s="24">
        <f>IF($B63&lt;=Inputs!$C$6+Inputs!$C$11,$C63*Inputs!$C$7/12,0)</f>
        <v/>
      </c>
      <c r="L63" s="24">
        <f>IF($B63&lt;=Inputs!$C$6+Inputs!$C$11,$E63+$F63+$G63+$I63-$K63,0)</f>
        <v/>
      </c>
      <c r="M63" s="24">
        <f>IF($B63&lt;=Inputs!$C$6,MAX(0,$C63-$F63-$G63-$H63),0)</f>
        <v/>
      </c>
    </row>
    <row r="64">
      <c r="B64" s="22" t="n">
        <v>61</v>
      </c>
      <c r="C64" s="23">
        <f>IF($B64&lt;=Inputs!$C$6+Inputs!$C$11,$M63,"")</f>
        <v/>
      </c>
      <c r="D64" s="24">
        <f>IF($B64&lt;=Inputs!$C$6,-PMT(Inputs!$C$5/12,Inputs!$C$6,Inputs!$C$4),0)</f>
        <v/>
      </c>
      <c r="E64" s="24">
        <f>IF($B64&lt;=Inputs!$C$6+Inputs!$C$11,$C64*Inputs!$C$5/12,0)</f>
        <v/>
      </c>
      <c r="F64" s="24">
        <f>IF($B64&lt;=Inputs!$C$6,MAX(0,$D64-$E64),0)</f>
        <v/>
      </c>
      <c r="G64" s="24">
        <f>IF($B64&lt;=Inputs!$C$6,MAX(0,($C64-$F64))*(1-(1-Inputs!$C$8)^(1/12)),0)</f>
        <v/>
      </c>
      <c r="H64" s="24">
        <f>IF($B64&lt;=Inputs!$C$6,MAX(0,($C64-$F64-$G64))*(1-(1-Inputs!$C$9)^(1/12)),0)</f>
        <v/>
      </c>
      <c r="I64" s="24">
        <f>IF($B64&gt;Inputs!$C$11,INDEX($H:$H,ROW()-Inputs!$C$11)* (1-Inputs!$C$10),0)</f>
        <v/>
      </c>
      <c r="J64" s="24">
        <f>$H64*Inputs!$C$10</f>
        <v/>
      </c>
      <c r="K64" s="24">
        <f>IF($B64&lt;=Inputs!$C$6+Inputs!$C$11,$C64*Inputs!$C$7/12,0)</f>
        <v/>
      </c>
      <c r="L64" s="24">
        <f>IF($B64&lt;=Inputs!$C$6+Inputs!$C$11,$E64+$F64+$G64+$I64-$K64,0)</f>
        <v/>
      </c>
      <c r="M64" s="24">
        <f>IF($B64&lt;=Inputs!$C$6,MAX(0,$C64-$F64-$G64-$H64),0)</f>
        <v/>
      </c>
    </row>
    <row r="65">
      <c r="B65" s="22" t="n">
        <v>62</v>
      </c>
      <c r="C65" s="23">
        <f>IF($B65&lt;=Inputs!$C$6+Inputs!$C$11,$M64,"")</f>
        <v/>
      </c>
      <c r="D65" s="24">
        <f>IF($B65&lt;=Inputs!$C$6,-PMT(Inputs!$C$5/12,Inputs!$C$6,Inputs!$C$4),0)</f>
        <v/>
      </c>
      <c r="E65" s="24">
        <f>IF($B65&lt;=Inputs!$C$6+Inputs!$C$11,$C65*Inputs!$C$5/12,0)</f>
        <v/>
      </c>
      <c r="F65" s="24">
        <f>IF($B65&lt;=Inputs!$C$6,MAX(0,$D65-$E65),0)</f>
        <v/>
      </c>
      <c r="G65" s="24">
        <f>IF($B65&lt;=Inputs!$C$6,MAX(0,($C65-$F65))*(1-(1-Inputs!$C$8)^(1/12)),0)</f>
        <v/>
      </c>
      <c r="H65" s="24">
        <f>IF($B65&lt;=Inputs!$C$6,MAX(0,($C65-$F65-$G65))*(1-(1-Inputs!$C$9)^(1/12)),0)</f>
        <v/>
      </c>
      <c r="I65" s="24">
        <f>IF($B65&gt;Inputs!$C$11,INDEX($H:$H,ROW()-Inputs!$C$11)* (1-Inputs!$C$10),0)</f>
        <v/>
      </c>
      <c r="J65" s="24">
        <f>$H65*Inputs!$C$10</f>
        <v/>
      </c>
      <c r="K65" s="24">
        <f>IF($B65&lt;=Inputs!$C$6+Inputs!$C$11,$C65*Inputs!$C$7/12,0)</f>
        <v/>
      </c>
      <c r="L65" s="24">
        <f>IF($B65&lt;=Inputs!$C$6+Inputs!$C$11,$E65+$F65+$G65+$I65-$K65,0)</f>
        <v/>
      </c>
      <c r="M65" s="24">
        <f>IF($B65&lt;=Inputs!$C$6,MAX(0,$C65-$F65-$G65-$H65),0)</f>
        <v/>
      </c>
    </row>
    <row r="66">
      <c r="B66" s="22" t="n">
        <v>63</v>
      </c>
      <c r="C66" s="23">
        <f>IF($B66&lt;=Inputs!$C$6+Inputs!$C$11,$M65,"")</f>
        <v/>
      </c>
      <c r="D66" s="24">
        <f>IF($B66&lt;=Inputs!$C$6,-PMT(Inputs!$C$5/12,Inputs!$C$6,Inputs!$C$4),0)</f>
        <v/>
      </c>
      <c r="E66" s="24">
        <f>IF($B66&lt;=Inputs!$C$6+Inputs!$C$11,$C66*Inputs!$C$5/12,0)</f>
        <v/>
      </c>
      <c r="F66" s="24">
        <f>IF($B66&lt;=Inputs!$C$6,MAX(0,$D66-$E66),0)</f>
        <v/>
      </c>
      <c r="G66" s="24">
        <f>IF($B66&lt;=Inputs!$C$6,MAX(0,($C66-$F66))*(1-(1-Inputs!$C$8)^(1/12)),0)</f>
        <v/>
      </c>
      <c r="H66" s="24">
        <f>IF($B66&lt;=Inputs!$C$6,MAX(0,($C66-$F66-$G66))*(1-(1-Inputs!$C$9)^(1/12)),0)</f>
        <v/>
      </c>
      <c r="I66" s="24">
        <f>IF($B66&gt;Inputs!$C$11,INDEX($H:$H,ROW()-Inputs!$C$11)* (1-Inputs!$C$10),0)</f>
        <v/>
      </c>
      <c r="J66" s="24">
        <f>$H66*Inputs!$C$10</f>
        <v/>
      </c>
      <c r="K66" s="24">
        <f>IF($B66&lt;=Inputs!$C$6+Inputs!$C$11,$C66*Inputs!$C$7/12,0)</f>
        <v/>
      </c>
      <c r="L66" s="24">
        <f>IF($B66&lt;=Inputs!$C$6+Inputs!$C$11,$E66+$F66+$G66+$I66-$K66,0)</f>
        <v/>
      </c>
      <c r="M66" s="24">
        <f>IF($B66&lt;=Inputs!$C$6,MAX(0,$C66-$F66-$G66-$H66),0)</f>
        <v/>
      </c>
    </row>
    <row r="67">
      <c r="B67" s="22" t="n">
        <v>64</v>
      </c>
      <c r="C67" s="23">
        <f>IF($B67&lt;=Inputs!$C$6+Inputs!$C$11,$M66,"")</f>
        <v/>
      </c>
      <c r="D67" s="24">
        <f>IF($B67&lt;=Inputs!$C$6,-PMT(Inputs!$C$5/12,Inputs!$C$6,Inputs!$C$4),0)</f>
        <v/>
      </c>
      <c r="E67" s="24">
        <f>IF($B67&lt;=Inputs!$C$6+Inputs!$C$11,$C67*Inputs!$C$5/12,0)</f>
        <v/>
      </c>
      <c r="F67" s="24">
        <f>IF($B67&lt;=Inputs!$C$6,MAX(0,$D67-$E67),0)</f>
        <v/>
      </c>
      <c r="G67" s="24">
        <f>IF($B67&lt;=Inputs!$C$6,MAX(0,($C67-$F67))*(1-(1-Inputs!$C$8)^(1/12)),0)</f>
        <v/>
      </c>
      <c r="H67" s="24">
        <f>IF($B67&lt;=Inputs!$C$6,MAX(0,($C67-$F67-$G67))*(1-(1-Inputs!$C$9)^(1/12)),0)</f>
        <v/>
      </c>
      <c r="I67" s="24">
        <f>IF($B67&gt;Inputs!$C$11,INDEX($H:$H,ROW()-Inputs!$C$11)* (1-Inputs!$C$10),0)</f>
        <v/>
      </c>
      <c r="J67" s="24">
        <f>$H67*Inputs!$C$10</f>
        <v/>
      </c>
      <c r="K67" s="24">
        <f>IF($B67&lt;=Inputs!$C$6+Inputs!$C$11,$C67*Inputs!$C$7/12,0)</f>
        <v/>
      </c>
      <c r="L67" s="24">
        <f>IF($B67&lt;=Inputs!$C$6+Inputs!$C$11,$E67+$F67+$G67+$I67-$K67,0)</f>
        <v/>
      </c>
      <c r="M67" s="24">
        <f>IF($B67&lt;=Inputs!$C$6,MAX(0,$C67-$F67-$G67-$H67),0)</f>
        <v/>
      </c>
    </row>
    <row r="68">
      <c r="B68" s="22" t="n">
        <v>65</v>
      </c>
      <c r="C68" s="23">
        <f>IF($B68&lt;=Inputs!$C$6+Inputs!$C$11,$M67,"")</f>
        <v/>
      </c>
      <c r="D68" s="24">
        <f>IF($B68&lt;=Inputs!$C$6,-PMT(Inputs!$C$5/12,Inputs!$C$6,Inputs!$C$4),0)</f>
        <v/>
      </c>
      <c r="E68" s="24">
        <f>IF($B68&lt;=Inputs!$C$6+Inputs!$C$11,$C68*Inputs!$C$5/12,0)</f>
        <v/>
      </c>
      <c r="F68" s="24">
        <f>IF($B68&lt;=Inputs!$C$6,MAX(0,$D68-$E68),0)</f>
        <v/>
      </c>
      <c r="G68" s="24">
        <f>IF($B68&lt;=Inputs!$C$6,MAX(0,($C68-$F68))*(1-(1-Inputs!$C$8)^(1/12)),0)</f>
        <v/>
      </c>
      <c r="H68" s="24">
        <f>IF($B68&lt;=Inputs!$C$6,MAX(0,($C68-$F68-$G68))*(1-(1-Inputs!$C$9)^(1/12)),0)</f>
        <v/>
      </c>
      <c r="I68" s="24">
        <f>IF($B68&gt;Inputs!$C$11,INDEX($H:$H,ROW()-Inputs!$C$11)* (1-Inputs!$C$10),0)</f>
        <v/>
      </c>
      <c r="J68" s="24">
        <f>$H68*Inputs!$C$10</f>
        <v/>
      </c>
      <c r="K68" s="24">
        <f>IF($B68&lt;=Inputs!$C$6+Inputs!$C$11,$C68*Inputs!$C$7/12,0)</f>
        <v/>
      </c>
      <c r="L68" s="24">
        <f>IF($B68&lt;=Inputs!$C$6+Inputs!$C$11,$E68+$F68+$G68+$I68-$K68,0)</f>
        <v/>
      </c>
      <c r="M68" s="24">
        <f>IF($B68&lt;=Inputs!$C$6,MAX(0,$C68-$F68-$G68-$H68),0)</f>
        <v/>
      </c>
    </row>
    <row r="69">
      <c r="B69" s="22" t="n">
        <v>66</v>
      </c>
      <c r="C69" s="23">
        <f>IF($B69&lt;=Inputs!$C$6+Inputs!$C$11,$M68,"")</f>
        <v/>
      </c>
      <c r="D69" s="24">
        <f>IF($B69&lt;=Inputs!$C$6,-PMT(Inputs!$C$5/12,Inputs!$C$6,Inputs!$C$4),0)</f>
        <v/>
      </c>
      <c r="E69" s="24">
        <f>IF($B69&lt;=Inputs!$C$6+Inputs!$C$11,$C69*Inputs!$C$5/12,0)</f>
        <v/>
      </c>
      <c r="F69" s="24">
        <f>IF($B69&lt;=Inputs!$C$6,MAX(0,$D69-$E69),0)</f>
        <v/>
      </c>
      <c r="G69" s="24">
        <f>IF($B69&lt;=Inputs!$C$6,MAX(0,($C69-$F69))*(1-(1-Inputs!$C$8)^(1/12)),0)</f>
        <v/>
      </c>
      <c r="H69" s="24">
        <f>IF($B69&lt;=Inputs!$C$6,MAX(0,($C69-$F69-$G69))*(1-(1-Inputs!$C$9)^(1/12)),0)</f>
        <v/>
      </c>
      <c r="I69" s="24">
        <f>IF($B69&gt;Inputs!$C$11,INDEX($H:$H,ROW()-Inputs!$C$11)* (1-Inputs!$C$10),0)</f>
        <v/>
      </c>
      <c r="J69" s="24">
        <f>$H69*Inputs!$C$10</f>
        <v/>
      </c>
      <c r="K69" s="24">
        <f>IF($B69&lt;=Inputs!$C$6+Inputs!$C$11,$C69*Inputs!$C$7/12,0)</f>
        <v/>
      </c>
      <c r="L69" s="24">
        <f>IF($B69&lt;=Inputs!$C$6+Inputs!$C$11,$E69+$F69+$G69+$I69-$K69,0)</f>
        <v/>
      </c>
      <c r="M69" s="24">
        <f>IF($B69&lt;=Inputs!$C$6,MAX(0,$C69-$F69-$G69-$H69),0)</f>
        <v/>
      </c>
    </row>
    <row r="70">
      <c r="B70" s="22" t="n">
        <v>67</v>
      </c>
      <c r="C70" s="23">
        <f>IF($B70&lt;=Inputs!$C$6+Inputs!$C$11,$M69,"")</f>
        <v/>
      </c>
      <c r="D70" s="24">
        <f>IF($B70&lt;=Inputs!$C$6,-PMT(Inputs!$C$5/12,Inputs!$C$6,Inputs!$C$4),0)</f>
        <v/>
      </c>
      <c r="E70" s="24">
        <f>IF($B70&lt;=Inputs!$C$6+Inputs!$C$11,$C70*Inputs!$C$5/12,0)</f>
        <v/>
      </c>
      <c r="F70" s="24">
        <f>IF($B70&lt;=Inputs!$C$6,MAX(0,$D70-$E70),0)</f>
        <v/>
      </c>
      <c r="G70" s="24">
        <f>IF($B70&lt;=Inputs!$C$6,MAX(0,($C70-$F70))*(1-(1-Inputs!$C$8)^(1/12)),0)</f>
        <v/>
      </c>
      <c r="H70" s="24">
        <f>IF($B70&lt;=Inputs!$C$6,MAX(0,($C70-$F70-$G70))*(1-(1-Inputs!$C$9)^(1/12)),0)</f>
        <v/>
      </c>
      <c r="I70" s="24">
        <f>IF($B70&gt;Inputs!$C$11,INDEX($H:$H,ROW()-Inputs!$C$11)* (1-Inputs!$C$10),0)</f>
        <v/>
      </c>
      <c r="J70" s="24">
        <f>$H70*Inputs!$C$10</f>
        <v/>
      </c>
      <c r="K70" s="24">
        <f>IF($B70&lt;=Inputs!$C$6+Inputs!$C$11,$C70*Inputs!$C$7/12,0)</f>
        <v/>
      </c>
      <c r="L70" s="24">
        <f>IF($B70&lt;=Inputs!$C$6+Inputs!$C$11,$E70+$F70+$G70+$I70-$K70,0)</f>
        <v/>
      </c>
      <c r="M70" s="24">
        <f>IF($B70&lt;=Inputs!$C$6,MAX(0,$C70-$F70-$G70-$H70),0)</f>
        <v/>
      </c>
    </row>
    <row r="71">
      <c r="B71" s="22" t="n">
        <v>68</v>
      </c>
      <c r="C71" s="23">
        <f>IF($B71&lt;=Inputs!$C$6+Inputs!$C$11,$M70,"")</f>
        <v/>
      </c>
      <c r="D71" s="24">
        <f>IF($B71&lt;=Inputs!$C$6,-PMT(Inputs!$C$5/12,Inputs!$C$6,Inputs!$C$4),0)</f>
        <v/>
      </c>
      <c r="E71" s="24">
        <f>IF($B71&lt;=Inputs!$C$6+Inputs!$C$11,$C71*Inputs!$C$5/12,0)</f>
        <v/>
      </c>
      <c r="F71" s="24">
        <f>IF($B71&lt;=Inputs!$C$6,MAX(0,$D71-$E71),0)</f>
        <v/>
      </c>
      <c r="G71" s="24">
        <f>IF($B71&lt;=Inputs!$C$6,MAX(0,($C71-$F71))*(1-(1-Inputs!$C$8)^(1/12)),0)</f>
        <v/>
      </c>
      <c r="H71" s="24">
        <f>IF($B71&lt;=Inputs!$C$6,MAX(0,($C71-$F71-$G71))*(1-(1-Inputs!$C$9)^(1/12)),0)</f>
        <v/>
      </c>
      <c r="I71" s="24">
        <f>IF($B71&gt;Inputs!$C$11,INDEX($H:$H,ROW()-Inputs!$C$11)* (1-Inputs!$C$10),0)</f>
        <v/>
      </c>
      <c r="J71" s="24">
        <f>$H71*Inputs!$C$10</f>
        <v/>
      </c>
      <c r="K71" s="24">
        <f>IF($B71&lt;=Inputs!$C$6+Inputs!$C$11,$C71*Inputs!$C$7/12,0)</f>
        <v/>
      </c>
      <c r="L71" s="24">
        <f>IF($B71&lt;=Inputs!$C$6+Inputs!$C$11,$E71+$F71+$G71+$I71-$K71,0)</f>
        <v/>
      </c>
      <c r="M71" s="24">
        <f>IF($B71&lt;=Inputs!$C$6,MAX(0,$C71-$F71-$G71-$H71),0)</f>
        <v/>
      </c>
    </row>
    <row r="72">
      <c r="B72" s="22" t="n">
        <v>69</v>
      </c>
      <c r="C72" s="23">
        <f>IF($B72&lt;=Inputs!$C$6+Inputs!$C$11,$M71,"")</f>
        <v/>
      </c>
      <c r="D72" s="24">
        <f>IF($B72&lt;=Inputs!$C$6,-PMT(Inputs!$C$5/12,Inputs!$C$6,Inputs!$C$4),0)</f>
        <v/>
      </c>
      <c r="E72" s="24">
        <f>IF($B72&lt;=Inputs!$C$6+Inputs!$C$11,$C72*Inputs!$C$5/12,0)</f>
        <v/>
      </c>
      <c r="F72" s="24">
        <f>IF($B72&lt;=Inputs!$C$6,MAX(0,$D72-$E72),0)</f>
        <v/>
      </c>
      <c r="G72" s="24">
        <f>IF($B72&lt;=Inputs!$C$6,MAX(0,($C72-$F72))*(1-(1-Inputs!$C$8)^(1/12)),0)</f>
        <v/>
      </c>
      <c r="H72" s="24">
        <f>IF($B72&lt;=Inputs!$C$6,MAX(0,($C72-$F72-$G72))*(1-(1-Inputs!$C$9)^(1/12)),0)</f>
        <v/>
      </c>
      <c r="I72" s="24">
        <f>IF($B72&gt;Inputs!$C$11,INDEX($H:$H,ROW()-Inputs!$C$11)* (1-Inputs!$C$10),0)</f>
        <v/>
      </c>
      <c r="J72" s="24">
        <f>$H72*Inputs!$C$10</f>
        <v/>
      </c>
      <c r="K72" s="24">
        <f>IF($B72&lt;=Inputs!$C$6+Inputs!$C$11,$C72*Inputs!$C$7/12,0)</f>
        <v/>
      </c>
      <c r="L72" s="24">
        <f>IF($B72&lt;=Inputs!$C$6+Inputs!$C$11,$E72+$F72+$G72+$I72-$K72,0)</f>
        <v/>
      </c>
      <c r="M72" s="24">
        <f>IF($B72&lt;=Inputs!$C$6,MAX(0,$C72-$F72-$G72-$H72),0)</f>
        <v/>
      </c>
    </row>
    <row r="73">
      <c r="B73" s="22" t="n">
        <v>70</v>
      </c>
      <c r="C73" s="23">
        <f>IF($B73&lt;=Inputs!$C$6+Inputs!$C$11,$M72,"")</f>
        <v/>
      </c>
      <c r="D73" s="24">
        <f>IF($B73&lt;=Inputs!$C$6,-PMT(Inputs!$C$5/12,Inputs!$C$6,Inputs!$C$4),0)</f>
        <v/>
      </c>
      <c r="E73" s="24">
        <f>IF($B73&lt;=Inputs!$C$6+Inputs!$C$11,$C73*Inputs!$C$5/12,0)</f>
        <v/>
      </c>
      <c r="F73" s="24">
        <f>IF($B73&lt;=Inputs!$C$6,MAX(0,$D73-$E73),0)</f>
        <v/>
      </c>
      <c r="G73" s="24">
        <f>IF($B73&lt;=Inputs!$C$6,MAX(0,($C73-$F73))*(1-(1-Inputs!$C$8)^(1/12)),0)</f>
        <v/>
      </c>
      <c r="H73" s="24">
        <f>IF($B73&lt;=Inputs!$C$6,MAX(0,($C73-$F73-$G73))*(1-(1-Inputs!$C$9)^(1/12)),0)</f>
        <v/>
      </c>
      <c r="I73" s="24">
        <f>IF($B73&gt;Inputs!$C$11,INDEX($H:$H,ROW()-Inputs!$C$11)* (1-Inputs!$C$10),0)</f>
        <v/>
      </c>
      <c r="J73" s="24">
        <f>$H73*Inputs!$C$10</f>
        <v/>
      </c>
      <c r="K73" s="24">
        <f>IF($B73&lt;=Inputs!$C$6+Inputs!$C$11,$C73*Inputs!$C$7/12,0)</f>
        <v/>
      </c>
      <c r="L73" s="24">
        <f>IF($B73&lt;=Inputs!$C$6+Inputs!$C$11,$E73+$F73+$G73+$I73-$K73,0)</f>
        <v/>
      </c>
      <c r="M73" s="24">
        <f>IF($B73&lt;=Inputs!$C$6,MAX(0,$C73-$F73-$G73-$H73),0)</f>
        <v/>
      </c>
    </row>
    <row r="74">
      <c r="B74" s="22" t="n">
        <v>71</v>
      </c>
      <c r="C74" s="23">
        <f>IF($B74&lt;=Inputs!$C$6+Inputs!$C$11,$M73,"")</f>
        <v/>
      </c>
      <c r="D74" s="24">
        <f>IF($B74&lt;=Inputs!$C$6,-PMT(Inputs!$C$5/12,Inputs!$C$6,Inputs!$C$4),0)</f>
        <v/>
      </c>
      <c r="E74" s="24">
        <f>IF($B74&lt;=Inputs!$C$6+Inputs!$C$11,$C74*Inputs!$C$5/12,0)</f>
        <v/>
      </c>
      <c r="F74" s="24">
        <f>IF($B74&lt;=Inputs!$C$6,MAX(0,$D74-$E74),0)</f>
        <v/>
      </c>
      <c r="G74" s="24">
        <f>IF($B74&lt;=Inputs!$C$6,MAX(0,($C74-$F74))*(1-(1-Inputs!$C$8)^(1/12)),0)</f>
        <v/>
      </c>
      <c r="H74" s="24">
        <f>IF($B74&lt;=Inputs!$C$6,MAX(0,($C74-$F74-$G74))*(1-(1-Inputs!$C$9)^(1/12)),0)</f>
        <v/>
      </c>
      <c r="I74" s="24">
        <f>IF($B74&gt;Inputs!$C$11,INDEX($H:$H,ROW()-Inputs!$C$11)* (1-Inputs!$C$10),0)</f>
        <v/>
      </c>
      <c r="J74" s="24">
        <f>$H74*Inputs!$C$10</f>
        <v/>
      </c>
      <c r="K74" s="24">
        <f>IF($B74&lt;=Inputs!$C$6+Inputs!$C$11,$C74*Inputs!$C$7/12,0)</f>
        <v/>
      </c>
      <c r="L74" s="24">
        <f>IF($B74&lt;=Inputs!$C$6+Inputs!$C$11,$E74+$F74+$G74+$I74-$K74,0)</f>
        <v/>
      </c>
      <c r="M74" s="24">
        <f>IF($B74&lt;=Inputs!$C$6,MAX(0,$C74-$F74-$G74-$H74),0)</f>
        <v/>
      </c>
    </row>
    <row r="75">
      <c r="B75" s="22" t="n">
        <v>72</v>
      </c>
      <c r="C75" s="23">
        <f>IF($B75&lt;=Inputs!$C$6+Inputs!$C$11,$M74,"")</f>
        <v/>
      </c>
      <c r="D75" s="24">
        <f>IF($B75&lt;=Inputs!$C$6,-PMT(Inputs!$C$5/12,Inputs!$C$6,Inputs!$C$4),0)</f>
        <v/>
      </c>
      <c r="E75" s="24">
        <f>IF($B75&lt;=Inputs!$C$6+Inputs!$C$11,$C75*Inputs!$C$5/12,0)</f>
        <v/>
      </c>
      <c r="F75" s="24">
        <f>IF($B75&lt;=Inputs!$C$6,MAX(0,$D75-$E75),0)</f>
        <v/>
      </c>
      <c r="G75" s="24">
        <f>IF($B75&lt;=Inputs!$C$6,MAX(0,($C75-$F75))*(1-(1-Inputs!$C$8)^(1/12)),0)</f>
        <v/>
      </c>
      <c r="H75" s="24">
        <f>IF($B75&lt;=Inputs!$C$6,MAX(0,($C75-$F75-$G75))*(1-(1-Inputs!$C$9)^(1/12)),0)</f>
        <v/>
      </c>
      <c r="I75" s="24">
        <f>IF($B75&gt;Inputs!$C$11,INDEX($H:$H,ROW()-Inputs!$C$11)* (1-Inputs!$C$10),0)</f>
        <v/>
      </c>
      <c r="J75" s="24">
        <f>$H75*Inputs!$C$10</f>
        <v/>
      </c>
      <c r="K75" s="24">
        <f>IF($B75&lt;=Inputs!$C$6+Inputs!$C$11,$C75*Inputs!$C$7/12,0)</f>
        <v/>
      </c>
      <c r="L75" s="24">
        <f>IF($B75&lt;=Inputs!$C$6+Inputs!$C$11,$E75+$F75+$G75+$I75-$K75,0)</f>
        <v/>
      </c>
      <c r="M75" s="24">
        <f>IF($B75&lt;=Inputs!$C$6,MAX(0,$C75-$F75-$G75-$H75),0)</f>
        <v/>
      </c>
    </row>
    <row r="76">
      <c r="B76" s="22" t="n">
        <v>73</v>
      </c>
      <c r="C76" s="23">
        <f>IF($B76&lt;=Inputs!$C$6+Inputs!$C$11,$M75,"")</f>
        <v/>
      </c>
      <c r="D76" s="24">
        <f>IF($B76&lt;=Inputs!$C$6,-PMT(Inputs!$C$5/12,Inputs!$C$6,Inputs!$C$4),0)</f>
        <v/>
      </c>
      <c r="E76" s="24">
        <f>IF($B76&lt;=Inputs!$C$6+Inputs!$C$11,$C76*Inputs!$C$5/12,0)</f>
        <v/>
      </c>
      <c r="F76" s="24">
        <f>IF($B76&lt;=Inputs!$C$6,MAX(0,$D76-$E76),0)</f>
        <v/>
      </c>
      <c r="G76" s="24">
        <f>IF($B76&lt;=Inputs!$C$6,MAX(0,($C76-$F76))*(1-(1-Inputs!$C$8)^(1/12)),0)</f>
        <v/>
      </c>
      <c r="H76" s="24">
        <f>IF($B76&lt;=Inputs!$C$6,MAX(0,($C76-$F76-$G76))*(1-(1-Inputs!$C$9)^(1/12)),0)</f>
        <v/>
      </c>
      <c r="I76" s="24">
        <f>IF($B76&gt;Inputs!$C$11,INDEX($H:$H,ROW()-Inputs!$C$11)* (1-Inputs!$C$10),0)</f>
        <v/>
      </c>
      <c r="J76" s="24">
        <f>$H76*Inputs!$C$10</f>
        <v/>
      </c>
      <c r="K76" s="24">
        <f>IF($B76&lt;=Inputs!$C$6+Inputs!$C$11,$C76*Inputs!$C$7/12,0)</f>
        <v/>
      </c>
      <c r="L76" s="24">
        <f>IF($B76&lt;=Inputs!$C$6+Inputs!$C$11,$E76+$F76+$G76+$I76-$K76,0)</f>
        <v/>
      </c>
      <c r="M76" s="24">
        <f>IF($B76&lt;=Inputs!$C$6,MAX(0,$C76-$F76-$G76-$H76),0)</f>
        <v/>
      </c>
    </row>
    <row r="77">
      <c r="B77" s="22" t="n">
        <v>74</v>
      </c>
      <c r="C77" s="23">
        <f>IF($B77&lt;=Inputs!$C$6+Inputs!$C$11,$M76,"")</f>
        <v/>
      </c>
      <c r="D77" s="24">
        <f>IF($B77&lt;=Inputs!$C$6,-PMT(Inputs!$C$5/12,Inputs!$C$6,Inputs!$C$4),0)</f>
        <v/>
      </c>
      <c r="E77" s="24">
        <f>IF($B77&lt;=Inputs!$C$6+Inputs!$C$11,$C77*Inputs!$C$5/12,0)</f>
        <v/>
      </c>
      <c r="F77" s="24">
        <f>IF($B77&lt;=Inputs!$C$6,MAX(0,$D77-$E77),0)</f>
        <v/>
      </c>
      <c r="G77" s="24">
        <f>IF($B77&lt;=Inputs!$C$6,MAX(0,($C77-$F77))*(1-(1-Inputs!$C$8)^(1/12)),0)</f>
        <v/>
      </c>
      <c r="H77" s="24">
        <f>IF($B77&lt;=Inputs!$C$6,MAX(0,($C77-$F77-$G77))*(1-(1-Inputs!$C$9)^(1/12)),0)</f>
        <v/>
      </c>
      <c r="I77" s="24">
        <f>IF($B77&gt;Inputs!$C$11,INDEX($H:$H,ROW()-Inputs!$C$11)* (1-Inputs!$C$10),0)</f>
        <v/>
      </c>
      <c r="J77" s="24">
        <f>$H77*Inputs!$C$10</f>
        <v/>
      </c>
      <c r="K77" s="24">
        <f>IF($B77&lt;=Inputs!$C$6+Inputs!$C$11,$C77*Inputs!$C$7/12,0)</f>
        <v/>
      </c>
      <c r="L77" s="24">
        <f>IF($B77&lt;=Inputs!$C$6+Inputs!$C$11,$E77+$F77+$G77+$I77-$K77,0)</f>
        <v/>
      </c>
      <c r="M77" s="24">
        <f>IF($B77&lt;=Inputs!$C$6,MAX(0,$C77-$F77-$G77-$H77),0)</f>
        <v/>
      </c>
    </row>
    <row r="78">
      <c r="B78" s="22" t="n">
        <v>75</v>
      </c>
      <c r="C78" s="23">
        <f>IF($B78&lt;=Inputs!$C$6+Inputs!$C$11,$M77,"")</f>
        <v/>
      </c>
      <c r="D78" s="24">
        <f>IF($B78&lt;=Inputs!$C$6,-PMT(Inputs!$C$5/12,Inputs!$C$6,Inputs!$C$4),0)</f>
        <v/>
      </c>
      <c r="E78" s="24">
        <f>IF($B78&lt;=Inputs!$C$6+Inputs!$C$11,$C78*Inputs!$C$5/12,0)</f>
        <v/>
      </c>
      <c r="F78" s="24">
        <f>IF($B78&lt;=Inputs!$C$6,MAX(0,$D78-$E78),0)</f>
        <v/>
      </c>
      <c r="G78" s="24">
        <f>IF($B78&lt;=Inputs!$C$6,MAX(0,($C78-$F78))*(1-(1-Inputs!$C$8)^(1/12)),0)</f>
        <v/>
      </c>
      <c r="H78" s="24">
        <f>IF($B78&lt;=Inputs!$C$6,MAX(0,($C78-$F78-$G78))*(1-(1-Inputs!$C$9)^(1/12)),0)</f>
        <v/>
      </c>
      <c r="I78" s="24">
        <f>IF($B78&gt;Inputs!$C$11,INDEX($H:$H,ROW()-Inputs!$C$11)* (1-Inputs!$C$10),0)</f>
        <v/>
      </c>
      <c r="J78" s="24">
        <f>$H78*Inputs!$C$10</f>
        <v/>
      </c>
      <c r="K78" s="24">
        <f>IF($B78&lt;=Inputs!$C$6+Inputs!$C$11,$C78*Inputs!$C$7/12,0)</f>
        <v/>
      </c>
      <c r="L78" s="24">
        <f>IF($B78&lt;=Inputs!$C$6+Inputs!$C$11,$E78+$F78+$G78+$I78-$K78,0)</f>
        <v/>
      </c>
      <c r="M78" s="24">
        <f>IF($B78&lt;=Inputs!$C$6,MAX(0,$C78-$F78-$G78-$H78),0)</f>
        <v/>
      </c>
    </row>
    <row r="79">
      <c r="B79" s="22" t="n">
        <v>76</v>
      </c>
      <c r="C79" s="23">
        <f>IF($B79&lt;=Inputs!$C$6+Inputs!$C$11,$M78,"")</f>
        <v/>
      </c>
      <c r="D79" s="24">
        <f>IF($B79&lt;=Inputs!$C$6,-PMT(Inputs!$C$5/12,Inputs!$C$6,Inputs!$C$4),0)</f>
        <v/>
      </c>
      <c r="E79" s="24">
        <f>IF($B79&lt;=Inputs!$C$6+Inputs!$C$11,$C79*Inputs!$C$5/12,0)</f>
        <v/>
      </c>
      <c r="F79" s="24">
        <f>IF($B79&lt;=Inputs!$C$6,MAX(0,$D79-$E79),0)</f>
        <v/>
      </c>
      <c r="G79" s="24">
        <f>IF($B79&lt;=Inputs!$C$6,MAX(0,($C79-$F79))*(1-(1-Inputs!$C$8)^(1/12)),0)</f>
        <v/>
      </c>
      <c r="H79" s="24">
        <f>IF($B79&lt;=Inputs!$C$6,MAX(0,($C79-$F79-$G79))*(1-(1-Inputs!$C$9)^(1/12)),0)</f>
        <v/>
      </c>
      <c r="I79" s="24">
        <f>IF($B79&gt;Inputs!$C$11,INDEX($H:$H,ROW()-Inputs!$C$11)* (1-Inputs!$C$10),0)</f>
        <v/>
      </c>
      <c r="J79" s="24">
        <f>$H79*Inputs!$C$10</f>
        <v/>
      </c>
      <c r="K79" s="24">
        <f>IF($B79&lt;=Inputs!$C$6+Inputs!$C$11,$C79*Inputs!$C$7/12,0)</f>
        <v/>
      </c>
      <c r="L79" s="24">
        <f>IF($B79&lt;=Inputs!$C$6+Inputs!$C$11,$E79+$F79+$G79+$I79-$K79,0)</f>
        <v/>
      </c>
      <c r="M79" s="24">
        <f>IF($B79&lt;=Inputs!$C$6,MAX(0,$C79-$F79-$G79-$H79),0)</f>
        <v/>
      </c>
    </row>
    <row r="80">
      <c r="B80" s="22" t="n">
        <v>77</v>
      </c>
      <c r="C80" s="23">
        <f>IF($B80&lt;=Inputs!$C$6+Inputs!$C$11,$M79,"")</f>
        <v/>
      </c>
      <c r="D80" s="24">
        <f>IF($B80&lt;=Inputs!$C$6,-PMT(Inputs!$C$5/12,Inputs!$C$6,Inputs!$C$4),0)</f>
        <v/>
      </c>
      <c r="E80" s="24">
        <f>IF($B80&lt;=Inputs!$C$6+Inputs!$C$11,$C80*Inputs!$C$5/12,0)</f>
        <v/>
      </c>
      <c r="F80" s="24">
        <f>IF($B80&lt;=Inputs!$C$6,MAX(0,$D80-$E80),0)</f>
        <v/>
      </c>
      <c r="G80" s="24">
        <f>IF($B80&lt;=Inputs!$C$6,MAX(0,($C80-$F80))*(1-(1-Inputs!$C$8)^(1/12)),0)</f>
        <v/>
      </c>
      <c r="H80" s="24">
        <f>IF($B80&lt;=Inputs!$C$6,MAX(0,($C80-$F80-$G80))*(1-(1-Inputs!$C$9)^(1/12)),0)</f>
        <v/>
      </c>
      <c r="I80" s="24">
        <f>IF($B80&gt;Inputs!$C$11,INDEX($H:$H,ROW()-Inputs!$C$11)* (1-Inputs!$C$10),0)</f>
        <v/>
      </c>
      <c r="J80" s="24">
        <f>$H80*Inputs!$C$10</f>
        <v/>
      </c>
      <c r="K80" s="24">
        <f>IF($B80&lt;=Inputs!$C$6+Inputs!$C$11,$C80*Inputs!$C$7/12,0)</f>
        <v/>
      </c>
      <c r="L80" s="24">
        <f>IF($B80&lt;=Inputs!$C$6+Inputs!$C$11,$E80+$F80+$G80+$I80-$K80,0)</f>
        <v/>
      </c>
      <c r="M80" s="24">
        <f>IF($B80&lt;=Inputs!$C$6,MAX(0,$C80-$F80-$G80-$H80),0)</f>
        <v/>
      </c>
    </row>
    <row r="81">
      <c r="B81" s="22" t="n">
        <v>78</v>
      </c>
      <c r="C81" s="23">
        <f>IF($B81&lt;=Inputs!$C$6+Inputs!$C$11,$M80,"")</f>
        <v/>
      </c>
      <c r="D81" s="24">
        <f>IF($B81&lt;=Inputs!$C$6,-PMT(Inputs!$C$5/12,Inputs!$C$6,Inputs!$C$4),0)</f>
        <v/>
      </c>
      <c r="E81" s="24">
        <f>IF($B81&lt;=Inputs!$C$6+Inputs!$C$11,$C81*Inputs!$C$5/12,0)</f>
        <v/>
      </c>
      <c r="F81" s="24">
        <f>IF($B81&lt;=Inputs!$C$6,MAX(0,$D81-$E81),0)</f>
        <v/>
      </c>
      <c r="G81" s="24">
        <f>IF($B81&lt;=Inputs!$C$6,MAX(0,($C81-$F81))*(1-(1-Inputs!$C$8)^(1/12)),0)</f>
        <v/>
      </c>
      <c r="H81" s="24">
        <f>IF($B81&lt;=Inputs!$C$6,MAX(0,($C81-$F81-$G81))*(1-(1-Inputs!$C$9)^(1/12)),0)</f>
        <v/>
      </c>
      <c r="I81" s="24">
        <f>IF($B81&gt;Inputs!$C$11,INDEX($H:$H,ROW()-Inputs!$C$11)* (1-Inputs!$C$10),0)</f>
        <v/>
      </c>
      <c r="J81" s="24">
        <f>$H81*Inputs!$C$10</f>
        <v/>
      </c>
      <c r="K81" s="24">
        <f>IF($B81&lt;=Inputs!$C$6+Inputs!$C$11,$C81*Inputs!$C$7/12,0)</f>
        <v/>
      </c>
      <c r="L81" s="24">
        <f>IF($B81&lt;=Inputs!$C$6+Inputs!$C$11,$E81+$F81+$G81+$I81-$K81,0)</f>
        <v/>
      </c>
      <c r="M81" s="24">
        <f>IF($B81&lt;=Inputs!$C$6,MAX(0,$C81-$F81-$G81-$H81),0)</f>
        <v/>
      </c>
    </row>
    <row r="82">
      <c r="B82" s="22" t="n">
        <v>79</v>
      </c>
      <c r="C82" s="23">
        <f>IF($B82&lt;=Inputs!$C$6+Inputs!$C$11,$M81,"")</f>
        <v/>
      </c>
      <c r="D82" s="24">
        <f>IF($B82&lt;=Inputs!$C$6,-PMT(Inputs!$C$5/12,Inputs!$C$6,Inputs!$C$4),0)</f>
        <v/>
      </c>
      <c r="E82" s="24">
        <f>IF($B82&lt;=Inputs!$C$6+Inputs!$C$11,$C82*Inputs!$C$5/12,0)</f>
        <v/>
      </c>
      <c r="F82" s="24">
        <f>IF($B82&lt;=Inputs!$C$6,MAX(0,$D82-$E82),0)</f>
        <v/>
      </c>
      <c r="G82" s="24">
        <f>IF($B82&lt;=Inputs!$C$6,MAX(0,($C82-$F82))*(1-(1-Inputs!$C$8)^(1/12)),0)</f>
        <v/>
      </c>
      <c r="H82" s="24">
        <f>IF($B82&lt;=Inputs!$C$6,MAX(0,($C82-$F82-$G82))*(1-(1-Inputs!$C$9)^(1/12)),0)</f>
        <v/>
      </c>
      <c r="I82" s="24">
        <f>IF($B82&gt;Inputs!$C$11,INDEX($H:$H,ROW()-Inputs!$C$11)* (1-Inputs!$C$10),0)</f>
        <v/>
      </c>
      <c r="J82" s="24">
        <f>$H82*Inputs!$C$10</f>
        <v/>
      </c>
      <c r="K82" s="24">
        <f>IF($B82&lt;=Inputs!$C$6+Inputs!$C$11,$C82*Inputs!$C$7/12,0)</f>
        <v/>
      </c>
      <c r="L82" s="24">
        <f>IF($B82&lt;=Inputs!$C$6+Inputs!$C$11,$E82+$F82+$G82+$I82-$K82,0)</f>
        <v/>
      </c>
      <c r="M82" s="24">
        <f>IF($B82&lt;=Inputs!$C$6,MAX(0,$C82-$F82-$G82-$H82),0)</f>
        <v/>
      </c>
    </row>
    <row r="83">
      <c r="B83" s="22" t="n">
        <v>80</v>
      </c>
      <c r="C83" s="23">
        <f>IF($B83&lt;=Inputs!$C$6+Inputs!$C$11,$M82,"")</f>
        <v/>
      </c>
      <c r="D83" s="24">
        <f>IF($B83&lt;=Inputs!$C$6,-PMT(Inputs!$C$5/12,Inputs!$C$6,Inputs!$C$4),0)</f>
        <v/>
      </c>
      <c r="E83" s="24">
        <f>IF($B83&lt;=Inputs!$C$6+Inputs!$C$11,$C83*Inputs!$C$5/12,0)</f>
        <v/>
      </c>
      <c r="F83" s="24">
        <f>IF($B83&lt;=Inputs!$C$6,MAX(0,$D83-$E83),0)</f>
        <v/>
      </c>
      <c r="G83" s="24">
        <f>IF($B83&lt;=Inputs!$C$6,MAX(0,($C83-$F83))*(1-(1-Inputs!$C$8)^(1/12)),0)</f>
        <v/>
      </c>
      <c r="H83" s="24">
        <f>IF($B83&lt;=Inputs!$C$6,MAX(0,($C83-$F83-$G83))*(1-(1-Inputs!$C$9)^(1/12)),0)</f>
        <v/>
      </c>
      <c r="I83" s="24">
        <f>IF($B83&gt;Inputs!$C$11,INDEX($H:$H,ROW()-Inputs!$C$11)* (1-Inputs!$C$10),0)</f>
        <v/>
      </c>
      <c r="J83" s="24">
        <f>$H83*Inputs!$C$10</f>
        <v/>
      </c>
      <c r="K83" s="24">
        <f>IF($B83&lt;=Inputs!$C$6+Inputs!$C$11,$C83*Inputs!$C$7/12,0)</f>
        <v/>
      </c>
      <c r="L83" s="24">
        <f>IF($B83&lt;=Inputs!$C$6+Inputs!$C$11,$E83+$F83+$G83+$I83-$K83,0)</f>
        <v/>
      </c>
      <c r="M83" s="24">
        <f>IF($B83&lt;=Inputs!$C$6,MAX(0,$C83-$F83-$G83-$H83),0)</f>
        <v/>
      </c>
    </row>
    <row r="84">
      <c r="B84" s="22" t="n">
        <v>81</v>
      </c>
      <c r="C84" s="23">
        <f>IF($B84&lt;=Inputs!$C$6+Inputs!$C$11,$M83,"")</f>
        <v/>
      </c>
      <c r="D84" s="24">
        <f>IF($B84&lt;=Inputs!$C$6,-PMT(Inputs!$C$5/12,Inputs!$C$6,Inputs!$C$4),0)</f>
        <v/>
      </c>
      <c r="E84" s="24">
        <f>IF($B84&lt;=Inputs!$C$6+Inputs!$C$11,$C84*Inputs!$C$5/12,0)</f>
        <v/>
      </c>
      <c r="F84" s="24">
        <f>IF($B84&lt;=Inputs!$C$6,MAX(0,$D84-$E84),0)</f>
        <v/>
      </c>
      <c r="G84" s="24">
        <f>IF($B84&lt;=Inputs!$C$6,MAX(0,($C84-$F84))*(1-(1-Inputs!$C$8)^(1/12)),0)</f>
        <v/>
      </c>
      <c r="H84" s="24">
        <f>IF($B84&lt;=Inputs!$C$6,MAX(0,($C84-$F84-$G84))*(1-(1-Inputs!$C$9)^(1/12)),0)</f>
        <v/>
      </c>
      <c r="I84" s="24">
        <f>IF($B84&gt;Inputs!$C$11,INDEX($H:$H,ROW()-Inputs!$C$11)* (1-Inputs!$C$10),0)</f>
        <v/>
      </c>
      <c r="J84" s="24">
        <f>$H84*Inputs!$C$10</f>
        <v/>
      </c>
      <c r="K84" s="24">
        <f>IF($B84&lt;=Inputs!$C$6+Inputs!$C$11,$C84*Inputs!$C$7/12,0)</f>
        <v/>
      </c>
      <c r="L84" s="24">
        <f>IF($B84&lt;=Inputs!$C$6+Inputs!$C$11,$E84+$F84+$G84+$I84-$K84,0)</f>
        <v/>
      </c>
      <c r="M84" s="24">
        <f>IF($B84&lt;=Inputs!$C$6,MAX(0,$C84-$F84-$G84-$H84),0)</f>
        <v/>
      </c>
    </row>
    <row r="85">
      <c r="B85" s="22" t="n">
        <v>82</v>
      </c>
      <c r="C85" s="23">
        <f>IF($B85&lt;=Inputs!$C$6+Inputs!$C$11,$M84,"")</f>
        <v/>
      </c>
      <c r="D85" s="24">
        <f>IF($B85&lt;=Inputs!$C$6,-PMT(Inputs!$C$5/12,Inputs!$C$6,Inputs!$C$4),0)</f>
        <v/>
      </c>
      <c r="E85" s="24">
        <f>IF($B85&lt;=Inputs!$C$6+Inputs!$C$11,$C85*Inputs!$C$5/12,0)</f>
        <v/>
      </c>
      <c r="F85" s="24">
        <f>IF($B85&lt;=Inputs!$C$6,MAX(0,$D85-$E85),0)</f>
        <v/>
      </c>
      <c r="G85" s="24">
        <f>IF($B85&lt;=Inputs!$C$6,MAX(0,($C85-$F85))*(1-(1-Inputs!$C$8)^(1/12)),0)</f>
        <v/>
      </c>
      <c r="H85" s="24">
        <f>IF($B85&lt;=Inputs!$C$6,MAX(0,($C85-$F85-$G85))*(1-(1-Inputs!$C$9)^(1/12)),0)</f>
        <v/>
      </c>
      <c r="I85" s="24">
        <f>IF($B85&gt;Inputs!$C$11,INDEX($H:$H,ROW()-Inputs!$C$11)* (1-Inputs!$C$10),0)</f>
        <v/>
      </c>
      <c r="J85" s="24">
        <f>$H85*Inputs!$C$10</f>
        <v/>
      </c>
      <c r="K85" s="24">
        <f>IF($B85&lt;=Inputs!$C$6+Inputs!$C$11,$C85*Inputs!$C$7/12,0)</f>
        <v/>
      </c>
      <c r="L85" s="24">
        <f>IF($B85&lt;=Inputs!$C$6+Inputs!$C$11,$E85+$F85+$G85+$I85-$K85,0)</f>
        <v/>
      </c>
      <c r="M85" s="24">
        <f>IF($B85&lt;=Inputs!$C$6,MAX(0,$C85-$F85-$G85-$H85),0)</f>
        <v/>
      </c>
    </row>
    <row r="86">
      <c r="B86" s="22" t="n">
        <v>83</v>
      </c>
      <c r="C86" s="23">
        <f>IF($B86&lt;=Inputs!$C$6+Inputs!$C$11,$M85,"")</f>
        <v/>
      </c>
      <c r="D86" s="24">
        <f>IF($B86&lt;=Inputs!$C$6,-PMT(Inputs!$C$5/12,Inputs!$C$6,Inputs!$C$4),0)</f>
        <v/>
      </c>
      <c r="E86" s="24">
        <f>IF($B86&lt;=Inputs!$C$6+Inputs!$C$11,$C86*Inputs!$C$5/12,0)</f>
        <v/>
      </c>
      <c r="F86" s="24">
        <f>IF($B86&lt;=Inputs!$C$6,MAX(0,$D86-$E86),0)</f>
        <v/>
      </c>
      <c r="G86" s="24">
        <f>IF($B86&lt;=Inputs!$C$6,MAX(0,($C86-$F86))*(1-(1-Inputs!$C$8)^(1/12)),0)</f>
        <v/>
      </c>
      <c r="H86" s="24">
        <f>IF($B86&lt;=Inputs!$C$6,MAX(0,($C86-$F86-$G86))*(1-(1-Inputs!$C$9)^(1/12)),0)</f>
        <v/>
      </c>
      <c r="I86" s="24">
        <f>IF($B86&gt;Inputs!$C$11,INDEX($H:$H,ROW()-Inputs!$C$11)* (1-Inputs!$C$10),0)</f>
        <v/>
      </c>
      <c r="J86" s="24">
        <f>$H86*Inputs!$C$10</f>
        <v/>
      </c>
      <c r="K86" s="24">
        <f>IF($B86&lt;=Inputs!$C$6+Inputs!$C$11,$C86*Inputs!$C$7/12,0)</f>
        <v/>
      </c>
      <c r="L86" s="24">
        <f>IF($B86&lt;=Inputs!$C$6+Inputs!$C$11,$E86+$F86+$G86+$I86-$K86,0)</f>
        <v/>
      </c>
      <c r="M86" s="24">
        <f>IF($B86&lt;=Inputs!$C$6,MAX(0,$C86-$F86-$G86-$H86),0)</f>
        <v/>
      </c>
    </row>
    <row r="87">
      <c r="B87" s="22" t="n">
        <v>84</v>
      </c>
      <c r="C87" s="23">
        <f>IF($B87&lt;=Inputs!$C$6+Inputs!$C$11,$M86,"")</f>
        <v/>
      </c>
      <c r="D87" s="24">
        <f>IF($B87&lt;=Inputs!$C$6,-PMT(Inputs!$C$5/12,Inputs!$C$6,Inputs!$C$4),0)</f>
        <v/>
      </c>
      <c r="E87" s="24">
        <f>IF($B87&lt;=Inputs!$C$6+Inputs!$C$11,$C87*Inputs!$C$5/12,0)</f>
        <v/>
      </c>
      <c r="F87" s="24">
        <f>IF($B87&lt;=Inputs!$C$6,MAX(0,$D87-$E87),0)</f>
        <v/>
      </c>
      <c r="G87" s="24">
        <f>IF($B87&lt;=Inputs!$C$6,MAX(0,($C87-$F87))*(1-(1-Inputs!$C$8)^(1/12)),0)</f>
        <v/>
      </c>
      <c r="H87" s="24">
        <f>IF($B87&lt;=Inputs!$C$6,MAX(0,($C87-$F87-$G87))*(1-(1-Inputs!$C$9)^(1/12)),0)</f>
        <v/>
      </c>
      <c r="I87" s="24">
        <f>IF($B87&gt;Inputs!$C$11,INDEX($H:$H,ROW()-Inputs!$C$11)* (1-Inputs!$C$10),0)</f>
        <v/>
      </c>
      <c r="J87" s="24">
        <f>$H87*Inputs!$C$10</f>
        <v/>
      </c>
      <c r="K87" s="24">
        <f>IF($B87&lt;=Inputs!$C$6+Inputs!$C$11,$C87*Inputs!$C$7/12,0)</f>
        <v/>
      </c>
      <c r="L87" s="24">
        <f>IF($B87&lt;=Inputs!$C$6+Inputs!$C$11,$E87+$F87+$G87+$I87-$K87,0)</f>
        <v/>
      </c>
      <c r="M87" s="24">
        <f>IF($B87&lt;=Inputs!$C$6,MAX(0,$C87-$F87-$G87-$H87),0)</f>
        <v/>
      </c>
    </row>
    <row r="88">
      <c r="B88" s="22" t="n">
        <v>85</v>
      </c>
      <c r="C88" s="23">
        <f>IF($B88&lt;=Inputs!$C$6+Inputs!$C$11,$M87,"")</f>
        <v/>
      </c>
      <c r="D88" s="24">
        <f>IF($B88&lt;=Inputs!$C$6,-PMT(Inputs!$C$5/12,Inputs!$C$6,Inputs!$C$4),0)</f>
        <v/>
      </c>
      <c r="E88" s="24">
        <f>IF($B88&lt;=Inputs!$C$6+Inputs!$C$11,$C88*Inputs!$C$5/12,0)</f>
        <v/>
      </c>
      <c r="F88" s="24">
        <f>IF($B88&lt;=Inputs!$C$6,MAX(0,$D88-$E88),0)</f>
        <v/>
      </c>
      <c r="G88" s="24">
        <f>IF($B88&lt;=Inputs!$C$6,MAX(0,($C88-$F88))*(1-(1-Inputs!$C$8)^(1/12)),0)</f>
        <v/>
      </c>
      <c r="H88" s="24">
        <f>IF($B88&lt;=Inputs!$C$6,MAX(0,($C88-$F88-$G88))*(1-(1-Inputs!$C$9)^(1/12)),0)</f>
        <v/>
      </c>
      <c r="I88" s="24">
        <f>IF($B88&gt;Inputs!$C$11,INDEX($H:$H,ROW()-Inputs!$C$11)* (1-Inputs!$C$10),0)</f>
        <v/>
      </c>
      <c r="J88" s="24">
        <f>$H88*Inputs!$C$10</f>
        <v/>
      </c>
      <c r="K88" s="24">
        <f>IF($B88&lt;=Inputs!$C$6+Inputs!$C$11,$C88*Inputs!$C$7/12,0)</f>
        <v/>
      </c>
      <c r="L88" s="24">
        <f>IF($B88&lt;=Inputs!$C$6+Inputs!$C$11,$E88+$F88+$G88+$I88-$K88,0)</f>
        <v/>
      </c>
      <c r="M88" s="24">
        <f>IF($B88&lt;=Inputs!$C$6,MAX(0,$C88-$F88-$G88-$H88),0)</f>
        <v/>
      </c>
    </row>
    <row r="89">
      <c r="B89" s="22" t="n">
        <v>86</v>
      </c>
      <c r="C89" s="23">
        <f>IF($B89&lt;=Inputs!$C$6+Inputs!$C$11,$M88,"")</f>
        <v/>
      </c>
      <c r="D89" s="24">
        <f>IF($B89&lt;=Inputs!$C$6,-PMT(Inputs!$C$5/12,Inputs!$C$6,Inputs!$C$4),0)</f>
        <v/>
      </c>
      <c r="E89" s="24">
        <f>IF($B89&lt;=Inputs!$C$6+Inputs!$C$11,$C89*Inputs!$C$5/12,0)</f>
        <v/>
      </c>
      <c r="F89" s="24">
        <f>IF($B89&lt;=Inputs!$C$6,MAX(0,$D89-$E89),0)</f>
        <v/>
      </c>
      <c r="G89" s="24">
        <f>IF($B89&lt;=Inputs!$C$6,MAX(0,($C89-$F89))*(1-(1-Inputs!$C$8)^(1/12)),0)</f>
        <v/>
      </c>
      <c r="H89" s="24">
        <f>IF($B89&lt;=Inputs!$C$6,MAX(0,($C89-$F89-$G89))*(1-(1-Inputs!$C$9)^(1/12)),0)</f>
        <v/>
      </c>
      <c r="I89" s="24">
        <f>IF($B89&gt;Inputs!$C$11,INDEX($H:$H,ROW()-Inputs!$C$11)* (1-Inputs!$C$10),0)</f>
        <v/>
      </c>
      <c r="J89" s="24">
        <f>$H89*Inputs!$C$10</f>
        <v/>
      </c>
      <c r="K89" s="24">
        <f>IF($B89&lt;=Inputs!$C$6+Inputs!$C$11,$C89*Inputs!$C$7/12,0)</f>
        <v/>
      </c>
      <c r="L89" s="24">
        <f>IF($B89&lt;=Inputs!$C$6+Inputs!$C$11,$E89+$F89+$G89+$I89-$K89,0)</f>
        <v/>
      </c>
      <c r="M89" s="24">
        <f>IF($B89&lt;=Inputs!$C$6,MAX(0,$C89-$F89-$G89-$H89),0)</f>
        <v/>
      </c>
    </row>
    <row r="90">
      <c r="B90" s="22" t="n">
        <v>87</v>
      </c>
      <c r="C90" s="23">
        <f>IF($B90&lt;=Inputs!$C$6+Inputs!$C$11,$M89,"")</f>
        <v/>
      </c>
      <c r="D90" s="24">
        <f>IF($B90&lt;=Inputs!$C$6,-PMT(Inputs!$C$5/12,Inputs!$C$6,Inputs!$C$4),0)</f>
        <v/>
      </c>
      <c r="E90" s="24">
        <f>IF($B90&lt;=Inputs!$C$6+Inputs!$C$11,$C90*Inputs!$C$5/12,0)</f>
        <v/>
      </c>
      <c r="F90" s="24">
        <f>IF($B90&lt;=Inputs!$C$6,MAX(0,$D90-$E90),0)</f>
        <v/>
      </c>
      <c r="G90" s="24">
        <f>IF($B90&lt;=Inputs!$C$6,MAX(0,($C90-$F90))*(1-(1-Inputs!$C$8)^(1/12)),0)</f>
        <v/>
      </c>
      <c r="H90" s="24">
        <f>IF($B90&lt;=Inputs!$C$6,MAX(0,($C90-$F90-$G90))*(1-(1-Inputs!$C$9)^(1/12)),0)</f>
        <v/>
      </c>
      <c r="I90" s="24">
        <f>IF($B90&gt;Inputs!$C$11,INDEX($H:$H,ROW()-Inputs!$C$11)* (1-Inputs!$C$10),0)</f>
        <v/>
      </c>
      <c r="J90" s="24">
        <f>$H90*Inputs!$C$10</f>
        <v/>
      </c>
      <c r="K90" s="24">
        <f>IF($B90&lt;=Inputs!$C$6+Inputs!$C$11,$C90*Inputs!$C$7/12,0)</f>
        <v/>
      </c>
      <c r="L90" s="24">
        <f>IF($B90&lt;=Inputs!$C$6+Inputs!$C$11,$E90+$F90+$G90+$I90-$K90,0)</f>
        <v/>
      </c>
      <c r="M90" s="24">
        <f>IF($B90&lt;=Inputs!$C$6,MAX(0,$C90-$F90-$G90-$H90),0)</f>
        <v/>
      </c>
    </row>
    <row r="91">
      <c r="B91" s="22" t="n">
        <v>88</v>
      </c>
      <c r="C91" s="23">
        <f>IF($B91&lt;=Inputs!$C$6+Inputs!$C$11,$M90,"")</f>
        <v/>
      </c>
      <c r="D91" s="24">
        <f>IF($B91&lt;=Inputs!$C$6,-PMT(Inputs!$C$5/12,Inputs!$C$6,Inputs!$C$4),0)</f>
        <v/>
      </c>
      <c r="E91" s="24">
        <f>IF($B91&lt;=Inputs!$C$6+Inputs!$C$11,$C91*Inputs!$C$5/12,0)</f>
        <v/>
      </c>
      <c r="F91" s="24">
        <f>IF($B91&lt;=Inputs!$C$6,MAX(0,$D91-$E91),0)</f>
        <v/>
      </c>
      <c r="G91" s="24">
        <f>IF($B91&lt;=Inputs!$C$6,MAX(0,($C91-$F91))*(1-(1-Inputs!$C$8)^(1/12)),0)</f>
        <v/>
      </c>
      <c r="H91" s="24">
        <f>IF($B91&lt;=Inputs!$C$6,MAX(0,($C91-$F91-$G91))*(1-(1-Inputs!$C$9)^(1/12)),0)</f>
        <v/>
      </c>
      <c r="I91" s="24">
        <f>IF($B91&gt;Inputs!$C$11,INDEX($H:$H,ROW()-Inputs!$C$11)* (1-Inputs!$C$10),0)</f>
        <v/>
      </c>
      <c r="J91" s="24">
        <f>$H91*Inputs!$C$10</f>
        <v/>
      </c>
      <c r="K91" s="24">
        <f>IF($B91&lt;=Inputs!$C$6+Inputs!$C$11,$C91*Inputs!$C$7/12,0)</f>
        <v/>
      </c>
      <c r="L91" s="24">
        <f>IF($B91&lt;=Inputs!$C$6+Inputs!$C$11,$E91+$F91+$G91+$I91-$K91,0)</f>
        <v/>
      </c>
      <c r="M91" s="24">
        <f>IF($B91&lt;=Inputs!$C$6,MAX(0,$C91-$F91-$G91-$H91),0)</f>
        <v/>
      </c>
    </row>
    <row r="92">
      <c r="B92" s="22" t="n">
        <v>89</v>
      </c>
      <c r="C92" s="23">
        <f>IF($B92&lt;=Inputs!$C$6+Inputs!$C$11,$M91,"")</f>
        <v/>
      </c>
      <c r="D92" s="24">
        <f>IF($B92&lt;=Inputs!$C$6,-PMT(Inputs!$C$5/12,Inputs!$C$6,Inputs!$C$4),0)</f>
        <v/>
      </c>
      <c r="E92" s="24">
        <f>IF($B92&lt;=Inputs!$C$6+Inputs!$C$11,$C92*Inputs!$C$5/12,0)</f>
        <v/>
      </c>
      <c r="F92" s="24">
        <f>IF($B92&lt;=Inputs!$C$6,MAX(0,$D92-$E92),0)</f>
        <v/>
      </c>
      <c r="G92" s="24">
        <f>IF($B92&lt;=Inputs!$C$6,MAX(0,($C92-$F92))*(1-(1-Inputs!$C$8)^(1/12)),0)</f>
        <v/>
      </c>
      <c r="H92" s="24">
        <f>IF($B92&lt;=Inputs!$C$6,MAX(0,($C92-$F92-$G92))*(1-(1-Inputs!$C$9)^(1/12)),0)</f>
        <v/>
      </c>
      <c r="I92" s="24">
        <f>IF($B92&gt;Inputs!$C$11,INDEX($H:$H,ROW()-Inputs!$C$11)* (1-Inputs!$C$10),0)</f>
        <v/>
      </c>
      <c r="J92" s="24">
        <f>$H92*Inputs!$C$10</f>
        <v/>
      </c>
      <c r="K92" s="24">
        <f>IF($B92&lt;=Inputs!$C$6+Inputs!$C$11,$C92*Inputs!$C$7/12,0)</f>
        <v/>
      </c>
      <c r="L92" s="24">
        <f>IF($B92&lt;=Inputs!$C$6+Inputs!$C$11,$E92+$F92+$G92+$I92-$K92,0)</f>
        <v/>
      </c>
      <c r="M92" s="24">
        <f>IF($B92&lt;=Inputs!$C$6,MAX(0,$C92-$F92-$G92-$H92),0)</f>
        <v/>
      </c>
    </row>
    <row r="93">
      <c r="B93" s="22" t="n">
        <v>90</v>
      </c>
      <c r="C93" s="23">
        <f>IF($B93&lt;=Inputs!$C$6+Inputs!$C$11,$M92,"")</f>
        <v/>
      </c>
      <c r="D93" s="24">
        <f>IF($B93&lt;=Inputs!$C$6,-PMT(Inputs!$C$5/12,Inputs!$C$6,Inputs!$C$4),0)</f>
        <v/>
      </c>
      <c r="E93" s="24">
        <f>IF($B93&lt;=Inputs!$C$6+Inputs!$C$11,$C93*Inputs!$C$5/12,0)</f>
        <v/>
      </c>
      <c r="F93" s="24">
        <f>IF($B93&lt;=Inputs!$C$6,MAX(0,$D93-$E93),0)</f>
        <v/>
      </c>
      <c r="G93" s="24">
        <f>IF($B93&lt;=Inputs!$C$6,MAX(0,($C93-$F93))*(1-(1-Inputs!$C$8)^(1/12)),0)</f>
        <v/>
      </c>
      <c r="H93" s="24">
        <f>IF($B93&lt;=Inputs!$C$6,MAX(0,($C93-$F93-$G93))*(1-(1-Inputs!$C$9)^(1/12)),0)</f>
        <v/>
      </c>
      <c r="I93" s="24">
        <f>IF($B93&gt;Inputs!$C$11,INDEX($H:$H,ROW()-Inputs!$C$11)* (1-Inputs!$C$10),0)</f>
        <v/>
      </c>
      <c r="J93" s="24">
        <f>$H93*Inputs!$C$10</f>
        <v/>
      </c>
      <c r="K93" s="24">
        <f>IF($B93&lt;=Inputs!$C$6+Inputs!$C$11,$C93*Inputs!$C$7/12,0)</f>
        <v/>
      </c>
      <c r="L93" s="24">
        <f>IF($B93&lt;=Inputs!$C$6+Inputs!$C$11,$E93+$F93+$G93+$I93-$K93,0)</f>
        <v/>
      </c>
      <c r="M93" s="24">
        <f>IF($B93&lt;=Inputs!$C$6,MAX(0,$C93-$F93-$G93-$H93),0)</f>
        <v/>
      </c>
    </row>
    <row r="94">
      <c r="B94" s="22" t="n">
        <v>91</v>
      </c>
      <c r="C94" s="23">
        <f>IF($B94&lt;=Inputs!$C$6+Inputs!$C$11,$M93,"")</f>
        <v/>
      </c>
      <c r="D94" s="24">
        <f>IF($B94&lt;=Inputs!$C$6,-PMT(Inputs!$C$5/12,Inputs!$C$6,Inputs!$C$4),0)</f>
        <v/>
      </c>
      <c r="E94" s="24">
        <f>IF($B94&lt;=Inputs!$C$6+Inputs!$C$11,$C94*Inputs!$C$5/12,0)</f>
        <v/>
      </c>
      <c r="F94" s="24">
        <f>IF($B94&lt;=Inputs!$C$6,MAX(0,$D94-$E94),0)</f>
        <v/>
      </c>
      <c r="G94" s="24">
        <f>IF($B94&lt;=Inputs!$C$6,MAX(0,($C94-$F94))*(1-(1-Inputs!$C$8)^(1/12)),0)</f>
        <v/>
      </c>
      <c r="H94" s="24">
        <f>IF($B94&lt;=Inputs!$C$6,MAX(0,($C94-$F94-$G94))*(1-(1-Inputs!$C$9)^(1/12)),0)</f>
        <v/>
      </c>
      <c r="I94" s="24">
        <f>IF($B94&gt;Inputs!$C$11,INDEX($H:$H,ROW()-Inputs!$C$11)* (1-Inputs!$C$10),0)</f>
        <v/>
      </c>
      <c r="J94" s="24">
        <f>$H94*Inputs!$C$10</f>
        <v/>
      </c>
      <c r="K94" s="24">
        <f>IF($B94&lt;=Inputs!$C$6+Inputs!$C$11,$C94*Inputs!$C$7/12,0)</f>
        <v/>
      </c>
      <c r="L94" s="24">
        <f>IF($B94&lt;=Inputs!$C$6+Inputs!$C$11,$E94+$F94+$G94+$I94-$K94,0)</f>
        <v/>
      </c>
      <c r="M94" s="24">
        <f>IF($B94&lt;=Inputs!$C$6,MAX(0,$C94-$F94-$G94-$H94),0)</f>
        <v/>
      </c>
    </row>
    <row r="95">
      <c r="B95" s="22" t="n">
        <v>92</v>
      </c>
      <c r="C95" s="23">
        <f>IF($B95&lt;=Inputs!$C$6+Inputs!$C$11,$M94,"")</f>
        <v/>
      </c>
      <c r="D95" s="24">
        <f>IF($B95&lt;=Inputs!$C$6,-PMT(Inputs!$C$5/12,Inputs!$C$6,Inputs!$C$4),0)</f>
        <v/>
      </c>
      <c r="E95" s="24">
        <f>IF($B95&lt;=Inputs!$C$6+Inputs!$C$11,$C95*Inputs!$C$5/12,0)</f>
        <v/>
      </c>
      <c r="F95" s="24">
        <f>IF($B95&lt;=Inputs!$C$6,MAX(0,$D95-$E95),0)</f>
        <v/>
      </c>
      <c r="G95" s="24">
        <f>IF($B95&lt;=Inputs!$C$6,MAX(0,($C95-$F95))*(1-(1-Inputs!$C$8)^(1/12)),0)</f>
        <v/>
      </c>
      <c r="H95" s="24">
        <f>IF($B95&lt;=Inputs!$C$6,MAX(0,($C95-$F95-$G95))*(1-(1-Inputs!$C$9)^(1/12)),0)</f>
        <v/>
      </c>
      <c r="I95" s="24">
        <f>IF($B95&gt;Inputs!$C$11,INDEX($H:$H,ROW()-Inputs!$C$11)* (1-Inputs!$C$10),0)</f>
        <v/>
      </c>
      <c r="J95" s="24">
        <f>$H95*Inputs!$C$10</f>
        <v/>
      </c>
      <c r="K95" s="24">
        <f>IF($B95&lt;=Inputs!$C$6+Inputs!$C$11,$C95*Inputs!$C$7/12,0)</f>
        <v/>
      </c>
      <c r="L95" s="24">
        <f>IF($B95&lt;=Inputs!$C$6+Inputs!$C$11,$E95+$F95+$G95+$I95-$K95,0)</f>
        <v/>
      </c>
      <c r="M95" s="24">
        <f>IF($B95&lt;=Inputs!$C$6,MAX(0,$C95-$F95-$G95-$H95),0)</f>
        <v/>
      </c>
    </row>
    <row r="96">
      <c r="B96" s="22" t="n">
        <v>93</v>
      </c>
      <c r="C96" s="23">
        <f>IF($B96&lt;=Inputs!$C$6+Inputs!$C$11,$M95,"")</f>
        <v/>
      </c>
      <c r="D96" s="24">
        <f>IF($B96&lt;=Inputs!$C$6,-PMT(Inputs!$C$5/12,Inputs!$C$6,Inputs!$C$4),0)</f>
        <v/>
      </c>
      <c r="E96" s="24">
        <f>IF($B96&lt;=Inputs!$C$6+Inputs!$C$11,$C96*Inputs!$C$5/12,0)</f>
        <v/>
      </c>
      <c r="F96" s="24">
        <f>IF($B96&lt;=Inputs!$C$6,MAX(0,$D96-$E96),0)</f>
        <v/>
      </c>
      <c r="G96" s="24">
        <f>IF($B96&lt;=Inputs!$C$6,MAX(0,($C96-$F96))*(1-(1-Inputs!$C$8)^(1/12)),0)</f>
        <v/>
      </c>
      <c r="H96" s="24">
        <f>IF($B96&lt;=Inputs!$C$6,MAX(0,($C96-$F96-$G96))*(1-(1-Inputs!$C$9)^(1/12)),0)</f>
        <v/>
      </c>
      <c r="I96" s="24">
        <f>IF($B96&gt;Inputs!$C$11,INDEX($H:$H,ROW()-Inputs!$C$11)* (1-Inputs!$C$10),0)</f>
        <v/>
      </c>
      <c r="J96" s="24">
        <f>$H96*Inputs!$C$10</f>
        <v/>
      </c>
      <c r="K96" s="24">
        <f>IF($B96&lt;=Inputs!$C$6+Inputs!$C$11,$C96*Inputs!$C$7/12,0)</f>
        <v/>
      </c>
      <c r="L96" s="24">
        <f>IF($B96&lt;=Inputs!$C$6+Inputs!$C$11,$E96+$F96+$G96+$I96-$K96,0)</f>
        <v/>
      </c>
      <c r="M96" s="24">
        <f>IF($B96&lt;=Inputs!$C$6,MAX(0,$C96-$F96-$G96-$H96),0)</f>
        <v/>
      </c>
    </row>
    <row r="97">
      <c r="B97" s="22" t="n">
        <v>94</v>
      </c>
      <c r="C97" s="23">
        <f>IF($B97&lt;=Inputs!$C$6+Inputs!$C$11,$M96,"")</f>
        <v/>
      </c>
      <c r="D97" s="24">
        <f>IF($B97&lt;=Inputs!$C$6,-PMT(Inputs!$C$5/12,Inputs!$C$6,Inputs!$C$4),0)</f>
        <v/>
      </c>
      <c r="E97" s="24">
        <f>IF($B97&lt;=Inputs!$C$6+Inputs!$C$11,$C97*Inputs!$C$5/12,0)</f>
        <v/>
      </c>
      <c r="F97" s="24">
        <f>IF($B97&lt;=Inputs!$C$6,MAX(0,$D97-$E97),0)</f>
        <v/>
      </c>
      <c r="G97" s="24">
        <f>IF($B97&lt;=Inputs!$C$6,MAX(0,($C97-$F97))*(1-(1-Inputs!$C$8)^(1/12)),0)</f>
        <v/>
      </c>
      <c r="H97" s="24">
        <f>IF($B97&lt;=Inputs!$C$6,MAX(0,($C97-$F97-$G97))*(1-(1-Inputs!$C$9)^(1/12)),0)</f>
        <v/>
      </c>
      <c r="I97" s="24">
        <f>IF($B97&gt;Inputs!$C$11,INDEX($H:$H,ROW()-Inputs!$C$11)* (1-Inputs!$C$10),0)</f>
        <v/>
      </c>
      <c r="J97" s="24">
        <f>$H97*Inputs!$C$10</f>
        <v/>
      </c>
      <c r="K97" s="24">
        <f>IF($B97&lt;=Inputs!$C$6+Inputs!$C$11,$C97*Inputs!$C$7/12,0)</f>
        <v/>
      </c>
      <c r="L97" s="24">
        <f>IF($B97&lt;=Inputs!$C$6+Inputs!$C$11,$E97+$F97+$G97+$I97-$K97,0)</f>
        <v/>
      </c>
      <c r="M97" s="24">
        <f>IF($B97&lt;=Inputs!$C$6,MAX(0,$C97-$F97-$G97-$H97),0)</f>
        <v/>
      </c>
    </row>
    <row r="98">
      <c r="B98" s="22" t="n">
        <v>95</v>
      </c>
      <c r="C98" s="23">
        <f>IF($B98&lt;=Inputs!$C$6+Inputs!$C$11,$M97,"")</f>
        <v/>
      </c>
      <c r="D98" s="24">
        <f>IF($B98&lt;=Inputs!$C$6,-PMT(Inputs!$C$5/12,Inputs!$C$6,Inputs!$C$4),0)</f>
        <v/>
      </c>
      <c r="E98" s="24">
        <f>IF($B98&lt;=Inputs!$C$6+Inputs!$C$11,$C98*Inputs!$C$5/12,0)</f>
        <v/>
      </c>
      <c r="F98" s="24">
        <f>IF($B98&lt;=Inputs!$C$6,MAX(0,$D98-$E98),0)</f>
        <v/>
      </c>
      <c r="G98" s="24">
        <f>IF($B98&lt;=Inputs!$C$6,MAX(0,($C98-$F98))*(1-(1-Inputs!$C$8)^(1/12)),0)</f>
        <v/>
      </c>
      <c r="H98" s="24">
        <f>IF($B98&lt;=Inputs!$C$6,MAX(0,($C98-$F98-$G98))*(1-(1-Inputs!$C$9)^(1/12)),0)</f>
        <v/>
      </c>
      <c r="I98" s="24">
        <f>IF($B98&gt;Inputs!$C$11,INDEX($H:$H,ROW()-Inputs!$C$11)* (1-Inputs!$C$10),0)</f>
        <v/>
      </c>
      <c r="J98" s="24">
        <f>$H98*Inputs!$C$10</f>
        <v/>
      </c>
      <c r="K98" s="24">
        <f>IF($B98&lt;=Inputs!$C$6+Inputs!$C$11,$C98*Inputs!$C$7/12,0)</f>
        <v/>
      </c>
      <c r="L98" s="24">
        <f>IF($B98&lt;=Inputs!$C$6+Inputs!$C$11,$E98+$F98+$G98+$I98-$K98,0)</f>
        <v/>
      </c>
      <c r="M98" s="24">
        <f>IF($B98&lt;=Inputs!$C$6,MAX(0,$C98-$F98-$G98-$H98),0)</f>
        <v/>
      </c>
    </row>
    <row r="99">
      <c r="B99" s="22" t="n">
        <v>96</v>
      </c>
      <c r="C99" s="23">
        <f>IF($B99&lt;=Inputs!$C$6+Inputs!$C$11,$M98,"")</f>
        <v/>
      </c>
      <c r="D99" s="24">
        <f>IF($B99&lt;=Inputs!$C$6,-PMT(Inputs!$C$5/12,Inputs!$C$6,Inputs!$C$4),0)</f>
        <v/>
      </c>
      <c r="E99" s="24">
        <f>IF($B99&lt;=Inputs!$C$6+Inputs!$C$11,$C99*Inputs!$C$5/12,0)</f>
        <v/>
      </c>
      <c r="F99" s="24">
        <f>IF($B99&lt;=Inputs!$C$6,MAX(0,$D99-$E99),0)</f>
        <v/>
      </c>
      <c r="G99" s="24">
        <f>IF($B99&lt;=Inputs!$C$6,MAX(0,($C99-$F99))*(1-(1-Inputs!$C$8)^(1/12)),0)</f>
        <v/>
      </c>
      <c r="H99" s="24">
        <f>IF($B99&lt;=Inputs!$C$6,MAX(0,($C99-$F99-$G99))*(1-(1-Inputs!$C$9)^(1/12)),0)</f>
        <v/>
      </c>
      <c r="I99" s="24">
        <f>IF($B99&gt;Inputs!$C$11,INDEX($H:$H,ROW()-Inputs!$C$11)* (1-Inputs!$C$10),0)</f>
        <v/>
      </c>
      <c r="J99" s="24">
        <f>$H99*Inputs!$C$10</f>
        <v/>
      </c>
      <c r="K99" s="24">
        <f>IF($B99&lt;=Inputs!$C$6+Inputs!$C$11,$C99*Inputs!$C$7/12,0)</f>
        <v/>
      </c>
      <c r="L99" s="24">
        <f>IF($B99&lt;=Inputs!$C$6+Inputs!$C$11,$E99+$F99+$G99+$I99-$K99,0)</f>
        <v/>
      </c>
      <c r="M99" s="24">
        <f>IF($B99&lt;=Inputs!$C$6,MAX(0,$C99-$F99-$G99-$H99),0)</f>
        <v/>
      </c>
    </row>
    <row r="100">
      <c r="B100" s="22" t="n">
        <v>97</v>
      </c>
      <c r="C100" s="23">
        <f>IF($B100&lt;=Inputs!$C$6+Inputs!$C$11,$M99,"")</f>
        <v/>
      </c>
      <c r="D100" s="24">
        <f>IF($B100&lt;=Inputs!$C$6,-PMT(Inputs!$C$5/12,Inputs!$C$6,Inputs!$C$4),0)</f>
        <v/>
      </c>
      <c r="E100" s="24">
        <f>IF($B100&lt;=Inputs!$C$6+Inputs!$C$11,$C100*Inputs!$C$5/12,0)</f>
        <v/>
      </c>
      <c r="F100" s="24">
        <f>IF($B100&lt;=Inputs!$C$6,MAX(0,$D100-$E100),0)</f>
        <v/>
      </c>
      <c r="G100" s="24">
        <f>IF($B100&lt;=Inputs!$C$6,MAX(0,($C100-$F100))*(1-(1-Inputs!$C$8)^(1/12)),0)</f>
        <v/>
      </c>
      <c r="H100" s="24">
        <f>IF($B100&lt;=Inputs!$C$6,MAX(0,($C100-$F100-$G100))*(1-(1-Inputs!$C$9)^(1/12)),0)</f>
        <v/>
      </c>
      <c r="I100" s="24">
        <f>IF($B100&gt;Inputs!$C$11,INDEX($H:$H,ROW()-Inputs!$C$11)* (1-Inputs!$C$10),0)</f>
        <v/>
      </c>
      <c r="J100" s="24">
        <f>$H100*Inputs!$C$10</f>
        <v/>
      </c>
      <c r="K100" s="24">
        <f>IF($B100&lt;=Inputs!$C$6+Inputs!$C$11,$C100*Inputs!$C$7/12,0)</f>
        <v/>
      </c>
      <c r="L100" s="24">
        <f>IF($B100&lt;=Inputs!$C$6+Inputs!$C$11,$E100+$F100+$G100+$I100-$K100,0)</f>
        <v/>
      </c>
      <c r="M100" s="24">
        <f>IF($B100&lt;=Inputs!$C$6,MAX(0,$C100-$F100-$G100-$H100),0)</f>
        <v/>
      </c>
    </row>
    <row r="101">
      <c r="B101" s="22" t="n">
        <v>98</v>
      </c>
      <c r="C101" s="23">
        <f>IF($B101&lt;=Inputs!$C$6+Inputs!$C$11,$M100,"")</f>
        <v/>
      </c>
      <c r="D101" s="24">
        <f>IF($B101&lt;=Inputs!$C$6,-PMT(Inputs!$C$5/12,Inputs!$C$6,Inputs!$C$4),0)</f>
        <v/>
      </c>
      <c r="E101" s="24">
        <f>IF($B101&lt;=Inputs!$C$6+Inputs!$C$11,$C101*Inputs!$C$5/12,0)</f>
        <v/>
      </c>
      <c r="F101" s="24">
        <f>IF($B101&lt;=Inputs!$C$6,MAX(0,$D101-$E101),0)</f>
        <v/>
      </c>
      <c r="G101" s="24">
        <f>IF($B101&lt;=Inputs!$C$6,MAX(0,($C101-$F101))*(1-(1-Inputs!$C$8)^(1/12)),0)</f>
        <v/>
      </c>
      <c r="H101" s="24">
        <f>IF($B101&lt;=Inputs!$C$6,MAX(0,($C101-$F101-$G101))*(1-(1-Inputs!$C$9)^(1/12)),0)</f>
        <v/>
      </c>
      <c r="I101" s="24">
        <f>IF($B101&gt;Inputs!$C$11,INDEX($H:$H,ROW()-Inputs!$C$11)* (1-Inputs!$C$10),0)</f>
        <v/>
      </c>
      <c r="J101" s="24">
        <f>$H101*Inputs!$C$10</f>
        <v/>
      </c>
      <c r="K101" s="24">
        <f>IF($B101&lt;=Inputs!$C$6+Inputs!$C$11,$C101*Inputs!$C$7/12,0)</f>
        <v/>
      </c>
      <c r="L101" s="24">
        <f>IF($B101&lt;=Inputs!$C$6+Inputs!$C$11,$E101+$F101+$G101+$I101-$K101,0)</f>
        <v/>
      </c>
      <c r="M101" s="24">
        <f>IF($B101&lt;=Inputs!$C$6,MAX(0,$C101-$F101-$G101-$H101),0)</f>
        <v/>
      </c>
    </row>
    <row r="102">
      <c r="B102" s="22" t="n">
        <v>99</v>
      </c>
      <c r="C102" s="23">
        <f>IF($B102&lt;=Inputs!$C$6+Inputs!$C$11,$M101,"")</f>
        <v/>
      </c>
      <c r="D102" s="24">
        <f>IF($B102&lt;=Inputs!$C$6,-PMT(Inputs!$C$5/12,Inputs!$C$6,Inputs!$C$4),0)</f>
        <v/>
      </c>
      <c r="E102" s="24">
        <f>IF($B102&lt;=Inputs!$C$6+Inputs!$C$11,$C102*Inputs!$C$5/12,0)</f>
        <v/>
      </c>
      <c r="F102" s="24">
        <f>IF($B102&lt;=Inputs!$C$6,MAX(0,$D102-$E102),0)</f>
        <v/>
      </c>
      <c r="G102" s="24">
        <f>IF($B102&lt;=Inputs!$C$6,MAX(0,($C102-$F102))*(1-(1-Inputs!$C$8)^(1/12)),0)</f>
        <v/>
      </c>
      <c r="H102" s="24">
        <f>IF($B102&lt;=Inputs!$C$6,MAX(0,($C102-$F102-$G102))*(1-(1-Inputs!$C$9)^(1/12)),0)</f>
        <v/>
      </c>
      <c r="I102" s="24">
        <f>IF($B102&gt;Inputs!$C$11,INDEX($H:$H,ROW()-Inputs!$C$11)* (1-Inputs!$C$10),0)</f>
        <v/>
      </c>
      <c r="J102" s="24">
        <f>$H102*Inputs!$C$10</f>
        <v/>
      </c>
      <c r="K102" s="24">
        <f>IF($B102&lt;=Inputs!$C$6+Inputs!$C$11,$C102*Inputs!$C$7/12,0)</f>
        <v/>
      </c>
      <c r="L102" s="24">
        <f>IF($B102&lt;=Inputs!$C$6+Inputs!$C$11,$E102+$F102+$G102+$I102-$K102,0)</f>
        <v/>
      </c>
      <c r="M102" s="24">
        <f>IF($B102&lt;=Inputs!$C$6,MAX(0,$C102-$F102-$G102-$H102),0)</f>
        <v/>
      </c>
    </row>
    <row r="103">
      <c r="B103" s="22" t="n">
        <v>100</v>
      </c>
      <c r="C103" s="23">
        <f>IF($B103&lt;=Inputs!$C$6+Inputs!$C$11,$M102,"")</f>
        <v/>
      </c>
      <c r="D103" s="24">
        <f>IF($B103&lt;=Inputs!$C$6,-PMT(Inputs!$C$5/12,Inputs!$C$6,Inputs!$C$4),0)</f>
        <v/>
      </c>
      <c r="E103" s="24">
        <f>IF($B103&lt;=Inputs!$C$6+Inputs!$C$11,$C103*Inputs!$C$5/12,0)</f>
        <v/>
      </c>
      <c r="F103" s="24">
        <f>IF($B103&lt;=Inputs!$C$6,MAX(0,$D103-$E103),0)</f>
        <v/>
      </c>
      <c r="G103" s="24">
        <f>IF($B103&lt;=Inputs!$C$6,MAX(0,($C103-$F103))*(1-(1-Inputs!$C$8)^(1/12)),0)</f>
        <v/>
      </c>
      <c r="H103" s="24">
        <f>IF($B103&lt;=Inputs!$C$6,MAX(0,($C103-$F103-$G103))*(1-(1-Inputs!$C$9)^(1/12)),0)</f>
        <v/>
      </c>
      <c r="I103" s="24">
        <f>IF($B103&gt;Inputs!$C$11,INDEX($H:$H,ROW()-Inputs!$C$11)* (1-Inputs!$C$10),0)</f>
        <v/>
      </c>
      <c r="J103" s="24">
        <f>$H103*Inputs!$C$10</f>
        <v/>
      </c>
      <c r="K103" s="24">
        <f>IF($B103&lt;=Inputs!$C$6+Inputs!$C$11,$C103*Inputs!$C$7/12,0)</f>
        <v/>
      </c>
      <c r="L103" s="24">
        <f>IF($B103&lt;=Inputs!$C$6+Inputs!$C$11,$E103+$F103+$G103+$I103-$K103,0)</f>
        <v/>
      </c>
      <c r="M103" s="24">
        <f>IF($B103&lt;=Inputs!$C$6,MAX(0,$C103-$F103-$G103-$H103),0)</f>
        <v/>
      </c>
    </row>
    <row r="104">
      <c r="B104" s="22" t="n">
        <v>101</v>
      </c>
      <c r="C104" s="23">
        <f>IF($B104&lt;=Inputs!$C$6+Inputs!$C$11,$M103,"")</f>
        <v/>
      </c>
      <c r="D104" s="24">
        <f>IF($B104&lt;=Inputs!$C$6,-PMT(Inputs!$C$5/12,Inputs!$C$6,Inputs!$C$4),0)</f>
        <v/>
      </c>
      <c r="E104" s="24">
        <f>IF($B104&lt;=Inputs!$C$6+Inputs!$C$11,$C104*Inputs!$C$5/12,0)</f>
        <v/>
      </c>
      <c r="F104" s="24">
        <f>IF($B104&lt;=Inputs!$C$6,MAX(0,$D104-$E104),0)</f>
        <v/>
      </c>
      <c r="G104" s="24">
        <f>IF($B104&lt;=Inputs!$C$6,MAX(0,($C104-$F104))*(1-(1-Inputs!$C$8)^(1/12)),0)</f>
        <v/>
      </c>
      <c r="H104" s="24">
        <f>IF($B104&lt;=Inputs!$C$6,MAX(0,($C104-$F104-$G104))*(1-(1-Inputs!$C$9)^(1/12)),0)</f>
        <v/>
      </c>
      <c r="I104" s="24">
        <f>IF($B104&gt;Inputs!$C$11,INDEX($H:$H,ROW()-Inputs!$C$11)* (1-Inputs!$C$10),0)</f>
        <v/>
      </c>
      <c r="J104" s="24">
        <f>$H104*Inputs!$C$10</f>
        <v/>
      </c>
      <c r="K104" s="24">
        <f>IF($B104&lt;=Inputs!$C$6+Inputs!$C$11,$C104*Inputs!$C$7/12,0)</f>
        <v/>
      </c>
      <c r="L104" s="24">
        <f>IF($B104&lt;=Inputs!$C$6+Inputs!$C$11,$E104+$F104+$G104+$I104-$K104,0)</f>
        <v/>
      </c>
      <c r="M104" s="24">
        <f>IF($B104&lt;=Inputs!$C$6,MAX(0,$C104-$F104-$G104-$H104),0)</f>
        <v/>
      </c>
    </row>
    <row r="105">
      <c r="B105" s="22" t="n">
        <v>102</v>
      </c>
      <c r="C105" s="23">
        <f>IF($B105&lt;=Inputs!$C$6+Inputs!$C$11,$M104,"")</f>
        <v/>
      </c>
      <c r="D105" s="24">
        <f>IF($B105&lt;=Inputs!$C$6,-PMT(Inputs!$C$5/12,Inputs!$C$6,Inputs!$C$4),0)</f>
        <v/>
      </c>
      <c r="E105" s="24">
        <f>IF($B105&lt;=Inputs!$C$6+Inputs!$C$11,$C105*Inputs!$C$5/12,0)</f>
        <v/>
      </c>
      <c r="F105" s="24">
        <f>IF($B105&lt;=Inputs!$C$6,MAX(0,$D105-$E105),0)</f>
        <v/>
      </c>
      <c r="G105" s="24">
        <f>IF($B105&lt;=Inputs!$C$6,MAX(0,($C105-$F105))*(1-(1-Inputs!$C$8)^(1/12)),0)</f>
        <v/>
      </c>
      <c r="H105" s="24">
        <f>IF($B105&lt;=Inputs!$C$6,MAX(0,($C105-$F105-$G105))*(1-(1-Inputs!$C$9)^(1/12)),0)</f>
        <v/>
      </c>
      <c r="I105" s="24">
        <f>IF($B105&gt;Inputs!$C$11,INDEX($H:$H,ROW()-Inputs!$C$11)* (1-Inputs!$C$10),0)</f>
        <v/>
      </c>
      <c r="J105" s="24">
        <f>$H105*Inputs!$C$10</f>
        <v/>
      </c>
      <c r="K105" s="24">
        <f>IF($B105&lt;=Inputs!$C$6+Inputs!$C$11,$C105*Inputs!$C$7/12,0)</f>
        <v/>
      </c>
      <c r="L105" s="24">
        <f>IF($B105&lt;=Inputs!$C$6+Inputs!$C$11,$E105+$F105+$G105+$I105-$K105,0)</f>
        <v/>
      </c>
      <c r="M105" s="24">
        <f>IF($B105&lt;=Inputs!$C$6,MAX(0,$C105-$F105-$G105-$H105),0)</f>
        <v/>
      </c>
    </row>
    <row r="106">
      <c r="B106" s="22" t="n">
        <v>103</v>
      </c>
      <c r="C106" s="23">
        <f>IF($B106&lt;=Inputs!$C$6+Inputs!$C$11,$M105,"")</f>
        <v/>
      </c>
      <c r="D106" s="24">
        <f>IF($B106&lt;=Inputs!$C$6,-PMT(Inputs!$C$5/12,Inputs!$C$6,Inputs!$C$4),0)</f>
        <v/>
      </c>
      <c r="E106" s="24">
        <f>IF($B106&lt;=Inputs!$C$6+Inputs!$C$11,$C106*Inputs!$C$5/12,0)</f>
        <v/>
      </c>
      <c r="F106" s="24">
        <f>IF($B106&lt;=Inputs!$C$6,MAX(0,$D106-$E106),0)</f>
        <v/>
      </c>
      <c r="G106" s="24">
        <f>IF($B106&lt;=Inputs!$C$6,MAX(0,($C106-$F106))*(1-(1-Inputs!$C$8)^(1/12)),0)</f>
        <v/>
      </c>
      <c r="H106" s="24">
        <f>IF($B106&lt;=Inputs!$C$6,MAX(0,($C106-$F106-$G106))*(1-(1-Inputs!$C$9)^(1/12)),0)</f>
        <v/>
      </c>
      <c r="I106" s="24">
        <f>IF($B106&gt;Inputs!$C$11,INDEX($H:$H,ROW()-Inputs!$C$11)* (1-Inputs!$C$10),0)</f>
        <v/>
      </c>
      <c r="J106" s="24">
        <f>$H106*Inputs!$C$10</f>
        <v/>
      </c>
      <c r="K106" s="24">
        <f>IF($B106&lt;=Inputs!$C$6+Inputs!$C$11,$C106*Inputs!$C$7/12,0)</f>
        <v/>
      </c>
      <c r="L106" s="24">
        <f>IF($B106&lt;=Inputs!$C$6+Inputs!$C$11,$E106+$F106+$G106+$I106-$K106,0)</f>
        <v/>
      </c>
      <c r="M106" s="24">
        <f>IF($B106&lt;=Inputs!$C$6,MAX(0,$C106-$F106-$G106-$H106),0)</f>
        <v/>
      </c>
    </row>
    <row r="107">
      <c r="B107" s="22" t="n">
        <v>104</v>
      </c>
      <c r="C107" s="23">
        <f>IF($B107&lt;=Inputs!$C$6+Inputs!$C$11,$M106,"")</f>
        <v/>
      </c>
      <c r="D107" s="24">
        <f>IF($B107&lt;=Inputs!$C$6,-PMT(Inputs!$C$5/12,Inputs!$C$6,Inputs!$C$4),0)</f>
        <v/>
      </c>
      <c r="E107" s="24">
        <f>IF($B107&lt;=Inputs!$C$6+Inputs!$C$11,$C107*Inputs!$C$5/12,0)</f>
        <v/>
      </c>
      <c r="F107" s="24">
        <f>IF($B107&lt;=Inputs!$C$6,MAX(0,$D107-$E107),0)</f>
        <v/>
      </c>
      <c r="G107" s="24">
        <f>IF($B107&lt;=Inputs!$C$6,MAX(0,($C107-$F107))*(1-(1-Inputs!$C$8)^(1/12)),0)</f>
        <v/>
      </c>
      <c r="H107" s="24">
        <f>IF($B107&lt;=Inputs!$C$6,MAX(0,($C107-$F107-$G107))*(1-(1-Inputs!$C$9)^(1/12)),0)</f>
        <v/>
      </c>
      <c r="I107" s="24">
        <f>IF($B107&gt;Inputs!$C$11,INDEX($H:$H,ROW()-Inputs!$C$11)* (1-Inputs!$C$10),0)</f>
        <v/>
      </c>
      <c r="J107" s="24">
        <f>$H107*Inputs!$C$10</f>
        <v/>
      </c>
      <c r="K107" s="24">
        <f>IF($B107&lt;=Inputs!$C$6+Inputs!$C$11,$C107*Inputs!$C$7/12,0)</f>
        <v/>
      </c>
      <c r="L107" s="24">
        <f>IF($B107&lt;=Inputs!$C$6+Inputs!$C$11,$E107+$F107+$G107+$I107-$K107,0)</f>
        <v/>
      </c>
      <c r="M107" s="24">
        <f>IF($B107&lt;=Inputs!$C$6,MAX(0,$C107-$F107-$G107-$H107),0)</f>
        <v/>
      </c>
    </row>
    <row r="108">
      <c r="B108" s="22" t="n">
        <v>105</v>
      </c>
      <c r="C108" s="23">
        <f>IF($B108&lt;=Inputs!$C$6+Inputs!$C$11,$M107,"")</f>
        <v/>
      </c>
      <c r="D108" s="24">
        <f>IF($B108&lt;=Inputs!$C$6,-PMT(Inputs!$C$5/12,Inputs!$C$6,Inputs!$C$4),0)</f>
        <v/>
      </c>
      <c r="E108" s="24">
        <f>IF($B108&lt;=Inputs!$C$6+Inputs!$C$11,$C108*Inputs!$C$5/12,0)</f>
        <v/>
      </c>
      <c r="F108" s="24">
        <f>IF($B108&lt;=Inputs!$C$6,MAX(0,$D108-$E108),0)</f>
        <v/>
      </c>
      <c r="G108" s="24">
        <f>IF($B108&lt;=Inputs!$C$6,MAX(0,($C108-$F108))*(1-(1-Inputs!$C$8)^(1/12)),0)</f>
        <v/>
      </c>
      <c r="H108" s="24">
        <f>IF($B108&lt;=Inputs!$C$6,MAX(0,($C108-$F108-$G108))*(1-(1-Inputs!$C$9)^(1/12)),0)</f>
        <v/>
      </c>
      <c r="I108" s="24">
        <f>IF($B108&gt;Inputs!$C$11,INDEX($H:$H,ROW()-Inputs!$C$11)* (1-Inputs!$C$10),0)</f>
        <v/>
      </c>
      <c r="J108" s="24">
        <f>$H108*Inputs!$C$10</f>
        <v/>
      </c>
      <c r="K108" s="24">
        <f>IF($B108&lt;=Inputs!$C$6+Inputs!$C$11,$C108*Inputs!$C$7/12,0)</f>
        <v/>
      </c>
      <c r="L108" s="24">
        <f>IF($B108&lt;=Inputs!$C$6+Inputs!$C$11,$E108+$F108+$G108+$I108-$K108,0)</f>
        <v/>
      </c>
      <c r="M108" s="24">
        <f>IF($B108&lt;=Inputs!$C$6,MAX(0,$C108-$F108-$G108-$H108),0)</f>
        <v/>
      </c>
    </row>
    <row r="109">
      <c r="B109" s="22" t="n">
        <v>106</v>
      </c>
      <c r="C109" s="23">
        <f>IF($B109&lt;=Inputs!$C$6+Inputs!$C$11,$M108,"")</f>
        <v/>
      </c>
      <c r="D109" s="24">
        <f>IF($B109&lt;=Inputs!$C$6,-PMT(Inputs!$C$5/12,Inputs!$C$6,Inputs!$C$4),0)</f>
        <v/>
      </c>
      <c r="E109" s="24">
        <f>IF($B109&lt;=Inputs!$C$6+Inputs!$C$11,$C109*Inputs!$C$5/12,0)</f>
        <v/>
      </c>
      <c r="F109" s="24">
        <f>IF($B109&lt;=Inputs!$C$6,MAX(0,$D109-$E109),0)</f>
        <v/>
      </c>
      <c r="G109" s="24">
        <f>IF($B109&lt;=Inputs!$C$6,MAX(0,($C109-$F109))*(1-(1-Inputs!$C$8)^(1/12)),0)</f>
        <v/>
      </c>
      <c r="H109" s="24">
        <f>IF($B109&lt;=Inputs!$C$6,MAX(0,($C109-$F109-$G109))*(1-(1-Inputs!$C$9)^(1/12)),0)</f>
        <v/>
      </c>
      <c r="I109" s="24">
        <f>IF($B109&gt;Inputs!$C$11,INDEX($H:$H,ROW()-Inputs!$C$11)* (1-Inputs!$C$10),0)</f>
        <v/>
      </c>
      <c r="J109" s="24">
        <f>$H109*Inputs!$C$10</f>
        <v/>
      </c>
      <c r="K109" s="24">
        <f>IF($B109&lt;=Inputs!$C$6+Inputs!$C$11,$C109*Inputs!$C$7/12,0)</f>
        <v/>
      </c>
      <c r="L109" s="24">
        <f>IF($B109&lt;=Inputs!$C$6+Inputs!$C$11,$E109+$F109+$G109+$I109-$K109,0)</f>
        <v/>
      </c>
      <c r="M109" s="24">
        <f>IF($B109&lt;=Inputs!$C$6,MAX(0,$C109-$F109-$G109-$H109),0)</f>
        <v/>
      </c>
    </row>
    <row r="110">
      <c r="B110" s="22" t="n">
        <v>107</v>
      </c>
      <c r="C110" s="23">
        <f>IF($B110&lt;=Inputs!$C$6+Inputs!$C$11,$M109,"")</f>
        <v/>
      </c>
      <c r="D110" s="24">
        <f>IF($B110&lt;=Inputs!$C$6,-PMT(Inputs!$C$5/12,Inputs!$C$6,Inputs!$C$4),0)</f>
        <v/>
      </c>
      <c r="E110" s="24">
        <f>IF($B110&lt;=Inputs!$C$6+Inputs!$C$11,$C110*Inputs!$C$5/12,0)</f>
        <v/>
      </c>
      <c r="F110" s="24">
        <f>IF($B110&lt;=Inputs!$C$6,MAX(0,$D110-$E110),0)</f>
        <v/>
      </c>
      <c r="G110" s="24">
        <f>IF($B110&lt;=Inputs!$C$6,MAX(0,($C110-$F110))*(1-(1-Inputs!$C$8)^(1/12)),0)</f>
        <v/>
      </c>
      <c r="H110" s="24">
        <f>IF($B110&lt;=Inputs!$C$6,MAX(0,($C110-$F110-$G110))*(1-(1-Inputs!$C$9)^(1/12)),0)</f>
        <v/>
      </c>
      <c r="I110" s="24">
        <f>IF($B110&gt;Inputs!$C$11,INDEX($H:$H,ROW()-Inputs!$C$11)* (1-Inputs!$C$10),0)</f>
        <v/>
      </c>
      <c r="J110" s="24">
        <f>$H110*Inputs!$C$10</f>
        <v/>
      </c>
      <c r="K110" s="24">
        <f>IF($B110&lt;=Inputs!$C$6+Inputs!$C$11,$C110*Inputs!$C$7/12,0)</f>
        <v/>
      </c>
      <c r="L110" s="24">
        <f>IF($B110&lt;=Inputs!$C$6+Inputs!$C$11,$E110+$F110+$G110+$I110-$K110,0)</f>
        <v/>
      </c>
      <c r="M110" s="24">
        <f>IF($B110&lt;=Inputs!$C$6,MAX(0,$C110-$F110-$G110-$H110),0)</f>
        <v/>
      </c>
    </row>
    <row r="111">
      <c r="B111" s="22" t="n">
        <v>108</v>
      </c>
      <c r="C111" s="23">
        <f>IF($B111&lt;=Inputs!$C$6+Inputs!$C$11,$M110,"")</f>
        <v/>
      </c>
      <c r="D111" s="24">
        <f>IF($B111&lt;=Inputs!$C$6,-PMT(Inputs!$C$5/12,Inputs!$C$6,Inputs!$C$4),0)</f>
        <v/>
      </c>
      <c r="E111" s="24">
        <f>IF($B111&lt;=Inputs!$C$6+Inputs!$C$11,$C111*Inputs!$C$5/12,0)</f>
        <v/>
      </c>
      <c r="F111" s="24">
        <f>IF($B111&lt;=Inputs!$C$6,MAX(0,$D111-$E111),0)</f>
        <v/>
      </c>
      <c r="G111" s="24">
        <f>IF($B111&lt;=Inputs!$C$6,MAX(0,($C111-$F111))*(1-(1-Inputs!$C$8)^(1/12)),0)</f>
        <v/>
      </c>
      <c r="H111" s="24">
        <f>IF($B111&lt;=Inputs!$C$6,MAX(0,($C111-$F111-$G111))*(1-(1-Inputs!$C$9)^(1/12)),0)</f>
        <v/>
      </c>
      <c r="I111" s="24">
        <f>IF($B111&gt;Inputs!$C$11,INDEX($H:$H,ROW()-Inputs!$C$11)* (1-Inputs!$C$10),0)</f>
        <v/>
      </c>
      <c r="J111" s="24">
        <f>$H111*Inputs!$C$10</f>
        <v/>
      </c>
      <c r="K111" s="24">
        <f>IF($B111&lt;=Inputs!$C$6+Inputs!$C$11,$C111*Inputs!$C$7/12,0)</f>
        <v/>
      </c>
      <c r="L111" s="24">
        <f>IF($B111&lt;=Inputs!$C$6+Inputs!$C$11,$E111+$F111+$G111+$I111-$K111,0)</f>
        <v/>
      </c>
      <c r="M111" s="24">
        <f>IF($B111&lt;=Inputs!$C$6,MAX(0,$C111-$F111-$G111-$H111),0)</f>
        <v/>
      </c>
    </row>
    <row r="112">
      <c r="B112" s="22" t="n">
        <v>109</v>
      </c>
      <c r="C112" s="23">
        <f>IF($B112&lt;=Inputs!$C$6+Inputs!$C$11,$M111,"")</f>
        <v/>
      </c>
      <c r="D112" s="24">
        <f>IF($B112&lt;=Inputs!$C$6,-PMT(Inputs!$C$5/12,Inputs!$C$6,Inputs!$C$4),0)</f>
        <v/>
      </c>
      <c r="E112" s="24">
        <f>IF($B112&lt;=Inputs!$C$6+Inputs!$C$11,$C112*Inputs!$C$5/12,0)</f>
        <v/>
      </c>
      <c r="F112" s="24">
        <f>IF($B112&lt;=Inputs!$C$6,MAX(0,$D112-$E112),0)</f>
        <v/>
      </c>
      <c r="G112" s="24">
        <f>IF($B112&lt;=Inputs!$C$6,MAX(0,($C112-$F112))*(1-(1-Inputs!$C$8)^(1/12)),0)</f>
        <v/>
      </c>
      <c r="H112" s="24">
        <f>IF($B112&lt;=Inputs!$C$6,MAX(0,($C112-$F112-$G112))*(1-(1-Inputs!$C$9)^(1/12)),0)</f>
        <v/>
      </c>
      <c r="I112" s="24">
        <f>IF($B112&gt;Inputs!$C$11,INDEX($H:$H,ROW()-Inputs!$C$11)* (1-Inputs!$C$10),0)</f>
        <v/>
      </c>
      <c r="J112" s="24">
        <f>$H112*Inputs!$C$10</f>
        <v/>
      </c>
      <c r="K112" s="24">
        <f>IF($B112&lt;=Inputs!$C$6+Inputs!$C$11,$C112*Inputs!$C$7/12,0)</f>
        <v/>
      </c>
      <c r="L112" s="24">
        <f>IF($B112&lt;=Inputs!$C$6+Inputs!$C$11,$E112+$F112+$G112+$I112-$K112,0)</f>
        <v/>
      </c>
      <c r="M112" s="24">
        <f>IF($B112&lt;=Inputs!$C$6,MAX(0,$C112-$F112-$G112-$H112),0)</f>
        <v/>
      </c>
    </row>
    <row r="113">
      <c r="B113" s="22" t="n">
        <v>110</v>
      </c>
      <c r="C113" s="23">
        <f>IF($B113&lt;=Inputs!$C$6+Inputs!$C$11,$M112,"")</f>
        <v/>
      </c>
      <c r="D113" s="24">
        <f>IF($B113&lt;=Inputs!$C$6,-PMT(Inputs!$C$5/12,Inputs!$C$6,Inputs!$C$4),0)</f>
        <v/>
      </c>
      <c r="E113" s="24">
        <f>IF($B113&lt;=Inputs!$C$6+Inputs!$C$11,$C113*Inputs!$C$5/12,0)</f>
        <v/>
      </c>
      <c r="F113" s="24">
        <f>IF($B113&lt;=Inputs!$C$6,MAX(0,$D113-$E113),0)</f>
        <v/>
      </c>
      <c r="G113" s="24">
        <f>IF($B113&lt;=Inputs!$C$6,MAX(0,($C113-$F113))*(1-(1-Inputs!$C$8)^(1/12)),0)</f>
        <v/>
      </c>
      <c r="H113" s="24">
        <f>IF($B113&lt;=Inputs!$C$6,MAX(0,($C113-$F113-$G113))*(1-(1-Inputs!$C$9)^(1/12)),0)</f>
        <v/>
      </c>
      <c r="I113" s="24">
        <f>IF($B113&gt;Inputs!$C$11,INDEX($H:$H,ROW()-Inputs!$C$11)* (1-Inputs!$C$10),0)</f>
        <v/>
      </c>
      <c r="J113" s="24">
        <f>$H113*Inputs!$C$10</f>
        <v/>
      </c>
      <c r="K113" s="24">
        <f>IF($B113&lt;=Inputs!$C$6+Inputs!$C$11,$C113*Inputs!$C$7/12,0)</f>
        <v/>
      </c>
      <c r="L113" s="24">
        <f>IF($B113&lt;=Inputs!$C$6+Inputs!$C$11,$E113+$F113+$G113+$I113-$K113,0)</f>
        <v/>
      </c>
      <c r="M113" s="24">
        <f>IF($B113&lt;=Inputs!$C$6,MAX(0,$C113-$F113-$G113-$H113),0)</f>
        <v/>
      </c>
    </row>
    <row r="114">
      <c r="B114" s="22" t="n">
        <v>111</v>
      </c>
      <c r="C114" s="23">
        <f>IF($B114&lt;=Inputs!$C$6+Inputs!$C$11,$M113,"")</f>
        <v/>
      </c>
      <c r="D114" s="24">
        <f>IF($B114&lt;=Inputs!$C$6,-PMT(Inputs!$C$5/12,Inputs!$C$6,Inputs!$C$4),0)</f>
        <v/>
      </c>
      <c r="E114" s="24">
        <f>IF($B114&lt;=Inputs!$C$6+Inputs!$C$11,$C114*Inputs!$C$5/12,0)</f>
        <v/>
      </c>
      <c r="F114" s="24">
        <f>IF($B114&lt;=Inputs!$C$6,MAX(0,$D114-$E114),0)</f>
        <v/>
      </c>
      <c r="G114" s="24">
        <f>IF($B114&lt;=Inputs!$C$6,MAX(0,($C114-$F114))*(1-(1-Inputs!$C$8)^(1/12)),0)</f>
        <v/>
      </c>
      <c r="H114" s="24">
        <f>IF($B114&lt;=Inputs!$C$6,MAX(0,($C114-$F114-$G114))*(1-(1-Inputs!$C$9)^(1/12)),0)</f>
        <v/>
      </c>
      <c r="I114" s="24">
        <f>IF($B114&gt;Inputs!$C$11,INDEX($H:$H,ROW()-Inputs!$C$11)* (1-Inputs!$C$10),0)</f>
        <v/>
      </c>
      <c r="J114" s="24">
        <f>$H114*Inputs!$C$10</f>
        <v/>
      </c>
      <c r="K114" s="24">
        <f>IF($B114&lt;=Inputs!$C$6+Inputs!$C$11,$C114*Inputs!$C$7/12,0)</f>
        <v/>
      </c>
      <c r="L114" s="24">
        <f>IF($B114&lt;=Inputs!$C$6+Inputs!$C$11,$E114+$F114+$G114+$I114-$K114,0)</f>
        <v/>
      </c>
      <c r="M114" s="24">
        <f>IF($B114&lt;=Inputs!$C$6,MAX(0,$C114-$F114-$G114-$H114),0)</f>
        <v/>
      </c>
    </row>
    <row r="115">
      <c r="B115" s="22" t="n">
        <v>112</v>
      </c>
      <c r="C115" s="23">
        <f>IF($B115&lt;=Inputs!$C$6+Inputs!$C$11,$M114,"")</f>
        <v/>
      </c>
      <c r="D115" s="24">
        <f>IF($B115&lt;=Inputs!$C$6,-PMT(Inputs!$C$5/12,Inputs!$C$6,Inputs!$C$4),0)</f>
        <v/>
      </c>
      <c r="E115" s="24">
        <f>IF($B115&lt;=Inputs!$C$6+Inputs!$C$11,$C115*Inputs!$C$5/12,0)</f>
        <v/>
      </c>
      <c r="F115" s="24">
        <f>IF($B115&lt;=Inputs!$C$6,MAX(0,$D115-$E115),0)</f>
        <v/>
      </c>
      <c r="G115" s="24">
        <f>IF($B115&lt;=Inputs!$C$6,MAX(0,($C115-$F115))*(1-(1-Inputs!$C$8)^(1/12)),0)</f>
        <v/>
      </c>
      <c r="H115" s="24">
        <f>IF($B115&lt;=Inputs!$C$6,MAX(0,($C115-$F115-$G115))*(1-(1-Inputs!$C$9)^(1/12)),0)</f>
        <v/>
      </c>
      <c r="I115" s="24">
        <f>IF($B115&gt;Inputs!$C$11,INDEX($H:$H,ROW()-Inputs!$C$11)* (1-Inputs!$C$10),0)</f>
        <v/>
      </c>
      <c r="J115" s="24">
        <f>$H115*Inputs!$C$10</f>
        <v/>
      </c>
      <c r="K115" s="24">
        <f>IF($B115&lt;=Inputs!$C$6+Inputs!$C$11,$C115*Inputs!$C$7/12,0)</f>
        <v/>
      </c>
      <c r="L115" s="24">
        <f>IF($B115&lt;=Inputs!$C$6+Inputs!$C$11,$E115+$F115+$G115+$I115-$K115,0)</f>
        <v/>
      </c>
      <c r="M115" s="24">
        <f>IF($B115&lt;=Inputs!$C$6,MAX(0,$C115-$F115-$G115-$H115),0)</f>
        <v/>
      </c>
    </row>
    <row r="116">
      <c r="B116" s="22" t="n">
        <v>113</v>
      </c>
      <c r="C116" s="23">
        <f>IF($B116&lt;=Inputs!$C$6+Inputs!$C$11,$M115,"")</f>
        <v/>
      </c>
      <c r="D116" s="24">
        <f>IF($B116&lt;=Inputs!$C$6,-PMT(Inputs!$C$5/12,Inputs!$C$6,Inputs!$C$4),0)</f>
        <v/>
      </c>
      <c r="E116" s="24">
        <f>IF($B116&lt;=Inputs!$C$6+Inputs!$C$11,$C116*Inputs!$C$5/12,0)</f>
        <v/>
      </c>
      <c r="F116" s="24">
        <f>IF($B116&lt;=Inputs!$C$6,MAX(0,$D116-$E116),0)</f>
        <v/>
      </c>
      <c r="G116" s="24">
        <f>IF($B116&lt;=Inputs!$C$6,MAX(0,($C116-$F116))*(1-(1-Inputs!$C$8)^(1/12)),0)</f>
        <v/>
      </c>
      <c r="H116" s="24">
        <f>IF($B116&lt;=Inputs!$C$6,MAX(0,($C116-$F116-$G116))*(1-(1-Inputs!$C$9)^(1/12)),0)</f>
        <v/>
      </c>
      <c r="I116" s="24">
        <f>IF($B116&gt;Inputs!$C$11,INDEX($H:$H,ROW()-Inputs!$C$11)* (1-Inputs!$C$10),0)</f>
        <v/>
      </c>
      <c r="J116" s="24">
        <f>$H116*Inputs!$C$10</f>
        <v/>
      </c>
      <c r="K116" s="24">
        <f>IF($B116&lt;=Inputs!$C$6+Inputs!$C$11,$C116*Inputs!$C$7/12,0)</f>
        <v/>
      </c>
      <c r="L116" s="24">
        <f>IF($B116&lt;=Inputs!$C$6+Inputs!$C$11,$E116+$F116+$G116+$I116-$K116,0)</f>
        <v/>
      </c>
      <c r="M116" s="24">
        <f>IF($B116&lt;=Inputs!$C$6,MAX(0,$C116-$F116-$G116-$H116),0)</f>
        <v/>
      </c>
    </row>
    <row r="117">
      <c r="B117" s="22" t="n">
        <v>114</v>
      </c>
      <c r="C117" s="23">
        <f>IF($B117&lt;=Inputs!$C$6+Inputs!$C$11,$M116,"")</f>
        <v/>
      </c>
      <c r="D117" s="24">
        <f>IF($B117&lt;=Inputs!$C$6,-PMT(Inputs!$C$5/12,Inputs!$C$6,Inputs!$C$4),0)</f>
        <v/>
      </c>
      <c r="E117" s="24">
        <f>IF($B117&lt;=Inputs!$C$6+Inputs!$C$11,$C117*Inputs!$C$5/12,0)</f>
        <v/>
      </c>
      <c r="F117" s="24">
        <f>IF($B117&lt;=Inputs!$C$6,MAX(0,$D117-$E117),0)</f>
        <v/>
      </c>
      <c r="G117" s="24">
        <f>IF($B117&lt;=Inputs!$C$6,MAX(0,($C117-$F117))*(1-(1-Inputs!$C$8)^(1/12)),0)</f>
        <v/>
      </c>
      <c r="H117" s="24">
        <f>IF($B117&lt;=Inputs!$C$6,MAX(0,($C117-$F117-$G117))*(1-(1-Inputs!$C$9)^(1/12)),0)</f>
        <v/>
      </c>
      <c r="I117" s="24">
        <f>IF($B117&gt;Inputs!$C$11,INDEX($H:$H,ROW()-Inputs!$C$11)* (1-Inputs!$C$10),0)</f>
        <v/>
      </c>
      <c r="J117" s="24">
        <f>$H117*Inputs!$C$10</f>
        <v/>
      </c>
      <c r="K117" s="24">
        <f>IF($B117&lt;=Inputs!$C$6+Inputs!$C$11,$C117*Inputs!$C$7/12,0)</f>
        <v/>
      </c>
      <c r="L117" s="24">
        <f>IF($B117&lt;=Inputs!$C$6+Inputs!$C$11,$E117+$F117+$G117+$I117-$K117,0)</f>
        <v/>
      </c>
      <c r="M117" s="24">
        <f>IF($B117&lt;=Inputs!$C$6,MAX(0,$C117-$F117-$G117-$H117),0)</f>
        <v/>
      </c>
    </row>
    <row r="118">
      <c r="B118" s="22" t="n">
        <v>115</v>
      </c>
      <c r="C118" s="23">
        <f>IF($B118&lt;=Inputs!$C$6+Inputs!$C$11,$M117,"")</f>
        <v/>
      </c>
      <c r="D118" s="24">
        <f>IF($B118&lt;=Inputs!$C$6,-PMT(Inputs!$C$5/12,Inputs!$C$6,Inputs!$C$4),0)</f>
        <v/>
      </c>
      <c r="E118" s="24">
        <f>IF($B118&lt;=Inputs!$C$6+Inputs!$C$11,$C118*Inputs!$C$5/12,0)</f>
        <v/>
      </c>
      <c r="F118" s="24">
        <f>IF($B118&lt;=Inputs!$C$6,MAX(0,$D118-$E118),0)</f>
        <v/>
      </c>
      <c r="G118" s="24">
        <f>IF($B118&lt;=Inputs!$C$6,MAX(0,($C118-$F118))*(1-(1-Inputs!$C$8)^(1/12)),0)</f>
        <v/>
      </c>
      <c r="H118" s="24">
        <f>IF($B118&lt;=Inputs!$C$6,MAX(0,($C118-$F118-$G118))*(1-(1-Inputs!$C$9)^(1/12)),0)</f>
        <v/>
      </c>
      <c r="I118" s="24">
        <f>IF($B118&gt;Inputs!$C$11,INDEX($H:$H,ROW()-Inputs!$C$11)* (1-Inputs!$C$10),0)</f>
        <v/>
      </c>
      <c r="J118" s="24">
        <f>$H118*Inputs!$C$10</f>
        <v/>
      </c>
      <c r="K118" s="24">
        <f>IF($B118&lt;=Inputs!$C$6+Inputs!$C$11,$C118*Inputs!$C$7/12,0)</f>
        <v/>
      </c>
      <c r="L118" s="24">
        <f>IF($B118&lt;=Inputs!$C$6+Inputs!$C$11,$E118+$F118+$G118+$I118-$K118,0)</f>
        <v/>
      </c>
      <c r="M118" s="24">
        <f>IF($B118&lt;=Inputs!$C$6,MAX(0,$C118-$F118-$G118-$H118),0)</f>
        <v/>
      </c>
    </row>
    <row r="119">
      <c r="B119" s="22" t="n">
        <v>116</v>
      </c>
      <c r="C119" s="23">
        <f>IF($B119&lt;=Inputs!$C$6+Inputs!$C$11,$M118,"")</f>
        <v/>
      </c>
      <c r="D119" s="24">
        <f>IF($B119&lt;=Inputs!$C$6,-PMT(Inputs!$C$5/12,Inputs!$C$6,Inputs!$C$4),0)</f>
        <v/>
      </c>
      <c r="E119" s="24">
        <f>IF($B119&lt;=Inputs!$C$6+Inputs!$C$11,$C119*Inputs!$C$5/12,0)</f>
        <v/>
      </c>
      <c r="F119" s="24">
        <f>IF($B119&lt;=Inputs!$C$6,MAX(0,$D119-$E119),0)</f>
        <v/>
      </c>
      <c r="G119" s="24">
        <f>IF($B119&lt;=Inputs!$C$6,MAX(0,($C119-$F119))*(1-(1-Inputs!$C$8)^(1/12)),0)</f>
        <v/>
      </c>
      <c r="H119" s="24">
        <f>IF($B119&lt;=Inputs!$C$6,MAX(0,($C119-$F119-$G119))*(1-(1-Inputs!$C$9)^(1/12)),0)</f>
        <v/>
      </c>
      <c r="I119" s="24">
        <f>IF($B119&gt;Inputs!$C$11,INDEX($H:$H,ROW()-Inputs!$C$11)* (1-Inputs!$C$10),0)</f>
        <v/>
      </c>
      <c r="J119" s="24">
        <f>$H119*Inputs!$C$10</f>
        <v/>
      </c>
      <c r="K119" s="24">
        <f>IF($B119&lt;=Inputs!$C$6+Inputs!$C$11,$C119*Inputs!$C$7/12,0)</f>
        <v/>
      </c>
      <c r="L119" s="24">
        <f>IF($B119&lt;=Inputs!$C$6+Inputs!$C$11,$E119+$F119+$G119+$I119-$K119,0)</f>
        <v/>
      </c>
      <c r="M119" s="24">
        <f>IF($B119&lt;=Inputs!$C$6,MAX(0,$C119-$F119-$G119-$H119),0)</f>
        <v/>
      </c>
    </row>
    <row r="120">
      <c r="B120" s="22" t="n">
        <v>117</v>
      </c>
      <c r="C120" s="23">
        <f>IF($B120&lt;=Inputs!$C$6+Inputs!$C$11,$M119,"")</f>
        <v/>
      </c>
      <c r="D120" s="24">
        <f>IF($B120&lt;=Inputs!$C$6,-PMT(Inputs!$C$5/12,Inputs!$C$6,Inputs!$C$4),0)</f>
        <v/>
      </c>
      <c r="E120" s="24">
        <f>IF($B120&lt;=Inputs!$C$6+Inputs!$C$11,$C120*Inputs!$C$5/12,0)</f>
        <v/>
      </c>
      <c r="F120" s="24">
        <f>IF($B120&lt;=Inputs!$C$6,MAX(0,$D120-$E120),0)</f>
        <v/>
      </c>
      <c r="G120" s="24">
        <f>IF($B120&lt;=Inputs!$C$6,MAX(0,($C120-$F120))*(1-(1-Inputs!$C$8)^(1/12)),0)</f>
        <v/>
      </c>
      <c r="H120" s="24">
        <f>IF($B120&lt;=Inputs!$C$6,MAX(0,($C120-$F120-$G120))*(1-(1-Inputs!$C$9)^(1/12)),0)</f>
        <v/>
      </c>
      <c r="I120" s="24">
        <f>IF($B120&gt;Inputs!$C$11,INDEX($H:$H,ROW()-Inputs!$C$11)* (1-Inputs!$C$10),0)</f>
        <v/>
      </c>
      <c r="J120" s="24">
        <f>$H120*Inputs!$C$10</f>
        <v/>
      </c>
      <c r="K120" s="24">
        <f>IF($B120&lt;=Inputs!$C$6+Inputs!$C$11,$C120*Inputs!$C$7/12,0)</f>
        <v/>
      </c>
      <c r="L120" s="24">
        <f>IF($B120&lt;=Inputs!$C$6+Inputs!$C$11,$E120+$F120+$G120+$I120-$K120,0)</f>
        <v/>
      </c>
      <c r="M120" s="24">
        <f>IF($B120&lt;=Inputs!$C$6,MAX(0,$C120-$F120-$G120-$H120),0)</f>
        <v/>
      </c>
    </row>
    <row r="121">
      <c r="B121" s="22" t="n">
        <v>118</v>
      </c>
      <c r="C121" s="23">
        <f>IF($B121&lt;=Inputs!$C$6+Inputs!$C$11,$M120,"")</f>
        <v/>
      </c>
      <c r="D121" s="24">
        <f>IF($B121&lt;=Inputs!$C$6,-PMT(Inputs!$C$5/12,Inputs!$C$6,Inputs!$C$4),0)</f>
        <v/>
      </c>
      <c r="E121" s="24">
        <f>IF($B121&lt;=Inputs!$C$6+Inputs!$C$11,$C121*Inputs!$C$5/12,0)</f>
        <v/>
      </c>
      <c r="F121" s="24">
        <f>IF($B121&lt;=Inputs!$C$6,MAX(0,$D121-$E121),0)</f>
        <v/>
      </c>
      <c r="G121" s="24">
        <f>IF($B121&lt;=Inputs!$C$6,MAX(0,($C121-$F121))*(1-(1-Inputs!$C$8)^(1/12)),0)</f>
        <v/>
      </c>
      <c r="H121" s="24">
        <f>IF($B121&lt;=Inputs!$C$6,MAX(0,($C121-$F121-$G121))*(1-(1-Inputs!$C$9)^(1/12)),0)</f>
        <v/>
      </c>
      <c r="I121" s="24">
        <f>IF($B121&gt;Inputs!$C$11,INDEX($H:$H,ROW()-Inputs!$C$11)* (1-Inputs!$C$10),0)</f>
        <v/>
      </c>
      <c r="J121" s="24">
        <f>$H121*Inputs!$C$10</f>
        <v/>
      </c>
      <c r="K121" s="24">
        <f>IF($B121&lt;=Inputs!$C$6+Inputs!$C$11,$C121*Inputs!$C$7/12,0)</f>
        <v/>
      </c>
      <c r="L121" s="24">
        <f>IF($B121&lt;=Inputs!$C$6+Inputs!$C$11,$E121+$F121+$G121+$I121-$K121,0)</f>
        <v/>
      </c>
      <c r="M121" s="24">
        <f>IF($B121&lt;=Inputs!$C$6,MAX(0,$C121-$F121-$G121-$H121),0)</f>
        <v/>
      </c>
    </row>
    <row r="122">
      <c r="B122" s="22" t="n">
        <v>119</v>
      </c>
      <c r="C122" s="23">
        <f>IF($B122&lt;=Inputs!$C$6+Inputs!$C$11,$M121,"")</f>
        <v/>
      </c>
      <c r="D122" s="24">
        <f>IF($B122&lt;=Inputs!$C$6,-PMT(Inputs!$C$5/12,Inputs!$C$6,Inputs!$C$4),0)</f>
        <v/>
      </c>
      <c r="E122" s="24">
        <f>IF($B122&lt;=Inputs!$C$6+Inputs!$C$11,$C122*Inputs!$C$5/12,0)</f>
        <v/>
      </c>
      <c r="F122" s="24">
        <f>IF($B122&lt;=Inputs!$C$6,MAX(0,$D122-$E122),0)</f>
        <v/>
      </c>
      <c r="G122" s="24">
        <f>IF($B122&lt;=Inputs!$C$6,MAX(0,($C122-$F122))*(1-(1-Inputs!$C$8)^(1/12)),0)</f>
        <v/>
      </c>
      <c r="H122" s="24">
        <f>IF($B122&lt;=Inputs!$C$6,MAX(0,($C122-$F122-$G122))*(1-(1-Inputs!$C$9)^(1/12)),0)</f>
        <v/>
      </c>
      <c r="I122" s="24">
        <f>IF($B122&gt;Inputs!$C$11,INDEX($H:$H,ROW()-Inputs!$C$11)* (1-Inputs!$C$10),0)</f>
        <v/>
      </c>
      <c r="J122" s="24">
        <f>$H122*Inputs!$C$10</f>
        <v/>
      </c>
      <c r="K122" s="24">
        <f>IF($B122&lt;=Inputs!$C$6+Inputs!$C$11,$C122*Inputs!$C$7/12,0)</f>
        <v/>
      </c>
      <c r="L122" s="24">
        <f>IF($B122&lt;=Inputs!$C$6+Inputs!$C$11,$E122+$F122+$G122+$I122-$K122,0)</f>
        <v/>
      </c>
      <c r="M122" s="24">
        <f>IF($B122&lt;=Inputs!$C$6,MAX(0,$C122-$F122-$G122-$H122),0)</f>
        <v/>
      </c>
    </row>
    <row r="123">
      <c r="B123" s="22" t="n">
        <v>120</v>
      </c>
      <c r="C123" s="23">
        <f>IF($B123&lt;=Inputs!$C$6+Inputs!$C$11,$M122,"")</f>
        <v/>
      </c>
      <c r="D123" s="24">
        <f>IF($B123&lt;=Inputs!$C$6,-PMT(Inputs!$C$5/12,Inputs!$C$6,Inputs!$C$4),0)</f>
        <v/>
      </c>
      <c r="E123" s="24">
        <f>IF($B123&lt;=Inputs!$C$6+Inputs!$C$11,$C123*Inputs!$C$5/12,0)</f>
        <v/>
      </c>
      <c r="F123" s="24">
        <f>IF($B123&lt;=Inputs!$C$6,MAX(0,$D123-$E123),0)</f>
        <v/>
      </c>
      <c r="G123" s="24">
        <f>IF($B123&lt;=Inputs!$C$6,MAX(0,($C123-$F123))*(1-(1-Inputs!$C$8)^(1/12)),0)</f>
        <v/>
      </c>
      <c r="H123" s="24">
        <f>IF($B123&lt;=Inputs!$C$6,MAX(0,($C123-$F123-$G123))*(1-(1-Inputs!$C$9)^(1/12)),0)</f>
        <v/>
      </c>
      <c r="I123" s="24">
        <f>IF($B123&gt;Inputs!$C$11,INDEX($H:$H,ROW()-Inputs!$C$11)* (1-Inputs!$C$10),0)</f>
        <v/>
      </c>
      <c r="J123" s="24">
        <f>$H123*Inputs!$C$10</f>
        <v/>
      </c>
      <c r="K123" s="24">
        <f>IF($B123&lt;=Inputs!$C$6+Inputs!$C$11,$C123*Inputs!$C$7/12,0)</f>
        <v/>
      </c>
      <c r="L123" s="24">
        <f>IF($B123&lt;=Inputs!$C$6+Inputs!$C$11,$E123+$F123+$G123+$I123-$K123,0)</f>
        <v/>
      </c>
      <c r="M123" s="24">
        <f>IF($B123&lt;=Inputs!$C$6,MAX(0,$C123-$F123-$G123-$H123),0)</f>
        <v/>
      </c>
    </row>
    <row r="124">
      <c r="B124" s="22" t="n">
        <v>121</v>
      </c>
      <c r="C124" s="23">
        <f>IF($B124&lt;=Inputs!$C$6+Inputs!$C$11,$M123,"")</f>
        <v/>
      </c>
      <c r="D124" s="24">
        <f>IF($B124&lt;=Inputs!$C$6,-PMT(Inputs!$C$5/12,Inputs!$C$6,Inputs!$C$4),0)</f>
        <v/>
      </c>
      <c r="E124" s="24">
        <f>IF($B124&lt;=Inputs!$C$6+Inputs!$C$11,$C124*Inputs!$C$5/12,0)</f>
        <v/>
      </c>
      <c r="F124" s="24">
        <f>IF($B124&lt;=Inputs!$C$6,MAX(0,$D124-$E124),0)</f>
        <v/>
      </c>
      <c r="G124" s="24">
        <f>IF($B124&lt;=Inputs!$C$6,MAX(0,($C124-$F124))*(1-(1-Inputs!$C$8)^(1/12)),0)</f>
        <v/>
      </c>
      <c r="H124" s="24">
        <f>IF($B124&lt;=Inputs!$C$6,MAX(0,($C124-$F124-$G124))*(1-(1-Inputs!$C$9)^(1/12)),0)</f>
        <v/>
      </c>
      <c r="I124" s="24">
        <f>IF($B124&gt;Inputs!$C$11,INDEX($H:$H,ROW()-Inputs!$C$11)* (1-Inputs!$C$10),0)</f>
        <v/>
      </c>
      <c r="J124" s="24">
        <f>$H124*Inputs!$C$10</f>
        <v/>
      </c>
      <c r="K124" s="24">
        <f>IF($B124&lt;=Inputs!$C$6+Inputs!$C$11,$C124*Inputs!$C$7/12,0)</f>
        <v/>
      </c>
      <c r="L124" s="24">
        <f>IF($B124&lt;=Inputs!$C$6+Inputs!$C$11,$E124+$F124+$G124+$I124-$K124,0)</f>
        <v/>
      </c>
      <c r="M124" s="24">
        <f>IF($B124&lt;=Inputs!$C$6,MAX(0,$C124-$F124-$G124-$H124),0)</f>
        <v/>
      </c>
    </row>
    <row r="125">
      <c r="B125" s="22" t="n">
        <v>122</v>
      </c>
      <c r="C125" s="23">
        <f>IF($B125&lt;=Inputs!$C$6+Inputs!$C$11,$M124,"")</f>
        <v/>
      </c>
      <c r="D125" s="24">
        <f>IF($B125&lt;=Inputs!$C$6,-PMT(Inputs!$C$5/12,Inputs!$C$6,Inputs!$C$4),0)</f>
        <v/>
      </c>
      <c r="E125" s="24">
        <f>IF($B125&lt;=Inputs!$C$6+Inputs!$C$11,$C125*Inputs!$C$5/12,0)</f>
        <v/>
      </c>
      <c r="F125" s="24">
        <f>IF($B125&lt;=Inputs!$C$6,MAX(0,$D125-$E125),0)</f>
        <v/>
      </c>
      <c r="G125" s="24">
        <f>IF($B125&lt;=Inputs!$C$6,MAX(0,($C125-$F125))*(1-(1-Inputs!$C$8)^(1/12)),0)</f>
        <v/>
      </c>
      <c r="H125" s="24">
        <f>IF($B125&lt;=Inputs!$C$6,MAX(0,($C125-$F125-$G125))*(1-(1-Inputs!$C$9)^(1/12)),0)</f>
        <v/>
      </c>
      <c r="I125" s="24">
        <f>IF($B125&gt;Inputs!$C$11,INDEX($H:$H,ROW()-Inputs!$C$11)* (1-Inputs!$C$10),0)</f>
        <v/>
      </c>
      <c r="J125" s="24">
        <f>$H125*Inputs!$C$10</f>
        <v/>
      </c>
      <c r="K125" s="24">
        <f>IF($B125&lt;=Inputs!$C$6+Inputs!$C$11,$C125*Inputs!$C$7/12,0)</f>
        <v/>
      </c>
      <c r="L125" s="24">
        <f>IF($B125&lt;=Inputs!$C$6+Inputs!$C$11,$E125+$F125+$G125+$I125-$K125,0)</f>
        <v/>
      </c>
      <c r="M125" s="24">
        <f>IF($B125&lt;=Inputs!$C$6,MAX(0,$C125-$F125-$G125-$H125),0)</f>
        <v/>
      </c>
    </row>
    <row r="126">
      <c r="B126" s="22" t="n">
        <v>123</v>
      </c>
      <c r="C126" s="23">
        <f>IF($B126&lt;=Inputs!$C$6+Inputs!$C$11,$M125,"")</f>
        <v/>
      </c>
      <c r="D126" s="24">
        <f>IF($B126&lt;=Inputs!$C$6,-PMT(Inputs!$C$5/12,Inputs!$C$6,Inputs!$C$4),0)</f>
        <v/>
      </c>
      <c r="E126" s="24">
        <f>IF($B126&lt;=Inputs!$C$6+Inputs!$C$11,$C126*Inputs!$C$5/12,0)</f>
        <v/>
      </c>
      <c r="F126" s="24">
        <f>IF($B126&lt;=Inputs!$C$6,MAX(0,$D126-$E126),0)</f>
        <v/>
      </c>
      <c r="G126" s="24">
        <f>IF($B126&lt;=Inputs!$C$6,MAX(0,($C126-$F126))*(1-(1-Inputs!$C$8)^(1/12)),0)</f>
        <v/>
      </c>
      <c r="H126" s="24">
        <f>IF($B126&lt;=Inputs!$C$6,MAX(0,($C126-$F126-$G126))*(1-(1-Inputs!$C$9)^(1/12)),0)</f>
        <v/>
      </c>
      <c r="I126" s="24">
        <f>IF($B126&gt;Inputs!$C$11,INDEX($H:$H,ROW()-Inputs!$C$11)* (1-Inputs!$C$10),0)</f>
        <v/>
      </c>
      <c r="J126" s="24">
        <f>$H126*Inputs!$C$10</f>
        <v/>
      </c>
      <c r="K126" s="24">
        <f>IF($B126&lt;=Inputs!$C$6+Inputs!$C$11,$C126*Inputs!$C$7/12,0)</f>
        <v/>
      </c>
      <c r="L126" s="24">
        <f>IF($B126&lt;=Inputs!$C$6+Inputs!$C$11,$E126+$F126+$G126+$I126-$K126,0)</f>
        <v/>
      </c>
      <c r="M126" s="24">
        <f>IF($B126&lt;=Inputs!$C$6,MAX(0,$C126-$F126-$G126-$H126),0)</f>
        <v/>
      </c>
    </row>
    <row r="127">
      <c r="B127" s="22" t="n">
        <v>124</v>
      </c>
      <c r="C127" s="23">
        <f>IF($B127&lt;=Inputs!$C$6+Inputs!$C$11,$M126,"")</f>
        <v/>
      </c>
      <c r="D127" s="24">
        <f>IF($B127&lt;=Inputs!$C$6,-PMT(Inputs!$C$5/12,Inputs!$C$6,Inputs!$C$4),0)</f>
        <v/>
      </c>
      <c r="E127" s="24">
        <f>IF($B127&lt;=Inputs!$C$6+Inputs!$C$11,$C127*Inputs!$C$5/12,0)</f>
        <v/>
      </c>
      <c r="F127" s="24">
        <f>IF($B127&lt;=Inputs!$C$6,MAX(0,$D127-$E127),0)</f>
        <v/>
      </c>
      <c r="G127" s="24">
        <f>IF($B127&lt;=Inputs!$C$6,MAX(0,($C127-$F127))*(1-(1-Inputs!$C$8)^(1/12)),0)</f>
        <v/>
      </c>
      <c r="H127" s="24">
        <f>IF($B127&lt;=Inputs!$C$6,MAX(0,($C127-$F127-$G127))*(1-(1-Inputs!$C$9)^(1/12)),0)</f>
        <v/>
      </c>
      <c r="I127" s="24">
        <f>IF($B127&gt;Inputs!$C$11,INDEX($H:$H,ROW()-Inputs!$C$11)* (1-Inputs!$C$10),0)</f>
        <v/>
      </c>
      <c r="J127" s="24">
        <f>$H127*Inputs!$C$10</f>
        <v/>
      </c>
      <c r="K127" s="24">
        <f>IF($B127&lt;=Inputs!$C$6+Inputs!$C$11,$C127*Inputs!$C$7/12,0)</f>
        <v/>
      </c>
      <c r="L127" s="24">
        <f>IF($B127&lt;=Inputs!$C$6+Inputs!$C$11,$E127+$F127+$G127+$I127-$K127,0)</f>
        <v/>
      </c>
      <c r="M127" s="24">
        <f>IF($B127&lt;=Inputs!$C$6,MAX(0,$C127-$F127-$G127-$H127),0)</f>
        <v/>
      </c>
    </row>
    <row r="128">
      <c r="B128" s="22" t="n">
        <v>125</v>
      </c>
      <c r="C128" s="23">
        <f>IF($B128&lt;=Inputs!$C$6+Inputs!$C$11,$M127,"")</f>
        <v/>
      </c>
      <c r="D128" s="24">
        <f>IF($B128&lt;=Inputs!$C$6,-PMT(Inputs!$C$5/12,Inputs!$C$6,Inputs!$C$4),0)</f>
        <v/>
      </c>
      <c r="E128" s="24">
        <f>IF($B128&lt;=Inputs!$C$6+Inputs!$C$11,$C128*Inputs!$C$5/12,0)</f>
        <v/>
      </c>
      <c r="F128" s="24">
        <f>IF($B128&lt;=Inputs!$C$6,MAX(0,$D128-$E128),0)</f>
        <v/>
      </c>
      <c r="G128" s="24">
        <f>IF($B128&lt;=Inputs!$C$6,MAX(0,($C128-$F128))*(1-(1-Inputs!$C$8)^(1/12)),0)</f>
        <v/>
      </c>
      <c r="H128" s="24">
        <f>IF($B128&lt;=Inputs!$C$6,MAX(0,($C128-$F128-$G128))*(1-(1-Inputs!$C$9)^(1/12)),0)</f>
        <v/>
      </c>
      <c r="I128" s="24">
        <f>IF($B128&gt;Inputs!$C$11,INDEX($H:$H,ROW()-Inputs!$C$11)* (1-Inputs!$C$10),0)</f>
        <v/>
      </c>
      <c r="J128" s="24">
        <f>$H128*Inputs!$C$10</f>
        <v/>
      </c>
      <c r="K128" s="24">
        <f>IF($B128&lt;=Inputs!$C$6+Inputs!$C$11,$C128*Inputs!$C$7/12,0)</f>
        <v/>
      </c>
      <c r="L128" s="24">
        <f>IF($B128&lt;=Inputs!$C$6+Inputs!$C$11,$E128+$F128+$G128+$I128-$K128,0)</f>
        <v/>
      </c>
      <c r="M128" s="24">
        <f>IF($B128&lt;=Inputs!$C$6,MAX(0,$C128-$F128-$G128-$H128),0)</f>
        <v/>
      </c>
    </row>
    <row r="129">
      <c r="B129" s="22" t="n">
        <v>126</v>
      </c>
      <c r="C129" s="23">
        <f>IF($B129&lt;=Inputs!$C$6+Inputs!$C$11,$M128,"")</f>
        <v/>
      </c>
      <c r="D129" s="24">
        <f>IF($B129&lt;=Inputs!$C$6,-PMT(Inputs!$C$5/12,Inputs!$C$6,Inputs!$C$4),0)</f>
        <v/>
      </c>
      <c r="E129" s="24">
        <f>IF($B129&lt;=Inputs!$C$6+Inputs!$C$11,$C129*Inputs!$C$5/12,0)</f>
        <v/>
      </c>
      <c r="F129" s="24">
        <f>IF($B129&lt;=Inputs!$C$6,MAX(0,$D129-$E129),0)</f>
        <v/>
      </c>
      <c r="G129" s="24">
        <f>IF($B129&lt;=Inputs!$C$6,MAX(0,($C129-$F129))*(1-(1-Inputs!$C$8)^(1/12)),0)</f>
        <v/>
      </c>
      <c r="H129" s="24">
        <f>IF($B129&lt;=Inputs!$C$6,MAX(0,($C129-$F129-$G129))*(1-(1-Inputs!$C$9)^(1/12)),0)</f>
        <v/>
      </c>
      <c r="I129" s="24">
        <f>IF($B129&gt;Inputs!$C$11,INDEX($H:$H,ROW()-Inputs!$C$11)* (1-Inputs!$C$10),0)</f>
        <v/>
      </c>
      <c r="J129" s="24">
        <f>$H129*Inputs!$C$10</f>
        <v/>
      </c>
      <c r="K129" s="24">
        <f>IF($B129&lt;=Inputs!$C$6+Inputs!$C$11,$C129*Inputs!$C$7/12,0)</f>
        <v/>
      </c>
      <c r="L129" s="24">
        <f>IF($B129&lt;=Inputs!$C$6+Inputs!$C$11,$E129+$F129+$G129+$I129-$K129,0)</f>
        <v/>
      </c>
      <c r="M129" s="24">
        <f>IF($B129&lt;=Inputs!$C$6,MAX(0,$C129-$F129-$G129-$H129),0)</f>
        <v/>
      </c>
    </row>
    <row r="130">
      <c r="B130" s="22" t="n">
        <v>127</v>
      </c>
      <c r="C130" s="23">
        <f>IF($B130&lt;=Inputs!$C$6+Inputs!$C$11,$M129,"")</f>
        <v/>
      </c>
      <c r="D130" s="24">
        <f>IF($B130&lt;=Inputs!$C$6,-PMT(Inputs!$C$5/12,Inputs!$C$6,Inputs!$C$4),0)</f>
        <v/>
      </c>
      <c r="E130" s="24">
        <f>IF($B130&lt;=Inputs!$C$6+Inputs!$C$11,$C130*Inputs!$C$5/12,0)</f>
        <v/>
      </c>
      <c r="F130" s="24">
        <f>IF($B130&lt;=Inputs!$C$6,MAX(0,$D130-$E130),0)</f>
        <v/>
      </c>
      <c r="G130" s="24">
        <f>IF($B130&lt;=Inputs!$C$6,MAX(0,($C130-$F130))*(1-(1-Inputs!$C$8)^(1/12)),0)</f>
        <v/>
      </c>
      <c r="H130" s="24">
        <f>IF($B130&lt;=Inputs!$C$6,MAX(0,($C130-$F130-$G130))*(1-(1-Inputs!$C$9)^(1/12)),0)</f>
        <v/>
      </c>
      <c r="I130" s="24">
        <f>IF($B130&gt;Inputs!$C$11,INDEX($H:$H,ROW()-Inputs!$C$11)* (1-Inputs!$C$10),0)</f>
        <v/>
      </c>
      <c r="J130" s="24">
        <f>$H130*Inputs!$C$10</f>
        <v/>
      </c>
      <c r="K130" s="24">
        <f>IF($B130&lt;=Inputs!$C$6+Inputs!$C$11,$C130*Inputs!$C$7/12,0)</f>
        <v/>
      </c>
      <c r="L130" s="24">
        <f>IF($B130&lt;=Inputs!$C$6+Inputs!$C$11,$E130+$F130+$G130+$I130-$K130,0)</f>
        <v/>
      </c>
      <c r="M130" s="24">
        <f>IF($B130&lt;=Inputs!$C$6,MAX(0,$C130-$F130-$G130-$H130),0)</f>
        <v/>
      </c>
    </row>
    <row r="131">
      <c r="B131" s="22" t="n">
        <v>128</v>
      </c>
      <c r="C131" s="23">
        <f>IF($B131&lt;=Inputs!$C$6+Inputs!$C$11,$M130,"")</f>
        <v/>
      </c>
      <c r="D131" s="24">
        <f>IF($B131&lt;=Inputs!$C$6,-PMT(Inputs!$C$5/12,Inputs!$C$6,Inputs!$C$4),0)</f>
        <v/>
      </c>
      <c r="E131" s="24">
        <f>IF($B131&lt;=Inputs!$C$6+Inputs!$C$11,$C131*Inputs!$C$5/12,0)</f>
        <v/>
      </c>
      <c r="F131" s="24">
        <f>IF($B131&lt;=Inputs!$C$6,MAX(0,$D131-$E131),0)</f>
        <v/>
      </c>
      <c r="G131" s="24">
        <f>IF($B131&lt;=Inputs!$C$6,MAX(0,($C131-$F131))*(1-(1-Inputs!$C$8)^(1/12)),0)</f>
        <v/>
      </c>
      <c r="H131" s="24">
        <f>IF($B131&lt;=Inputs!$C$6,MAX(0,($C131-$F131-$G131))*(1-(1-Inputs!$C$9)^(1/12)),0)</f>
        <v/>
      </c>
      <c r="I131" s="24">
        <f>IF($B131&gt;Inputs!$C$11,INDEX($H:$H,ROW()-Inputs!$C$11)* (1-Inputs!$C$10),0)</f>
        <v/>
      </c>
      <c r="J131" s="24">
        <f>$H131*Inputs!$C$10</f>
        <v/>
      </c>
      <c r="K131" s="24">
        <f>IF($B131&lt;=Inputs!$C$6+Inputs!$C$11,$C131*Inputs!$C$7/12,0)</f>
        <v/>
      </c>
      <c r="L131" s="24">
        <f>IF($B131&lt;=Inputs!$C$6+Inputs!$C$11,$E131+$F131+$G131+$I131-$K131,0)</f>
        <v/>
      </c>
      <c r="M131" s="24">
        <f>IF($B131&lt;=Inputs!$C$6,MAX(0,$C131-$F131-$G131-$H131),0)</f>
        <v/>
      </c>
    </row>
    <row r="132">
      <c r="B132" s="22" t="n">
        <v>129</v>
      </c>
      <c r="C132" s="23">
        <f>IF($B132&lt;=Inputs!$C$6+Inputs!$C$11,$M131,"")</f>
        <v/>
      </c>
      <c r="D132" s="24">
        <f>IF($B132&lt;=Inputs!$C$6,-PMT(Inputs!$C$5/12,Inputs!$C$6,Inputs!$C$4),0)</f>
        <v/>
      </c>
      <c r="E132" s="24">
        <f>IF($B132&lt;=Inputs!$C$6+Inputs!$C$11,$C132*Inputs!$C$5/12,0)</f>
        <v/>
      </c>
      <c r="F132" s="24">
        <f>IF($B132&lt;=Inputs!$C$6,MAX(0,$D132-$E132),0)</f>
        <v/>
      </c>
      <c r="G132" s="24">
        <f>IF($B132&lt;=Inputs!$C$6,MAX(0,($C132-$F132))*(1-(1-Inputs!$C$8)^(1/12)),0)</f>
        <v/>
      </c>
      <c r="H132" s="24">
        <f>IF($B132&lt;=Inputs!$C$6,MAX(0,($C132-$F132-$G132))*(1-(1-Inputs!$C$9)^(1/12)),0)</f>
        <v/>
      </c>
      <c r="I132" s="24">
        <f>IF($B132&gt;Inputs!$C$11,INDEX($H:$H,ROW()-Inputs!$C$11)* (1-Inputs!$C$10),0)</f>
        <v/>
      </c>
      <c r="J132" s="24">
        <f>$H132*Inputs!$C$10</f>
        <v/>
      </c>
      <c r="K132" s="24">
        <f>IF($B132&lt;=Inputs!$C$6+Inputs!$C$11,$C132*Inputs!$C$7/12,0)</f>
        <v/>
      </c>
      <c r="L132" s="24">
        <f>IF($B132&lt;=Inputs!$C$6+Inputs!$C$11,$E132+$F132+$G132+$I132-$K132,0)</f>
        <v/>
      </c>
      <c r="M132" s="24">
        <f>IF($B132&lt;=Inputs!$C$6,MAX(0,$C132-$F132-$G132-$H132),0)</f>
        <v/>
      </c>
    </row>
    <row r="133">
      <c r="B133" s="22" t="n">
        <v>130</v>
      </c>
      <c r="C133" s="23">
        <f>IF($B133&lt;=Inputs!$C$6+Inputs!$C$11,$M132,"")</f>
        <v/>
      </c>
      <c r="D133" s="24">
        <f>IF($B133&lt;=Inputs!$C$6,-PMT(Inputs!$C$5/12,Inputs!$C$6,Inputs!$C$4),0)</f>
        <v/>
      </c>
      <c r="E133" s="24">
        <f>IF($B133&lt;=Inputs!$C$6+Inputs!$C$11,$C133*Inputs!$C$5/12,0)</f>
        <v/>
      </c>
      <c r="F133" s="24">
        <f>IF($B133&lt;=Inputs!$C$6,MAX(0,$D133-$E133),0)</f>
        <v/>
      </c>
      <c r="G133" s="24">
        <f>IF($B133&lt;=Inputs!$C$6,MAX(0,($C133-$F133))*(1-(1-Inputs!$C$8)^(1/12)),0)</f>
        <v/>
      </c>
      <c r="H133" s="24">
        <f>IF($B133&lt;=Inputs!$C$6,MAX(0,($C133-$F133-$G133))*(1-(1-Inputs!$C$9)^(1/12)),0)</f>
        <v/>
      </c>
      <c r="I133" s="24">
        <f>IF($B133&gt;Inputs!$C$11,INDEX($H:$H,ROW()-Inputs!$C$11)* (1-Inputs!$C$10),0)</f>
        <v/>
      </c>
      <c r="J133" s="24">
        <f>$H133*Inputs!$C$10</f>
        <v/>
      </c>
      <c r="K133" s="24">
        <f>IF($B133&lt;=Inputs!$C$6+Inputs!$C$11,$C133*Inputs!$C$7/12,0)</f>
        <v/>
      </c>
      <c r="L133" s="24">
        <f>IF($B133&lt;=Inputs!$C$6+Inputs!$C$11,$E133+$F133+$G133+$I133-$K133,0)</f>
        <v/>
      </c>
      <c r="M133" s="24">
        <f>IF($B133&lt;=Inputs!$C$6,MAX(0,$C133-$F133-$G133-$H133),0)</f>
        <v/>
      </c>
    </row>
    <row r="134">
      <c r="B134" s="22" t="n">
        <v>131</v>
      </c>
      <c r="C134" s="23">
        <f>IF($B134&lt;=Inputs!$C$6+Inputs!$C$11,$M133,"")</f>
        <v/>
      </c>
      <c r="D134" s="24">
        <f>IF($B134&lt;=Inputs!$C$6,-PMT(Inputs!$C$5/12,Inputs!$C$6,Inputs!$C$4),0)</f>
        <v/>
      </c>
      <c r="E134" s="24">
        <f>IF($B134&lt;=Inputs!$C$6+Inputs!$C$11,$C134*Inputs!$C$5/12,0)</f>
        <v/>
      </c>
      <c r="F134" s="24">
        <f>IF($B134&lt;=Inputs!$C$6,MAX(0,$D134-$E134),0)</f>
        <v/>
      </c>
      <c r="G134" s="24">
        <f>IF($B134&lt;=Inputs!$C$6,MAX(0,($C134-$F134))*(1-(1-Inputs!$C$8)^(1/12)),0)</f>
        <v/>
      </c>
      <c r="H134" s="24">
        <f>IF($B134&lt;=Inputs!$C$6,MAX(0,($C134-$F134-$G134))*(1-(1-Inputs!$C$9)^(1/12)),0)</f>
        <v/>
      </c>
      <c r="I134" s="24">
        <f>IF($B134&gt;Inputs!$C$11,INDEX($H:$H,ROW()-Inputs!$C$11)* (1-Inputs!$C$10),0)</f>
        <v/>
      </c>
      <c r="J134" s="24">
        <f>$H134*Inputs!$C$10</f>
        <v/>
      </c>
      <c r="K134" s="24">
        <f>IF($B134&lt;=Inputs!$C$6+Inputs!$C$11,$C134*Inputs!$C$7/12,0)</f>
        <v/>
      </c>
      <c r="L134" s="24">
        <f>IF($B134&lt;=Inputs!$C$6+Inputs!$C$11,$E134+$F134+$G134+$I134-$K134,0)</f>
        <v/>
      </c>
      <c r="M134" s="24">
        <f>IF($B134&lt;=Inputs!$C$6,MAX(0,$C134-$F134-$G134-$H134),0)</f>
        <v/>
      </c>
    </row>
    <row r="135">
      <c r="B135" s="22" t="n">
        <v>132</v>
      </c>
      <c r="C135" s="23">
        <f>IF($B135&lt;=Inputs!$C$6+Inputs!$C$11,$M134,"")</f>
        <v/>
      </c>
      <c r="D135" s="24">
        <f>IF($B135&lt;=Inputs!$C$6,-PMT(Inputs!$C$5/12,Inputs!$C$6,Inputs!$C$4),0)</f>
        <v/>
      </c>
      <c r="E135" s="24">
        <f>IF($B135&lt;=Inputs!$C$6+Inputs!$C$11,$C135*Inputs!$C$5/12,0)</f>
        <v/>
      </c>
      <c r="F135" s="24">
        <f>IF($B135&lt;=Inputs!$C$6,MAX(0,$D135-$E135),0)</f>
        <v/>
      </c>
      <c r="G135" s="24">
        <f>IF($B135&lt;=Inputs!$C$6,MAX(0,($C135-$F135))*(1-(1-Inputs!$C$8)^(1/12)),0)</f>
        <v/>
      </c>
      <c r="H135" s="24">
        <f>IF($B135&lt;=Inputs!$C$6,MAX(0,($C135-$F135-$G135))*(1-(1-Inputs!$C$9)^(1/12)),0)</f>
        <v/>
      </c>
      <c r="I135" s="24">
        <f>IF($B135&gt;Inputs!$C$11,INDEX($H:$H,ROW()-Inputs!$C$11)* (1-Inputs!$C$10),0)</f>
        <v/>
      </c>
      <c r="J135" s="24">
        <f>$H135*Inputs!$C$10</f>
        <v/>
      </c>
      <c r="K135" s="24">
        <f>IF($B135&lt;=Inputs!$C$6+Inputs!$C$11,$C135*Inputs!$C$7/12,0)</f>
        <v/>
      </c>
      <c r="L135" s="24">
        <f>IF($B135&lt;=Inputs!$C$6+Inputs!$C$11,$E135+$F135+$G135+$I135-$K135,0)</f>
        <v/>
      </c>
      <c r="M135" s="24">
        <f>IF($B135&lt;=Inputs!$C$6,MAX(0,$C135-$F135-$G135-$H135),0)</f>
        <v/>
      </c>
    </row>
    <row r="136">
      <c r="B136" s="22" t="n">
        <v>133</v>
      </c>
      <c r="C136" s="23">
        <f>IF($B136&lt;=Inputs!$C$6+Inputs!$C$11,$M135,"")</f>
        <v/>
      </c>
      <c r="D136" s="24">
        <f>IF($B136&lt;=Inputs!$C$6,-PMT(Inputs!$C$5/12,Inputs!$C$6,Inputs!$C$4),0)</f>
        <v/>
      </c>
      <c r="E136" s="24">
        <f>IF($B136&lt;=Inputs!$C$6+Inputs!$C$11,$C136*Inputs!$C$5/12,0)</f>
        <v/>
      </c>
      <c r="F136" s="24">
        <f>IF($B136&lt;=Inputs!$C$6,MAX(0,$D136-$E136),0)</f>
        <v/>
      </c>
      <c r="G136" s="24">
        <f>IF($B136&lt;=Inputs!$C$6,MAX(0,($C136-$F136))*(1-(1-Inputs!$C$8)^(1/12)),0)</f>
        <v/>
      </c>
      <c r="H136" s="24">
        <f>IF($B136&lt;=Inputs!$C$6,MAX(0,($C136-$F136-$G136))*(1-(1-Inputs!$C$9)^(1/12)),0)</f>
        <v/>
      </c>
      <c r="I136" s="24">
        <f>IF($B136&gt;Inputs!$C$11,INDEX($H:$H,ROW()-Inputs!$C$11)* (1-Inputs!$C$10),0)</f>
        <v/>
      </c>
      <c r="J136" s="24">
        <f>$H136*Inputs!$C$10</f>
        <v/>
      </c>
      <c r="K136" s="24">
        <f>IF($B136&lt;=Inputs!$C$6+Inputs!$C$11,$C136*Inputs!$C$7/12,0)</f>
        <v/>
      </c>
      <c r="L136" s="24">
        <f>IF($B136&lt;=Inputs!$C$6+Inputs!$C$11,$E136+$F136+$G136+$I136-$K136,0)</f>
        <v/>
      </c>
      <c r="M136" s="24">
        <f>IF($B136&lt;=Inputs!$C$6,MAX(0,$C136-$F136-$G136-$H136),0)</f>
        <v/>
      </c>
    </row>
    <row r="137">
      <c r="B137" s="22" t="n">
        <v>134</v>
      </c>
      <c r="C137" s="23">
        <f>IF($B137&lt;=Inputs!$C$6+Inputs!$C$11,$M136,"")</f>
        <v/>
      </c>
      <c r="D137" s="24">
        <f>IF($B137&lt;=Inputs!$C$6,-PMT(Inputs!$C$5/12,Inputs!$C$6,Inputs!$C$4),0)</f>
        <v/>
      </c>
      <c r="E137" s="24">
        <f>IF($B137&lt;=Inputs!$C$6+Inputs!$C$11,$C137*Inputs!$C$5/12,0)</f>
        <v/>
      </c>
      <c r="F137" s="24">
        <f>IF($B137&lt;=Inputs!$C$6,MAX(0,$D137-$E137),0)</f>
        <v/>
      </c>
      <c r="G137" s="24">
        <f>IF($B137&lt;=Inputs!$C$6,MAX(0,($C137-$F137))*(1-(1-Inputs!$C$8)^(1/12)),0)</f>
        <v/>
      </c>
      <c r="H137" s="24">
        <f>IF($B137&lt;=Inputs!$C$6,MAX(0,($C137-$F137-$G137))*(1-(1-Inputs!$C$9)^(1/12)),0)</f>
        <v/>
      </c>
      <c r="I137" s="24">
        <f>IF($B137&gt;Inputs!$C$11,INDEX($H:$H,ROW()-Inputs!$C$11)* (1-Inputs!$C$10),0)</f>
        <v/>
      </c>
      <c r="J137" s="24">
        <f>$H137*Inputs!$C$10</f>
        <v/>
      </c>
      <c r="K137" s="24">
        <f>IF($B137&lt;=Inputs!$C$6+Inputs!$C$11,$C137*Inputs!$C$7/12,0)</f>
        <v/>
      </c>
      <c r="L137" s="24">
        <f>IF($B137&lt;=Inputs!$C$6+Inputs!$C$11,$E137+$F137+$G137+$I137-$K137,0)</f>
        <v/>
      </c>
      <c r="M137" s="24">
        <f>IF($B137&lt;=Inputs!$C$6,MAX(0,$C137-$F137-$G137-$H137),0)</f>
        <v/>
      </c>
    </row>
    <row r="138">
      <c r="B138" s="22" t="n">
        <v>135</v>
      </c>
      <c r="C138" s="23">
        <f>IF($B138&lt;=Inputs!$C$6+Inputs!$C$11,$M137,"")</f>
        <v/>
      </c>
      <c r="D138" s="24">
        <f>IF($B138&lt;=Inputs!$C$6,-PMT(Inputs!$C$5/12,Inputs!$C$6,Inputs!$C$4),0)</f>
        <v/>
      </c>
      <c r="E138" s="24">
        <f>IF($B138&lt;=Inputs!$C$6+Inputs!$C$11,$C138*Inputs!$C$5/12,0)</f>
        <v/>
      </c>
      <c r="F138" s="24">
        <f>IF($B138&lt;=Inputs!$C$6,MAX(0,$D138-$E138),0)</f>
        <v/>
      </c>
      <c r="G138" s="24">
        <f>IF($B138&lt;=Inputs!$C$6,MAX(0,($C138-$F138))*(1-(1-Inputs!$C$8)^(1/12)),0)</f>
        <v/>
      </c>
      <c r="H138" s="24">
        <f>IF($B138&lt;=Inputs!$C$6,MAX(0,($C138-$F138-$G138))*(1-(1-Inputs!$C$9)^(1/12)),0)</f>
        <v/>
      </c>
      <c r="I138" s="24">
        <f>IF($B138&gt;Inputs!$C$11,INDEX($H:$H,ROW()-Inputs!$C$11)* (1-Inputs!$C$10),0)</f>
        <v/>
      </c>
      <c r="J138" s="24">
        <f>$H138*Inputs!$C$10</f>
        <v/>
      </c>
      <c r="K138" s="24">
        <f>IF($B138&lt;=Inputs!$C$6+Inputs!$C$11,$C138*Inputs!$C$7/12,0)</f>
        <v/>
      </c>
      <c r="L138" s="24">
        <f>IF($B138&lt;=Inputs!$C$6+Inputs!$C$11,$E138+$F138+$G138+$I138-$K138,0)</f>
        <v/>
      </c>
      <c r="M138" s="24">
        <f>IF($B138&lt;=Inputs!$C$6,MAX(0,$C138-$F138-$G138-$H138),0)</f>
        <v/>
      </c>
    </row>
    <row r="139">
      <c r="B139" s="22" t="n">
        <v>136</v>
      </c>
      <c r="C139" s="23">
        <f>IF($B139&lt;=Inputs!$C$6+Inputs!$C$11,$M138,"")</f>
        <v/>
      </c>
      <c r="D139" s="24">
        <f>IF($B139&lt;=Inputs!$C$6,-PMT(Inputs!$C$5/12,Inputs!$C$6,Inputs!$C$4),0)</f>
        <v/>
      </c>
      <c r="E139" s="24">
        <f>IF($B139&lt;=Inputs!$C$6+Inputs!$C$11,$C139*Inputs!$C$5/12,0)</f>
        <v/>
      </c>
      <c r="F139" s="24">
        <f>IF($B139&lt;=Inputs!$C$6,MAX(0,$D139-$E139),0)</f>
        <v/>
      </c>
      <c r="G139" s="24">
        <f>IF($B139&lt;=Inputs!$C$6,MAX(0,($C139-$F139))*(1-(1-Inputs!$C$8)^(1/12)),0)</f>
        <v/>
      </c>
      <c r="H139" s="24">
        <f>IF($B139&lt;=Inputs!$C$6,MAX(0,($C139-$F139-$G139))*(1-(1-Inputs!$C$9)^(1/12)),0)</f>
        <v/>
      </c>
      <c r="I139" s="24">
        <f>IF($B139&gt;Inputs!$C$11,INDEX($H:$H,ROW()-Inputs!$C$11)* (1-Inputs!$C$10),0)</f>
        <v/>
      </c>
      <c r="J139" s="24">
        <f>$H139*Inputs!$C$10</f>
        <v/>
      </c>
      <c r="K139" s="24">
        <f>IF($B139&lt;=Inputs!$C$6+Inputs!$C$11,$C139*Inputs!$C$7/12,0)</f>
        <v/>
      </c>
      <c r="L139" s="24">
        <f>IF($B139&lt;=Inputs!$C$6+Inputs!$C$11,$E139+$F139+$G139+$I139-$K139,0)</f>
        <v/>
      </c>
      <c r="M139" s="24">
        <f>IF($B139&lt;=Inputs!$C$6,MAX(0,$C139-$F139-$G139-$H139),0)</f>
        <v/>
      </c>
    </row>
    <row r="140">
      <c r="B140" s="22" t="n">
        <v>137</v>
      </c>
      <c r="C140" s="23">
        <f>IF($B140&lt;=Inputs!$C$6+Inputs!$C$11,$M139,"")</f>
        <v/>
      </c>
      <c r="D140" s="24">
        <f>IF($B140&lt;=Inputs!$C$6,-PMT(Inputs!$C$5/12,Inputs!$C$6,Inputs!$C$4),0)</f>
        <v/>
      </c>
      <c r="E140" s="24">
        <f>IF($B140&lt;=Inputs!$C$6+Inputs!$C$11,$C140*Inputs!$C$5/12,0)</f>
        <v/>
      </c>
      <c r="F140" s="24">
        <f>IF($B140&lt;=Inputs!$C$6,MAX(0,$D140-$E140),0)</f>
        <v/>
      </c>
      <c r="G140" s="24">
        <f>IF($B140&lt;=Inputs!$C$6,MAX(0,($C140-$F140))*(1-(1-Inputs!$C$8)^(1/12)),0)</f>
        <v/>
      </c>
      <c r="H140" s="24">
        <f>IF($B140&lt;=Inputs!$C$6,MAX(0,($C140-$F140-$G140))*(1-(1-Inputs!$C$9)^(1/12)),0)</f>
        <v/>
      </c>
      <c r="I140" s="24">
        <f>IF($B140&gt;Inputs!$C$11,INDEX($H:$H,ROW()-Inputs!$C$11)* (1-Inputs!$C$10),0)</f>
        <v/>
      </c>
      <c r="J140" s="24">
        <f>$H140*Inputs!$C$10</f>
        <v/>
      </c>
      <c r="K140" s="24">
        <f>IF($B140&lt;=Inputs!$C$6+Inputs!$C$11,$C140*Inputs!$C$7/12,0)</f>
        <v/>
      </c>
      <c r="L140" s="24">
        <f>IF($B140&lt;=Inputs!$C$6+Inputs!$C$11,$E140+$F140+$G140+$I140-$K140,0)</f>
        <v/>
      </c>
      <c r="M140" s="24">
        <f>IF($B140&lt;=Inputs!$C$6,MAX(0,$C140-$F140-$G140-$H140),0)</f>
        <v/>
      </c>
    </row>
    <row r="141">
      <c r="B141" s="22" t="n">
        <v>138</v>
      </c>
      <c r="C141" s="23">
        <f>IF($B141&lt;=Inputs!$C$6+Inputs!$C$11,$M140,"")</f>
        <v/>
      </c>
      <c r="D141" s="24">
        <f>IF($B141&lt;=Inputs!$C$6,-PMT(Inputs!$C$5/12,Inputs!$C$6,Inputs!$C$4),0)</f>
        <v/>
      </c>
      <c r="E141" s="24">
        <f>IF($B141&lt;=Inputs!$C$6+Inputs!$C$11,$C141*Inputs!$C$5/12,0)</f>
        <v/>
      </c>
      <c r="F141" s="24">
        <f>IF($B141&lt;=Inputs!$C$6,MAX(0,$D141-$E141),0)</f>
        <v/>
      </c>
      <c r="G141" s="24">
        <f>IF($B141&lt;=Inputs!$C$6,MAX(0,($C141-$F141))*(1-(1-Inputs!$C$8)^(1/12)),0)</f>
        <v/>
      </c>
      <c r="H141" s="24">
        <f>IF($B141&lt;=Inputs!$C$6,MAX(0,($C141-$F141-$G141))*(1-(1-Inputs!$C$9)^(1/12)),0)</f>
        <v/>
      </c>
      <c r="I141" s="24">
        <f>IF($B141&gt;Inputs!$C$11,INDEX($H:$H,ROW()-Inputs!$C$11)* (1-Inputs!$C$10),0)</f>
        <v/>
      </c>
      <c r="J141" s="24">
        <f>$H141*Inputs!$C$10</f>
        <v/>
      </c>
      <c r="K141" s="24">
        <f>IF($B141&lt;=Inputs!$C$6+Inputs!$C$11,$C141*Inputs!$C$7/12,0)</f>
        <v/>
      </c>
      <c r="L141" s="24">
        <f>IF($B141&lt;=Inputs!$C$6+Inputs!$C$11,$E141+$F141+$G141+$I141-$K141,0)</f>
        <v/>
      </c>
      <c r="M141" s="24">
        <f>IF($B141&lt;=Inputs!$C$6,MAX(0,$C141-$F141-$G141-$H141),0)</f>
        <v/>
      </c>
    </row>
    <row r="142">
      <c r="B142" s="22" t="n">
        <v>139</v>
      </c>
      <c r="C142" s="23">
        <f>IF($B142&lt;=Inputs!$C$6+Inputs!$C$11,$M141,"")</f>
        <v/>
      </c>
      <c r="D142" s="24">
        <f>IF($B142&lt;=Inputs!$C$6,-PMT(Inputs!$C$5/12,Inputs!$C$6,Inputs!$C$4),0)</f>
        <v/>
      </c>
      <c r="E142" s="24">
        <f>IF($B142&lt;=Inputs!$C$6+Inputs!$C$11,$C142*Inputs!$C$5/12,0)</f>
        <v/>
      </c>
      <c r="F142" s="24">
        <f>IF($B142&lt;=Inputs!$C$6,MAX(0,$D142-$E142),0)</f>
        <v/>
      </c>
      <c r="G142" s="24">
        <f>IF($B142&lt;=Inputs!$C$6,MAX(0,($C142-$F142))*(1-(1-Inputs!$C$8)^(1/12)),0)</f>
        <v/>
      </c>
      <c r="H142" s="24">
        <f>IF($B142&lt;=Inputs!$C$6,MAX(0,($C142-$F142-$G142))*(1-(1-Inputs!$C$9)^(1/12)),0)</f>
        <v/>
      </c>
      <c r="I142" s="24">
        <f>IF($B142&gt;Inputs!$C$11,INDEX($H:$H,ROW()-Inputs!$C$11)* (1-Inputs!$C$10),0)</f>
        <v/>
      </c>
      <c r="J142" s="24">
        <f>$H142*Inputs!$C$10</f>
        <v/>
      </c>
      <c r="K142" s="24">
        <f>IF($B142&lt;=Inputs!$C$6+Inputs!$C$11,$C142*Inputs!$C$7/12,0)</f>
        <v/>
      </c>
      <c r="L142" s="24">
        <f>IF($B142&lt;=Inputs!$C$6+Inputs!$C$11,$E142+$F142+$G142+$I142-$K142,0)</f>
        <v/>
      </c>
      <c r="M142" s="24">
        <f>IF($B142&lt;=Inputs!$C$6,MAX(0,$C142-$F142-$G142-$H142),0)</f>
        <v/>
      </c>
    </row>
    <row r="143">
      <c r="B143" s="22" t="n">
        <v>140</v>
      </c>
      <c r="C143" s="23">
        <f>IF($B143&lt;=Inputs!$C$6+Inputs!$C$11,$M142,"")</f>
        <v/>
      </c>
      <c r="D143" s="24">
        <f>IF($B143&lt;=Inputs!$C$6,-PMT(Inputs!$C$5/12,Inputs!$C$6,Inputs!$C$4),0)</f>
        <v/>
      </c>
      <c r="E143" s="24">
        <f>IF($B143&lt;=Inputs!$C$6+Inputs!$C$11,$C143*Inputs!$C$5/12,0)</f>
        <v/>
      </c>
      <c r="F143" s="24">
        <f>IF($B143&lt;=Inputs!$C$6,MAX(0,$D143-$E143),0)</f>
        <v/>
      </c>
      <c r="G143" s="24">
        <f>IF($B143&lt;=Inputs!$C$6,MAX(0,($C143-$F143))*(1-(1-Inputs!$C$8)^(1/12)),0)</f>
        <v/>
      </c>
      <c r="H143" s="24">
        <f>IF($B143&lt;=Inputs!$C$6,MAX(0,($C143-$F143-$G143))*(1-(1-Inputs!$C$9)^(1/12)),0)</f>
        <v/>
      </c>
      <c r="I143" s="24">
        <f>IF($B143&gt;Inputs!$C$11,INDEX($H:$H,ROW()-Inputs!$C$11)* (1-Inputs!$C$10),0)</f>
        <v/>
      </c>
      <c r="J143" s="24">
        <f>$H143*Inputs!$C$10</f>
        <v/>
      </c>
      <c r="K143" s="24">
        <f>IF($B143&lt;=Inputs!$C$6+Inputs!$C$11,$C143*Inputs!$C$7/12,0)</f>
        <v/>
      </c>
      <c r="L143" s="24">
        <f>IF($B143&lt;=Inputs!$C$6+Inputs!$C$11,$E143+$F143+$G143+$I143-$K143,0)</f>
        <v/>
      </c>
      <c r="M143" s="24">
        <f>IF($B143&lt;=Inputs!$C$6,MAX(0,$C143-$F143-$G143-$H143),0)</f>
        <v/>
      </c>
    </row>
    <row r="144">
      <c r="B144" s="22" t="n">
        <v>141</v>
      </c>
      <c r="C144" s="23">
        <f>IF($B144&lt;=Inputs!$C$6+Inputs!$C$11,$M143,"")</f>
        <v/>
      </c>
      <c r="D144" s="24">
        <f>IF($B144&lt;=Inputs!$C$6,-PMT(Inputs!$C$5/12,Inputs!$C$6,Inputs!$C$4),0)</f>
        <v/>
      </c>
      <c r="E144" s="24">
        <f>IF($B144&lt;=Inputs!$C$6+Inputs!$C$11,$C144*Inputs!$C$5/12,0)</f>
        <v/>
      </c>
      <c r="F144" s="24">
        <f>IF($B144&lt;=Inputs!$C$6,MAX(0,$D144-$E144),0)</f>
        <v/>
      </c>
      <c r="G144" s="24">
        <f>IF($B144&lt;=Inputs!$C$6,MAX(0,($C144-$F144))*(1-(1-Inputs!$C$8)^(1/12)),0)</f>
        <v/>
      </c>
      <c r="H144" s="24">
        <f>IF($B144&lt;=Inputs!$C$6,MAX(0,($C144-$F144-$G144))*(1-(1-Inputs!$C$9)^(1/12)),0)</f>
        <v/>
      </c>
      <c r="I144" s="24">
        <f>IF($B144&gt;Inputs!$C$11,INDEX($H:$H,ROW()-Inputs!$C$11)* (1-Inputs!$C$10),0)</f>
        <v/>
      </c>
      <c r="J144" s="24">
        <f>$H144*Inputs!$C$10</f>
        <v/>
      </c>
      <c r="K144" s="24">
        <f>IF($B144&lt;=Inputs!$C$6+Inputs!$C$11,$C144*Inputs!$C$7/12,0)</f>
        <v/>
      </c>
      <c r="L144" s="24">
        <f>IF($B144&lt;=Inputs!$C$6+Inputs!$C$11,$E144+$F144+$G144+$I144-$K144,0)</f>
        <v/>
      </c>
      <c r="M144" s="24">
        <f>IF($B144&lt;=Inputs!$C$6,MAX(0,$C144-$F144-$G144-$H144),0)</f>
        <v/>
      </c>
    </row>
    <row r="145">
      <c r="B145" s="22" t="n">
        <v>142</v>
      </c>
      <c r="C145" s="23">
        <f>IF($B145&lt;=Inputs!$C$6+Inputs!$C$11,$M144,"")</f>
        <v/>
      </c>
      <c r="D145" s="24">
        <f>IF($B145&lt;=Inputs!$C$6,-PMT(Inputs!$C$5/12,Inputs!$C$6,Inputs!$C$4),0)</f>
        <v/>
      </c>
      <c r="E145" s="24">
        <f>IF($B145&lt;=Inputs!$C$6+Inputs!$C$11,$C145*Inputs!$C$5/12,0)</f>
        <v/>
      </c>
      <c r="F145" s="24">
        <f>IF($B145&lt;=Inputs!$C$6,MAX(0,$D145-$E145),0)</f>
        <v/>
      </c>
      <c r="G145" s="24">
        <f>IF($B145&lt;=Inputs!$C$6,MAX(0,($C145-$F145))*(1-(1-Inputs!$C$8)^(1/12)),0)</f>
        <v/>
      </c>
      <c r="H145" s="24">
        <f>IF($B145&lt;=Inputs!$C$6,MAX(0,($C145-$F145-$G145))*(1-(1-Inputs!$C$9)^(1/12)),0)</f>
        <v/>
      </c>
      <c r="I145" s="24">
        <f>IF($B145&gt;Inputs!$C$11,INDEX($H:$H,ROW()-Inputs!$C$11)* (1-Inputs!$C$10),0)</f>
        <v/>
      </c>
      <c r="J145" s="24">
        <f>$H145*Inputs!$C$10</f>
        <v/>
      </c>
      <c r="K145" s="24">
        <f>IF($B145&lt;=Inputs!$C$6+Inputs!$C$11,$C145*Inputs!$C$7/12,0)</f>
        <v/>
      </c>
      <c r="L145" s="24">
        <f>IF($B145&lt;=Inputs!$C$6+Inputs!$C$11,$E145+$F145+$G145+$I145-$K145,0)</f>
        <v/>
      </c>
      <c r="M145" s="24">
        <f>IF($B145&lt;=Inputs!$C$6,MAX(0,$C145-$F145-$G145-$H145),0)</f>
        <v/>
      </c>
    </row>
    <row r="146">
      <c r="B146" s="22" t="n">
        <v>143</v>
      </c>
      <c r="C146" s="23">
        <f>IF($B146&lt;=Inputs!$C$6+Inputs!$C$11,$M145,"")</f>
        <v/>
      </c>
      <c r="D146" s="24">
        <f>IF($B146&lt;=Inputs!$C$6,-PMT(Inputs!$C$5/12,Inputs!$C$6,Inputs!$C$4),0)</f>
        <v/>
      </c>
      <c r="E146" s="24">
        <f>IF($B146&lt;=Inputs!$C$6+Inputs!$C$11,$C146*Inputs!$C$5/12,0)</f>
        <v/>
      </c>
      <c r="F146" s="24">
        <f>IF($B146&lt;=Inputs!$C$6,MAX(0,$D146-$E146),0)</f>
        <v/>
      </c>
      <c r="G146" s="24">
        <f>IF($B146&lt;=Inputs!$C$6,MAX(0,($C146-$F146))*(1-(1-Inputs!$C$8)^(1/12)),0)</f>
        <v/>
      </c>
      <c r="H146" s="24">
        <f>IF($B146&lt;=Inputs!$C$6,MAX(0,($C146-$F146-$G146))*(1-(1-Inputs!$C$9)^(1/12)),0)</f>
        <v/>
      </c>
      <c r="I146" s="24">
        <f>IF($B146&gt;Inputs!$C$11,INDEX($H:$H,ROW()-Inputs!$C$11)* (1-Inputs!$C$10),0)</f>
        <v/>
      </c>
      <c r="J146" s="24">
        <f>$H146*Inputs!$C$10</f>
        <v/>
      </c>
      <c r="K146" s="24">
        <f>IF($B146&lt;=Inputs!$C$6+Inputs!$C$11,$C146*Inputs!$C$7/12,0)</f>
        <v/>
      </c>
      <c r="L146" s="24">
        <f>IF($B146&lt;=Inputs!$C$6+Inputs!$C$11,$E146+$F146+$G146+$I146-$K146,0)</f>
        <v/>
      </c>
      <c r="M146" s="24">
        <f>IF($B146&lt;=Inputs!$C$6,MAX(0,$C146-$F146-$G146-$H146),0)</f>
        <v/>
      </c>
    </row>
    <row r="147">
      <c r="B147" s="22" t="n">
        <v>144</v>
      </c>
      <c r="C147" s="23">
        <f>IF($B147&lt;=Inputs!$C$6+Inputs!$C$11,$M146,"")</f>
        <v/>
      </c>
      <c r="D147" s="24">
        <f>IF($B147&lt;=Inputs!$C$6,-PMT(Inputs!$C$5/12,Inputs!$C$6,Inputs!$C$4),0)</f>
        <v/>
      </c>
      <c r="E147" s="24">
        <f>IF($B147&lt;=Inputs!$C$6+Inputs!$C$11,$C147*Inputs!$C$5/12,0)</f>
        <v/>
      </c>
      <c r="F147" s="24">
        <f>IF($B147&lt;=Inputs!$C$6,MAX(0,$D147-$E147),0)</f>
        <v/>
      </c>
      <c r="G147" s="24">
        <f>IF($B147&lt;=Inputs!$C$6,MAX(0,($C147-$F147))*(1-(1-Inputs!$C$8)^(1/12)),0)</f>
        <v/>
      </c>
      <c r="H147" s="24">
        <f>IF($B147&lt;=Inputs!$C$6,MAX(0,($C147-$F147-$G147))*(1-(1-Inputs!$C$9)^(1/12)),0)</f>
        <v/>
      </c>
      <c r="I147" s="24">
        <f>IF($B147&gt;Inputs!$C$11,INDEX($H:$H,ROW()-Inputs!$C$11)* (1-Inputs!$C$10),0)</f>
        <v/>
      </c>
      <c r="J147" s="24">
        <f>$H147*Inputs!$C$10</f>
        <v/>
      </c>
      <c r="K147" s="24">
        <f>IF($B147&lt;=Inputs!$C$6+Inputs!$C$11,$C147*Inputs!$C$7/12,0)</f>
        <v/>
      </c>
      <c r="L147" s="24">
        <f>IF($B147&lt;=Inputs!$C$6+Inputs!$C$11,$E147+$F147+$G147+$I147-$K147,0)</f>
        <v/>
      </c>
      <c r="M147" s="24">
        <f>IF($B147&lt;=Inputs!$C$6,MAX(0,$C147-$F147-$G147-$H147),0)</f>
        <v/>
      </c>
    </row>
    <row r="148">
      <c r="B148" s="22" t="n">
        <v>145</v>
      </c>
      <c r="C148" s="23">
        <f>IF($B148&lt;=Inputs!$C$6+Inputs!$C$11,$M147,"")</f>
        <v/>
      </c>
      <c r="D148" s="24">
        <f>IF($B148&lt;=Inputs!$C$6,-PMT(Inputs!$C$5/12,Inputs!$C$6,Inputs!$C$4),0)</f>
        <v/>
      </c>
      <c r="E148" s="24">
        <f>IF($B148&lt;=Inputs!$C$6+Inputs!$C$11,$C148*Inputs!$C$5/12,0)</f>
        <v/>
      </c>
      <c r="F148" s="24">
        <f>IF($B148&lt;=Inputs!$C$6,MAX(0,$D148-$E148),0)</f>
        <v/>
      </c>
      <c r="G148" s="24">
        <f>IF($B148&lt;=Inputs!$C$6,MAX(0,($C148-$F148))*(1-(1-Inputs!$C$8)^(1/12)),0)</f>
        <v/>
      </c>
      <c r="H148" s="24">
        <f>IF($B148&lt;=Inputs!$C$6,MAX(0,($C148-$F148-$G148))*(1-(1-Inputs!$C$9)^(1/12)),0)</f>
        <v/>
      </c>
      <c r="I148" s="24">
        <f>IF($B148&gt;Inputs!$C$11,INDEX($H:$H,ROW()-Inputs!$C$11)* (1-Inputs!$C$10),0)</f>
        <v/>
      </c>
      <c r="J148" s="24">
        <f>$H148*Inputs!$C$10</f>
        <v/>
      </c>
      <c r="K148" s="24">
        <f>IF($B148&lt;=Inputs!$C$6+Inputs!$C$11,$C148*Inputs!$C$7/12,0)</f>
        <v/>
      </c>
      <c r="L148" s="24">
        <f>IF($B148&lt;=Inputs!$C$6+Inputs!$C$11,$E148+$F148+$G148+$I148-$K148,0)</f>
        <v/>
      </c>
      <c r="M148" s="24">
        <f>IF($B148&lt;=Inputs!$C$6,MAX(0,$C148-$F148-$G148-$H148),0)</f>
        <v/>
      </c>
    </row>
    <row r="149">
      <c r="B149" s="22" t="n">
        <v>146</v>
      </c>
      <c r="C149" s="23">
        <f>IF($B149&lt;=Inputs!$C$6+Inputs!$C$11,$M148,"")</f>
        <v/>
      </c>
      <c r="D149" s="24">
        <f>IF($B149&lt;=Inputs!$C$6,-PMT(Inputs!$C$5/12,Inputs!$C$6,Inputs!$C$4),0)</f>
        <v/>
      </c>
      <c r="E149" s="24">
        <f>IF($B149&lt;=Inputs!$C$6+Inputs!$C$11,$C149*Inputs!$C$5/12,0)</f>
        <v/>
      </c>
      <c r="F149" s="24">
        <f>IF($B149&lt;=Inputs!$C$6,MAX(0,$D149-$E149),0)</f>
        <v/>
      </c>
      <c r="G149" s="24">
        <f>IF($B149&lt;=Inputs!$C$6,MAX(0,($C149-$F149))*(1-(1-Inputs!$C$8)^(1/12)),0)</f>
        <v/>
      </c>
      <c r="H149" s="24">
        <f>IF($B149&lt;=Inputs!$C$6,MAX(0,($C149-$F149-$G149))*(1-(1-Inputs!$C$9)^(1/12)),0)</f>
        <v/>
      </c>
      <c r="I149" s="24">
        <f>IF($B149&gt;Inputs!$C$11,INDEX($H:$H,ROW()-Inputs!$C$11)* (1-Inputs!$C$10),0)</f>
        <v/>
      </c>
      <c r="J149" s="24">
        <f>$H149*Inputs!$C$10</f>
        <v/>
      </c>
      <c r="K149" s="24">
        <f>IF($B149&lt;=Inputs!$C$6+Inputs!$C$11,$C149*Inputs!$C$7/12,0)</f>
        <v/>
      </c>
      <c r="L149" s="24">
        <f>IF($B149&lt;=Inputs!$C$6+Inputs!$C$11,$E149+$F149+$G149+$I149-$K149,0)</f>
        <v/>
      </c>
      <c r="M149" s="24">
        <f>IF($B149&lt;=Inputs!$C$6,MAX(0,$C149-$F149-$G149-$H149),0)</f>
        <v/>
      </c>
    </row>
    <row r="150">
      <c r="B150" s="22" t="n">
        <v>147</v>
      </c>
      <c r="C150" s="23">
        <f>IF($B150&lt;=Inputs!$C$6+Inputs!$C$11,$M149,"")</f>
        <v/>
      </c>
      <c r="D150" s="24">
        <f>IF($B150&lt;=Inputs!$C$6,-PMT(Inputs!$C$5/12,Inputs!$C$6,Inputs!$C$4),0)</f>
        <v/>
      </c>
      <c r="E150" s="24">
        <f>IF($B150&lt;=Inputs!$C$6+Inputs!$C$11,$C150*Inputs!$C$5/12,0)</f>
        <v/>
      </c>
      <c r="F150" s="24">
        <f>IF($B150&lt;=Inputs!$C$6,MAX(0,$D150-$E150),0)</f>
        <v/>
      </c>
      <c r="G150" s="24">
        <f>IF($B150&lt;=Inputs!$C$6,MAX(0,($C150-$F150))*(1-(1-Inputs!$C$8)^(1/12)),0)</f>
        <v/>
      </c>
      <c r="H150" s="24">
        <f>IF($B150&lt;=Inputs!$C$6,MAX(0,($C150-$F150-$G150))*(1-(1-Inputs!$C$9)^(1/12)),0)</f>
        <v/>
      </c>
      <c r="I150" s="24">
        <f>IF($B150&gt;Inputs!$C$11,INDEX($H:$H,ROW()-Inputs!$C$11)* (1-Inputs!$C$10),0)</f>
        <v/>
      </c>
      <c r="J150" s="24">
        <f>$H150*Inputs!$C$10</f>
        <v/>
      </c>
      <c r="K150" s="24">
        <f>IF($B150&lt;=Inputs!$C$6+Inputs!$C$11,$C150*Inputs!$C$7/12,0)</f>
        <v/>
      </c>
      <c r="L150" s="24">
        <f>IF($B150&lt;=Inputs!$C$6+Inputs!$C$11,$E150+$F150+$G150+$I150-$K150,0)</f>
        <v/>
      </c>
      <c r="M150" s="24">
        <f>IF($B150&lt;=Inputs!$C$6,MAX(0,$C150-$F150-$G150-$H150),0)</f>
        <v/>
      </c>
    </row>
    <row r="151">
      <c r="B151" s="22" t="n">
        <v>148</v>
      </c>
      <c r="C151" s="23">
        <f>IF($B151&lt;=Inputs!$C$6+Inputs!$C$11,$M150,"")</f>
        <v/>
      </c>
      <c r="D151" s="24">
        <f>IF($B151&lt;=Inputs!$C$6,-PMT(Inputs!$C$5/12,Inputs!$C$6,Inputs!$C$4),0)</f>
        <v/>
      </c>
      <c r="E151" s="24">
        <f>IF($B151&lt;=Inputs!$C$6+Inputs!$C$11,$C151*Inputs!$C$5/12,0)</f>
        <v/>
      </c>
      <c r="F151" s="24">
        <f>IF($B151&lt;=Inputs!$C$6,MAX(0,$D151-$E151),0)</f>
        <v/>
      </c>
      <c r="G151" s="24">
        <f>IF($B151&lt;=Inputs!$C$6,MAX(0,($C151-$F151))*(1-(1-Inputs!$C$8)^(1/12)),0)</f>
        <v/>
      </c>
      <c r="H151" s="24">
        <f>IF($B151&lt;=Inputs!$C$6,MAX(0,($C151-$F151-$G151))*(1-(1-Inputs!$C$9)^(1/12)),0)</f>
        <v/>
      </c>
      <c r="I151" s="24">
        <f>IF($B151&gt;Inputs!$C$11,INDEX($H:$H,ROW()-Inputs!$C$11)* (1-Inputs!$C$10),0)</f>
        <v/>
      </c>
      <c r="J151" s="24">
        <f>$H151*Inputs!$C$10</f>
        <v/>
      </c>
      <c r="K151" s="24">
        <f>IF($B151&lt;=Inputs!$C$6+Inputs!$C$11,$C151*Inputs!$C$7/12,0)</f>
        <v/>
      </c>
      <c r="L151" s="24">
        <f>IF($B151&lt;=Inputs!$C$6+Inputs!$C$11,$E151+$F151+$G151+$I151-$K151,0)</f>
        <v/>
      </c>
      <c r="M151" s="24">
        <f>IF($B151&lt;=Inputs!$C$6,MAX(0,$C151-$F151-$G151-$H151),0)</f>
        <v/>
      </c>
    </row>
    <row r="152">
      <c r="B152" s="22" t="n">
        <v>149</v>
      </c>
      <c r="C152" s="23">
        <f>IF($B152&lt;=Inputs!$C$6+Inputs!$C$11,$M151,"")</f>
        <v/>
      </c>
      <c r="D152" s="24">
        <f>IF($B152&lt;=Inputs!$C$6,-PMT(Inputs!$C$5/12,Inputs!$C$6,Inputs!$C$4),0)</f>
        <v/>
      </c>
      <c r="E152" s="24">
        <f>IF($B152&lt;=Inputs!$C$6+Inputs!$C$11,$C152*Inputs!$C$5/12,0)</f>
        <v/>
      </c>
      <c r="F152" s="24">
        <f>IF($B152&lt;=Inputs!$C$6,MAX(0,$D152-$E152),0)</f>
        <v/>
      </c>
      <c r="G152" s="24">
        <f>IF($B152&lt;=Inputs!$C$6,MAX(0,($C152-$F152))*(1-(1-Inputs!$C$8)^(1/12)),0)</f>
        <v/>
      </c>
      <c r="H152" s="24">
        <f>IF($B152&lt;=Inputs!$C$6,MAX(0,($C152-$F152-$G152))*(1-(1-Inputs!$C$9)^(1/12)),0)</f>
        <v/>
      </c>
      <c r="I152" s="24">
        <f>IF($B152&gt;Inputs!$C$11,INDEX($H:$H,ROW()-Inputs!$C$11)* (1-Inputs!$C$10),0)</f>
        <v/>
      </c>
      <c r="J152" s="24">
        <f>$H152*Inputs!$C$10</f>
        <v/>
      </c>
      <c r="K152" s="24">
        <f>IF($B152&lt;=Inputs!$C$6+Inputs!$C$11,$C152*Inputs!$C$7/12,0)</f>
        <v/>
      </c>
      <c r="L152" s="24">
        <f>IF($B152&lt;=Inputs!$C$6+Inputs!$C$11,$E152+$F152+$G152+$I152-$K152,0)</f>
        <v/>
      </c>
      <c r="M152" s="24">
        <f>IF($B152&lt;=Inputs!$C$6,MAX(0,$C152-$F152-$G152-$H152),0)</f>
        <v/>
      </c>
    </row>
    <row r="153">
      <c r="B153" s="22" t="n">
        <v>150</v>
      </c>
      <c r="C153" s="23">
        <f>IF($B153&lt;=Inputs!$C$6+Inputs!$C$11,$M152,"")</f>
        <v/>
      </c>
      <c r="D153" s="24">
        <f>IF($B153&lt;=Inputs!$C$6,-PMT(Inputs!$C$5/12,Inputs!$C$6,Inputs!$C$4),0)</f>
        <v/>
      </c>
      <c r="E153" s="24">
        <f>IF($B153&lt;=Inputs!$C$6+Inputs!$C$11,$C153*Inputs!$C$5/12,0)</f>
        <v/>
      </c>
      <c r="F153" s="24">
        <f>IF($B153&lt;=Inputs!$C$6,MAX(0,$D153-$E153),0)</f>
        <v/>
      </c>
      <c r="G153" s="24">
        <f>IF($B153&lt;=Inputs!$C$6,MAX(0,($C153-$F153))*(1-(1-Inputs!$C$8)^(1/12)),0)</f>
        <v/>
      </c>
      <c r="H153" s="24">
        <f>IF($B153&lt;=Inputs!$C$6,MAX(0,($C153-$F153-$G153))*(1-(1-Inputs!$C$9)^(1/12)),0)</f>
        <v/>
      </c>
      <c r="I153" s="24">
        <f>IF($B153&gt;Inputs!$C$11,INDEX($H:$H,ROW()-Inputs!$C$11)* (1-Inputs!$C$10),0)</f>
        <v/>
      </c>
      <c r="J153" s="24">
        <f>$H153*Inputs!$C$10</f>
        <v/>
      </c>
      <c r="K153" s="24">
        <f>IF($B153&lt;=Inputs!$C$6+Inputs!$C$11,$C153*Inputs!$C$7/12,0)</f>
        <v/>
      </c>
      <c r="L153" s="24">
        <f>IF($B153&lt;=Inputs!$C$6+Inputs!$C$11,$E153+$F153+$G153+$I153-$K153,0)</f>
        <v/>
      </c>
      <c r="M153" s="24">
        <f>IF($B153&lt;=Inputs!$C$6,MAX(0,$C153-$F153-$G153-$H153),0)</f>
        <v/>
      </c>
    </row>
    <row r="154">
      <c r="B154" s="22" t="n">
        <v>151</v>
      </c>
      <c r="C154" s="23">
        <f>IF($B154&lt;=Inputs!$C$6+Inputs!$C$11,$M153,"")</f>
        <v/>
      </c>
      <c r="D154" s="24">
        <f>IF($B154&lt;=Inputs!$C$6,-PMT(Inputs!$C$5/12,Inputs!$C$6,Inputs!$C$4),0)</f>
        <v/>
      </c>
      <c r="E154" s="24">
        <f>IF($B154&lt;=Inputs!$C$6+Inputs!$C$11,$C154*Inputs!$C$5/12,0)</f>
        <v/>
      </c>
      <c r="F154" s="24">
        <f>IF($B154&lt;=Inputs!$C$6,MAX(0,$D154-$E154),0)</f>
        <v/>
      </c>
      <c r="G154" s="24">
        <f>IF($B154&lt;=Inputs!$C$6,MAX(0,($C154-$F154))*(1-(1-Inputs!$C$8)^(1/12)),0)</f>
        <v/>
      </c>
      <c r="H154" s="24">
        <f>IF($B154&lt;=Inputs!$C$6,MAX(0,($C154-$F154-$G154))*(1-(1-Inputs!$C$9)^(1/12)),0)</f>
        <v/>
      </c>
      <c r="I154" s="24">
        <f>IF($B154&gt;Inputs!$C$11,INDEX($H:$H,ROW()-Inputs!$C$11)* (1-Inputs!$C$10),0)</f>
        <v/>
      </c>
      <c r="J154" s="24">
        <f>$H154*Inputs!$C$10</f>
        <v/>
      </c>
      <c r="K154" s="24">
        <f>IF($B154&lt;=Inputs!$C$6+Inputs!$C$11,$C154*Inputs!$C$7/12,0)</f>
        <v/>
      </c>
      <c r="L154" s="24">
        <f>IF($B154&lt;=Inputs!$C$6+Inputs!$C$11,$E154+$F154+$G154+$I154-$K154,0)</f>
        <v/>
      </c>
      <c r="M154" s="24">
        <f>IF($B154&lt;=Inputs!$C$6,MAX(0,$C154-$F154-$G154-$H154),0)</f>
        <v/>
      </c>
    </row>
    <row r="155">
      <c r="B155" s="22" t="n">
        <v>152</v>
      </c>
      <c r="C155" s="23">
        <f>IF($B155&lt;=Inputs!$C$6+Inputs!$C$11,$M154,"")</f>
        <v/>
      </c>
      <c r="D155" s="24">
        <f>IF($B155&lt;=Inputs!$C$6,-PMT(Inputs!$C$5/12,Inputs!$C$6,Inputs!$C$4),0)</f>
        <v/>
      </c>
      <c r="E155" s="24">
        <f>IF($B155&lt;=Inputs!$C$6+Inputs!$C$11,$C155*Inputs!$C$5/12,0)</f>
        <v/>
      </c>
      <c r="F155" s="24">
        <f>IF($B155&lt;=Inputs!$C$6,MAX(0,$D155-$E155),0)</f>
        <v/>
      </c>
      <c r="G155" s="24">
        <f>IF($B155&lt;=Inputs!$C$6,MAX(0,($C155-$F155))*(1-(1-Inputs!$C$8)^(1/12)),0)</f>
        <v/>
      </c>
      <c r="H155" s="24">
        <f>IF($B155&lt;=Inputs!$C$6,MAX(0,($C155-$F155-$G155))*(1-(1-Inputs!$C$9)^(1/12)),0)</f>
        <v/>
      </c>
      <c r="I155" s="24">
        <f>IF($B155&gt;Inputs!$C$11,INDEX($H:$H,ROW()-Inputs!$C$11)* (1-Inputs!$C$10),0)</f>
        <v/>
      </c>
      <c r="J155" s="24">
        <f>$H155*Inputs!$C$10</f>
        <v/>
      </c>
      <c r="K155" s="24">
        <f>IF($B155&lt;=Inputs!$C$6+Inputs!$C$11,$C155*Inputs!$C$7/12,0)</f>
        <v/>
      </c>
      <c r="L155" s="24">
        <f>IF($B155&lt;=Inputs!$C$6+Inputs!$C$11,$E155+$F155+$G155+$I155-$K155,0)</f>
        <v/>
      </c>
      <c r="M155" s="24">
        <f>IF($B155&lt;=Inputs!$C$6,MAX(0,$C155-$F155-$G155-$H155),0)</f>
        <v/>
      </c>
    </row>
    <row r="156">
      <c r="B156" s="22" t="n">
        <v>153</v>
      </c>
      <c r="C156" s="23">
        <f>IF($B156&lt;=Inputs!$C$6+Inputs!$C$11,$M155,"")</f>
        <v/>
      </c>
      <c r="D156" s="24">
        <f>IF($B156&lt;=Inputs!$C$6,-PMT(Inputs!$C$5/12,Inputs!$C$6,Inputs!$C$4),0)</f>
        <v/>
      </c>
      <c r="E156" s="24">
        <f>IF($B156&lt;=Inputs!$C$6+Inputs!$C$11,$C156*Inputs!$C$5/12,0)</f>
        <v/>
      </c>
      <c r="F156" s="24">
        <f>IF($B156&lt;=Inputs!$C$6,MAX(0,$D156-$E156),0)</f>
        <v/>
      </c>
      <c r="G156" s="24">
        <f>IF($B156&lt;=Inputs!$C$6,MAX(0,($C156-$F156))*(1-(1-Inputs!$C$8)^(1/12)),0)</f>
        <v/>
      </c>
      <c r="H156" s="24">
        <f>IF($B156&lt;=Inputs!$C$6,MAX(0,($C156-$F156-$G156))*(1-(1-Inputs!$C$9)^(1/12)),0)</f>
        <v/>
      </c>
      <c r="I156" s="24">
        <f>IF($B156&gt;Inputs!$C$11,INDEX($H:$H,ROW()-Inputs!$C$11)* (1-Inputs!$C$10),0)</f>
        <v/>
      </c>
      <c r="J156" s="24">
        <f>$H156*Inputs!$C$10</f>
        <v/>
      </c>
      <c r="K156" s="24">
        <f>IF($B156&lt;=Inputs!$C$6+Inputs!$C$11,$C156*Inputs!$C$7/12,0)</f>
        <v/>
      </c>
      <c r="L156" s="24">
        <f>IF($B156&lt;=Inputs!$C$6+Inputs!$C$11,$E156+$F156+$G156+$I156-$K156,0)</f>
        <v/>
      </c>
      <c r="M156" s="24">
        <f>IF($B156&lt;=Inputs!$C$6,MAX(0,$C156-$F156-$G156-$H156),0)</f>
        <v/>
      </c>
    </row>
    <row r="157">
      <c r="B157" s="22" t="n">
        <v>154</v>
      </c>
      <c r="C157" s="23">
        <f>IF($B157&lt;=Inputs!$C$6+Inputs!$C$11,$M156,"")</f>
        <v/>
      </c>
      <c r="D157" s="24">
        <f>IF($B157&lt;=Inputs!$C$6,-PMT(Inputs!$C$5/12,Inputs!$C$6,Inputs!$C$4),0)</f>
        <v/>
      </c>
      <c r="E157" s="24">
        <f>IF($B157&lt;=Inputs!$C$6+Inputs!$C$11,$C157*Inputs!$C$5/12,0)</f>
        <v/>
      </c>
      <c r="F157" s="24">
        <f>IF($B157&lt;=Inputs!$C$6,MAX(0,$D157-$E157),0)</f>
        <v/>
      </c>
      <c r="G157" s="24">
        <f>IF($B157&lt;=Inputs!$C$6,MAX(0,($C157-$F157))*(1-(1-Inputs!$C$8)^(1/12)),0)</f>
        <v/>
      </c>
      <c r="H157" s="24">
        <f>IF($B157&lt;=Inputs!$C$6,MAX(0,($C157-$F157-$G157))*(1-(1-Inputs!$C$9)^(1/12)),0)</f>
        <v/>
      </c>
      <c r="I157" s="24">
        <f>IF($B157&gt;Inputs!$C$11,INDEX($H:$H,ROW()-Inputs!$C$11)* (1-Inputs!$C$10),0)</f>
        <v/>
      </c>
      <c r="J157" s="24">
        <f>$H157*Inputs!$C$10</f>
        <v/>
      </c>
      <c r="K157" s="24">
        <f>IF($B157&lt;=Inputs!$C$6+Inputs!$C$11,$C157*Inputs!$C$7/12,0)</f>
        <v/>
      </c>
      <c r="L157" s="24">
        <f>IF($B157&lt;=Inputs!$C$6+Inputs!$C$11,$E157+$F157+$G157+$I157-$K157,0)</f>
        <v/>
      </c>
      <c r="M157" s="24">
        <f>IF($B157&lt;=Inputs!$C$6,MAX(0,$C157-$F157-$G157-$H157),0)</f>
        <v/>
      </c>
    </row>
    <row r="158">
      <c r="B158" s="22" t="n">
        <v>155</v>
      </c>
      <c r="C158" s="23">
        <f>IF($B158&lt;=Inputs!$C$6+Inputs!$C$11,$M157,"")</f>
        <v/>
      </c>
      <c r="D158" s="24">
        <f>IF($B158&lt;=Inputs!$C$6,-PMT(Inputs!$C$5/12,Inputs!$C$6,Inputs!$C$4),0)</f>
        <v/>
      </c>
      <c r="E158" s="24">
        <f>IF($B158&lt;=Inputs!$C$6+Inputs!$C$11,$C158*Inputs!$C$5/12,0)</f>
        <v/>
      </c>
      <c r="F158" s="24">
        <f>IF($B158&lt;=Inputs!$C$6,MAX(0,$D158-$E158),0)</f>
        <v/>
      </c>
      <c r="G158" s="24">
        <f>IF($B158&lt;=Inputs!$C$6,MAX(0,($C158-$F158))*(1-(1-Inputs!$C$8)^(1/12)),0)</f>
        <v/>
      </c>
      <c r="H158" s="24">
        <f>IF($B158&lt;=Inputs!$C$6,MAX(0,($C158-$F158-$G158))*(1-(1-Inputs!$C$9)^(1/12)),0)</f>
        <v/>
      </c>
      <c r="I158" s="24">
        <f>IF($B158&gt;Inputs!$C$11,INDEX($H:$H,ROW()-Inputs!$C$11)* (1-Inputs!$C$10),0)</f>
        <v/>
      </c>
      <c r="J158" s="24">
        <f>$H158*Inputs!$C$10</f>
        <v/>
      </c>
      <c r="K158" s="24">
        <f>IF($B158&lt;=Inputs!$C$6+Inputs!$C$11,$C158*Inputs!$C$7/12,0)</f>
        <v/>
      </c>
      <c r="L158" s="24">
        <f>IF($B158&lt;=Inputs!$C$6+Inputs!$C$11,$E158+$F158+$G158+$I158-$K158,0)</f>
        <v/>
      </c>
      <c r="M158" s="24">
        <f>IF($B158&lt;=Inputs!$C$6,MAX(0,$C158-$F158-$G158-$H158),0)</f>
        <v/>
      </c>
    </row>
    <row r="159">
      <c r="B159" s="22" t="n">
        <v>156</v>
      </c>
      <c r="C159" s="23">
        <f>IF($B159&lt;=Inputs!$C$6+Inputs!$C$11,$M158,"")</f>
        <v/>
      </c>
      <c r="D159" s="24">
        <f>IF($B159&lt;=Inputs!$C$6,-PMT(Inputs!$C$5/12,Inputs!$C$6,Inputs!$C$4),0)</f>
        <v/>
      </c>
      <c r="E159" s="24">
        <f>IF($B159&lt;=Inputs!$C$6+Inputs!$C$11,$C159*Inputs!$C$5/12,0)</f>
        <v/>
      </c>
      <c r="F159" s="24">
        <f>IF($B159&lt;=Inputs!$C$6,MAX(0,$D159-$E159),0)</f>
        <v/>
      </c>
      <c r="G159" s="24">
        <f>IF($B159&lt;=Inputs!$C$6,MAX(0,($C159-$F159))*(1-(1-Inputs!$C$8)^(1/12)),0)</f>
        <v/>
      </c>
      <c r="H159" s="24">
        <f>IF($B159&lt;=Inputs!$C$6,MAX(0,($C159-$F159-$G159))*(1-(1-Inputs!$C$9)^(1/12)),0)</f>
        <v/>
      </c>
      <c r="I159" s="24">
        <f>IF($B159&gt;Inputs!$C$11,INDEX($H:$H,ROW()-Inputs!$C$11)* (1-Inputs!$C$10),0)</f>
        <v/>
      </c>
      <c r="J159" s="24">
        <f>$H159*Inputs!$C$10</f>
        <v/>
      </c>
      <c r="K159" s="24">
        <f>IF($B159&lt;=Inputs!$C$6+Inputs!$C$11,$C159*Inputs!$C$7/12,0)</f>
        <v/>
      </c>
      <c r="L159" s="24">
        <f>IF($B159&lt;=Inputs!$C$6+Inputs!$C$11,$E159+$F159+$G159+$I159-$K159,0)</f>
        <v/>
      </c>
      <c r="M159" s="24">
        <f>IF($B159&lt;=Inputs!$C$6,MAX(0,$C159-$F159-$G159-$H159),0)</f>
        <v/>
      </c>
    </row>
    <row r="160">
      <c r="B160" s="22" t="n">
        <v>157</v>
      </c>
      <c r="C160" s="23">
        <f>IF($B160&lt;=Inputs!$C$6+Inputs!$C$11,$M159,"")</f>
        <v/>
      </c>
      <c r="D160" s="24">
        <f>IF($B160&lt;=Inputs!$C$6,-PMT(Inputs!$C$5/12,Inputs!$C$6,Inputs!$C$4),0)</f>
        <v/>
      </c>
      <c r="E160" s="24">
        <f>IF($B160&lt;=Inputs!$C$6+Inputs!$C$11,$C160*Inputs!$C$5/12,0)</f>
        <v/>
      </c>
      <c r="F160" s="24">
        <f>IF($B160&lt;=Inputs!$C$6,MAX(0,$D160-$E160),0)</f>
        <v/>
      </c>
      <c r="G160" s="24">
        <f>IF($B160&lt;=Inputs!$C$6,MAX(0,($C160-$F160))*(1-(1-Inputs!$C$8)^(1/12)),0)</f>
        <v/>
      </c>
      <c r="H160" s="24">
        <f>IF($B160&lt;=Inputs!$C$6,MAX(0,($C160-$F160-$G160))*(1-(1-Inputs!$C$9)^(1/12)),0)</f>
        <v/>
      </c>
      <c r="I160" s="24">
        <f>IF($B160&gt;Inputs!$C$11,INDEX($H:$H,ROW()-Inputs!$C$11)* (1-Inputs!$C$10),0)</f>
        <v/>
      </c>
      <c r="J160" s="24">
        <f>$H160*Inputs!$C$10</f>
        <v/>
      </c>
      <c r="K160" s="24">
        <f>IF($B160&lt;=Inputs!$C$6+Inputs!$C$11,$C160*Inputs!$C$7/12,0)</f>
        <v/>
      </c>
      <c r="L160" s="24">
        <f>IF($B160&lt;=Inputs!$C$6+Inputs!$C$11,$E160+$F160+$G160+$I160-$K160,0)</f>
        <v/>
      </c>
      <c r="M160" s="24">
        <f>IF($B160&lt;=Inputs!$C$6,MAX(0,$C160-$F160-$G160-$H160),0)</f>
        <v/>
      </c>
    </row>
    <row r="161">
      <c r="B161" s="22" t="n">
        <v>158</v>
      </c>
      <c r="C161" s="23">
        <f>IF($B161&lt;=Inputs!$C$6+Inputs!$C$11,$M160,"")</f>
        <v/>
      </c>
      <c r="D161" s="24">
        <f>IF($B161&lt;=Inputs!$C$6,-PMT(Inputs!$C$5/12,Inputs!$C$6,Inputs!$C$4),0)</f>
        <v/>
      </c>
      <c r="E161" s="24">
        <f>IF($B161&lt;=Inputs!$C$6+Inputs!$C$11,$C161*Inputs!$C$5/12,0)</f>
        <v/>
      </c>
      <c r="F161" s="24">
        <f>IF($B161&lt;=Inputs!$C$6,MAX(0,$D161-$E161),0)</f>
        <v/>
      </c>
      <c r="G161" s="24">
        <f>IF($B161&lt;=Inputs!$C$6,MAX(0,($C161-$F161))*(1-(1-Inputs!$C$8)^(1/12)),0)</f>
        <v/>
      </c>
      <c r="H161" s="24">
        <f>IF($B161&lt;=Inputs!$C$6,MAX(0,($C161-$F161-$G161))*(1-(1-Inputs!$C$9)^(1/12)),0)</f>
        <v/>
      </c>
      <c r="I161" s="24">
        <f>IF($B161&gt;Inputs!$C$11,INDEX($H:$H,ROW()-Inputs!$C$11)* (1-Inputs!$C$10),0)</f>
        <v/>
      </c>
      <c r="J161" s="24">
        <f>$H161*Inputs!$C$10</f>
        <v/>
      </c>
      <c r="K161" s="24">
        <f>IF($B161&lt;=Inputs!$C$6+Inputs!$C$11,$C161*Inputs!$C$7/12,0)</f>
        <v/>
      </c>
      <c r="L161" s="24">
        <f>IF($B161&lt;=Inputs!$C$6+Inputs!$C$11,$E161+$F161+$G161+$I161-$K161,0)</f>
        <v/>
      </c>
      <c r="M161" s="24">
        <f>IF($B161&lt;=Inputs!$C$6,MAX(0,$C161-$F161-$G161-$H161),0)</f>
        <v/>
      </c>
    </row>
    <row r="162">
      <c r="B162" s="22" t="n">
        <v>159</v>
      </c>
      <c r="C162" s="23">
        <f>IF($B162&lt;=Inputs!$C$6+Inputs!$C$11,$M161,"")</f>
        <v/>
      </c>
      <c r="D162" s="24">
        <f>IF($B162&lt;=Inputs!$C$6,-PMT(Inputs!$C$5/12,Inputs!$C$6,Inputs!$C$4),0)</f>
        <v/>
      </c>
      <c r="E162" s="24">
        <f>IF($B162&lt;=Inputs!$C$6+Inputs!$C$11,$C162*Inputs!$C$5/12,0)</f>
        <v/>
      </c>
      <c r="F162" s="24">
        <f>IF($B162&lt;=Inputs!$C$6,MAX(0,$D162-$E162),0)</f>
        <v/>
      </c>
      <c r="G162" s="24">
        <f>IF($B162&lt;=Inputs!$C$6,MAX(0,($C162-$F162))*(1-(1-Inputs!$C$8)^(1/12)),0)</f>
        <v/>
      </c>
      <c r="H162" s="24">
        <f>IF($B162&lt;=Inputs!$C$6,MAX(0,($C162-$F162-$G162))*(1-(1-Inputs!$C$9)^(1/12)),0)</f>
        <v/>
      </c>
      <c r="I162" s="24">
        <f>IF($B162&gt;Inputs!$C$11,INDEX($H:$H,ROW()-Inputs!$C$11)* (1-Inputs!$C$10),0)</f>
        <v/>
      </c>
      <c r="J162" s="24">
        <f>$H162*Inputs!$C$10</f>
        <v/>
      </c>
      <c r="K162" s="24">
        <f>IF($B162&lt;=Inputs!$C$6+Inputs!$C$11,$C162*Inputs!$C$7/12,0)</f>
        <v/>
      </c>
      <c r="L162" s="24">
        <f>IF($B162&lt;=Inputs!$C$6+Inputs!$C$11,$E162+$F162+$G162+$I162-$K162,0)</f>
        <v/>
      </c>
      <c r="M162" s="24">
        <f>IF($B162&lt;=Inputs!$C$6,MAX(0,$C162-$F162-$G162-$H162),0)</f>
        <v/>
      </c>
    </row>
    <row r="163">
      <c r="B163" s="22" t="n">
        <v>160</v>
      </c>
      <c r="C163" s="23">
        <f>IF($B163&lt;=Inputs!$C$6+Inputs!$C$11,$M162,"")</f>
        <v/>
      </c>
      <c r="D163" s="24">
        <f>IF($B163&lt;=Inputs!$C$6,-PMT(Inputs!$C$5/12,Inputs!$C$6,Inputs!$C$4),0)</f>
        <v/>
      </c>
      <c r="E163" s="24">
        <f>IF($B163&lt;=Inputs!$C$6+Inputs!$C$11,$C163*Inputs!$C$5/12,0)</f>
        <v/>
      </c>
      <c r="F163" s="24">
        <f>IF($B163&lt;=Inputs!$C$6,MAX(0,$D163-$E163),0)</f>
        <v/>
      </c>
      <c r="G163" s="24">
        <f>IF($B163&lt;=Inputs!$C$6,MAX(0,($C163-$F163))*(1-(1-Inputs!$C$8)^(1/12)),0)</f>
        <v/>
      </c>
      <c r="H163" s="24">
        <f>IF($B163&lt;=Inputs!$C$6,MAX(0,($C163-$F163-$G163))*(1-(1-Inputs!$C$9)^(1/12)),0)</f>
        <v/>
      </c>
      <c r="I163" s="24">
        <f>IF($B163&gt;Inputs!$C$11,INDEX($H:$H,ROW()-Inputs!$C$11)* (1-Inputs!$C$10),0)</f>
        <v/>
      </c>
      <c r="J163" s="24">
        <f>$H163*Inputs!$C$10</f>
        <v/>
      </c>
      <c r="K163" s="24">
        <f>IF($B163&lt;=Inputs!$C$6+Inputs!$C$11,$C163*Inputs!$C$7/12,0)</f>
        <v/>
      </c>
      <c r="L163" s="24">
        <f>IF($B163&lt;=Inputs!$C$6+Inputs!$C$11,$E163+$F163+$G163+$I163-$K163,0)</f>
        <v/>
      </c>
      <c r="M163" s="24">
        <f>IF($B163&lt;=Inputs!$C$6,MAX(0,$C163-$F163-$G163-$H163),0)</f>
        <v/>
      </c>
    </row>
    <row r="164">
      <c r="B164" s="22" t="n">
        <v>161</v>
      </c>
      <c r="C164" s="23">
        <f>IF($B164&lt;=Inputs!$C$6+Inputs!$C$11,$M163,"")</f>
        <v/>
      </c>
      <c r="D164" s="24">
        <f>IF($B164&lt;=Inputs!$C$6,-PMT(Inputs!$C$5/12,Inputs!$C$6,Inputs!$C$4),0)</f>
        <v/>
      </c>
      <c r="E164" s="24">
        <f>IF($B164&lt;=Inputs!$C$6+Inputs!$C$11,$C164*Inputs!$C$5/12,0)</f>
        <v/>
      </c>
      <c r="F164" s="24">
        <f>IF($B164&lt;=Inputs!$C$6,MAX(0,$D164-$E164),0)</f>
        <v/>
      </c>
      <c r="G164" s="24">
        <f>IF($B164&lt;=Inputs!$C$6,MAX(0,($C164-$F164))*(1-(1-Inputs!$C$8)^(1/12)),0)</f>
        <v/>
      </c>
      <c r="H164" s="24">
        <f>IF($B164&lt;=Inputs!$C$6,MAX(0,($C164-$F164-$G164))*(1-(1-Inputs!$C$9)^(1/12)),0)</f>
        <v/>
      </c>
      <c r="I164" s="24">
        <f>IF($B164&gt;Inputs!$C$11,INDEX($H:$H,ROW()-Inputs!$C$11)* (1-Inputs!$C$10),0)</f>
        <v/>
      </c>
      <c r="J164" s="24">
        <f>$H164*Inputs!$C$10</f>
        <v/>
      </c>
      <c r="K164" s="24">
        <f>IF($B164&lt;=Inputs!$C$6+Inputs!$C$11,$C164*Inputs!$C$7/12,0)</f>
        <v/>
      </c>
      <c r="L164" s="24">
        <f>IF($B164&lt;=Inputs!$C$6+Inputs!$C$11,$E164+$F164+$G164+$I164-$K164,0)</f>
        <v/>
      </c>
      <c r="M164" s="24">
        <f>IF($B164&lt;=Inputs!$C$6,MAX(0,$C164-$F164-$G164-$H164),0)</f>
        <v/>
      </c>
    </row>
    <row r="165">
      <c r="B165" s="22" t="n">
        <v>162</v>
      </c>
      <c r="C165" s="23">
        <f>IF($B165&lt;=Inputs!$C$6+Inputs!$C$11,$M164,"")</f>
        <v/>
      </c>
      <c r="D165" s="24">
        <f>IF($B165&lt;=Inputs!$C$6,-PMT(Inputs!$C$5/12,Inputs!$C$6,Inputs!$C$4),0)</f>
        <v/>
      </c>
      <c r="E165" s="24">
        <f>IF($B165&lt;=Inputs!$C$6+Inputs!$C$11,$C165*Inputs!$C$5/12,0)</f>
        <v/>
      </c>
      <c r="F165" s="24">
        <f>IF($B165&lt;=Inputs!$C$6,MAX(0,$D165-$E165),0)</f>
        <v/>
      </c>
      <c r="G165" s="24">
        <f>IF($B165&lt;=Inputs!$C$6,MAX(0,($C165-$F165))*(1-(1-Inputs!$C$8)^(1/12)),0)</f>
        <v/>
      </c>
      <c r="H165" s="24">
        <f>IF($B165&lt;=Inputs!$C$6,MAX(0,($C165-$F165-$G165))*(1-(1-Inputs!$C$9)^(1/12)),0)</f>
        <v/>
      </c>
      <c r="I165" s="24">
        <f>IF($B165&gt;Inputs!$C$11,INDEX($H:$H,ROW()-Inputs!$C$11)* (1-Inputs!$C$10),0)</f>
        <v/>
      </c>
      <c r="J165" s="24">
        <f>$H165*Inputs!$C$10</f>
        <v/>
      </c>
      <c r="K165" s="24">
        <f>IF($B165&lt;=Inputs!$C$6+Inputs!$C$11,$C165*Inputs!$C$7/12,0)</f>
        <v/>
      </c>
      <c r="L165" s="24">
        <f>IF($B165&lt;=Inputs!$C$6+Inputs!$C$11,$E165+$F165+$G165+$I165-$K165,0)</f>
        <v/>
      </c>
      <c r="M165" s="24">
        <f>IF($B165&lt;=Inputs!$C$6,MAX(0,$C165-$F165-$G165-$H165),0)</f>
        <v/>
      </c>
    </row>
    <row r="166">
      <c r="B166" s="22" t="n">
        <v>163</v>
      </c>
      <c r="C166" s="23">
        <f>IF($B166&lt;=Inputs!$C$6+Inputs!$C$11,$M165,"")</f>
        <v/>
      </c>
      <c r="D166" s="24">
        <f>IF($B166&lt;=Inputs!$C$6,-PMT(Inputs!$C$5/12,Inputs!$C$6,Inputs!$C$4),0)</f>
        <v/>
      </c>
      <c r="E166" s="24">
        <f>IF($B166&lt;=Inputs!$C$6+Inputs!$C$11,$C166*Inputs!$C$5/12,0)</f>
        <v/>
      </c>
      <c r="F166" s="24">
        <f>IF($B166&lt;=Inputs!$C$6,MAX(0,$D166-$E166),0)</f>
        <v/>
      </c>
      <c r="G166" s="24">
        <f>IF($B166&lt;=Inputs!$C$6,MAX(0,($C166-$F166))*(1-(1-Inputs!$C$8)^(1/12)),0)</f>
        <v/>
      </c>
      <c r="H166" s="24">
        <f>IF($B166&lt;=Inputs!$C$6,MAX(0,($C166-$F166-$G166))*(1-(1-Inputs!$C$9)^(1/12)),0)</f>
        <v/>
      </c>
      <c r="I166" s="24">
        <f>IF($B166&gt;Inputs!$C$11,INDEX($H:$H,ROW()-Inputs!$C$11)* (1-Inputs!$C$10),0)</f>
        <v/>
      </c>
      <c r="J166" s="24">
        <f>$H166*Inputs!$C$10</f>
        <v/>
      </c>
      <c r="K166" s="24">
        <f>IF($B166&lt;=Inputs!$C$6+Inputs!$C$11,$C166*Inputs!$C$7/12,0)</f>
        <v/>
      </c>
      <c r="L166" s="24">
        <f>IF($B166&lt;=Inputs!$C$6+Inputs!$C$11,$E166+$F166+$G166+$I166-$K166,0)</f>
        <v/>
      </c>
      <c r="M166" s="24">
        <f>IF($B166&lt;=Inputs!$C$6,MAX(0,$C166-$F166-$G166-$H166),0)</f>
        <v/>
      </c>
    </row>
    <row r="167">
      <c r="B167" s="22" t="n">
        <v>164</v>
      </c>
      <c r="C167" s="23">
        <f>IF($B167&lt;=Inputs!$C$6+Inputs!$C$11,$M166,"")</f>
        <v/>
      </c>
      <c r="D167" s="24">
        <f>IF($B167&lt;=Inputs!$C$6,-PMT(Inputs!$C$5/12,Inputs!$C$6,Inputs!$C$4),0)</f>
        <v/>
      </c>
      <c r="E167" s="24">
        <f>IF($B167&lt;=Inputs!$C$6+Inputs!$C$11,$C167*Inputs!$C$5/12,0)</f>
        <v/>
      </c>
      <c r="F167" s="24">
        <f>IF($B167&lt;=Inputs!$C$6,MAX(0,$D167-$E167),0)</f>
        <v/>
      </c>
      <c r="G167" s="24">
        <f>IF($B167&lt;=Inputs!$C$6,MAX(0,($C167-$F167))*(1-(1-Inputs!$C$8)^(1/12)),0)</f>
        <v/>
      </c>
      <c r="H167" s="24">
        <f>IF($B167&lt;=Inputs!$C$6,MAX(0,($C167-$F167-$G167))*(1-(1-Inputs!$C$9)^(1/12)),0)</f>
        <v/>
      </c>
      <c r="I167" s="24">
        <f>IF($B167&gt;Inputs!$C$11,INDEX($H:$H,ROW()-Inputs!$C$11)* (1-Inputs!$C$10),0)</f>
        <v/>
      </c>
      <c r="J167" s="24">
        <f>$H167*Inputs!$C$10</f>
        <v/>
      </c>
      <c r="K167" s="24">
        <f>IF($B167&lt;=Inputs!$C$6+Inputs!$C$11,$C167*Inputs!$C$7/12,0)</f>
        <v/>
      </c>
      <c r="L167" s="24">
        <f>IF($B167&lt;=Inputs!$C$6+Inputs!$C$11,$E167+$F167+$G167+$I167-$K167,0)</f>
        <v/>
      </c>
      <c r="M167" s="24">
        <f>IF($B167&lt;=Inputs!$C$6,MAX(0,$C167-$F167-$G167-$H167),0)</f>
        <v/>
      </c>
    </row>
    <row r="168">
      <c r="B168" s="22" t="n">
        <v>165</v>
      </c>
      <c r="C168" s="23">
        <f>IF($B168&lt;=Inputs!$C$6+Inputs!$C$11,$M167,"")</f>
        <v/>
      </c>
      <c r="D168" s="24">
        <f>IF($B168&lt;=Inputs!$C$6,-PMT(Inputs!$C$5/12,Inputs!$C$6,Inputs!$C$4),0)</f>
        <v/>
      </c>
      <c r="E168" s="24">
        <f>IF($B168&lt;=Inputs!$C$6+Inputs!$C$11,$C168*Inputs!$C$5/12,0)</f>
        <v/>
      </c>
      <c r="F168" s="24">
        <f>IF($B168&lt;=Inputs!$C$6,MAX(0,$D168-$E168),0)</f>
        <v/>
      </c>
      <c r="G168" s="24">
        <f>IF($B168&lt;=Inputs!$C$6,MAX(0,($C168-$F168))*(1-(1-Inputs!$C$8)^(1/12)),0)</f>
        <v/>
      </c>
      <c r="H168" s="24">
        <f>IF($B168&lt;=Inputs!$C$6,MAX(0,($C168-$F168-$G168))*(1-(1-Inputs!$C$9)^(1/12)),0)</f>
        <v/>
      </c>
      <c r="I168" s="24">
        <f>IF($B168&gt;Inputs!$C$11,INDEX($H:$H,ROW()-Inputs!$C$11)* (1-Inputs!$C$10),0)</f>
        <v/>
      </c>
      <c r="J168" s="24">
        <f>$H168*Inputs!$C$10</f>
        <v/>
      </c>
      <c r="K168" s="24">
        <f>IF($B168&lt;=Inputs!$C$6+Inputs!$C$11,$C168*Inputs!$C$7/12,0)</f>
        <v/>
      </c>
      <c r="L168" s="24">
        <f>IF($B168&lt;=Inputs!$C$6+Inputs!$C$11,$E168+$F168+$G168+$I168-$K168,0)</f>
        <v/>
      </c>
      <c r="M168" s="24">
        <f>IF($B168&lt;=Inputs!$C$6,MAX(0,$C168-$F168-$G168-$H168),0)</f>
        <v/>
      </c>
    </row>
    <row r="169">
      <c r="B169" s="22" t="n">
        <v>166</v>
      </c>
      <c r="C169" s="23">
        <f>IF($B169&lt;=Inputs!$C$6+Inputs!$C$11,$M168,"")</f>
        <v/>
      </c>
      <c r="D169" s="24">
        <f>IF($B169&lt;=Inputs!$C$6,-PMT(Inputs!$C$5/12,Inputs!$C$6,Inputs!$C$4),0)</f>
        <v/>
      </c>
      <c r="E169" s="24">
        <f>IF($B169&lt;=Inputs!$C$6+Inputs!$C$11,$C169*Inputs!$C$5/12,0)</f>
        <v/>
      </c>
      <c r="F169" s="24">
        <f>IF($B169&lt;=Inputs!$C$6,MAX(0,$D169-$E169),0)</f>
        <v/>
      </c>
      <c r="G169" s="24">
        <f>IF($B169&lt;=Inputs!$C$6,MAX(0,($C169-$F169))*(1-(1-Inputs!$C$8)^(1/12)),0)</f>
        <v/>
      </c>
      <c r="H169" s="24">
        <f>IF($B169&lt;=Inputs!$C$6,MAX(0,($C169-$F169-$G169))*(1-(1-Inputs!$C$9)^(1/12)),0)</f>
        <v/>
      </c>
      <c r="I169" s="24">
        <f>IF($B169&gt;Inputs!$C$11,INDEX($H:$H,ROW()-Inputs!$C$11)* (1-Inputs!$C$10),0)</f>
        <v/>
      </c>
      <c r="J169" s="24">
        <f>$H169*Inputs!$C$10</f>
        <v/>
      </c>
      <c r="K169" s="24">
        <f>IF($B169&lt;=Inputs!$C$6+Inputs!$C$11,$C169*Inputs!$C$7/12,0)</f>
        <v/>
      </c>
      <c r="L169" s="24">
        <f>IF($B169&lt;=Inputs!$C$6+Inputs!$C$11,$E169+$F169+$G169+$I169-$K169,0)</f>
        <v/>
      </c>
      <c r="M169" s="24">
        <f>IF($B169&lt;=Inputs!$C$6,MAX(0,$C169-$F169-$G169-$H169),0)</f>
        <v/>
      </c>
    </row>
    <row r="170">
      <c r="B170" s="22" t="n">
        <v>167</v>
      </c>
      <c r="C170" s="23">
        <f>IF($B170&lt;=Inputs!$C$6+Inputs!$C$11,$M169,"")</f>
        <v/>
      </c>
      <c r="D170" s="24">
        <f>IF($B170&lt;=Inputs!$C$6,-PMT(Inputs!$C$5/12,Inputs!$C$6,Inputs!$C$4),0)</f>
        <v/>
      </c>
      <c r="E170" s="24">
        <f>IF($B170&lt;=Inputs!$C$6+Inputs!$C$11,$C170*Inputs!$C$5/12,0)</f>
        <v/>
      </c>
      <c r="F170" s="24">
        <f>IF($B170&lt;=Inputs!$C$6,MAX(0,$D170-$E170),0)</f>
        <v/>
      </c>
      <c r="G170" s="24">
        <f>IF($B170&lt;=Inputs!$C$6,MAX(0,($C170-$F170))*(1-(1-Inputs!$C$8)^(1/12)),0)</f>
        <v/>
      </c>
      <c r="H170" s="24">
        <f>IF($B170&lt;=Inputs!$C$6,MAX(0,($C170-$F170-$G170))*(1-(1-Inputs!$C$9)^(1/12)),0)</f>
        <v/>
      </c>
      <c r="I170" s="24">
        <f>IF($B170&gt;Inputs!$C$11,INDEX($H:$H,ROW()-Inputs!$C$11)* (1-Inputs!$C$10),0)</f>
        <v/>
      </c>
      <c r="J170" s="24">
        <f>$H170*Inputs!$C$10</f>
        <v/>
      </c>
      <c r="K170" s="24">
        <f>IF($B170&lt;=Inputs!$C$6+Inputs!$C$11,$C170*Inputs!$C$7/12,0)</f>
        <v/>
      </c>
      <c r="L170" s="24">
        <f>IF($B170&lt;=Inputs!$C$6+Inputs!$C$11,$E170+$F170+$G170+$I170-$K170,0)</f>
        <v/>
      </c>
      <c r="M170" s="24">
        <f>IF($B170&lt;=Inputs!$C$6,MAX(0,$C170-$F170-$G170-$H170),0)</f>
        <v/>
      </c>
    </row>
    <row r="171">
      <c r="B171" s="22" t="n">
        <v>168</v>
      </c>
      <c r="C171" s="23">
        <f>IF($B171&lt;=Inputs!$C$6+Inputs!$C$11,$M170,"")</f>
        <v/>
      </c>
      <c r="D171" s="24">
        <f>IF($B171&lt;=Inputs!$C$6,-PMT(Inputs!$C$5/12,Inputs!$C$6,Inputs!$C$4),0)</f>
        <v/>
      </c>
      <c r="E171" s="24">
        <f>IF($B171&lt;=Inputs!$C$6+Inputs!$C$11,$C171*Inputs!$C$5/12,0)</f>
        <v/>
      </c>
      <c r="F171" s="24">
        <f>IF($B171&lt;=Inputs!$C$6,MAX(0,$D171-$E171),0)</f>
        <v/>
      </c>
      <c r="G171" s="24">
        <f>IF($B171&lt;=Inputs!$C$6,MAX(0,($C171-$F171))*(1-(1-Inputs!$C$8)^(1/12)),0)</f>
        <v/>
      </c>
      <c r="H171" s="24">
        <f>IF($B171&lt;=Inputs!$C$6,MAX(0,($C171-$F171-$G171))*(1-(1-Inputs!$C$9)^(1/12)),0)</f>
        <v/>
      </c>
      <c r="I171" s="24">
        <f>IF($B171&gt;Inputs!$C$11,INDEX($H:$H,ROW()-Inputs!$C$11)* (1-Inputs!$C$10),0)</f>
        <v/>
      </c>
      <c r="J171" s="24">
        <f>$H171*Inputs!$C$10</f>
        <v/>
      </c>
      <c r="K171" s="24">
        <f>IF($B171&lt;=Inputs!$C$6+Inputs!$C$11,$C171*Inputs!$C$7/12,0)</f>
        <v/>
      </c>
      <c r="L171" s="24">
        <f>IF($B171&lt;=Inputs!$C$6+Inputs!$C$11,$E171+$F171+$G171+$I171-$K171,0)</f>
        <v/>
      </c>
      <c r="M171" s="24">
        <f>IF($B171&lt;=Inputs!$C$6,MAX(0,$C171-$F171-$G171-$H171),0)</f>
        <v/>
      </c>
    </row>
    <row r="172">
      <c r="B172" s="22" t="n">
        <v>169</v>
      </c>
      <c r="C172" s="23">
        <f>IF($B172&lt;=Inputs!$C$6+Inputs!$C$11,$M171,"")</f>
        <v/>
      </c>
      <c r="D172" s="24">
        <f>IF($B172&lt;=Inputs!$C$6,-PMT(Inputs!$C$5/12,Inputs!$C$6,Inputs!$C$4),0)</f>
        <v/>
      </c>
      <c r="E172" s="24">
        <f>IF($B172&lt;=Inputs!$C$6+Inputs!$C$11,$C172*Inputs!$C$5/12,0)</f>
        <v/>
      </c>
      <c r="F172" s="24">
        <f>IF($B172&lt;=Inputs!$C$6,MAX(0,$D172-$E172),0)</f>
        <v/>
      </c>
      <c r="G172" s="24">
        <f>IF($B172&lt;=Inputs!$C$6,MAX(0,($C172-$F172))*(1-(1-Inputs!$C$8)^(1/12)),0)</f>
        <v/>
      </c>
      <c r="H172" s="24">
        <f>IF($B172&lt;=Inputs!$C$6,MAX(0,($C172-$F172-$G172))*(1-(1-Inputs!$C$9)^(1/12)),0)</f>
        <v/>
      </c>
      <c r="I172" s="24">
        <f>IF($B172&gt;Inputs!$C$11,INDEX($H:$H,ROW()-Inputs!$C$11)* (1-Inputs!$C$10),0)</f>
        <v/>
      </c>
      <c r="J172" s="24">
        <f>$H172*Inputs!$C$10</f>
        <v/>
      </c>
      <c r="K172" s="24">
        <f>IF($B172&lt;=Inputs!$C$6+Inputs!$C$11,$C172*Inputs!$C$7/12,0)</f>
        <v/>
      </c>
      <c r="L172" s="24">
        <f>IF($B172&lt;=Inputs!$C$6+Inputs!$C$11,$E172+$F172+$G172+$I172-$K172,0)</f>
        <v/>
      </c>
      <c r="M172" s="24">
        <f>IF($B172&lt;=Inputs!$C$6,MAX(0,$C172-$F172-$G172-$H172),0)</f>
        <v/>
      </c>
    </row>
    <row r="173">
      <c r="B173" s="22" t="n">
        <v>170</v>
      </c>
      <c r="C173" s="23">
        <f>IF($B173&lt;=Inputs!$C$6+Inputs!$C$11,$M172,"")</f>
        <v/>
      </c>
      <c r="D173" s="24">
        <f>IF($B173&lt;=Inputs!$C$6,-PMT(Inputs!$C$5/12,Inputs!$C$6,Inputs!$C$4),0)</f>
        <v/>
      </c>
      <c r="E173" s="24">
        <f>IF($B173&lt;=Inputs!$C$6+Inputs!$C$11,$C173*Inputs!$C$5/12,0)</f>
        <v/>
      </c>
      <c r="F173" s="24">
        <f>IF($B173&lt;=Inputs!$C$6,MAX(0,$D173-$E173),0)</f>
        <v/>
      </c>
      <c r="G173" s="24">
        <f>IF($B173&lt;=Inputs!$C$6,MAX(0,($C173-$F173))*(1-(1-Inputs!$C$8)^(1/12)),0)</f>
        <v/>
      </c>
      <c r="H173" s="24">
        <f>IF($B173&lt;=Inputs!$C$6,MAX(0,($C173-$F173-$G173))*(1-(1-Inputs!$C$9)^(1/12)),0)</f>
        <v/>
      </c>
      <c r="I173" s="24">
        <f>IF($B173&gt;Inputs!$C$11,INDEX($H:$H,ROW()-Inputs!$C$11)* (1-Inputs!$C$10),0)</f>
        <v/>
      </c>
      <c r="J173" s="24">
        <f>$H173*Inputs!$C$10</f>
        <v/>
      </c>
      <c r="K173" s="24">
        <f>IF($B173&lt;=Inputs!$C$6+Inputs!$C$11,$C173*Inputs!$C$7/12,0)</f>
        <v/>
      </c>
      <c r="L173" s="24">
        <f>IF($B173&lt;=Inputs!$C$6+Inputs!$C$11,$E173+$F173+$G173+$I173-$K173,0)</f>
        <v/>
      </c>
      <c r="M173" s="24">
        <f>IF($B173&lt;=Inputs!$C$6,MAX(0,$C173-$F173-$G173-$H173),0)</f>
        <v/>
      </c>
    </row>
    <row r="174">
      <c r="B174" s="22" t="n">
        <v>171</v>
      </c>
      <c r="C174" s="23">
        <f>IF($B174&lt;=Inputs!$C$6+Inputs!$C$11,$M173,"")</f>
        <v/>
      </c>
      <c r="D174" s="24">
        <f>IF($B174&lt;=Inputs!$C$6,-PMT(Inputs!$C$5/12,Inputs!$C$6,Inputs!$C$4),0)</f>
        <v/>
      </c>
      <c r="E174" s="24">
        <f>IF($B174&lt;=Inputs!$C$6+Inputs!$C$11,$C174*Inputs!$C$5/12,0)</f>
        <v/>
      </c>
      <c r="F174" s="24">
        <f>IF($B174&lt;=Inputs!$C$6,MAX(0,$D174-$E174),0)</f>
        <v/>
      </c>
      <c r="G174" s="24">
        <f>IF($B174&lt;=Inputs!$C$6,MAX(0,($C174-$F174))*(1-(1-Inputs!$C$8)^(1/12)),0)</f>
        <v/>
      </c>
      <c r="H174" s="24">
        <f>IF($B174&lt;=Inputs!$C$6,MAX(0,($C174-$F174-$G174))*(1-(1-Inputs!$C$9)^(1/12)),0)</f>
        <v/>
      </c>
      <c r="I174" s="24">
        <f>IF($B174&gt;Inputs!$C$11,INDEX($H:$H,ROW()-Inputs!$C$11)* (1-Inputs!$C$10),0)</f>
        <v/>
      </c>
      <c r="J174" s="24">
        <f>$H174*Inputs!$C$10</f>
        <v/>
      </c>
      <c r="K174" s="24">
        <f>IF($B174&lt;=Inputs!$C$6+Inputs!$C$11,$C174*Inputs!$C$7/12,0)</f>
        <v/>
      </c>
      <c r="L174" s="24">
        <f>IF($B174&lt;=Inputs!$C$6+Inputs!$C$11,$E174+$F174+$G174+$I174-$K174,0)</f>
        <v/>
      </c>
      <c r="M174" s="24">
        <f>IF($B174&lt;=Inputs!$C$6,MAX(0,$C174-$F174-$G174-$H174),0)</f>
        <v/>
      </c>
    </row>
    <row r="175">
      <c r="B175" s="22" t="n">
        <v>172</v>
      </c>
      <c r="C175" s="23">
        <f>IF($B175&lt;=Inputs!$C$6+Inputs!$C$11,$M174,"")</f>
        <v/>
      </c>
      <c r="D175" s="24">
        <f>IF($B175&lt;=Inputs!$C$6,-PMT(Inputs!$C$5/12,Inputs!$C$6,Inputs!$C$4),0)</f>
        <v/>
      </c>
      <c r="E175" s="24">
        <f>IF($B175&lt;=Inputs!$C$6+Inputs!$C$11,$C175*Inputs!$C$5/12,0)</f>
        <v/>
      </c>
      <c r="F175" s="24">
        <f>IF($B175&lt;=Inputs!$C$6,MAX(0,$D175-$E175),0)</f>
        <v/>
      </c>
      <c r="G175" s="24">
        <f>IF($B175&lt;=Inputs!$C$6,MAX(0,($C175-$F175))*(1-(1-Inputs!$C$8)^(1/12)),0)</f>
        <v/>
      </c>
      <c r="H175" s="24">
        <f>IF($B175&lt;=Inputs!$C$6,MAX(0,($C175-$F175-$G175))*(1-(1-Inputs!$C$9)^(1/12)),0)</f>
        <v/>
      </c>
      <c r="I175" s="24">
        <f>IF($B175&gt;Inputs!$C$11,INDEX($H:$H,ROW()-Inputs!$C$11)* (1-Inputs!$C$10),0)</f>
        <v/>
      </c>
      <c r="J175" s="24">
        <f>$H175*Inputs!$C$10</f>
        <v/>
      </c>
      <c r="K175" s="24">
        <f>IF($B175&lt;=Inputs!$C$6+Inputs!$C$11,$C175*Inputs!$C$7/12,0)</f>
        <v/>
      </c>
      <c r="L175" s="24">
        <f>IF($B175&lt;=Inputs!$C$6+Inputs!$C$11,$E175+$F175+$G175+$I175-$K175,0)</f>
        <v/>
      </c>
      <c r="M175" s="24">
        <f>IF($B175&lt;=Inputs!$C$6,MAX(0,$C175-$F175-$G175-$H175),0)</f>
        <v/>
      </c>
    </row>
    <row r="176">
      <c r="B176" s="22" t="n">
        <v>173</v>
      </c>
      <c r="C176" s="23">
        <f>IF($B176&lt;=Inputs!$C$6+Inputs!$C$11,$M175,"")</f>
        <v/>
      </c>
      <c r="D176" s="24">
        <f>IF($B176&lt;=Inputs!$C$6,-PMT(Inputs!$C$5/12,Inputs!$C$6,Inputs!$C$4),0)</f>
        <v/>
      </c>
      <c r="E176" s="24">
        <f>IF($B176&lt;=Inputs!$C$6+Inputs!$C$11,$C176*Inputs!$C$5/12,0)</f>
        <v/>
      </c>
      <c r="F176" s="24">
        <f>IF($B176&lt;=Inputs!$C$6,MAX(0,$D176-$E176),0)</f>
        <v/>
      </c>
      <c r="G176" s="24">
        <f>IF($B176&lt;=Inputs!$C$6,MAX(0,($C176-$F176))*(1-(1-Inputs!$C$8)^(1/12)),0)</f>
        <v/>
      </c>
      <c r="H176" s="24">
        <f>IF($B176&lt;=Inputs!$C$6,MAX(0,($C176-$F176-$G176))*(1-(1-Inputs!$C$9)^(1/12)),0)</f>
        <v/>
      </c>
      <c r="I176" s="24">
        <f>IF($B176&gt;Inputs!$C$11,INDEX($H:$H,ROW()-Inputs!$C$11)* (1-Inputs!$C$10),0)</f>
        <v/>
      </c>
      <c r="J176" s="24">
        <f>$H176*Inputs!$C$10</f>
        <v/>
      </c>
      <c r="K176" s="24">
        <f>IF($B176&lt;=Inputs!$C$6+Inputs!$C$11,$C176*Inputs!$C$7/12,0)</f>
        <v/>
      </c>
      <c r="L176" s="24">
        <f>IF($B176&lt;=Inputs!$C$6+Inputs!$C$11,$E176+$F176+$G176+$I176-$K176,0)</f>
        <v/>
      </c>
      <c r="M176" s="24">
        <f>IF($B176&lt;=Inputs!$C$6,MAX(0,$C176-$F176-$G176-$H176),0)</f>
        <v/>
      </c>
    </row>
    <row r="177">
      <c r="B177" s="22" t="n">
        <v>174</v>
      </c>
      <c r="C177" s="23">
        <f>IF($B177&lt;=Inputs!$C$6+Inputs!$C$11,$M176,"")</f>
        <v/>
      </c>
      <c r="D177" s="24">
        <f>IF($B177&lt;=Inputs!$C$6,-PMT(Inputs!$C$5/12,Inputs!$C$6,Inputs!$C$4),0)</f>
        <v/>
      </c>
      <c r="E177" s="24">
        <f>IF($B177&lt;=Inputs!$C$6+Inputs!$C$11,$C177*Inputs!$C$5/12,0)</f>
        <v/>
      </c>
      <c r="F177" s="24">
        <f>IF($B177&lt;=Inputs!$C$6,MAX(0,$D177-$E177),0)</f>
        <v/>
      </c>
      <c r="G177" s="24">
        <f>IF($B177&lt;=Inputs!$C$6,MAX(0,($C177-$F177))*(1-(1-Inputs!$C$8)^(1/12)),0)</f>
        <v/>
      </c>
      <c r="H177" s="24">
        <f>IF($B177&lt;=Inputs!$C$6,MAX(0,($C177-$F177-$G177))*(1-(1-Inputs!$C$9)^(1/12)),0)</f>
        <v/>
      </c>
      <c r="I177" s="24">
        <f>IF($B177&gt;Inputs!$C$11,INDEX($H:$H,ROW()-Inputs!$C$11)* (1-Inputs!$C$10),0)</f>
        <v/>
      </c>
      <c r="J177" s="24">
        <f>$H177*Inputs!$C$10</f>
        <v/>
      </c>
      <c r="K177" s="24">
        <f>IF($B177&lt;=Inputs!$C$6+Inputs!$C$11,$C177*Inputs!$C$7/12,0)</f>
        <v/>
      </c>
      <c r="L177" s="24">
        <f>IF($B177&lt;=Inputs!$C$6+Inputs!$C$11,$E177+$F177+$G177+$I177-$K177,0)</f>
        <v/>
      </c>
      <c r="M177" s="24">
        <f>IF($B177&lt;=Inputs!$C$6,MAX(0,$C177-$F177-$G177-$H177),0)</f>
        <v/>
      </c>
    </row>
    <row r="178">
      <c r="B178" s="22" t="n">
        <v>175</v>
      </c>
      <c r="C178" s="23">
        <f>IF($B178&lt;=Inputs!$C$6+Inputs!$C$11,$M177,"")</f>
        <v/>
      </c>
      <c r="D178" s="24">
        <f>IF($B178&lt;=Inputs!$C$6,-PMT(Inputs!$C$5/12,Inputs!$C$6,Inputs!$C$4),0)</f>
        <v/>
      </c>
      <c r="E178" s="24">
        <f>IF($B178&lt;=Inputs!$C$6+Inputs!$C$11,$C178*Inputs!$C$5/12,0)</f>
        <v/>
      </c>
      <c r="F178" s="24">
        <f>IF($B178&lt;=Inputs!$C$6,MAX(0,$D178-$E178),0)</f>
        <v/>
      </c>
      <c r="G178" s="24">
        <f>IF($B178&lt;=Inputs!$C$6,MAX(0,($C178-$F178))*(1-(1-Inputs!$C$8)^(1/12)),0)</f>
        <v/>
      </c>
      <c r="H178" s="24">
        <f>IF($B178&lt;=Inputs!$C$6,MAX(0,($C178-$F178-$G178))*(1-(1-Inputs!$C$9)^(1/12)),0)</f>
        <v/>
      </c>
      <c r="I178" s="24">
        <f>IF($B178&gt;Inputs!$C$11,INDEX($H:$H,ROW()-Inputs!$C$11)* (1-Inputs!$C$10),0)</f>
        <v/>
      </c>
      <c r="J178" s="24">
        <f>$H178*Inputs!$C$10</f>
        <v/>
      </c>
      <c r="K178" s="24">
        <f>IF($B178&lt;=Inputs!$C$6+Inputs!$C$11,$C178*Inputs!$C$7/12,0)</f>
        <v/>
      </c>
      <c r="L178" s="24">
        <f>IF($B178&lt;=Inputs!$C$6+Inputs!$C$11,$E178+$F178+$G178+$I178-$K178,0)</f>
        <v/>
      </c>
      <c r="M178" s="24">
        <f>IF($B178&lt;=Inputs!$C$6,MAX(0,$C178-$F178-$G178-$H178),0)</f>
        <v/>
      </c>
    </row>
    <row r="179">
      <c r="B179" s="22" t="n">
        <v>176</v>
      </c>
      <c r="C179" s="23">
        <f>IF($B179&lt;=Inputs!$C$6+Inputs!$C$11,$M178,"")</f>
        <v/>
      </c>
      <c r="D179" s="24">
        <f>IF($B179&lt;=Inputs!$C$6,-PMT(Inputs!$C$5/12,Inputs!$C$6,Inputs!$C$4),0)</f>
        <v/>
      </c>
      <c r="E179" s="24">
        <f>IF($B179&lt;=Inputs!$C$6+Inputs!$C$11,$C179*Inputs!$C$5/12,0)</f>
        <v/>
      </c>
      <c r="F179" s="24">
        <f>IF($B179&lt;=Inputs!$C$6,MAX(0,$D179-$E179),0)</f>
        <v/>
      </c>
      <c r="G179" s="24">
        <f>IF($B179&lt;=Inputs!$C$6,MAX(0,($C179-$F179))*(1-(1-Inputs!$C$8)^(1/12)),0)</f>
        <v/>
      </c>
      <c r="H179" s="24">
        <f>IF($B179&lt;=Inputs!$C$6,MAX(0,($C179-$F179-$G179))*(1-(1-Inputs!$C$9)^(1/12)),0)</f>
        <v/>
      </c>
      <c r="I179" s="24">
        <f>IF($B179&gt;Inputs!$C$11,INDEX($H:$H,ROW()-Inputs!$C$11)* (1-Inputs!$C$10),0)</f>
        <v/>
      </c>
      <c r="J179" s="24">
        <f>$H179*Inputs!$C$10</f>
        <v/>
      </c>
      <c r="K179" s="24">
        <f>IF($B179&lt;=Inputs!$C$6+Inputs!$C$11,$C179*Inputs!$C$7/12,0)</f>
        <v/>
      </c>
      <c r="L179" s="24">
        <f>IF($B179&lt;=Inputs!$C$6+Inputs!$C$11,$E179+$F179+$G179+$I179-$K179,0)</f>
        <v/>
      </c>
      <c r="M179" s="24">
        <f>IF($B179&lt;=Inputs!$C$6,MAX(0,$C179-$F179-$G179-$H179),0)</f>
        <v/>
      </c>
    </row>
    <row r="180">
      <c r="B180" s="22" t="n">
        <v>177</v>
      </c>
      <c r="C180" s="23">
        <f>IF($B180&lt;=Inputs!$C$6+Inputs!$C$11,$M179,"")</f>
        <v/>
      </c>
      <c r="D180" s="24">
        <f>IF($B180&lt;=Inputs!$C$6,-PMT(Inputs!$C$5/12,Inputs!$C$6,Inputs!$C$4),0)</f>
        <v/>
      </c>
      <c r="E180" s="24">
        <f>IF($B180&lt;=Inputs!$C$6+Inputs!$C$11,$C180*Inputs!$C$5/12,0)</f>
        <v/>
      </c>
      <c r="F180" s="24">
        <f>IF($B180&lt;=Inputs!$C$6,MAX(0,$D180-$E180),0)</f>
        <v/>
      </c>
      <c r="G180" s="24">
        <f>IF($B180&lt;=Inputs!$C$6,MAX(0,($C180-$F180))*(1-(1-Inputs!$C$8)^(1/12)),0)</f>
        <v/>
      </c>
      <c r="H180" s="24">
        <f>IF($B180&lt;=Inputs!$C$6,MAX(0,($C180-$F180-$G180))*(1-(1-Inputs!$C$9)^(1/12)),0)</f>
        <v/>
      </c>
      <c r="I180" s="24">
        <f>IF($B180&gt;Inputs!$C$11,INDEX($H:$H,ROW()-Inputs!$C$11)* (1-Inputs!$C$10),0)</f>
        <v/>
      </c>
      <c r="J180" s="24">
        <f>$H180*Inputs!$C$10</f>
        <v/>
      </c>
      <c r="K180" s="24">
        <f>IF($B180&lt;=Inputs!$C$6+Inputs!$C$11,$C180*Inputs!$C$7/12,0)</f>
        <v/>
      </c>
      <c r="L180" s="24">
        <f>IF($B180&lt;=Inputs!$C$6+Inputs!$C$11,$E180+$F180+$G180+$I180-$K180,0)</f>
        <v/>
      </c>
      <c r="M180" s="24">
        <f>IF($B180&lt;=Inputs!$C$6,MAX(0,$C180-$F180-$G180-$H180),0)</f>
        <v/>
      </c>
    </row>
    <row r="181">
      <c r="B181" s="22" t="n">
        <v>178</v>
      </c>
      <c r="C181" s="23">
        <f>IF($B181&lt;=Inputs!$C$6+Inputs!$C$11,$M180,"")</f>
        <v/>
      </c>
      <c r="D181" s="24">
        <f>IF($B181&lt;=Inputs!$C$6,-PMT(Inputs!$C$5/12,Inputs!$C$6,Inputs!$C$4),0)</f>
        <v/>
      </c>
      <c r="E181" s="24">
        <f>IF($B181&lt;=Inputs!$C$6+Inputs!$C$11,$C181*Inputs!$C$5/12,0)</f>
        <v/>
      </c>
      <c r="F181" s="24">
        <f>IF($B181&lt;=Inputs!$C$6,MAX(0,$D181-$E181),0)</f>
        <v/>
      </c>
      <c r="G181" s="24">
        <f>IF($B181&lt;=Inputs!$C$6,MAX(0,($C181-$F181))*(1-(1-Inputs!$C$8)^(1/12)),0)</f>
        <v/>
      </c>
      <c r="H181" s="24">
        <f>IF($B181&lt;=Inputs!$C$6,MAX(0,($C181-$F181-$G181))*(1-(1-Inputs!$C$9)^(1/12)),0)</f>
        <v/>
      </c>
      <c r="I181" s="24">
        <f>IF($B181&gt;Inputs!$C$11,INDEX($H:$H,ROW()-Inputs!$C$11)* (1-Inputs!$C$10),0)</f>
        <v/>
      </c>
      <c r="J181" s="24">
        <f>$H181*Inputs!$C$10</f>
        <v/>
      </c>
      <c r="K181" s="24">
        <f>IF($B181&lt;=Inputs!$C$6+Inputs!$C$11,$C181*Inputs!$C$7/12,0)</f>
        <v/>
      </c>
      <c r="L181" s="24">
        <f>IF($B181&lt;=Inputs!$C$6+Inputs!$C$11,$E181+$F181+$G181+$I181-$K181,0)</f>
        <v/>
      </c>
      <c r="M181" s="24">
        <f>IF($B181&lt;=Inputs!$C$6,MAX(0,$C181-$F181-$G181-$H181),0)</f>
        <v/>
      </c>
    </row>
    <row r="182">
      <c r="B182" s="22" t="n">
        <v>179</v>
      </c>
      <c r="C182" s="23">
        <f>IF($B182&lt;=Inputs!$C$6+Inputs!$C$11,$M181,"")</f>
        <v/>
      </c>
      <c r="D182" s="24">
        <f>IF($B182&lt;=Inputs!$C$6,-PMT(Inputs!$C$5/12,Inputs!$C$6,Inputs!$C$4),0)</f>
        <v/>
      </c>
      <c r="E182" s="24">
        <f>IF($B182&lt;=Inputs!$C$6+Inputs!$C$11,$C182*Inputs!$C$5/12,0)</f>
        <v/>
      </c>
      <c r="F182" s="24">
        <f>IF($B182&lt;=Inputs!$C$6,MAX(0,$D182-$E182),0)</f>
        <v/>
      </c>
      <c r="G182" s="24">
        <f>IF($B182&lt;=Inputs!$C$6,MAX(0,($C182-$F182))*(1-(1-Inputs!$C$8)^(1/12)),0)</f>
        <v/>
      </c>
      <c r="H182" s="24">
        <f>IF($B182&lt;=Inputs!$C$6,MAX(0,($C182-$F182-$G182))*(1-(1-Inputs!$C$9)^(1/12)),0)</f>
        <v/>
      </c>
      <c r="I182" s="24">
        <f>IF($B182&gt;Inputs!$C$11,INDEX($H:$H,ROW()-Inputs!$C$11)* (1-Inputs!$C$10),0)</f>
        <v/>
      </c>
      <c r="J182" s="24">
        <f>$H182*Inputs!$C$10</f>
        <v/>
      </c>
      <c r="K182" s="24">
        <f>IF($B182&lt;=Inputs!$C$6+Inputs!$C$11,$C182*Inputs!$C$7/12,0)</f>
        <v/>
      </c>
      <c r="L182" s="24">
        <f>IF($B182&lt;=Inputs!$C$6+Inputs!$C$11,$E182+$F182+$G182+$I182-$K182,0)</f>
        <v/>
      </c>
      <c r="M182" s="24">
        <f>IF($B182&lt;=Inputs!$C$6,MAX(0,$C182-$F182-$G182-$H182),0)</f>
        <v/>
      </c>
    </row>
    <row r="183">
      <c r="B183" s="22" t="n">
        <v>180</v>
      </c>
      <c r="C183" s="23">
        <f>IF($B183&lt;=Inputs!$C$6+Inputs!$C$11,$M182,"")</f>
        <v/>
      </c>
      <c r="D183" s="24">
        <f>IF($B183&lt;=Inputs!$C$6,-PMT(Inputs!$C$5/12,Inputs!$C$6,Inputs!$C$4),0)</f>
        <v/>
      </c>
      <c r="E183" s="24">
        <f>IF($B183&lt;=Inputs!$C$6+Inputs!$C$11,$C183*Inputs!$C$5/12,0)</f>
        <v/>
      </c>
      <c r="F183" s="24">
        <f>IF($B183&lt;=Inputs!$C$6,MAX(0,$D183-$E183),0)</f>
        <v/>
      </c>
      <c r="G183" s="24">
        <f>IF($B183&lt;=Inputs!$C$6,MAX(0,($C183-$F183))*(1-(1-Inputs!$C$8)^(1/12)),0)</f>
        <v/>
      </c>
      <c r="H183" s="24">
        <f>IF($B183&lt;=Inputs!$C$6,MAX(0,($C183-$F183-$G183))*(1-(1-Inputs!$C$9)^(1/12)),0)</f>
        <v/>
      </c>
      <c r="I183" s="24">
        <f>IF($B183&gt;Inputs!$C$11,INDEX($H:$H,ROW()-Inputs!$C$11)* (1-Inputs!$C$10),0)</f>
        <v/>
      </c>
      <c r="J183" s="24">
        <f>$H183*Inputs!$C$10</f>
        <v/>
      </c>
      <c r="K183" s="24">
        <f>IF($B183&lt;=Inputs!$C$6+Inputs!$C$11,$C183*Inputs!$C$7/12,0)</f>
        <v/>
      </c>
      <c r="L183" s="24">
        <f>IF($B183&lt;=Inputs!$C$6+Inputs!$C$11,$E183+$F183+$G183+$I183-$K183,0)</f>
        <v/>
      </c>
      <c r="M183" s="24">
        <f>IF($B183&lt;=Inputs!$C$6,MAX(0,$C183-$F183-$G183-$H183),0)</f>
        <v/>
      </c>
    </row>
    <row r="184">
      <c r="B184" s="22" t="n">
        <v>181</v>
      </c>
      <c r="C184" s="23">
        <f>IF($B184&lt;=Inputs!$C$6+Inputs!$C$11,$M183,"")</f>
        <v/>
      </c>
      <c r="D184" s="24">
        <f>IF($B184&lt;=Inputs!$C$6,-PMT(Inputs!$C$5/12,Inputs!$C$6,Inputs!$C$4),0)</f>
        <v/>
      </c>
      <c r="E184" s="24">
        <f>IF($B184&lt;=Inputs!$C$6+Inputs!$C$11,$C184*Inputs!$C$5/12,0)</f>
        <v/>
      </c>
      <c r="F184" s="24">
        <f>IF($B184&lt;=Inputs!$C$6,MAX(0,$D184-$E184),0)</f>
        <v/>
      </c>
      <c r="G184" s="24">
        <f>IF($B184&lt;=Inputs!$C$6,MAX(0,($C184-$F184))*(1-(1-Inputs!$C$8)^(1/12)),0)</f>
        <v/>
      </c>
      <c r="H184" s="24">
        <f>IF($B184&lt;=Inputs!$C$6,MAX(0,($C184-$F184-$G184))*(1-(1-Inputs!$C$9)^(1/12)),0)</f>
        <v/>
      </c>
      <c r="I184" s="24">
        <f>IF($B184&gt;Inputs!$C$11,INDEX($H:$H,ROW()-Inputs!$C$11)* (1-Inputs!$C$10),0)</f>
        <v/>
      </c>
      <c r="J184" s="24">
        <f>$H184*Inputs!$C$10</f>
        <v/>
      </c>
      <c r="K184" s="24">
        <f>IF($B184&lt;=Inputs!$C$6+Inputs!$C$11,$C184*Inputs!$C$7/12,0)</f>
        <v/>
      </c>
      <c r="L184" s="24">
        <f>IF($B184&lt;=Inputs!$C$6+Inputs!$C$11,$E184+$F184+$G184+$I184-$K184,0)</f>
        <v/>
      </c>
      <c r="M184" s="24">
        <f>IF($B184&lt;=Inputs!$C$6,MAX(0,$C184-$F184-$G184-$H184),0)</f>
        <v/>
      </c>
    </row>
    <row r="185">
      <c r="B185" s="22" t="n">
        <v>182</v>
      </c>
      <c r="C185" s="23">
        <f>IF($B185&lt;=Inputs!$C$6+Inputs!$C$11,$M184,"")</f>
        <v/>
      </c>
      <c r="D185" s="24">
        <f>IF($B185&lt;=Inputs!$C$6,-PMT(Inputs!$C$5/12,Inputs!$C$6,Inputs!$C$4),0)</f>
        <v/>
      </c>
      <c r="E185" s="24">
        <f>IF($B185&lt;=Inputs!$C$6+Inputs!$C$11,$C185*Inputs!$C$5/12,0)</f>
        <v/>
      </c>
      <c r="F185" s="24">
        <f>IF($B185&lt;=Inputs!$C$6,MAX(0,$D185-$E185),0)</f>
        <v/>
      </c>
      <c r="G185" s="24">
        <f>IF($B185&lt;=Inputs!$C$6,MAX(0,($C185-$F185))*(1-(1-Inputs!$C$8)^(1/12)),0)</f>
        <v/>
      </c>
      <c r="H185" s="24">
        <f>IF($B185&lt;=Inputs!$C$6,MAX(0,($C185-$F185-$G185))*(1-(1-Inputs!$C$9)^(1/12)),0)</f>
        <v/>
      </c>
      <c r="I185" s="24">
        <f>IF($B185&gt;Inputs!$C$11,INDEX($H:$H,ROW()-Inputs!$C$11)* (1-Inputs!$C$10),0)</f>
        <v/>
      </c>
      <c r="J185" s="24">
        <f>$H185*Inputs!$C$10</f>
        <v/>
      </c>
      <c r="K185" s="24">
        <f>IF($B185&lt;=Inputs!$C$6+Inputs!$C$11,$C185*Inputs!$C$7/12,0)</f>
        <v/>
      </c>
      <c r="L185" s="24">
        <f>IF($B185&lt;=Inputs!$C$6+Inputs!$C$11,$E185+$F185+$G185+$I185-$K185,0)</f>
        <v/>
      </c>
      <c r="M185" s="24">
        <f>IF($B185&lt;=Inputs!$C$6,MAX(0,$C185-$F185-$G185-$H185),0)</f>
        <v/>
      </c>
    </row>
    <row r="186">
      <c r="B186" s="22" t="n">
        <v>183</v>
      </c>
      <c r="C186" s="23">
        <f>IF($B186&lt;=Inputs!$C$6+Inputs!$C$11,$M185,"")</f>
        <v/>
      </c>
      <c r="D186" s="24">
        <f>IF($B186&lt;=Inputs!$C$6,-PMT(Inputs!$C$5/12,Inputs!$C$6,Inputs!$C$4),0)</f>
        <v/>
      </c>
      <c r="E186" s="24">
        <f>IF($B186&lt;=Inputs!$C$6+Inputs!$C$11,$C186*Inputs!$C$5/12,0)</f>
        <v/>
      </c>
      <c r="F186" s="24">
        <f>IF($B186&lt;=Inputs!$C$6,MAX(0,$D186-$E186),0)</f>
        <v/>
      </c>
      <c r="G186" s="24">
        <f>IF($B186&lt;=Inputs!$C$6,MAX(0,($C186-$F186))*(1-(1-Inputs!$C$8)^(1/12)),0)</f>
        <v/>
      </c>
      <c r="H186" s="24">
        <f>IF($B186&lt;=Inputs!$C$6,MAX(0,($C186-$F186-$G186))*(1-(1-Inputs!$C$9)^(1/12)),0)</f>
        <v/>
      </c>
      <c r="I186" s="24">
        <f>IF($B186&gt;Inputs!$C$11,INDEX($H:$H,ROW()-Inputs!$C$11)* (1-Inputs!$C$10),0)</f>
        <v/>
      </c>
      <c r="J186" s="24">
        <f>$H186*Inputs!$C$10</f>
        <v/>
      </c>
      <c r="K186" s="24">
        <f>IF($B186&lt;=Inputs!$C$6+Inputs!$C$11,$C186*Inputs!$C$7/12,0)</f>
        <v/>
      </c>
      <c r="L186" s="24">
        <f>IF($B186&lt;=Inputs!$C$6+Inputs!$C$11,$E186+$F186+$G186+$I186-$K186,0)</f>
        <v/>
      </c>
      <c r="M186" s="24">
        <f>IF($B186&lt;=Inputs!$C$6,MAX(0,$C186-$F186-$G186-$H186),0)</f>
        <v/>
      </c>
    </row>
    <row r="187">
      <c r="B187" s="22" t="n">
        <v>184</v>
      </c>
      <c r="C187" s="23">
        <f>IF($B187&lt;=Inputs!$C$6+Inputs!$C$11,$M186,"")</f>
        <v/>
      </c>
      <c r="D187" s="24">
        <f>IF($B187&lt;=Inputs!$C$6,-PMT(Inputs!$C$5/12,Inputs!$C$6,Inputs!$C$4),0)</f>
        <v/>
      </c>
      <c r="E187" s="24">
        <f>IF($B187&lt;=Inputs!$C$6+Inputs!$C$11,$C187*Inputs!$C$5/12,0)</f>
        <v/>
      </c>
      <c r="F187" s="24">
        <f>IF($B187&lt;=Inputs!$C$6,MAX(0,$D187-$E187),0)</f>
        <v/>
      </c>
      <c r="G187" s="24">
        <f>IF($B187&lt;=Inputs!$C$6,MAX(0,($C187-$F187))*(1-(1-Inputs!$C$8)^(1/12)),0)</f>
        <v/>
      </c>
      <c r="H187" s="24">
        <f>IF($B187&lt;=Inputs!$C$6,MAX(0,($C187-$F187-$G187))*(1-(1-Inputs!$C$9)^(1/12)),0)</f>
        <v/>
      </c>
      <c r="I187" s="24">
        <f>IF($B187&gt;Inputs!$C$11,INDEX($H:$H,ROW()-Inputs!$C$11)* (1-Inputs!$C$10),0)</f>
        <v/>
      </c>
      <c r="J187" s="24">
        <f>$H187*Inputs!$C$10</f>
        <v/>
      </c>
      <c r="K187" s="24">
        <f>IF($B187&lt;=Inputs!$C$6+Inputs!$C$11,$C187*Inputs!$C$7/12,0)</f>
        <v/>
      </c>
      <c r="L187" s="24">
        <f>IF($B187&lt;=Inputs!$C$6+Inputs!$C$11,$E187+$F187+$G187+$I187-$K187,0)</f>
        <v/>
      </c>
      <c r="M187" s="24">
        <f>IF($B187&lt;=Inputs!$C$6,MAX(0,$C187-$F187-$G187-$H187),0)</f>
        <v/>
      </c>
    </row>
    <row r="188">
      <c r="B188" s="22" t="n">
        <v>185</v>
      </c>
      <c r="C188" s="23">
        <f>IF($B188&lt;=Inputs!$C$6+Inputs!$C$11,$M187,"")</f>
        <v/>
      </c>
      <c r="D188" s="24">
        <f>IF($B188&lt;=Inputs!$C$6,-PMT(Inputs!$C$5/12,Inputs!$C$6,Inputs!$C$4),0)</f>
        <v/>
      </c>
      <c r="E188" s="24">
        <f>IF($B188&lt;=Inputs!$C$6+Inputs!$C$11,$C188*Inputs!$C$5/12,0)</f>
        <v/>
      </c>
      <c r="F188" s="24">
        <f>IF($B188&lt;=Inputs!$C$6,MAX(0,$D188-$E188),0)</f>
        <v/>
      </c>
      <c r="G188" s="24">
        <f>IF($B188&lt;=Inputs!$C$6,MAX(0,($C188-$F188))*(1-(1-Inputs!$C$8)^(1/12)),0)</f>
        <v/>
      </c>
      <c r="H188" s="24">
        <f>IF($B188&lt;=Inputs!$C$6,MAX(0,($C188-$F188-$G188))*(1-(1-Inputs!$C$9)^(1/12)),0)</f>
        <v/>
      </c>
      <c r="I188" s="24">
        <f>IF($B188&gt;Inputs!$C$11,INDEX($H:$H,ROW()-Inputs!$C$11)* (1-Inputs!$C$10),0)</f>
        <v/>
      </c>
      <c r="J188" s="24">
        <f>$H188*Inputs!$C$10</f>
        <v/>
      </c>
      <c r="K188" s="24">
        <f>IF($B188&lt;=Inputs!$C$6+Inputs!$C$11,$C188*Inputs!$C$7/12,0)</f>
        <v/>
      </c>
      <c r="L188" s="24">
        <f>IF($B188&lt;=Inputs!$C$6+Inputs!$C$11,$E188+$F188+$G188+$I188-$K188,0)</f>
        <v/>
      </c>
      <c r="M188" s="24">
        <f>IF($B188&lt;=Inputs!$C$6,MAX(0,$C188-$F188-$G188-$H188),0)</f>
        <v/>
      </c>
    </row>
    <row r="189">
      <c r="B189" s="22" t="n">
        <v>186</v>
      </c>
      <c r="C189" s="23">
        <f>IF($B189&lt;=Inputs!$C$6+Inputs!$C$11,$M188,"")</f>
        <v/>
      </c>
      <c r="D189" s="24">
        <f>IF($B189&lt;=Inputs!$C$6,-PMT(Inputs!$C$5/12,Inputs!$C$6,Inputs!$C$4),0)</f>
        <v/>
      </c>
      <c r="E189" s="24">
        <f>IF($B189&lt;=Inputs!$C$6+Inputs!$C$11,$C189*Inputs!$C$5/12,0)</f>
        <v/>
      </c>
      <c r="F189" s="24">
        <f>IF($B189&lt;=Inputs!$C$6,MAX(0,$D189-$E189),0)</f>
        <v/>
      </c>
      <c r="G189" s="24">
        <f>IF($B189&lt;=Inputs!$C$6,MAX(0,($C189-$F189))*(1-(1-Inputs!$C$8)^(1/12)),0)</f>
        <v/>
      </c>
      <c r="H189" s="24">
        <f>IF($B189&lt;=Inputs!$C$6,MAX(0,($C189-$F189-$G189))*(1-(1-Inputs!$C$9)^(1/12)),0)</f>
        <v/>
      </c>
      <c r="I189" s="24">
        <f>IF($B189&gt;Inputs!$C$11,INDEX($H:$H,ROW()-Inputs!$C$11)* (1-Inputs!$C$10),0)</f>
        <v/>
      </c>
      <c r="J189" s="24">
        <f>$H189*Inputs!$C$10</f>
        <v/>
      </c>
      <c r="K189" s="24">
        <f>IF($B189&lt;=Inputs!$C$6+Inputs!$C$11,$C189*Inputs!$C$7/12,0)</f>
        <v/>
      </c>
      <c r="L189" s="24">
        <f>IF($B189&lt;=Inputs!$C$6+Inputs!$C$11,$E189+$F189+$G189+$I189-$K189,0)</f>
        <v/>
      </c>
      <c r="M189" s="24">
        <f>IF($B189&lt;=Inputs!$C$6,MAX(0,$C189-$F189-$G189-$H189),0)</f>
        <v/>
      </c>
    </row>
    <row r="190">
      <c r="B190" s="22" t="n">
        <v>187</v>
      </c>
      <c r="C190" s="23">
        <f>IF($B190&lt;=Inputs!$C$6+Inputs!$C$11,$M189,"")</f>
        <v/>
      </c>
      <c r="D190" s="24">
        <f>IF($B190&lt;=Inputs!$C$6,-PMT(Inputs!$C$5/12,Inputs!$C$6,Inputs!$C$4),0)</f>
        <v/>
      </c>
      <c r="E190" s="24">
        <f>IF($B190&lt;=Inputs!$C$6+Inputs!$C$11,$C190*Inputs!$C$5/12,0)</f>
        <v/>
      </c>
      <c r="F190" s="24">
        <f>IF($B190&lt;=Inputs!$C$6,MAX(0,$D190-$E190),0)</f>
        <v/>
      </c>
      <c r="G190" s="24">
        <f>IF($B190&lt;=Inputs!$C$6,MAX(0,($C190-$F190))*(1-(1-Inputs!$C$8)^(1/12)),0)</f>
        <v/>
      </c>
      <c r="H190" s="24">
        <f>IF($B190&lt;=Inputs!$C$6,MAX(0,($C190-$F190-$G190))*(1-(1-Inputs!$C$9)^(1/12)),0)</f>
        <v/>
      </c>
      <c r="I190" s="24">
        <f>IF($B190&gt;Inputs!$C$11,INDEX($H:$H,ROW()-Inputs!$C$11)* (1-Inputs!$C$10),0)</f>
        <v/>
      </c>
      <c r="J190" s="24">
        <f>$H190*Inputs!$C$10</f>
        <v/>
      </c>
      <c r="K190" s="24">
        <f>IF($B190&lt;=Inputs!$C$6+Inputs!$C$11,$C190*Inputs!$C$7/12,0)</f>
        <v/>
      </c>
      <c r="L190" s="24">
        <f>IF($B190&lt;=Inputs!$C$6+Inputs!$C$11,$E190+$F190+$G190+$I190-$K190,0)</f>
        <v/>
      </c>
      <c r="M190" s="24">
        <f>IF($B190&lt;=Inputs!$C$6,MAX(0,$C190-$F190-$G190-$H190),0)</f>
        <v/>
      </c>
    </row>
    <row r="191">
      <c r="B191" s="22" t="n">
        <v>188</v>
      </c>
      <c r="C191" s="23">
        <f>IF($B191&lt;=Inputs!$C$6+Inputs!$C$11,$M190,"")</f>
        <v/>
      </c>
      <c r="D191" s="24">
        <f>IF($B191&lt;=Inputs!$C$6,-PMT(Inputs!$C$5/12,Inputs!$C$6,Inputs!$C$4),0)</f>
        <v/>
      </c>
      <c r="E191" s="24">
        <f>IF($B191&lt;=Inputs!$C$6+Inputs!$C$11,$C191*Inputs!$C$5/12,0)</f>
        <v/>
      </c>
      <c r="F191" s="24">
        <f>IF($B191&lt;=Inputs!$C$6,MAX(0,$D191-$E191),0)</f>
        <v/>
      </c>
      <c r="G191" s="24">
        <f>IF($B191&lt;=Inputs!$C$6,MAX(0,($C191-$F191))*(1-(1-Inputs!$C$8)^(1/12)),0)</f>
        <v/>
      </c>
      <c r="H191" s="24">
        <f>IF($B191&lt;=Inputs!$C$6,MAX(0,($C191-$F191-$G191))*(1-(1-Inputs!$C$9)^(1/12)),0)</f>
        <v/>
      </c>
      <c r="I191" s="24">
        <f>IF($B191&gt;Inputs!$C$11,INDEX($H:$H,ROW()-Inputs!$C$11)* (1-Inputs!$C$10),0)</f>
        <v/>
      </c>
      <c r="J191" s="24">
        <f>$H191*Inputs!$C$10</f>
        <v/>
      </c>
      <c r="K191" s="24">
        <f>IF($B191&lt;=Inputs!$C$6+Inputs!$C$11,$C191*Inputs!$C$7/12,0)</f>
        <v/>
      </c>
      <c r="L191" s="24">
        <f>IF($B191&lt;=Inputs!$C$6+Inputs!$C$11,$E191+$F191+$G191+$I191-$K191,0)</f>
        <v/>
      </c>
      <c r="M191" s="24">
        <f>IF($B191&lt;=Inputs!$C$6,MAX(0,$C191-$F191-$G191-$H191),0)</f>
        <v/>
      </c>
    </row>
    <row r="192">
      <c r="B192" s="22" t="n">
        <v>189</v>
      </c>
      <c r="C192" s="23">
        <f>IF($B192&lt;=Inputs!$C$6+Inputs!$C$11,$M191,"")</f>
        <v/>
      </c>
      <c r="D192" s="24">
        <f>IF($B192&lt;=Inputs!$C$6,-PMT(Inputs!$C$5/12,Inputs!$C$6,Inputs!$C$4),0)</f>
        <v/>
      </c>
      <c r="E192" s="24">
        <f>IF($B192&lt;=Inputs!$C$6+Inputs!$C$11,$C192*Inputs!$C$5/12,0)</f>
        <v/>
      </c>
      <c r="F192" s="24">
        <f>IF($B192&lt;=Inputs!$C$6,MAX(0,$D192-$E192),0)</f>
        <v/>
      </c>
      <c r="G192" s="24">
        <f>IF($B192&lt;=Inputs!$C$6,MAX(0,($C192-$F192))*(1-(1-Inputs!$C$8)^(1/12)),0)</f>
        <v/>
      </c>
      <c r="H192" s="24">
        <f>IF($B192&lt;=Inputs!$C$6,MAX(0,($C192-$F192-$G192))*(1-(1-Inputs!$C$9)^(1/12)),0)</f>
        <v/>
      </c>
      <c r="I192" s="24">
        <f>IF($B192&gt;Inputs!$C$11,INDEX($H:$H,ROW()-Inputs!$C$11)* (1-Inputs!$C$10),0)</f>
        <v/>
      </c>
      <c r="J192" s="24">
        <f>$H192*Inputs!$C$10</f>
        <v/>
      </c>
      <c r="K192" s="24">
        <f>IF($B192&lt;=Inputs!$C$6+Inputs!$C$11,$C192*Inputs!$C$7/12,0)</f>
        <v/>
      </c>
      <c r="L192" s="24">
        <f>IF($B192&lt;=Inputs!$C$6+Inputs!$C$11,$E192+$F192+$G192+$I192-$K192,0)</f>
        <v/>
      </c>
      <c r="M192" s="24">
        <f>IF($B192&lt;=Inputs!$C$6,MAX(0,$C192-$F192-$G192-$H192),0)</f>
        <v/>
      </c>
    </row>
    <row r="193">
      <c r="B193" s="22" t="n">
        <v>190</v>
      </c>
      <c r="C193" s="23">
        <f>IF($B193&lt;=Inputs!$C$6+Inputs!$C$11,$M192,"")</f>
        <v/>
      </c>
      <c r="D193" s="24">
        <f>IF($B193&lt;=Inputs!$C$6,-PMT(Inputs!$C$5/12,Inputs!$C$6,Inputs!$C$4),0)</f>
        <v/>
      </c>
      <c r="E193" s="24">
        <f>IF($B193&lt;=Inputs!$C$6+Inputs!$C$11,$C193*Inputs!$C$5/12,0)</f>
        <v/>
      </c>
      <c r="F193" s="24">
        <f>IF($B193&lt;=Inputs!$C$6,MAX(0,$D193-$E193),0)</f>
        <v/>
      </c>
      <c r="G193" s="24">
        <f>IF($B193&lt;=Inputs!$C$6,MAX(0,($C193-$F193))*(1-(1-Inputs!$C$8)^(1/12)),0)</f>
        <v/>
      </c>
      <c r="H193" s="24">
        <f>IF($B193&lt;=Inputs!$C$6,MAX(0,($C193-$F193-$G193))*(1-(1-Inputs!$C$9)^(1/12)),0)</f>
        <v/>
      </c>
      <c r="I193" s="24">
        <f>IF($B193&gt;Inputs!$C$11,INDEX($H:$H,ROW()-Inputs!$C$11)* (1-Inputs!$C$10),0)</f>
        <v/>
      </c>
      <c r="J193" s="24">
        <f>$H193*Inputs!$C$10</f>
        <v/>
      </c>
      <c r="K193" s="24">
        <f>IF($B193&lt;=Inputs!$C$6+Inputs!$C$11,$C193*Inputs!$C$7/12,0)</f>
        <v/>
      </c>
      <c r="L193" s="24">
        <f>IF($B193&lt;=Inputs!$C$6+Inputs!$C$11,$E193+$F193+$G193+$I193-$K193,0)</f>
        <v/>
      </c>
      <c r="M193" s="24">
        <f>IF($B193&lt;=Inputs!$C$6,MAX(0,$C193-$F193-$G193-$H193),0)</f>
        <v/>
      </c>
    </row>
    <row r="194">
      <c r="B194" s="22" t="n">
        <v>191</v>
      </c>
      <c r="C194" s="23">
        <f>IF($B194&lt;=Inputs!$C$6+Inputs!$C$11,$M193,"")</f>
        <v/>
      </c>
      <c r="D194" s="24">
        <f>IF($B194&lt;=Inputs!$C$6,-PMT(Inputs!$C$5/12,Inputs!$C$6,Inputs!$C$4),0)</f>
        <v/>
      </c>
      <c r="E194" s="24">
        <f>IF($B194&lt;=Inputs!$C$6+Inputs!$C$11,$C194*Inputs!$C$5/12,0)</f>
        <v/>
      </c>
      <c r="F194" s="24">
        <f>IF($B194&lt;=Inputs!$C$6,MAX(0,$D194-$E194),0)</f>
        <v/>
      </c>
      <c r="G194" s="24">
        <f>IF($B194&lt;=Inputs!$C$6,MAX(0,($C194-$F194))*(1-(1-Inputs!$C$8)^(1/12)),0)</f>
        <v/>
      </c>
      <c r="H194" s="24">
        <f>IF($B194&lt;=Inputs!$C$6,MAX(0,($C194-$F194-$G194))*(1-(1-Inputs!$C$9)^(1/12)),0)</f>
        <v/>
      </c>
      <c r="I194" s="24">
        <f>IF($B194&gt;Inputs!$C$11,INDEX($H:$H,ROW()-Inputs!$C$11)* (1-Inputs!$C$10),0)</f>
        <v/>
      </c>
      <c r="J194" s="24">
        <f>$H194*Inputs!$C$10</f>
        <v/>
      </c>
      <c r="K194" s="24">
        <f>IF($B194&lt;=Inputs!$C$6+Inputs!$C$11,$C194*Inputs!$C$7/12,0)</f>
        <v/>
      </c>
      <c r="L194" s="24">
        <f>IF($B194&lt;=Inputs!$C$6+Inputs!$C$11,$E194+$F194+$G194+$I194-$K194,0)</f>
        <v/>
      </c>
      <c r="M194" s="24">
        <f>IF($B194&lt;=Inputs!$C$6,MAX(0,$C194-$F194-$G194-$H194),0)</f>
        <v/>
      </c>
    </row>
    <row r="195">
      <c r="B195" s="22" t="n">
        <v>192</v>
      </c>
      <c r="C195" s="23">
        <f>IF($B195&lt;=Inputs!$C$6+Inputs!$C$11,$M194,"")</f>
        <v/>
      </c>
      <c r="D195" s="24">
        <f>IF($B195&lt;=Inputs!$C$6,-PMT(Inputs!$C$5/12,Inputs!$C$6,Inputs!$C$4),0)</f>
        <v/>
      </c>
      <c r="E195" s="24">
        <f>IF($B195&lt;=Inputs!$C$6+Inputs!$C$11,$C195*Inputs!$C$5/12,0)</f>
        <v/>
      </c>
      <c r="F195" s="24">
        <f>IF($B195&lt;=Inputs!$C$6,MAX(0,$D195-$E195),0)</f>
        <v/>
      </c>
      <c r="G195" s="24">
        <f>IF($B195&lt;=Inputs!$C$6,MAX(0,($C195-$F195))*(1-(1-Inputs!$C$8)^(1/12)),0)</f>
        <v/>
      </c>
      <c r="H195" s="24">
        <f>IF($B195&lt;=Inputs!$C$6,MAX(0,($C195-$F195-$G195))*(1-(1-Inputs!$C$9)^(1/12)),0)</f>
        <v/>
      </c>
      <c r="I195" s="24">
        <f>IF($B195&gt;Inputs!$C$11,INDEX($H:$H,ROW()-Inputs!$C$11)* (1-Inputs!$C$10),0)</f>
        <v/>
      </c>
      <c r="J195" s="24">
        <f>$H195*Inputs!$C$10</f>
        <v/>
      </c>
      <c r="K195" s="24">
        <f>IF($B195&lt;=Inputs!$C$6+Inputs!$C$11,$C195*Inputs!$C$7/12,0)</f>
        <v/>
      </c>
      <c r="L195" s="24">
        <f>IF($B195&lt;=Inputs!$C$6+Inputs!$C$11,$E195+$F195+$G195+$I195-$K195,0)</f>
        <v/>
      </c>
      <c r="M195" s="24">
        <f>IF($B195&lt;=Inputs!$C$6,MAX(0,$C195-$F195-$G195-$H195),0)</f>
        <v/>
      </c>
    </row>
    <row r="196">
      <c r="B196" s="22" t="n">
        <v>193</v>
      </c>
      <c r="C196" s="23">
        <f>IF($B196&lt;=Inputs!$C$6+Inputs!$C$11,$M195,"")</f>
        <v/>
      </c>
      <c r="D196" s="24">
        <f>IF($B196&lt;=Inputs!$C$6,-PMT(Inputs!$C$5/12,Inputs!$C$6,Inputs!$C$4),0)</f>
        <v/>
      </c>
      <c r="E196" s="24">
        <f>IF($B196&lt;=Inputs!$C$6+Inputs!$C$11,$C196*Inputs!$C$5/12,0)</f>
        <v/>
      </c>
      <c r="F196" s="24">
        <f>IF($B196&lt;=Inputs!$C$6,MAX(0,$D196-$E196),0)</f>
        <v/>
      </c>
      <c r="G196" s="24">
        <f>IF($B196&lt;=Inputs!$C$6,MAX(0,($C196-$F196))*(1-(1-Inputs!$C$8)^(1/12)),0)</f>
        <v/>
      </c>
      <c r="H196" s="24">
        <f>IF($B196&lt;=Inputs!$C$6,MAX(0,($C196-$F196-$G196))*(1-(1-Inputs!$C$9)^(1/12)),0)</f>
        <v/>
      </c>
      <c r="I196" s="24">
        <f>IF($B196&gt;Inputs!$C$11,INDEX($H:$H,ROW()-Inputs!$C$11)* (1-Inputs!$C$10),0)</f>
        <v/>
      </c>
      <c r="J196" s="24">
        <f>$H196*Inputs!$C$10</f>
        <v/>
      </c>
      <c r="K196" s="24">
        <f>IF($B196&lt;=Inputs!$C$6+Inputs!$C$11,$C196*Inputs!$C$7/12,0)</f>
        <v/>
      </c>
      <c r="L196" s="24">
        <f>IF($B196&lt;=Inputs!$C$6+Inputs!$C$11,$E196+$F196+$G196+$I196-$K196,0)</f>
        <v/>
      </c>
      <c r="M196" s="24">
        <f>IF($B196&lt;=Inputs!$C$6,MAX(0,$C196-$F196-$G196-$H196),0)</f>
        <v/>
      </c>
    </row>
    <row r="197">
      <c r="B197" s="22" t="n">
        <v>194</v>
      </c>
      <c r="C197" s="23">
        <f>IF($B197&lt;=Inputs!$C$6+Inputs!$C$11,$M196,"")</f>
        <v/>
      </c>
      <c r="D197" s="24">
        <f>IF($B197&lt;=Inputs!$C$6,-PMT(Inputs!$C$5/12,Inputs!$C$6,Inputs!$C$4),0)</f>
        <v/>
      </c>
      <c r="E197" s="24">
        <f>IF($B197&lt;=Inputs!$C$6+Inputs!$C$11,$C197*Inputs!$C$5/12,0)</f>
        <v/>
      </c>
      <c r="F197" s="24">
        <f>IF($B197&lt;=Inputs!$C$6,MAX(0,$D197-$E197),0)</f>
        <v/>
      </c>
      <c r="G197" s="24">
        <f>IF($B197&lt;=Inputs!$C$6,MAX(0,($C197-$F197))*(1-(1-Inputs!$C$8)^(1/12)),0)</f>
        <v/>
      </c>
      <c r="H197" s="24">
        <f>IF($B197&lt;=Inputs!$C$6,MAX(0,($C197-$F197-$G197))*(1-(1-Inputs!$C$9)^(1/12)),0)</f>
        <v/>
      </c>
      <c r="I197" s="24">
        <f>IF($B197&gt;Inputs!$C$11,INDEX($H:$H,ROW()-Inputs!$C$11)* (1-Inputs!$C$10),0)</f>
        <v/>
      </c>
      <c r="J197" s="24">
        <f>$H197*Inputs!$C$10</f>
        <v/>
      </c>
      <c r="K197" s="24">
        <f>IF($B197&lt;=Inputs!$C$6+Inputs!$C$11,$C197*Inputs!$C$7/12,0)</f>
        <v/>
      </c>
      <c r="L197" s="24">
        <f>IF($B197&lt;=Inputs!$C$6+Inputs!$C$11,$E197+$F197+$G197+$I197-$K197,0)</f>
        <v/>
      </c>
      <c r="M197" s="24">
        <f>IF($B197&lt;=Inputs!$C$6,MAX(0,$C197-$F197-$G197-$H197),0)</f>
        <v/>
      </c>
    </row>
    <row r="198">
      <c r="B198" s="22" t="n">
        <v>195</v>
      </c>
      <c r="C198" s="23">
        <f>IF($B198&lt;=Inputs!$C$6+Inputs!$C$11,$M197,"")</f>
        <v/>
      </c>
      <c r="D198" s="24">
        <f>IF($B198&lt;=Inputs!$C$6,-PMT(Inputs!$C$5/12,Inputs!$C$6,Inputs!$C$4),0)</f>
        <v/>
      </c>
      <c r="E198" s="24">
        <f>IF($B198&lt;=Inputs!$C$6+Inputs!$C$11,$C198*Inputs!$C$5/12,0)</f>
        <v/>
      </c>
      <c r="F198" s="24">
        <f>IF($B198&lt;=Inputs!$C$6,MAX(0,$D198-$E198),0)</f>
        <v/>
      </c>
      <c r="G198" s="24">
        <f>IF($B198&lt;=Inputs!$C$6,MAX(0,($C198-$F198))*(1-(1-Inputs!$C$8)^(1/12)),0)</f>
        <v/>
      </c>
      <c r="H198" s="24">
        <f>IF($B198&lt;=Inputs!$C$6,MAX(0,($C198-$F198-$G198))*(1-(1-Inputs!$C$9)^(1/12)),0)</f>
        <v/>
      </c>
      <c r="I198" s="24">
        <f>IF($B198&gt;Inputs!$C$11,INDEX($H:$H,ROW()-Inputs!$C$11)* (1-Inputs!$C$10),0)</f>
        <v/>
      </c>
      <c r="J198" s="24">
        <f>$H198*Inputs!$C$10</f>
        <v/>
      </c>
      <c r="K198" s="24">
        <f>IF($B198&lt;=Inputs!$C$6+Inputs!$C$11,$C198*Inputs!$C$7/12,0)</f>
        <v/>
      </c>
      <c r="L198" s="24">
        <f>IF($B198&lt;=Inputs!$C$6+Inputs!$C$11,$E198+$F198+$G198+$I198-$K198,0)</f>
        <v/>
      </c>
      <c r="M198" s="24">
        <f>IF($B198&lt;=Inputs!$C$6,MAX(0,$C198-$F198-$G198-$H198),0)</f>
        <v/>
      </c>
    </row>
    <row r="199">
      <c r="B199" s="22" t="n">
        <v>196</v>
      </c>
      <c r="C199" s="23">
        <f>IF($B199&lt;=Inputs!$C$6+Inputs!$C$11,$M198,"")</f>
        <v/>
      </c>
      <c r="D199" s="24">
        <f>IF($B199&lt;=Inputs!$C$6,-PMT(Inputs!$C$5/12,Inputs!$C$6,Inputs!$C$4),0)</f>
        <v/>
      </c>
      <c r="E199" s="24">
        <f>IF($B199&lt;=Inputs!$C$6+Inputs!$C$11,$C199*Inputs!$C$5/12,0)</f>
        <v/>
      </c>
      <c r="F199" s="24">
        <f>IF($B199&lt;=Inputs!$C$6,MAX(0,$D199-$E199),0)</f>
        <v/>
      </c>
      <c r="G199" s="24">
        <f>IF($B199&lt;=Inputs!$C$6,MAX(0,($C199-$F199))*(1-(1-Inputs!$C$8)^(1/12)),0)</f>
        <v/>
      </c>
      <c r="H199" s="24">
        <f>IF($B199&lt;=Inputs!$C$6,MAX(0,($C199-$F199-$G199))*(1-(1-Inputs!$C$9)^(1/12)),0)</f>
        <v/>
      </c>
      <c r="I199" s="24">
        <f>IF($B199&gt;Inputs!$C$11,INDEX($H:$H,ROW()-Inputs!$C$11)* (1-Inputs!$C$10),0)</f>
        <v/>
      </c>
      <c r="J199" s="24">
        <f>$H199*Inputs!$C$10</f>
        <v/>
      </c>
      <c r="K199" s="24">
        <f>IF($B199&lt;=Inputs!$C$6+Inputs!$C$11,$C199*Inputs!$C$7/12,0)</f>
        <v/>
      </c>
      <c r="L199" s="24">
        <f>IF($B199&lt;=Inputs!$C$6+Inputs!$C$11,$E199+$F199+$G199+$I199-$K199,0)</f>
        <v/>
      </c>
      <c r="M199" s="24">
        <f>IF($B199&lt;=Inputs!$C$6,MAX(0,$C199-$F199-$G199-$H199),0)</f>
        <v/>
      </c>
    </row>
    <row r="200">
      <c r="B200" s="22" t="n">
        <v>197</v>
      </c>
      <c r="C200" s="23">
        <f>IF($B200&lt;=Inputs!$C$6+Inputs!$C$11,$M199,"")</f>
        <v/>
      </c>
      <c r="D200" s="24">
        <f>IF($B200&lt;=Inputs!$C$6,-PMT(Inputs!$C$5/12,Inputs!$C$6,Inputs!$C$4),0)</f>
        <v/>
      </c>
      <c r="E200" s="24">
        <f>IF($B200&lt;=Inputs!$C$6+Inputs!$C$11,$C200*Inputs!$C$5/12,0)</f>
        <v/>
      </c>
      <c r="F200" s="24">
        <f>IF($B200&lt;=Inputs!$C$6,MAX(0,$D200-$E200),0)</f>
        <v/>
      </c>
      <c r="G200" s="24">
        <f>IF($B200&lt;=Inputs!$C$6,MAX(0,($C200-$F200))*(1-(1-Inputs!$C$8)^(1/12)),0)</f>
        <v/>
      </c>
      <c r="H200" s="24">
        <f>IF($B200&lt;=Inputs!$C$6,MAX(0,($C200-$F200-$G200))*(1-(1-Inputs!$C$9)^(1/12)),0)</f>
        <v/>
      </c>
      <c r="I200" s="24">
        <f>IF($B200&gt;Inputs!$C$11,INDEX($H:$H,ROW()-Inputs!$C$11)* (1-Inputs!$C$10),0)</f>
        <v/>
      </c>
      <c r="J200" s="24">
        <f>$H200*Inputs!$C$10</f>
        <v/>
      </c>
      <c r="K200" s="24">
        <f>IF($B200&lt;=Inputs!$C$6+Inputs!$C$11,$C200*Inputs!$C$7/12,0)</f>
        <v/>
      </c>
      <c r="L200" s="24">
        <f>IF($B200&lt;=Inputs!$C$6+Inputs!$C$11,$E200+$F200+$G200+$I200-$K200,0)</f>
        <v/>
      </c>
      <c r="M200" s="24">
        <f>IF($B200&lt;=Inputs!$C$6,MAX(0,$C200-$F200-$G200-$H200),0)</f>
        <v/>
      </c>
    </row>
    <row r="201">
      <c r="B201" s="22" t="n">
        <v>198</v>
      </c>
      <c r="C201" s="23">
        <f>IF($B201&lt;=Inputs!$C$6+Inputs!$C$11,$M200,"")</f>
        <v/>
      </c>
      <c r="D201" s="24">
        <f>IF($B201&lt;=Inputs!$C$6,-PMT(Inputs!$C$5/12,Inputs!$C$6,Inputs!$C$4),0)</f>
        <v/>
      </c>
      <c r="E201" s="24">
        <f>IF($B201&lt;=Inputs!$C$6+Inputs!$C$11,$C201*Inputs!$C$5/12,0)</f>
        <v/>
      </c>
      <c r="F201" s="24">
        <f>IF($B201&lt;=Inputs!$C$6,MAX(0,$D201-$E201),0)</f>
        <v/>
      </c>
      <c r="G201" s="24">
        <f>IF($B201&lt;=Inputs!$C$6,MAX(0,($C201-$F201))*(1-(1-Inputs!$C$8)^(1/12)),0)</f>
        <v/>
      </c>
      <c r="H201" s="24">
        <f>IF($B201&lt;=Inputs!$C$6,MAX(0,($C201-$F201-$G201))*(1-(1-Inputs!$C$9)^(1/12)),0)</f>
        <v/>
      </c>
      <c r="I201" s="24">
        <f>IF($B201&gt;Inputs!$C$11,INDEX($H:$H,ROW()-Inputs!$C$11)* (1-Inputs!$C$10),0)</f>
        <v/>
      </c>
      <c r="J201" s="24">
        <f>$H201*Inputs!$C$10</f>
        <v/>
      </c>
      <c r="K201" s="24">
        <f>IF($B201&lt;=Inputs!$C$6+Inputs!$C$11,$C201*Inputs!$C$7/12,0)</f>
        <v/>
      </c>
      <c r="L201" s="24">
        <f>IF($B201&lt;=Inputs!$C$6+Inputs!$C$11,$E201+$F201+$G201+$I201-$K201,0)</f>
        <v/>
      </c>
      <c r="M201" s="24">
        <f>IF($B201&lt;=Inputs!$C$6,MAX(0,$C201-$F201-$G201-$H201),0)</f>
        <v/>
      </c>
    </row>
    <row r="202">
      <c r="B202" s="22" t="n">
        <v>199</v>
      </c>
      <c r="C202" s="23">
        <f>IF($B202&lt;=Inputs!$C$6+Inputs!$C$11,$M201,"")</f>
        <v/>
      </c>
      <c r="D202" s="24">
        <f>IF($B202&lt;=Inputs!$C$6,-PMT(Inputs!$C$5/12,Inputs!$C$6,Inputs!$C$4),0)</f>
        <v/>
      </c>
      <c r="E202" s="24">
        <f>IF($B202&lt;=Inputs!$C$6+Inputs!$C$11,$C202*Inputs!$C$5/12,0)</f>
        <v/>
      </c>
      <c r="F202" s="24">
        <f>IF($B202&lt;=Inputs!$C$6,MAX(0,$D202-$E202),0)</f>
        <v/>
      </c>
      <c r="G202" s="24">
        <f>IF($B202&lt;=Inputs!$C$6,MAX(0,($C202-$F202))*(1-(1-Inputs!$C$8)^(1/12)),0)</f>
        <v/>
      </c>
      <c r="H202" s="24">
        <f>IF($B202&lt;=Inputs!$C$6,MAX(0,($C202-$F202-$G202))*(1-(1-Inputs!$C$9)^(1/12)),0)</f>
        <v/>
      </c>
      <c r="I202" s="24">
        <f>IF($B202&gt;Inputs!$C$11,INDEX($H:$H,ROW()-Inputs!$C$11)* (1-Inputs!$C$10),0)</f>
        <v/>
      </c>
      <c r="J202" s="24">
        <f>$H202*Inputs!$C$10</f>
        <v/>
      </c>
      <c r="K202" s="24">
        <f>IF($B202&lt;=Inputs!$C$6+Inputs!$C$11,$C202*Inputs!$C$7/12,0)</f>
        <v/>
      </c>
      <c r="L202" s="24">
        <f>IF($B202&lt;=Inputs!$C$6+Inputs!$C$11,$E202+$F202+$G202+$I202-$K202,0)</f>
        <v/>
      </c>
      <c r="M202" s="24">
        <f>IF($B202&lt;=Inputs!$C$6,MAX(0,$C202-$F202-$G202-$H202),0)</f>
        <v/>
      </c>
    </row>
    <row r="203">
      <c r="B203" s="22" t="n">
        <v>200</v>
      </c>
      <c r="C203" s="23">
        <f>IF($B203&lt;=Inputs!$C$6+Inputs!$C$11,$M202,"")</f>
        <v/>
      </c>
      <c r="D203" s="24">
        <f>IF($B203&lt;=Inputs!$C$6,-PMT(Inputs!$C$5/12,Inputs!$C$6,Inputs!$C$4),0)</f>
        <v/>
      </c>
      <c r="E203" s="24">
        <f>IF($B203&lt;=Inputs!$C$6+Inputs!$C$11,$C203*Inputs!$C$5/12,0)</f>
        <v/>
      </c>
      <c r="F203" s="24">
        <f>IF($B203&lt;=Inputs!$C$6,MAX(0,$D203-$E203),0)</f>
        <v/>
      </c>
      <c r="G203" s="24">
        <f>IF($B203&lt;=Inputs!$C$6,MAX(0,($C203-$F203))*(1-(1-Inputs!$C$8)^(1/12)),0)</f>
        <v/>
      </c>
      <c r="H203" s="24">
        <f>IF($B203&lt;=Inputs!$C$6,MAX(0,($C203-$F203-$G203))*(1-(1-Inputs!$C$9)^(1/12)),0)</f>
        <v/>
      </c>
      <c r="I203" s="24">
        <f>IF($B203&gt;Inputs!$C$11,INDEX($H:$H,ROW()-Inputs!$C$11)* (1-Inputs!$C$10),0)</f>
        <v/>
      </c>
      <c r="J203" s="24">
        <f>$H203*Inputs!$C$10</f>
        <v/>
      </c>
      <c r="K203" s="24">
        <f>IF($B203&lt;=Inputs!$C$6+Inputs!$C$11,$C203*Inputs!$C$7/12,0)</f>
        <v/>
      </c>
      <c r="L203" s="24">
        <f>IF($B203&lt;=Inputs!$C$6+Inputs!$C$11,$E203+$F203+$G203+$I203-$K203,0)</f>
        <v/>
      </c>
      <c r="M203" s="24">
        <f>IF($B203&lt;=Inputs!$C$6,MAX(0,$C203-$F203-$G203-$H203),0)</f>
        <v/>
      </c>
    </row>
    <row r="204">
      <c r="B204" s="22" t="n">
        <v>201</v>
      </c>
      <c r="C204" s="23">
        <f>IF($B204&lt;=Inputs!$C$6+Inputs!$C$11,$M203,"")</f>
        <v/>
      </c>
      <c r="D204" s="24">
        <f>IF($B204&lt;=Inputs!$C$6,-PMT(Inputs!$C$5/12,Inputs!$C$6,Inputs!$C$4),0)</f>
        <v/>
      </c>
      <c r="E204" s="24">
        <f>IF($B204&lt;=Inputs!$C$6+Inputs!$C$11,$C204*Inputs!$C$5/12,0)</f>
        <v/>
      </c>
      <c r="F204" s="24">
        <f>IF($B204&lt;=Inputs!$C$6,MAX(0,$D204-$E204),0)</f>
        <v/>
      </c>
      <c r="G204" s="24">
        <f>IF($B204&lt;=Inputs!$C$6,MAX(0,($C204-$F204))*(1-(1-Inputs!$C$8)^(1/12)),0)</f>
        <v/>
      </c>
      <c r="H204" s="24">
        <f>IF($B204&lt;=Inputs!$C$6,MAX(0,($C204-$F204-$G204))*(1-(1-Inputs!$C$9)^(1/12)),0)</f>
        <v/>
      </c>
      <c r="I204" s="24">
        <f>IF($B204&gt;Inputs!$C$11,INDEX($H:$H,ROW()-Inputs!$C$11)* (1-Inputs!$C$10),0)</f>
        <v/>
      </c>
      <c r="J204" s="24">
        <f>$H204*Inputs!$C$10</f>
        <v/>
      </c>
      <c r="K204" s="24">
        <f>IF($B204&lt;=Inputs!$C$6+Inputs!$C$11,$C204*Inputs!$C$7/12,0)</f>
        <v/>
      </c>
      <c r="L204" s="24">
        <f>IF($B204&lt;=Inputs!$C$6+Inputs!$C$11,$E204+$F204+$G204+$I204-$K204,0)</f>
        <v/>
      </c>
      <c r="M204" s="24">
        <f>IF($B204&lt;=Inputs!$C$6,MAX(0,$C204-$F204-$G204-$H204),0)</f>
        <v/>
      </c>
    </row>
    <row r="205">
      <c r="B205" s="22" t="n">
        <v>202</v>
      </c>
      <c r="C205" s="23">
        <f>IF($B205&lt;=Inputs!$C$6+Inputs!$C$11,$M204,"")</f>
        <v/>
      </c>
      <c r="D205" s="24">
        <f>IF($B205&lt;=Inputs!$C$6,-PMT(Inputs!$C$5/12,Inputs!$C$6,Inputs!$C$4),0)</f>
        <v/>
      </c>
      <c r="E205" s="24">
        <f>IF($B205&lt;=Inputs!$C$6+Inputs!$C$11,$C205*Inputs!$C$5/12,0)</f>
        <v/>
      </c>
      <c r="F205" s="24">
        <f>IF($B205&lt;=Inputs!$C$6,MAX(0,$D205-$E205),0)</f>
        <v/>
      </c>
      <c r="G205" s="24">
        <f>IF($B205&lt;=Inputs!$C$6,MAX(0,($C205-$F205))*(1-(1-Inputs!$C$8)^(1/12)),0)</f>
        <v/>
      </c>
      <c r="H205" s="24">
        <f>IF($B205&lt;=Inputs!$C$6,MAX(0,($C205-$F205-$G205))*(1-(1-Inputs!$C$9)^(1/12)),0)</f>
        <v/>
      </c>
      <c r="I205" s="24">
        <f>IF($B205&gt;Inputs!$C$11,INDEX($H:$H,ROW()-Inputs!$C$11)* (1-Inputs!$C$10),0)</f>
        <v/>
      </c>
      <c r="J205" s="24">
        <f>$H205*Inputs!$C$10</f>
        <v/>
      </c>
      <c r="K205" s="24">
        <f>IF($B205&lt;=Inputs!$C$6+Inputs!$C$11,$C205*Inputs!$C$7/12,0)</f>
        <v/>
      </c>
      <c r="L205" s="24">
        <f>IF($B205&lt;=Inputs!$C$6+Inputs!$C$11,$E205+$F205+$G205+$I205-$K205,0)</f>
        <v/>
      </c>
      <c r="M205" s="24">
        <f>IF($B205&lt;=Inputs!$C$6,MAX(0,$C205-$F205-$G205-$H205),0)</f>
        <v/>
      </c>
    </row>
    <row r="206">
      <c r="B206" s="22" t="n">
        <v>203</v>
      </c>
      <c r="C206" s="23">
        <f>IF($B206&lt;=Inputs!$C$6+Inputs!$C$11,$M205,"")</f>
        <v/>
      </c>
      <c r="D206" s="24">
        <f>IF($B206&lt;=Inputs!$C$6,-PMT(Inputs!$C$5/12,Inputs!$C$6,Inputs!$C$4),0)</f>
        <v/>
      </c>
      <c r="E206" s="24">
        <f>IF($B206&lt;=Inputs!$C$6+Inputs!$C$11,$C206*Inputs!$C$5/12,0)</f>
        <v/>
      </c>
      <c r="F206" s="24">
        <f>IF($B206&lt;=Inputs!$C$6,MAX(0,$D206-$E206),0)</f>
        <v/>
      </c>
      <c r="G206" s="24">
        <f>IF($B206&lt;=Inputs!$C$6,MAX(0,($C206-$F206))*(1-(1-Inputs!$C$8)^(1/12)),0)</f>
        <v/>
      </c>
      <c r="H206" s="24">
        <f>IF($B206&lt;=Inputs!$C$6,MAX(0,($C206-$F206-$G206))*(1-(1-Inputs!$C$9)^(1/12)),0)</f>
        <v/>
      </c>
      <c r="I206" s="24">
        <f>IF($B206&gt;Inputs!$C$11,INDEX($H:$H,ROW()-Inputs!$C$11)* (1-Inputs!$C$10),0)</f>
        <v/>
      </c>
      <c r="J206" s="24">
        <f>$H206*Inputs!$C$10</f>
        <v/>
      </c>
      <c r="K206" s="24">
        <f>IF($B206&lt;=Inputs!$C$6+Inputs!$C$11,$C206*Inputs!$C$7/12,0)</f>
        <v/>
      </c>
      <c r="L206" s="24">
        <f>IF($B206&lt;=Inputs!$C$6+Inputs!$C$11,$E206+$F206+$G206+$I206-$K206,0)</f>
        <v/>
      </c>
      <c r="M206" s="24">
        <f>IF($B206&lt;=Inputs!$C$6,MAX(0,$C206-$F206-$G206-$H206),0)</f>
        <v/>
      </c>
    </row>
    <row r="207">
      <c r="B207" s="22" t="n">
        <v>204</v>
      </c>
      <c r="C207" s="23">
        <f>IF($B207&lt;=Inputs!$C$6+Inputs!$C$11,$M206,"")</f>
        <v/>
      </c>
      <c r="D207" s="24">
        <f>IF($B207&lt;=Inputs!$C$6,-PMT(Inputs!$C$5/12,Inputs!$C$6,Inputs!$C$4),0)</f>
        <v/>
      </c>
      <c r="E207" s="24">
        <f>IF($B207&lt;=Inputs!$C$6+Inputs!$C$11,$C207*Inputs!$C$5/12,0)</f>
        <v/>
      </c>
      <c r="F207" s="24">
        <f>IF($B207&lt;=Inputs!$C$6,MAX(0,$D207-$E207),0)</f>
        <v/>
      </c>
      <c r="G207" s="24">
        <f>IF($B207&lt;=Inputs!$C$6,MAX(0,($C207-$F207))*(1-(1-Inputs!$C$8)^(1/12)),0)</f>
        <v/>
      </c>
      <c r="H207" s="24">
        <f>IF($B207&lt;=Inputs!$C$6,MAX(0,($C207-$F207-$G207))*(1-(1-Inputs!$C$9)^(1/12)),0)</f>
        <v/>
      </c>
      <c r="I207" s="24">
        <f>IF($B207&gt;Inputs!$C$11,INDEX($H:$H,ROW()-Inputs!$C$11)* (1-Inputs!$C$10),0)</f>
        <v/>
      </c>
      <c r="J207" s="24">
        <f>$H207*Inputs!$C$10</f>
        <v/>
      </c>
      <c r="K207" s="24">
        <f>IF($B207&lt;=Inputs!$C$6+Inputs!$C$11,$C207*Inputs!$C$7/12,0)</f>
        <v/>
      </c>
      <c r="L207" s="24">
        <f>IF($B207&lt;=Inputs!$C$6+Inputs!$C$11,$E207+$F207+$G207+$I207-$K207,0)</f>
        <v/>
      </c>
      <c r="M207" s="24">
        <f>IF($B207&lt;=Inputs!$C$6,MAX(0,$C207-$F207-$G207-$H207),0)</f>
        <v/>
      </c>
    </row>
    <row r="208">
      <c r="B208" s="22" t="n">
        <v>205</v>
      </c>
      <c r="C208" s="23">
        <f>IF($B208&lt;=Inputs!$C$6+Inputs!$C$11,$M207,"")</f>
        <v/>
      </c>
      <c r="D208" s="24">
        <f>IF($B208&lt;=Inputs!$C$6,-PMT(Inputs!$C$5/12,Inputs!$C$6,Inputs!$C$4),0)</f>
        <v/>
      </c>
      <c r="E208" s="24">
        <f>IF($B208&lt;=Inputs!$C$6+Inputs!$C$11,$C208*Inputs!$C$5/12,0)</f>
        <v/>
      </c>
      <c r="F208" s="24">
        <f>IF($B208&lt;=Inputs!$C$6,MAX(0,$D208-$E208),0)</f>
        <v/>
      </c>
      <c r="G208" s="24">
        <f>IF($B208&lt;=Inputs!$C$6,MAX(0,($C208-$F208))*(1-(1-Inputs!$C$8)^(1/12)),0)</f>
        <v/>
      </c>
      <c r="H208" s="24">
        <f>IF($B208&lt;=Inputs!$C$6,MAX(0,($C208-$F208-$G208))*(1-(1-Inputs!$C$9)^(1/12)),0)</f>
        <v/>
      </c>
      <c r="I208" s="24">
        <f>IF($B208&gt;Inputs!$C$11,INDEX($H:$H,ROW()-Inputs!$C$11)* (1-Inputs!$C$10),0)</f>
        <v/>
      </c>
      <c r="J208" s="24">
        <f>$H208*Inputs!$C$10</f>
        <v/>
      </c>
      <c r="K208" s="24">
        <f>IF($B208&lt;=Inputs!$C$6+Inputs!$C$11,$C208*Inputs!$C$7/12,0)</f>
        <v/>
      </c>
      <c r="L208" s="24">
        <f>IF($B208&lt;=Inputs!$C$6+Inputs!$C$11,$E208+$F208+$G208+$I208-$K208,0)</f>
        <v/>
      </c>
      <c r="M208" s="24">
        <f>IF($B208&lt;=Inputs!$C$6,MAX(0,$C208-$F208-$G208-$H208),0)</f>
        <v/>
      </c>
    </row>
    <row r="209">
      <c r="B209" s="22" t="n">
        <v>206</v>
      </c>
      <c r="C209" s="23">
        <f>IF($B209&lt;=Inputs!$C$6+Inputs!$C$11,$M208,"")</f>
        <v/>
      </c>
      <c r="D209" s="24">
        <f>IF($B209&lt;=Inputs!$C$6,-PMT(Inputs!$C$5/12,Inputs!$C$6,Inputs!$C$4),0)</f>
        <v/>
      </c>
      <c r="E209" s="24">
        <f>IF($B209&lt;=Inputs!$C$6+Inputs!$C$11,$C209*Inputs!$C$5/12,0)</f>
        <v/>
      </c>
      <c r="F209" s="24">
        <f>IF($B209&lt;=Inputs!$C$6,MAX(0,$D209-$E209),0)</f>
        <v/>
      </c>
      <c r="G209" s="24">
        <f>IF($B209&lt;=Inputs!$C$6,MAX(0,($C209-$F209))*(1-(1-Inputs!$C$8)^(1/12)),0)</f>
        <v/>
      </c>
      <c r="H209" s="24">
        <f>IF($B209&lt;=Inputs!$C$6,MAX(0,($C209-$F209-$G209))*(1-(1-Inputs!$C$9)^(1/12)),0)</f>
        <v/>
      </c>
      <c r="I209" s="24">
        <f>IF($B209&gt;Inputs!$C$11,INDEX($H:$H,ROW()-Inputs!$C$11)* (1-Inputs!$C$10),0)</f>
        <v/>
      </c>
      <c r="J209" s="24">
        <f>$H209*Inputs!$C$10</f>
        <v/>
      </c>
      <c r="K209" s="24">
        <f>IF($B209&lt;=Inputs!$C$6+Inputs!$C$11,$C209*Inputs!$C$7/12,0)</f>
        <v/>
      </c>
      <c r="L209" s="24">
        <f>IF($B209&lt;=Inputs!$C$6+Inputs!$C$11,$E209+$F209+$G209+$I209-$K209,0)</f>
        <v/>
      </c>
      <c r="M209" s="24">
        <f>IF($B209&lt;=Inputs!$C$6,MAX(0,$C209-$F209-$G209-$H209),0)</f>
        <v/>
      </c>
    </row>
    <row r="210">
      <c r="B210" s="22" t="n">
        <v>207</v>
      </c>
      <c r="C210" s="23">
        <f>IF($B210&lt;=Inputs!$C$6+Inputs!$C$11,$M209,"")</f>
        <v/>
      </c>
      <c r="D210" s="24">
        <f>IF($B210&lt;=Inputs!$C$6,-PMT(Inputs!$C$5/12,Inputs!$C$6,Inputs!$C$4),0)</f>
        <v/>
      </c>
      <c r="E210" s="24">
        <f>IF($B210&lt;=Inputs!$C$6+Inputs!$C$11,$C210*Inputs!$C$5/12,0)</f>
        <v/>
      </c>
      <c r="F210" s="24">
        <f>IF($B210&lt;=Inputs!$C$6,MAX(0,$D210-$E210),0)</f>
        <v/>
      </c>
      <c r="G210" s="24">
        <f>IF($B210&lt;=Inputs!$C$6,MAX(0,($C210-$F210))*(1-(1-Inputs!$C$8)^(1/12)),0)</f>
        <v/>
      </c>
      <c r="H210" s="24">
        <f>IF($B210&lt;=Inputs!$C$6,MAX(0,($C210-$F210-$G210))*(1-(1-Inputs!$C$9)^(1/12)),0)</f>
        <v/>
      </c>
      <c r="I210" s="24">
        <f>IF($B210&gt;Inputs!$C$11,INDEX($H:$H,ROW()-Inputs!$C$11)* (1-Inputs!$C$10),0)</f>
        <v/>
      </c>
      <c r="J210" s="24">
        <f>$H210*Inputs!$C$10</f>
        <v/>
      </c>
      <c r="K210" s="24">
        <f>IF($B210&lt;=Inputs!$C$6+Inputs!$C$11,$C210*Inputs!$C$7/12,0)</f>
        <v/>
      </c>
      <c r="L210" s="24">
        <f>IF($B210&lt;=Inputs!$C$6+Inputs!$C$11,$E210+$F210+$G210+$I210-$K210,0)</f>
        <v/>
      </c>
      <c r="M210" s="24">
        <f>IF($B210&lt;=Inputs!$C$6,MAX(0,$C210-$F210-$G210-$H210),0)</f>
        <v/>
      </c>
    </row>
    <row r="211">
      <c r="B211" s="22" t="n">
        <v>208</v>
      </c>
      <c r="C211" s="23">
        <f>IF($B211&lt;=Inputs!$C$6+Inputs!$C$11,$M210,"")</f>
        <v/>
      </c>
      <c r="D211" s="24">
        <f>IF($B211&lt;=Inputs!$C$6,-PMT(Inputs!$C$5/12,Inputs!$C$6,Inputs!$C$4),0)</f>
        <v/>
      </c>
      <c r="E211" s="24">
        <f>IF($B211&lt;=Inputs!$C$6+Inputs!$C$11,$C211*Inputs!$C$5/12,0)</f>
        <v/>
      </c>
      <c r="F211" s="24">
        <f>IF($B211&lt;=Inputs!$C$6,MAX(0,$D211-$E211),0)</f>
        <v/>
      </c>
      <c r="G211" s="24">
        <f>IF($B211&lt;=Inputs!$C$6,MAX(0,($C211-$F211))*(1-(1-Inputs!$C$8)^(1/12)),0)</f>
        <v/>
      </c>
      <c r="H211" s="24">
        <f>IF($B211&lt;=Inputs!$C$6,MAX(0,($C211-$F211-$G211))*(1-(1-Inputs!$C$9)^(1/12)),0)</f>
        <v/>
      </c>
      <c r="I211" s="24">
        <f>IF($B211&gt;Inputs!$C$11,INDEX($H:$H,ROW()-Inputs!$C$11)* (1-Inputs!$C$10),0)</f>
        <v/>
      </c>
      <c r="J211" s="24">
        <f>$H211*Inputs!$C$10</f>
        <v/>
      </c>
      <c r="K211" s="24">
        <f>IF($B211&lt;=Inputs!$C$6+Inputs!$C$11,$C211*Inputs!$C$7/12,0)</f>
        <v/>
      </c>
      <c r="L211" s="24">
        <f>IF($B211&lt;=Inputs!$C$6+Inputs!$C$11,$E211+$F211+$G211+$I211-$K211,0)</f>
        <v/>
      </c>
      <c r="M211" s="24">
        <f>IF($B211&lt;=Inputs!$C$6,MAX(0,$C211-$F211-$G211-$H211),0)</f>
        <v/>
      </c>
    </row>
    <row r="212">
      <c r="B212" s="22" t="n">
        <v>209</v>
      </c>
      <c r="C212" s="23">
        <f>IF($B212&lt;=Inputs!$C$6+Inputs!$C$11,$M211,"")</f>
        <v/>
      </c>
      <c r="D212" s="24">
        <f>IF($B212&lt;=Inputs!$C$6,-PMT(Inputs!$C$5/12,Inputs!$C$6,Inputs!$C$4),0)</f>
        <v/>
      </c>
      <c r="E212" s="24">
        <f>IF($B212&lt;=Inputs!$C$6+Inputs!$C$11,$C212*Inputs!$C$5/12,0)</f>
        <v/>
      </c>
      <c r="F212" s="24">
        <f>IF($B212&lt;=Inputs!$C$6,MAX(0,$D212-$E212),0)</f>
        <v/>
      </c>
      <c r="G212" s="24">
        <f>IF($B212&lt;=Inputs!$C$6,MAX(0,($C212-$F212))*(1-(1-Inputs!$C$8)^(1/12)),0)</f>
        <v/>
      </c>
      <c r="H212" s="24">
        <f>IF($B212&lt;=Inputs!$C$6,MAX(0,($C212-$F212-$G212))*(1-(1-Inputs!$C$9)^(1/12)),0)</f>
        <v/>
      </c>
      <c r="I212" s="24">
        <f>IF($B212&gt;Inputs!$C$11,INDEX($H:$H,ROW()-Inputs!$C$11)* (1-Inputs!$C$10),0)</f>
        <v/>
      </c>
      <c r="J212" s="24">
        <f>$H212*Inputs!$C$10</f>
        <v/>
      </c>
      <c r="K212" s="24">
        <f>IF($B212&lt;=Inputs!$C$6+Inputs!$C$11,$C212*Inputs!$C$7/12,0)</f>
        <v/>
      </c>
      <c r="L212" s="24">
        <f>IF($B212&lt;=Inputs!$C$6+Inputs!$C$11,$E212+$F212+$G212+$I212-$K212,0)</f>
        <v/>
      </c>
      <c r="M212" s="24">
        <f>IF($B212&lt;=Inputs!$C$6,MAX(0,$C212-$F212-$G212-$H212),0)</f>
        <v/>
      </c>
    </row>
    <row r="213">
      <c r="B213" s="22" t="n">
        <v>210</v>
      </c>
      <c r="C213" s="23">
        <f>IF($B213&lt;=Inputs!$C$6+Inputs!$C$11,$M212,"")</f>
        <v/>
      </c>
      <c r="D213" s="24">
        <f>IF($B213&lt;=Inputs!$C$6,-PMT(Inputs!$C$5/12,Inputs!$C$6,Inputs!$C$4),0)</f>
        <v/>
      </c>
      <c r="E213" s="24">
        <f>IF($B213&lt;=Inputs!$C$6+Inputs!$C$11,$C213*Inputs!$C$5/12,0)</f>
        <v/>
      </c>
      <c r="F213" s="24">
        <f>IF($B213&lt;=Inputs!$C$6,MAX(0,$D213-$E213),0)</f>
        <v/>
      </c>
      <c r="G213" s="24">
        <f>IF($B213&lt;=Inputs!$C$6,MAX(0,($C213-$F213))*(1-(1-Inputs!$C$8)^(1/12)),0)</f>
        <v/>
      </c>
      <c r="H213" s="24">
        <f>IF($B213&lt;=Inputs!$C$6,MAX(0,($C213-$F213-$G213))*(1-(1-Inputs!$C$9)^(1/12)),0)</f>
        <v/>
      </c>
      <c r="I213" s="24">
        <f>IF($B213&gt;Inputs!$C$11,INDEX($H:$H,ROW()-Inputs!$C$11)* (1-Inputs!$C$10),0)</f>
        <v/>
      </c>
      <c r="J213" s="24">
        <f>$H213*Inputs!$C$10</f>
        <v/>
      </c>
      <c r="K213" s="24">
        <f>IF($B213&lt;=Inputs!$C$6+Inputs!$C$11,$C213*Inputs!$C$7/12,0)</f>
        <v/>
      </c>
      <c r="L213" s="24">
        <f>IF($B213&lt;=Inputs!$C$6+Inputs!$C$11,$E213+$F213+$G213+$I213-$K213,0)</f>
        <v/>
      </c>
      <c r="M213" s="24">
        <f>IF($B213&lt;=Inputs!$C$6,MAX(0,$C213-$F213-$G213-$H213),0)</f>
        <v/>
      </c>
    </row>
    <row r="214">
      <c r="B214" s="22" t="n">
        <v>211</v>
      </c>
      <c r="C214" s="23">
        <f>IF($B214&lt;=Inputs!$C$6+Inputs!$C$11,$M213,"")</f>
        <v/>
      </c>
      <c r="D214" s="24">
        <f>IF($B214&lt;=Inputs!$C$6,-PMT(Inputs!$C$5/12,Inputs!$C$6,Inputs!$C$4),0)</f>
        <v/>
      </c>
      <c r="E214" s="24">
        <f>IF($B214&lt;=Inputs!$C$6+Inputs!$C$11,$C214*Inputs!$C$5/12,0)</f>
        <v/>
      </c>
      <c r="F214" s="24">
        <f>IF($B214&lt;=Inputs!$C$6,MAX(0,$D214-$E214),0)</f>
        <v/>
      </c>
      <c r="G214" s="24">
        <f>IF($B214&lt;=Inputs!$C$6,MAX(0,($C214-$F214))*(1-(1-Inputs!$C$8)^(1/12)),0)</f>
        <v/>
      </c>
      <c r="H214" s="24">
        <f>IF($B214&lt;=Inputs!$C$6,MAX(0,($C214-$F214-$G214))*(1-(1-Inputs!$C$9)^(1/12)),0)</f>
        <v/>
      </c>
      <c r="I214" s="24">
        <f>IF($B214&gt;Inputs!$C$11,INDEX($H:$H,ROW()-Inputs!$C$11)* (1-Inputs!$C$10),0)</f>
        <v/>
      </c>
      <c r="J214" s="24">
        <f>$H214*Inputs!$C$10</f>
        <v/>
      </c>
      <c r="K214" s="24">
        <f>IF($B214&lt;=Inputs!$C$6+Inputs!$C$11,$C214*Inputs!$C$7/12,0)</f>
        <v/>
      </c>
      <c r="L214" s="24">
        <f>IF($B214&lt;=Inputs!$C$6+Inputs!$C$11,$E214+$F214+$G214+$I214-$K214,0)</f>
        <v/>
      </c>
      <c r="M214" s="24">
        <f>IF($B214&lt;=Inputs!$C$6,MAX(0,$C214-$F214-$G214-$H214),0)</f>
        <v/>
      </c>
    </row>
    <row r="215">
      <c r="B215" s="22" t="n">
        <v>212</v>
      </c>
      <c r="C215" s="23">
        <f>IF($B215&lt;=Inputs!$C$6+Inputs!$C$11,$M214,"")</f>
        <v/>
      </c>
      <c r="D215" s="24">
        <f>IF($B215&lt;=Inputs!$C$6,-PMT(Inputs!$C$5/12,Inputs!$C$6,Inputs!$C$4),0)</f>
        <v/>
      </c>
      <c r="E215" s="24">
        <f>IF($B215&lt;=Inputs!$C$6+Inputs!$C$11,$C215*Inputs!$C$5/12,0)</f>
        <v/>
      </c>
      <c r="F215" s="24">
        <f>IF($B215&lt;=Inputs!$C$6,MAX(0,$D215-$E215),0)</f>
        <v/>
      </c>
      <c r="G215" s="24">
        <f>IF($B215&lt;=Inputs!$C$6,MAX(0,($C215-$F215))*(1-(1-Inputs!$C$8)^(1/12)),0)</f>
        <v/>
      </c>
      <c r="H215" s="24">
        <f>IF($B215&lt;=Inputs!$C$6,MAX(0,($C215-$F215-$G215))*(1-(1-Inputs!$C$9)^(1/12)),0)</f>
        <v/>
      </c>
      <c r="I215" s="24">
        <f>IF($B215&gt;Inputs!$C$11,INDEX($H:$H,ROW()-Inputs!$C$11)* (1-Inputs!$C$10),0)</f>
        <v/>
      </c>
      <c r="J215" s="24">
        <f>$H215*Inputs!$C$10</f>
        <v/>
      </c>
      <c r="K215" s="24">
        <f>IF($B215&lt;=Inputs!$C$6+Inputs!$C$11,$C215*Inputs!$C$7/12,0)</f>
        <v/>
      </c>
      <c r="L215" s="24">
        <f>IF($B215&lt;=Inputs!$C$6+Inputs!$C$11,$E215+$F215+$G215+$I215-$K215,0)</f>
        <v/>
      </c>
      <c r="M215" s="24">
        <f>IF($B215&lt;=Inputs!$C$6,MAX(0,$C215-$F215-$G215-$H215),0)</f>
        <v/>
      </c>
    </row>
    <row r="216">
      <c r="B216" s="22" t="n">
        <v>213</v>
      </c>
      <c r="C216" s="23">
        <f>IF($B216&lt;=Inputs!$C$6+Inputs!$C$11,$M215,"")</f>
        <v/>
      </c>
      <c r="D216" s="24">
        <f>IF($B216&lt;=Inputs!$C$6,-PMT(Inputs!$C$5/12,Inputs!$C$6,Inputs!$C$4),0)</f>
        <v/>
      </c>
      <c r="E216" s="24">
        <f>IF($B216&lt;=Inputs!$C$6+Inputs!$C$11,$C216*Inputs!$C$5/12,0)</f>
        <v/>
      </c>
      <c r="F216" s="24">
        <f>IF($B216&lt;=Inputs!$C$6,MAX(0,$D216-$E216),0)</f>
        <v/>
      </c>
      <c r="G216" s="24">
        <f>IF($B216&lt;=Inputs!$C$6,MAX(0,($C216-$F216))*(1-(1-Inputs!$C$8)^(1/12)),0)</f>
        <v/>
      </c>
      <c r="H216" s="24">
        <f>IF($B216&lt;=Inputs!$C$6,MAX(0,($C216-$F216-$G216))*(1-(1-Inputs!$C$9)^(1/12)),0)</f>
        <v/>
      </c>
      <c r="I216" s="24">
        <f>IF($B216&gt;Inputs!$C$11,INDEX($H:$H,ROW()-Inputs!$C$11)* (1-Inputs!$C$10),0)</f>
        <v/>
      </c>
      <c r="J216" s="24">
        <f>$H216*Inputs!$C$10</f>
        <v/>
      </c>
      <c r="K216" s="24">
        <f>IF($B216&lt;=Inputs!$C$6+Inputs!$C$11,$C216*Inputs!$C$7/12,0)</f>
        <v/>
      </c>
      <c r="L216" s="24">
        <f>IF($B216&lt;=Inputs!$C$6+Inputs!$C$11,$E216+$F216+$G216+$I216-$K216,0)</f>
        <v/>
      </c>
      <c r="M216" s="24">
        <f>IF($B216&lt;=Inputs!$C$6,MAX(0,$C216-$F216-$G216-$H216),0)</f>
        <v/>
      </c>
    </row>
    <row r="217">
      <c r="B217" s="22" t="n">
        <v>214</v>
      </c>
      <c r="C217" s="23">
        <f>IF($B217&lt;=Inputs!$C$6+Inputs!$C$11,$M216,"")</f>
        <v/>
      </c>
      <c r="D217" s="24">
        <f>IF($B217&lt;=Inputs!$C$6,-PMT(Inputs!$C$5/12,Inputs!$C$6,Inputs!$C$4),0)</f>
        <v/>
      </c>
      <c r="E217" s="24">
        <f>IF($B217&lt;=Inputs!$C$6+Inputs!$C$11,$C217*Inputs!$C$5/12,0)</f>
        <v/>
      </c>
      <c r="F217" s="24">
        <f>IF($B217&lt;=Inputs!$C$6,MAX(0,$D217-$E217),0)</f>
        <v/>
      </c>
      <c r="G217" s="24">
        <f>IF($B217&lt;=Inputs!$C$6,MAX(0,($C217-$F217))*(1-(1-Inputs!$C$8)^(1/12)),0)</f>
        <v/>
      </c>
      <c r="H217" s="24">
        <f>IF($B217&lt;=Inputs!$C$6,MAX(0,($C217-$F217-$G217))*(1-(1-Inputs!$C$9)^(1/12)),0)</f>
        <v/>
      </c>
      <c r="I217" s="24">
        <f>IF($B217&gt;Inputs!$C$11,INDEX($H:$H,ROW()-Inputs!$C$11)* (1-Inputs!$C$10),0)</f>
        <v/>
      </c>
      <c r="J217" s="24">
        <f>$H217*Inputs!$C$10</f>
        <v/>
      </c>
      <c r="K217" s="24">
        <f>IF($B217&lt;=Inputs!$C$6+Inputs!$C$11,$C217*Inputs!$C$7/12,0)</f>
        <v/>
      </c>
      <c r="L217" s="24">
        <f>IF($B217&lt;=Inputs!$C$6+Inputs!$C$11,$E217+$F217+$G217+$I217-$K217,0)</f>
        <v/>
      </c>
      <c r="M217" s="24">
        <f>IF($B217&lt;=Inputs!$C$6,MAX(0,$C217-$F217-$G217-$H217),0)</f>
        <v/>
      </c>
    </row>
    <row r="218">
      <c r="B218" s="22" t="n">
        <v>215</v>
      </c>
      <c r="C218" s="23">
        <f>IF($B218&lt;=Inputs!$C$6+Inputs!$C$11,$M217,"")</f>
        <v/>
      </c>
      <c r="D218" s="24">
        <f>IF($B218&lt;=Inputs!$C$6,-PMT(Inputs!$C$5/12,Inputs!$C$6,Inputs!$C$4),0)</f>
        <v/>
      </c>
      <c r="E218" s="24">
        <f>IF($B218&lt;=Inputs!$C$6+Inputs!$C$11,$C218*Inputs!$C$5/12,0)</f>
        <v/>
      </c>
      <c r="F218" s="24">
        <f>IF($B218&lt;=Inputs!$C$6,MAX(0,$D218-$E218),0)</f>
        <v/>
      </c>
      <c r="G218" s="24">
        <f>IF($B218&lt;=Inputs!$C$6,MAX(0,($C218-$F218))*(1-(1-Inputs!$C$8)^(1/12)),0)</f>
        <v/>
      </c>
      <c r="H218" s="24">
        <f>IF($B218&lt;=Inputs!$C$6,MAX(0,($C218-$F218-$G218))*(1-(1-Inputs!$C$9)^(1/12)),0)</f>
        <v/>
      </c>
      <c r="I218" s="24">
        <f>IF($B218&gt;Inputs!$C$11,INDEX($H:$H,ROW()-Inputs!$C$11)* (1-Inputs!$C$10),0)</f>
        <v/>
      </c>
      <c r="J218" s="24">
        <f>$H218*Inputs!$C$10</f>
        <v/>
      </c>
      <c r="K218" s="24">
        <f>IF($B218&lt;=Inputs!$C$6+Inputs!$C$11,$C218*Inputs!$C$7/12,0)</f>
        <v/>
      </c>
      <c r="L218" s="24">
        <f>IF($B218&lt;=Inputs!$C$6+Inputs!$C$11,$E218+$F218+$G218+$I218-$K218,0)</f>
        <v/>
      </c>
      <c r="M218" s="24">
        <f>IF($B218&lt;=Inputs!$C$6,MAX(0,$C218-$F218-$G218-$H218),0)</f>
        <v/>
      </c>
    </row>
    <row r="219">
      <c r="B219" s="22" t="n">
        <v>216</v>
      </c>
      <c r="C219" s="23">
        <f>IF($B219&lt;=Inputs!$C$6+Inputs!$C$11,$M218,"")</f>
        <v/>
      </c>
      <c r="D219" s="24">
        <f>IF($B219&lt;=Inputs!$C$6,-PMT(Inputs!$C$5/12,Inputs!$C$6,Inputs!$C$4),0)</f>
        <v/>
      </c>
      <c r="E219" s="24">
        <f>IF($B219&lt;=Inputs!$C$6+Inputs!$C$11,$C219*Inputs!$C$5/12,0)</f>
        <v/>
      </c>
      <c r="F219" s="24">
        <f>IF($B219&lt;=Inputs!$C$6,MAX(0,$D219-$E219),0)</f>
        <v/>
      </c>
      <c r="G219" s="24">
        <f>IF($B219&lt;=Inputs!$C$6,MAX(0,($C219-$F219))*(1-(1-Inputs!$C$8)^(1/12)),0)</f>
        <v/>
      </c>
      <c r="H219" s="24">
        <f>IF($B219&lt;=Inputs!$C$6,MAX(0,($C219-$F219-$G219))*(1-(1-Inputs!$C$9)^(1/12)),0)</f>
        <v/>
      </c>
      <c r="I219" s="24">
        <f>IF($B219&gt;Inputs!$C$11,INDEX($H:$H,ROW()-Inputs!$C$11)* (1-Inputs!$C$10),0)</f>
        <v/>
      </c>
      <c r="J219" s="24">
        <f>$H219*Inputs!$C$10</f>
        <v/>
      </c>
      <c r="K219" s="24">
        <f>IF($B219&lt;=Inputs!$C$6+Inputs!$C$11,$C219*Inputs!$C$7/12,0)</f>
        <v/>
      </c>
      <c r="L219" s="24">
        <f>IF($B219&lt;=Inputs!$C$6+Inputs!$C$11,$E219+$F219+$G219+$I219-$K219,0)</f>
        <v/>
      </c>
      <c r="M219" s="24">
        <f>IF($B219&lt;=Inputs!$C$6,MAX(0,$C219-$F219-$G219-$H219),0)</f>
        <v/>
      </c>
    </row>
    <row r="220">
      <c r="B220" s="22" t="n">
        <v>217</v>
      </c>
      <c r="C220" s="23">
        <f>IF($B220&lt;=Inputs!$C$6+Inputs!$C$11,$M219,"")</f>
        <v/>
      </c>
      <c r="D220" s="24">
        <f>IF($B220&lt;=Inputs!$C$6,-PMT(Inputs!$C$5/12,Inputs!$C$6,Inputs!$C$4),0)</f>
        <v/>
      </c>
      <c r="E220" s="24">
        <f>IF($B220&lt;=Inputs!$C$6+Inputs!$C$11,$C220*Inputs!$C$5/12,0)</f>
        <v/>
      </c>
      <c r="F220" s="24">
        <f>IF($B220&lt;=Inputs!$C$6,MAX(0,$D220-$E220),0)</f>
        <v/>
      </c>
      <c r="G220" s="24">
        <f>IF($B220&lt;=Inputs!$C$6,MAX(0,($C220-$F220))*(1-(1-Inputs!$C$8)^(1/12)),0)</f>
        <v/>
      </c>
      <c r="H220" s="24">
        <f>IF($B220&lt;=Inputs!$C$6,MAX(0,($C220-$F220-$G220))*(1-(1-Inputs!$C$9)^(1/12)),0)</f>
        <v/>
      </c>
      <c r="I220" s="24">
        <f>IF($B220&gt;Inputs!$C$11,INDEX($H:$H,ROW()-Inputs!$C$11)* (1-Inputs!$C$10),0)</f>
        <v/>
      </c>
      <c r="J220" s="24">
        <f>$H220*Inputs!$C$10</f>
        <v/>
      </c>
      <c r="K220" s="24">
        <f>IF($B220&lt;=Inputs!$C$6+Inputs!$C$11,$C220*Inputs!$C$7/12,0)</f>
        <v/>
      </c>
      <c r="L220" s="24">
        <f>IF($B220&lt;=Inputs!$C$6+Inputs!$C$11,$E220+$F220+$G220+$I220-$K220,0)</f>
        <v/>
      </c>
      <c r="M220" s="24">
        <f>IF($B220&lt;=Inputs!$C$6,MAX(0,$C220-$F220-$G220-$H220),0)</f>
        <v/>
      </c>
    </row>
    <row r="221">
      <c r="B221" s="22" t="n">
        <v>218</v>
      </c>
      <c r="C221" s="23">
        <f>IF($B221&lt;=Inputs!$C$6+Inputs!$C$11,$M220,"")</f>
        <v/>
      </c>
      <c r="D221" s="24">
        <f>IF($B221&lt;=Inputs!$C$6,-PMT(Inputs!$C$5/12,Inputs!$C$6,Inputs!$C$4),0)</f>
        <v/>
      </c>
      <c r="E221" s="24">
        <f>IF($B221&lt;=Inputs!$C$6+Inputs!$C$11,$C221*Inputs!$C$5/12,0)</f>
        <v/>
      </c>
      <c r="F221" s="24">
        <f>IF($B221&lt;=Inputs!$C$6,MAX(0,$D221-$E221),0)</f>
        <v/>
      </c>
      <c r="G221" s="24">
        <f>IF($B221&lt;=Inputs!$C$6,MAX(0,($C221-$F221))*(1-(1-Inputs!$C$8)^(1/12)),0)</f>
        <v/>
      </c>
      <c r="H221" s="24">
        <f>IF($B221&lt;=Inputs!$C$6,MAX(0,($C221-$F221-$G221))*(1-(1-Inputs!$C$9)^(1/12)),0)</f>
        <v/>
      </c>
      <c r="I221" s="24">
        <f>IF($B221&gt;Inputs!$C$11,INDEX($H:$H,ROW()-Inputs!$C$11)* (1-Inputs!$C$10),0)</f>
        <v/>
      </c>
      <c r="J221" s="24">
        <f>$H221*Inputs!$C$10</f>
        <v/>
      </c>
      <c r="K221" s="24">
        <f>IF($B221&lt;=Inputs!$C$6+Inputs!$C$11,$C221*Inputs!$C$7/12,0)</f>
        <v/>
      </c>
      <c r="L221" s="24">
        <f>IF($B221&lt;=Inputs!$C$6+Inputs!$C$11,$E221+$F221+$G221+$I221-$K221,0)</f>
        <v/>
      </c>
      <c r="M221" s="24">
        <f>IF($B221&lt;=Inputs!$C$6,MAX(0,$C221-$F221-$G221-$H221),0)</f>
        <v/>
      </c>
    </row>
    <row r="222">
      <c r="B222" s="22" t="n">
        <v>219</v>
      </c>
      <c r="C222" s="23">
        <f>IF($B222&lt;=Inputs!$C$6+Inputs!$C$11,$M221,"")</f>
        <v/>
      </c>
      <c r="D222" s="24">
        <f>IF($B222&lt;=Inputs!$C$6,-PMT(Inputs!$C$5/12,Inputs!$C$6,Inputs!$C$4),0)</f>
        <v/>
      </c>
      <c r="E222" s="24">
        <f>IF($B222&lt;=Inputs!$C$6+Inputs!$C$11,$C222*Inputs!$C$5/12,0)</f>
        <v/>
      </c>
      <c r="F222" s="24">
        <f>IF($B222&lt;=Inputs!$C$6,MAX(0,$D222-$E222),0)</f>
        <v/>
      </c>
      <c r="G222" s="24">
        <f>IF($B222&lt;=Inputs!$C$6,MAX(0,($C222-$F222))*(1-(1-Inputs!$C$8)^(1/12)),0)</f>
        <v/>
      </c>
      <c r="H222" s="24">
        <f>IF($B222&lt;=Inputs!$C$6,MAX(0,($C222-$F222-$G222))*(1-(1-Inputs!$C$9)^(1/12)),0)</f>
        <v/>
      </c>
      <c r="I222" s="24">
        <f>IF($B222&gt;Inputs!$C$11,INDEX($H:$H,ROW()-Inputs!$C$11)* (1-Inputs!$C$10),0)</f>
        <v/>
      </c>
      <c r="J222" s="24">
        <f>$H222*Inputs!$C$10</f>
        <v/>
      </c>
      <c r="K222" s="24">
        <f>IF($B222&lt;=Inputs!$C$6+Inputs!$C$11,$C222*Inputs!$C$7/12,0)</f>
        <v/>
      </c>
      <c r="L222" s="24">
        <f>IF($B222&lt;=Inputs!$C$6+Inputs!$C$11,$E222+$F222+$G222+$I222-$K222,0)</f>
        <v/>
      </c>
      <c r="M222" s="24">
        <f>IF($B222&lt;=Inputs!$C$6,MAX(0,$C222-$F222-$G222-$H222),0)</f>
        <v/>
      </c>
    </row>
    <row r="223">
      <c r="B223" s="22" t="n">
        <v>220</v>
      </c>
      <c r="C223" s="23">
        <f>IF($B223&lt;=Inputs!$C$6+Inputs!$C$11,$M222,"")</f>
        <v/>
      </c>
      <c r="D223" s="24">
        <f>IF($B223&lt;=Inputs!$C$6,-PMT(Inputs!$C$5/12,Inputs!$C$6,Inputs!$C$4),0)</f>
        <v/>
      </c>
      <c r="E223" s="24">
        <f>IF($B223&lt;=Inputs!$C$6+Inputs!$C$11,$C223*Inputs!$C$5/12,0)</f>
        <v/>
      </c>
      <c r="F223" s="24">
        <f>IF($B223&lt;=Inputs!$C$6,MAX(0,$D223-$E223),0)</f>
        <v/>
      </c>
      <c r="G223" s="24">
        <f>IF($B223&lt;=Inputs!$C$6,MAX(0,($C223-$F223))*(1-(1-Inputs!$C$8)^(1/12)),0)</f>
        <v/>
      </c>
      <c r="H223" s="24">
        <f>IF($B223&lt;=Inputs!$C$6,MAX(0,($C223-$F223-$G223))*(1-(1-Inputs!$C$9)^(1/12)),0)</f>
        <v/>
      </c>
      <c r="I223" s="24">
        <f>IF($B223&gt;Inputs!$C$11,INDEX($H:$H,ROW()-Inputs!$C$11)* (1-Inputs!$C$10),0)</f>
        <v/>
      </c>
      <c r="J223" s="24">
        <f>$H223*Inputs!$C$10</f>
        <v/>
      </c>
      <c r="K223" s="24">
        <f>IF($B223&lt;=Inputs!$C$6+Inputs!$C$11,$C223*Inputs!$C$7/12,0)</f>
        <v/>
      </c>
      <c r="L223" s="24">
        <f>IF($B223&lt;=Inputs!$C$6+Inputs!$C$11,$E223+$F223+$G223+$I223-$K223,0)</f>
        <v/>
      </c>
      <c r="M223" s="24">
        <f>IF($B223&lt;=Inputs!$C$6,MAX(0,$C223-$F223-$G223-$H223),0)</f>
        <v/>
      </c>
    </row>
    <row r="224">
      <c r="B224" s="22" t="n">
        <v>221</v>
      </c>
      <c r="C224" s="23">
        <f>IF($B224&lt;=Inputs!$C$6+Inputs!$C$11,$M223,"")</f>
        <v/>
      </c>
      <c r="D224" s="24">
        <f>IF($B224&lt;=Inputs!$C$6,-PMT(Inputs!$C$5/12,Inputs!$C$6,Inputs!$C$4),0)</f>
        <v/>
      </c>
      <c r="E224" s="24">
        <f>IF($B224&lt;=Inputs!$C$6+Inputs!$C$11,$C224*Inputs!$C$5/12,0)</f>
        <v/>
      </c>
      <c r="F224" s="24">
        <f>IF($B224&lt;=Inputs!$C$6,MAX(0,$D224-$E224),0)</f>
        <v/>
      </c>
      <c r="G224" s="24">
        <f>IF($B224&lt;=Inputs!$C$6,MAX(0,($C224-$F224))*(1-(1-Inputs!$C$8)^(1/12)),0)</f>
        <v/>
      </c>
      <c r="H224" s="24">
        <f>IF($B224&lt;=Inputs!$C$6,MAX(0,($C224-$F224-$G224))*(1-(1-Inputs!$C$9)^(1/12)),0)</f>
        <v/>
      </c>
      <c r="I224" s="24">
        <f>IF($B224&gt;Inputs!$C$11,INDEX($H:$H,ROW()-Inputs!$C$11)* (1-Inputs!$C$10),0)</f>
        <v/>
      </c>
      <c r="J224" s="24">
        <f>$H224*Inputs!$C$10</f>
        <v/>
      </c>
      <c r="K224" s="24">
        <f>IF($B224&lt;=Inputs!$C$6+Inputs!$C$11,$C224*Inputs!$C$7/12,0)</f>
        <v/>
      </c>
      <c r="L224" s="24">
        <f>IF($B224&lt;=Inputs!$C$6+Inputs!$C$11,$E224+$F224+$G224+$I224-$K224,0)</f>
        <v/>
      </c>
      <c r="M224" s="24">
        <f>IF($B224&lt;=Inputs!$C$6,MAX(0,$C224-$F224-$G224-$H224),0)</f>
        <v/>
      </c>
    </row>
    <row r="225">
      <c r="B225" s="22" t="n">
        <v>222</v>
      </c>
      <c r="C225" s="23">
        <f>IF($B225&lt;=Inputs!$C$6+Inputs!$C$11,$M224,"")</f>
        <v/>
      </c>
      <c r="D225" s="24">
        <f>IF($B225&lt;=Inputs!$C$6,-PMT(Inputs!$C$5/12,Inputs!$C$6,Inputs!$C$4),0)</f>
        <v/>
      </c>
      <c r="E225" s="24">
        <f>IF($B225&lt;=Inputs!$C$6+Inputs!$C$11,$C225*Inputs!$C$5/12,0)</f>
        <v/>
      </c>
      <c r="F225" s="24">
        <f>IF($B225&lt;=Inputs!$C$6,MAX(0,$D225-$E225),0)</f>
        <v/>
      </c>
      <c r="G225" s="24">
        <f>IF($B225&lt;=Inputs!$C$6,MAX(0,($C225-$F225))*(1-(1-Inputs!$C$8)^(1/12)),0)</f>
        <v/>
      </c>
      <c r="H225" s="24">
        <f>IF($B225&lt;=Inputs!$C$6,MAX(0,($C225-$F225-$G225))*(1-(1-Inputs!$C$9)^(1/12)),0)</f>
        <v/>
      </c>
      <c r="I225" s="24">
        <f>IF($B225&gt;Inputs!$C$11,INDEX($H:$H,ROW()-Inputs!$C$11)* (1-Inputs!$C$10),0)</f>
        <v/>
      </c>
      <c r="J225" s="24">
        <f>$H225*Inputs!$C$10</f>
        <v/>
      </c>
      <c r="K225" s="24">
        <f>IF($B225&lt;=Inputs!$C$6+Inputs!$C$11,$C225*Inputs!$C$7/12,0)</f>
        <v/>
      </c>
      <c r="L225" s="24">
        <f>IF($B225&lt;=Inputs!$C$6+Inputs!$C$11,$E225+$F225+$G225+$I225-$K225,0)</f>
        <v/>
      </c>
      <c r="M225" s="24">
        <f>IF($B225&lt;=Inputs!$C$6,MAX(0,$C225-$F225-$G225-$H225),0)</f>
        <v/>
      </c>
    </row>
    <row r="226">
      <c r="B226" s="22" t="n">
        <v>223</v>
      </c>
      <c r="C226" s="23">
        <f>IF($B226&lt;=Inputs!$C$6+Inputs!$C$11,$M225,"")</f>
        <v/>
      </c>
      <c r="D226" s="24">
        <f>IF($B226&lt;=Inputs!$C$6,-PMT(Inputs!$C$5/12,Inputs!$C$6,Inputs!$C$4),0)</f>
        <v/>
      </c>
      <c r="E226" s="24">
        <f>IF($B226&lt;=Inputs!$C$6+Inputs!$C$11,$C226*Inputs!$C$5/12,0)</f>
        <v/>
      </c>
      <c r="F226" s="24">
        <f>IF($B226&lt;=Inputs!$C$6,MAX(0,$D226-$E226),0)</f>
        <v/>
      </c>
      <c r="G226" s="24">
        <f>IF($B226&lt;=Inputs!$C$6,MAX(0,($C226-$F226))*(1-(1-Inputs!$C$8)^(1/12)),0)</f>
        <v/>
      </c>
      <c r="H226" s="24">
        <f>IF($B226&lt;=Inputs!$C$6,MAX(0,($C226-$F226-$G226))*(1-(1-Inputs!$C$9)^(1/12)),0)</f>
        <v/>
      </c>
      <c r="I226" s="24">
        <f>IF($B226&gt;Inputs!$C$11,INDEX($H:$H,ROW()-Inputs!$C$11)* (1-Inputs!$C$10),0)</f>
        <v/>
      </c>
      <c r="J226" s="24">
        <f>$H226*Inputs!$C$10</f>
        <v/>
      </c>
      <c r="K226" s="24">
        <f>IF($B226&lt;=Inputs!$C$6+Inputs!$C$11,$C226*Inputs!$C$7/12,0)</f>
        <v/>
      </c>
      <c r="L226" s="24">
        <f>IF($B226&lt;=Inputs!$C$6+Inputs!$C$11,$E226+$F226+$G226+$I226-$K226,0)</f>
        <v/>
      </c>
      <c r="M226" s="24">
        <f>IF($B226&lt;=Inputs!$C$6,MAX(0,$C226-$F226-$G226-$H226),0)</f>
        <v/>
      </c>
    </row>
    <row r="227">
      <c r="B227" s="22" t="n">
        <v>224</v>
      </c>
      <c r="C227" s="23">
        <f>IF($B227&lt;=Inputs!$C$6+Inputs!$C$11,$M226,"")</f>
        <v/>
      </c>
      <c r="D227" s="24">
        <f>IF($B227&lt;=Inputs!$C$6,-PMT(Inputs!$C$5/12,Inputs!$C$6,Inputs!$C$4),0)</f>
        <v/>
      </c>
      <c r="E227" s="24">
        <f>IF($B227&lt;=Inputs!$C$6+Inputs!$C$11,$C227*Inputs!$C$5/12,0)</f>
        <v/>
      </c>
      <c r="F227" s="24">
        <f>IF($B227&lt;=Inputs!$C$6,MAX(0,$D227-$E227),0)</f>
        <v/>
      </c>
      <c r="G227" s="24">
        <f>IF($B227&lt;=Inputs!$C$6,MAX(0,($C227-$F227))*(1-(1-Inputs!$C$8)^(1/12)),0)</f>
        <v/>
      </c>
      <c r="H227" s="24">
        <f>IF($B227&lt;=Inputs!$C$6,MAX(0,($C227-$F227-$G227))*(1-(1-Inputs!$C$9)^(1/12)),0)</f>
        <v/>
      </c>
      <c r="I227" s="24">
        <f>IF($B227&gt;Inputs!$C$11,INDEX($H:$H,ROW()-Inputs!$C$11)* (1-Inputs!$C$10),0)</f>
        <v/>
      </c>
      <c r="J227" s="24">
        <f>$H227*Inputs!$C$10</f>
        <v/>
      </c>
      <c r="K227" s="24">
        <f>IF($B227&lt;=Inputs!$C$6+Inputs!$C$11,$C227*Inputs!$C$7/12,0)</f>
        <v/>
      </c>
      <c r="L227" s="24">
        <f>IF($B227&lt;=Inputs!$C$6+Inputs!$C$11,$E227+$F227+$G227+$I227-$K227,0)</f>
        <v/>
      </c>
      <c r="M227" s="24">
        <f>IF($B227&lt;=Inputs!$C$6,MAX(0,$C227-$F227-$G227-$H227),0)</f>
        <v/>
      </c>
    </row>
    <row r="228">
      <c r="B228" s="22" t="n">
        <v>225</v>
      </c>
      <c r="C228" s="23">
        <f>IF($B228&lt;=Inputs!$C$6+Inputs!$C$11,$M227,"")</f>
        <v/>
      </c>
      <c r="D228" s="24">
        <f>IF($B228&lt;=Inputs!$C$6,-PMT(Inputs!$C$5/12,Inputs!$C$6,Inputs!$C$4),0)</f>
        <v/>
      </c>
      <c r="E228" s="24">
        <f>IF($B228&lt;=Inputs!$C$6+Inputs!$C$11,$C228*Inputs!$C$5/12,0)</f>
        <v/>
      </c>
      <c r="F228" s="24">
        <f>IF($B228&lt;=Inputs!$C$6,MAX(0,$D228-$E228),0)</f>
        <v/>
      </c>
      <c r="G228" s="24">
        <f>IF($B228&lt;=Inputs!$C$6,MAX(0,($C228-$F228))*(1-(1-Inputs!$C$8)^(1/12)),0)</f>
        <v/>
      </c>
      <c r="H228" s="24">
        <f>IF($B228&lt;=Inputs!$C$6,MAX(0,($C228-$F228-$G228))*(1-(1-Inputs!$C$9)^(1/12)),0)</f>
        <v/>
      </c>
      <c r="I228" s="24">
        <f>IF($B228&gt;Inputs!$C$11,INDEX($H:$H,ROW()-Inputs!$C$11)* (1-Inputs!$C$10),0)</f>
        <v/>
      </c>
      <c r="J228" s="24">
        <f>$H228*Inputs!$C$10</f>
        <v/>
      </c>
      <c r="K228" s="24">
        <f>IF($B228&lt;=Inputs!$C$6+Inputs!$C$11,$C228*Inputs!$C$7/12,0)</f>
        <v/>
      </c>
      <c r="L228" s="24">
        <f>IF($B228&lt;=Inputs!$C$6+Inputs!$C$11,$E228+$F228+$G228+$I228-$K228,0)</f>
        <v/>
      </c>
      <c r="M228" s="24">
        <f>IF($B228&lt;=Inputs!$C$6,MAX(0,$C228-$F228-$G228-$H228),0)</f>
        <v/>
      </c>
    </row>
    <row r="229">
      <c r="B229" s="22" t="n">
        <v>226</v>
      </c>
      <c r="C229" s="23">
        <f>IF($B229&lt;=Inputs!$C$6+Inputs!$C$11,$M228,"")</f>
        <v/>
      </c>
      <c r="D229" s="24">
        <f>IF($B229&lt;=Inputs!$C$6,-PMT(Inputs!$C$5/12,Inputs!$C$6,Inputs!$C$4),0)</f>
        <v/>
      </c>
      <c r="E229" s="24">
        <f>IF($B229&lt;=Inputs!$C$6+Inputs!$C$11,$C229*Inputs!$C$5/12,0)</f>
        <v/>
      </c>
      <c r="F229" s="24">
        <f>IF($B229&lt;=Inputs!$C$6,MAX(0,$D229-$E229),0)</f>
        <v/>
      </c>
      <c r="G229" s="24">
        <f>IF($B229&lt;=Inputs!$C$6,MAX(0,($C229-$F229))*(1-(1-Inputs!$C$8)^(1/12)),0)</f>
        <v/>
      </c>
      <c r="H229" s="24">
        <f>IF($B229&lt;=Inputs!$C$6,MAX(0,($C229-$F229-$G229))*(1-(1-Inputs!$C$9)^(1/12)),0)</f>
        <v/>
      </c>
      <c r="I229" s="24">
        <f>IF($B229&gt;Inputs!$C$11,INDEX($H:$H,ROW()-Inputs!$C$11)* (1-Inputs!$C$10),0)</f>
        <v/>
      </c>
      <c r="J229" s="24">
        <f>$H229*Inputs!$C$10</f>
        <v/>
      </c>
      <c r="K229" s="24">
        <f>IF($B229&lt;=Inputs!$C$6+Inputs!$C$11,$C229*Inputs!$C$7/12,0)</f>
        <v/>
      </c>
      <c r="L229" s="24">
        <f>IF($B229&lt;=Inputs!$C$6+Inputs!$C$11,$E229+$F229+$G229+$I229-$K229,0)</f>
        <v/>
      </c>
      <c r="M229" s="24">
        <f>IF($B229&lt;=Inputs!$C$6,MAX(0,$C229-$F229-$G229-$H229),0)</f>
        <v/>
      </c>
    </row>
    <row r="230">
      <c r="B230" s="22" t="n">
        <v>227</v>
      </c>
      <c r="C230" s="23">
        <f>IF($B230&lt;=Inputs!$C$6+Inputs!$C$11,$M229,"")</f>
        <v/>
      </c>
      <c r="D230" s="24">
        <f>IF($B230&lt;=Inputs!$C$6,-PMT(Inputs!$C$5/12,Inputs!$C$6,Inputs!$C$4),0)</f>
        <v/>
      </c>
      <c r="E230" s="24">
        <f>IF($B230&lt;=Inputs!$C$6+Inputs!$C$11,$C230*Inputs!$C$5/12,0)</f>
        <v/>
      </c>
      <c r="F230" s="24">
        <f>IF($B230&lt;=Inputs!$C$6,MAX(0,$D230-$E230),0)</f>
        <v/>
      </c>
      <c r="G230" s="24">
        <f>IF($B230&lt;=Inputs!$C$6,MAX(0,($C230-$F230))*(1-(1-Inputs!$C$8)^(1/12)),0)</f>
        <v/>
      </c>
      <c r="H230" s="24">
        <f>IF($B230&lt;=Inputs!$C$6,MAX(0,($C230-$F230-$G230))*(1-(1-Inputs!$C$9)^(1/12)),0)</f>
        <v/>
      </c>
      <c r="I230" s="24">
        <f>IF($B230&gt;Inputs!$C$11,INDEX($H:$H,ROW()-Inputs!$C$11)* (1-Inputs!$C$10),0)</f>
        <v/>
      </c>
      <c r="J230" s="24">
        <f>$H230*Inputs!$C$10</f>
        <v/>
      </c>
      <c r="K230" s="24">
        <f>IF($B230&lt;=Inputs!$C$6+Inputs!$C$11,$C230*Inputs!$C$7/12,0)</f>
        <v/>
      </c>
      <c r="L230" s="24">
        <f>IF($B230&lt;=Inputs!$C$6+Inputs!$C$11,$E230+$F230+$G230+$I230-$K230,0)</f>
        <v/>
      </c>
      <c r="M230" s="24">
        <f>IF($B230&lt;=Inputs!$C$6,MAX(0,$C230-$F230-$G230-$H230),0)</f>
        <v/>
      </c>
    </row>
    <row r="231">
      <c r="B231" s="22" t="n">
        <v>228</v>
      </c>
      <c r="C231" s="23">
        <f>IF($B231&lt;=Inputs!$C$6+Inputs!$C$11,$M230,"")</f>
        <v/>
      </c>
      <c r="D231" s="24">
        <f>IF($B231&lt;=Inputs!$C$6,-PMT(Inputs!$C$5/12,Inputs!$C$6,Inputs!$C$4),0)</f>
        <v/>
      </c>
      <c r="E231" s="24">
        <f>IF($B231&lt;=Inputs!$C$6+Inputs!$C$11,$C231*Inputs!$C$5/12,0)</f>
        <v/>
      </c>
      <c r="F231" s="24">
        <f>IF($B231&lt;=Inputs!$C$6,MAX(0,$D231-$E231),0)</f>
        <v/>
      </c>
      <c r="G231" s="24">
        <f>IF($B231&lt;=Inputs!$C$6,MAX(0,($C231-$F231))*(1-(1-Inputs!$C$8)^(1/12)),0)</f>
        <v/>
      </c>
      <c r="H231" s="24">
        <f>IF($B231&lt;=Inputs!$C$6,MAX(0,($C231-$F231-$G231))*(1-(1-Inputs!$C$9)^(1/12)),0)</f>
        <v/>
      </c>
      <c r="I231" s="24">
        <f>IF($B231&gt;Inputs!$C$11,INDEX($H:$H,ROW()-Inputs!$C$11)* (1-Inputs!$C$10),0)</f>
        <v/>
      </c>
      <c r="J231" s="24">
        <f>$H231*Inputs!$C$10</f>
        <v/>
      </c>
      <c r="K231" s="24">
        <f>IF($B231&lt;=Inputs!$C$6+Inputs!$C$11,$C231*Inputs!$C$7/12,0)</f>
        <v/>
      </c>
      <c r="L231" s="24">
        <f>IF($B231&lt;=Inputs!$C$6+Inputs!$C$11,$E231+$F231+$G231+$I231-$K231,0)</f>
        <v/>
      </c>
      <c r="M231" s="24">
        <f>IF($B231&lt;=Inputs!$C$6,MAX(0,$C231-$F231-$G231-$H231),0)</f>
        <v/>
      </c>
    </row>
    <row r="232">
      <c r="B232" s="22" t="n">
        <v>229</v>
      </c>
      <c r="C232" s="23">
        <f>IF($B232&lt;=Inputs!$C$6+Inputs!$C$11,$M231,"")</f>
        <v/>
      </c>
      <c r="D232" s="24">
        <f>IF($B232&lt;=Inputs!$C$6,-PMT(Inputs!$C$5/12,Inputs!$C$6,Inputs!$C$4),0)</f>
        <v/>
      </c>
      <c r="E232" s="24">
        <f>IF($B232&lt;=Inputs!$C$6+Inputs!$C$11,$C232*Inputs!$C$5/12,0)</f>
        <v/>
      </c>
      <c r="F232" s="24">
        <f>IF($B232&lt;=Inputs!$C$6,MAX(0,$D232-$E232),0)</f>
        <v/>
      </c>
      <c r="G232" s="24">
        <f>IF($B232&lt;=Inputs!$C$6,MAX(0,($C232-$F232))*(1-(1-Inputs!$C$8)^(1/12)),0)</f>
        <v/>
      </c>
      <c r="H232" s="24">
        <f>IF($B232&lt;=Inputs!$C$6,MAX(0,($C232-$F232-$G232))*(1-(1-Inputs!$C$9)^(1/12)),0)</f>
        <v/>
      </c>
      <c r="I232" s="24">
        <f>IF($B232&gt;Inputs!$C$11,INDEX($H:$H,ROW()-Inputs!$C$11)* (1-Inputs!$C$10),0)</f>
        <v/>
      </c>
      <c r="J232" s="24">
        <f>$H232*Inputs!$C$10</f>
        <v/>
      </c>
      <c r="K232" s="24">
        <f>IF($B232&lt;=Inputs!$C$6+Inputs!$C$11,$C232*Inputs!$C$7/12,0)</f>
        <v/>
      </c>
      <c r="L232" s="24">
        <f>IF($B232&lt;=Inputs!$C$6+Inputs!$C$11,$E232+$F232+$G232+$I232-$K232,0)</f>
        <v/>
      </c>
      <c r="M232" s="24">
        <f>IF($B232&lt;=Inputs!$C$6,MAX(0,$C232-$F232-$G232-$H232),0)</f>
        <v/>
      </c>
    </row>
    <row r="233">
      <c r="B233" s="22" t="n">
        <v>230</v>
      </c>
      <c r="C233" s="23">
        <f>IF($B233&lt;=Inputs!$C$6+Inputs!$C$11,$M232,"")</f>
        <v/>
      </c>
      <c r="D233" s="24">
        <f>IF($B233&lt;=Inputs!$C$6,-PMT(Inputs!$C$5/12,Inputs!$C$6,Inputs!$C$4),0)</f>
        <v/>
      </c>
      <c r="E233" s="24">
        <f>IF($B233&lt;=Inputs!$C$6+Inputs!$C$11,$C233*Inputs!$C$5/12,0)</f>
        <v/>
      </c>
      <c r="F233" s="24">
        <f>IF($B233&lt;=Inputs!$C$6,MAX(0,$D233-$E233),0)</f>
        <v/>
      </c>
      <c r="G233" s="24">
        <f>IF($B233&lt;=Inputs!$C$6,MAX(0,($C233-$F233))*(1-(1-Inputs!$C$8)^(1/12)),0)</f>
        <v/>
      </c>
      <c r="H233" s="24">
        <f>IF($B233&lt;=Inputs!$C$6,MAX(0,($C233-$F233-$G233))*(1-(1-Inputs!$C$9)^(1/12)),0)</f>
        <v/>
      </c>
      <c r="I233" s="24">
        <f>IF($B233&gt;Inputs!$C$11,INDEX($H:$H,ROW()-Inputs!$C$11)* (1-Inputs!$C$10),0)</f>
        <v/>
      </c>
      <c r="J233" s="24">
        <f>$H233*Inputs!$C$10</f>
        <v/>
      </c>
      <c r="K233" s="24">
        <f>IF($B233&lt;=Inputs!$C$6+Inputs!$C$11,$C233*Inputs!$C$7/12,0)</f>
        <v/>
      </c>
      <c r="L233" s="24">
        <f>IF($B233&lt;=Inputs!$C$6+Inputs!$C$11,$E233+$F233+$G233+$I233-$K233,0)</f>
        <v/>
      </c>
      <c r="M233" s="24">
        <f>IF($B233&lt;=Inputs!$C$6,MAX(0,$C233-$F233-$G233-$H233),0)</f>
        <v/>
      </c>
    </row>
    <row r="234">
      <c r="B234" s="22" t="n">
        <v>231</v>
      </c>
      <c r="C234" s="23">
        <f>IF($B234&lt;=Inputs!$C$6+Inputs!$C$11,$M233,"")</f>
        <v/>
      </c>
      <c r="D234" s="24">
        <f>IF($B234&lt;=Inputs!$C$6,-PMT(Inputs!$C$5/12,Inputs!$C$6,Inputs!$C$4),0)</f>
        <v/>
      </c>
      <c r="E234" s="24">
        <f>IF($B234&lt;=Inputs!$C$6+Inputs!$C$11,$C234*Inputs!$C$5/12,0)</f>
        <v/>
      </c>
      <c r="F234" s="24">
        <f>IF($B234&lt;=Inputs!$C$6,MAX(0,$D234-$E234),0)</f>
        <v/>
      </c>
      <c r="G234" s="24">
        <f>IF($B234&lt;=Inputs!$C$6,MAX(0,($C234-$F234))*(1-(1-Inputs!$C$8)^(1/12)),0)</f>
        <v/>
      </c>
      <c r="H234" s="24">
        <f>IF($B234&lt;=Inputs!$C$6,MAX(0,($C234-$F234-$G234))*(1-(1-Inputs!$C$9)^(1/12)),0)</f>
        <v/>
      </c>
      <c r="I234" s="24">
        <f>IF($B234&gt;Inputs!$C$11,INDEX($H:$H,ROW()-Inputs!$C$11)* (1-Inputs!$C$10),0)</f>
        <v/>
      </c>
      <c r="J234" s="24">
        <f>$H234*Inputs!$C$10</f>
        <v/>
      </c>
      <c r="K234" s="24">
        <f>IF($B234&lt;=Inputs!$C$6+Inputs!$C$11,$C234*Inputs!$C$7/12,0)</f>
        <v/>
      </c>
      <c r="L234" s="24">
        <f>IF($B234&lt;=Inputs!$C$6+Inputs!$C$11,$E234+$F234+$G234+$I234-$K234,0)</f>
        <v/>
      </c>
      <c r="M234" s="24">
        <f>IF($B234&lt;=Inputs!$C$6,MAX(0,$C234-$F234-$G234-$H234),0)</f>
        <v/>
      </c>
    </row>
    <row r="235">
      <c r="B235" s="22" t="n">
        <v>232</v>
      </c>
      <c r="C235" s="23">
        <f>IF($B235&lt;=Inputs!$C$6+Inputs!$C$11,$M234,"")</f>
        <v/>
      </c>
      <c r="D235" s="24">
        <f>IF($B235&lt;=Inputs!$C$6,-PMT(Inputs!$C$5/12,Inputs!$C$6,Inputs!$C$4),0)</f>
        <v/>
      </c>
      <c r="E235" s="24">
        <f>IF($B235&lt;=Inputs!$C$6+Inputs!$C$11,$C235*Inputs!$C$5/12,0)</f>
        <v/>
      </c>
      <c r="F235" s="24">
        <f>IF($B235&lt;=Inputs!$C$6,MAX(0,$D235-$E235),0)</f>
        <v/>
      </c>
      <c r="G235" s="24">
        <f>IF($B235&lt;=Inputs!$C$6,MAX(0,($C235-$F235))*(1-(1-Inputs!$C$8)^(1/12)),0)</f>
        <v/>
      </c>
      <c r="H235" s="24">
        <f>IF($B235&lt;=Inputs!$C$6,MAX(0,($C235-$F235-$G235))*(1-(1-Inputs!$C$9)^(1/12)),0)</f>
        <v/>
      </c>
      <c r="I235" s="24">
        <f>IF($B235&gt;Inputs!$C$11,INDEX($H:$H,ROW()-Inputs!$C$11)* (1-Inputs!$C$10),0)</f>
        <v/>
      </c>
      <c r="J235" s="24">
        <f>$H235*Inputs!$C$10</f>
        <v/>
      </c>
      <c r="K235" s="24">
        <f>IF($B235&lt;=Inputs!$C$6+Inputs!$C$11,$C235*Inputs!$C$7/12,0)</f>
        <v/>
      </c>
      <c r="L235" s="24">
        <f>IF($B235&lt;=Inputs!$C$6+Inputs!$C$11,$E235+$F235+$G235+$I235-$K235,0)</f>
        <v/>
      </c>
      <c r="M235" s="24">
        <f>IF($B235&lt;=Inputs!$C$6,MAX(0,$C235-$F235-$G235-$H235),0)</f>
        <v/>
      </c>
    </row>
    <row r="236">
      <c r="B236" s="22" t="n">
        <v>233</v>
      </c>
      <c r="C236" s="23">
        <f>IF($B236&lt;=Inputs!$C$6+Inputs!$C$11,$M235,"")</f>
        <v/>
      </c>
      <c r="D236" s="24">
        <f>IF($B236&lt;=Inputs!$C$6,-PMT(Inputs!$C$5/12,Inputs!$C$6,Inputs!$C$4),0)</f>
        <v/>
      </c>
      <c r="E236" s="24">
        <f>IF($B236&lt;=Inputs!$C$6+Inputs!$C$11,$C236*Inputs!$C$5/12,0)</f>
        <v/>
      </c>
      <c r="F236" s="24">
        <f>IF($B236&lt;=Inputs!$C$6,MAX(0,$D236-$E236),0)</f>
        <v/>
      </c>
      <c r="G236" s="24">
        <f>IF($B236&lt;=Inputs!$C$6,MAX(0,($C236-$F236))*(1-(1-Inputs!$C$8)^(1/12)),0)</f>
        <v/>
      </c>
      <c r="H236" s="24">
        <f>IF($B236&lt;=Inputs!$C$6,MAX(0,($C236-$F236-$G236))*(1-(1-Inputs!$C$9)^(1/12)),0)</f>
        <v/>
      </c>
      <c r="I236" s="24">
        <f>IF($B236&gt;Inputs!$C$11,INDEX($H:$H,ROW()-Inputs!$C$11)* (1-Inputs!$C$10),0)</f>
        <v/>
      </c>
      <c r="J236" s="24">
        <f>$H236*Inputs!$C$10</f>
        <v/>
      </c>
      <c r="K236" s="24">
        <f>IF($B236&lt;=Inputs!$C$6+Inputs!$C$11,$C236*Inputs!$C$7/12,0)</f>
        <v/>
      </c>
      <c r="L236" s="24">
        <f>IF($B236&lt;=Inputs!$C$6+Inputs!$C$11,$E236+$F236+$G236+$I236-$K236,0)</f>
        <v/>
      </c>
      <c r="M236" s="24">
        <f>IF($B236&lt;=Inputs!$C$6,MAX(0,$C236-$F236-$G236-$H236),0)</f>
        <v/>
      </c>
    </row>
    <row r="237">
      <c r="B237" s="22" t="n">
        <v>234</v>
      </c>
      <c r="C237" s="23">
        <f>IF($B237&lt;=Inputs!$C$6+Inputs!$C$11,$M236,"")</f>
        <v/>
      </c>
      <c r="D237" s="24">
        <f>IF($B237&lt;=Inputs!$C$6,-PMT(Inputs!$C$5/12,Inputs!$C$6,Inputs!$C$4),0)</f>
        <v/>
      </c>
      <c r="E237" s="24">
        <f>IF($B237&lt;=Inputs!$C$6+Inputs!$C$11,$C237*Inputs!$C$5/12,0)</f>
        <v/>
      </c>
      <c r="F237" s="24">
        <f>IF($B237&lt;=Inputs!$C$6,MAX(0,$D237-$E237),0)</f>
        <v/>
      </c>
      <c r="G237" s="24">
        <f>IF($B237&lt;=Inputs!$C$6,MAX(0,($C237-$F237))*(1-(1-Inputs!$C$8)^(1/12)),0)</f>
        <v/>
      </c>
      <c r="H237" s="24">
        <f>IF($B237&lt;=Inputs!$C$6,MAX(0,($C237-$F237-$G237))*(1-(1-Inputs!$C$9)^(1/12)),0)</f>
        <v/>
      </c>
      <c r="I237" s="24">
        <f>IF($B237&gt;Inputs!$C$11,INDEX($H:$H,ROW()-Inputs!$C$11)* (1-Inputs!$C$10),0)</f>
        <v/>
      </c>
      <c r="J237" s="24">
        <f>$H237*Inputs!$C$10</f>
        <v/>
      </c>
      <c r="K237" s="24">
        <f>IF($B237&lt;=Inputs!$C$6+Inputs!$C$11,$C237*Inputs!$C$7/12,0)</f>
        <v/>
      </c>
      <c r="L237" s="24">
        <f>IF($B237&lt;=Inputs!$C$6+Inputs!$C$11,$E237+$F237+$G237+$I237-$K237,0)</f>
        <v/>
      </c>
      <c r="M237" s="24">
        <f>IF($B237&lt;=Inputs!$C$6,MAX(0,$C237-$F237-$G237-$H237),0)</f>
        <v/>
      </c>
    </row>
    <row r="238">
      <c r="B238" s="22" t="n">
        <v>235</v>
      </c>
      <c r="C238" s="23">
        <f>IF($B238&lt;=Inputs!$C$6+Inputs!$C$11,$M237,"")</f>
        <v/>
      </c>
      <c r="D238" s="24">
        <f>IF($B238&lt;=Inputs!$C$6,-PMT(Inputs!$C$5/12,Inputs!$C$6,Inputs!$C$4),0)</f>
        <v/>
      </c>
      <c r="E238" s="24">
        <f>IF($B238&lt;=Inputs!$C$6+Inputs!$C$11,$C238*Inputs!$C$5/12,0)</f>
        <v/>
      </c>
      <c r="F238" s="24">
        <f>IF($B238&lt;=Inputs!$C$6,MAX(0,$D238-$E238),0)</f>
        <v/>
      </c>
      <c r="G238" s="24">
        <f>IF($B238&lt;=Inputs!$C$6,MAX(0,($C238-$F238))*(1-(1-Inputs!$C$8)^(1/12)),0)</f>
        <v/>
      </c>
      <c r="H238" s="24">
        <f>IF($B238&lt;=Inputs!$C$6,MAX(0,($C238-$F238-$G238))*(1-(1-Inputs!$C$9)^(1/12)),0)</f>
        <v/>
      </c>
      <c r="I238" s="24">
        <f>IF($B238&gt;Inputs!$C$11,INDEX($H:$H,ROW()-Inputs!$C$11)* (1-Inputs!$C$10),0)</f>
        <v/>
      </c>
      <c r="J238" s="24">
        <f>$H238*Inputs!$C$10</f>
        <v/>
      </c>
      <c r="K238" s="24">
        <f>IF($B238&lt;=Inputs!$C$6+Inputs!$C$11,$C238*Inputs!$C$7/12,0)</f>
        <v/>
      </c>
      <c r="L238" s="24">
        <f>IF($B238&lt;=Inputs!$C$6+Inputs!$C$11,$E238+$F238+$G238+$I238-$K238,0)</f>
        <v/>
      </c>
      <c r="M238" s="24">
        <f>IF($B238&lt;=Inputs!$C$6,MAX(0,$C238-$F238-$G238-$H238),0)</f>
        <v/>
      </c>
    </row>
    <row r="239">
      <c r="B239" s="22" t="n">
        <v>236</v>
      </c>
      <c r="C239" s="23">
        <f>IF($B239&lt;=Inputs!$C$6+Inputs!$C$11,$M238,"")</f>
        <v/>
      </c>
      <c r="D239" s="24">
        <f>IF($B239&lt;=Inputs!$C$6,-PMT(Inputs!$C$5/12,Inputs!$C$6,Inputs!$C$4),0)</f>
        <v/>
      </c>
      <c r="E239" s="24">
        <f>IF($B239&lt;=Inputs!$C$6+Inputs!$C$11,$C239*Inputs!$C$5/12,0)</f>
        <v/>
      </c>
      <c r="F239" s="24">
        <f>IF($B239&lt;=Inputs!$C$6,MAX(0,$D239-$E239),0)</f>
        <v/>
      </c>
      <c r="G239" s="24">
        <f>IF($B239&lt;=Inputs!$C$6,MAX(0,($C239-$F239))*(1-(1-Inputs!$C$8)^(1/12)),0)</f>
        <v/>
      </c>
      <c r="H239" s="24">
        <f>IF($B239&lt;=Inputs!$C$6,MAX(0,($C239-$F239-$G239))*(1-(1-Inputs!$C$9)^(1/12)),0)</f>
        <v/>
      </c>
      <c r="I239" s="24">
        <f>IF($B239&gt;Inputs!$C$11,INDEX($H:$H,ROW()-Inputs!$C$11)* (1-Inputs!$C$10),0)</f>
        <v/>
      </c>
      <c r="J239" s="24">
        <f>$H239*Inputs!$C$10</f>
        <v/>
      </c>
      <c r="K239" s="24">
        <f>IF($B239&lt;=Inputs!$C$6+Inputs!$C$11,$C239*Inputs!$C$7/12,0)</f>
        <v/>
      </c>
      <c r="L239" s="24">
        <f>IF($B239&lt;=Inputs!$C$6+Inputs!$C$11,$E239+$F239+$G239+$I239-$K239,0)</f>
        <v/>
      </c>
      <c r="M239" s="24">
        <f>IF($B239&lt;=Inputs!$C$6,MAX(0,$C239-$F239-$G239-$H239),0)</f>
        <v/>
      </c>
    </row>
    <row r="240">
      <c r="B240" s="22" t="n">
        <v>237</v>
      </c>
      <c r="C240" s="23">
        <f>IF($B240&lt;=Inputs!$C$6+Inputs!$C$11,$M239,"")</f>
        <v/>
      </c>
      <c r="D240" s="24">
        <f>IF($B240&lt;=Inputs!$C$6,-PMT(Inputs!$C$5/12,Inputs!$C$6,Inputs!$C$4),0)</f>
        <v/>
      </c>
      <c r="E240" s="24">
        <f>IF($B240&lt;=Inputs!$C$6+Inputs!$C$11,$C240*Inputs!$C$5/12,0)</f>
        <v/>
      </c>
      <c r="F240" s="24">
        <f>IF($B240&lt;=Inputs!$C$6,MAX(0,$D240-$E240),0)</f>
        <v/>
      </c>
      <c r="G240" s="24">
        <f>IF($B240&lt;=Inputs!$C$6,MAX(0,($C240-$F240))*(1-(1-Inputs!$C$8)^(1/12)),0)</f>
        <v/>
      </c>
      <c r="H240" s="24">
        <f>IF($B240&lt;=Inputs!$C$6,MAX(0,($C240-$F240-$G240))*(1-(1-Inputs!$C$9)^(1/12)),0)</f>
        <v/>
      </c>
      <c r="I240" s="24">
        <f>IF($B240&gt;Inputs!$C$11,INDEX($H:$H,ROW()-Inputs!$C$11)* (1-Inputs!$C$10),0)</f>
        <v/>
      </c>
      <c r="J240" s="24">
        <f>$H240*Inputs!$C$10</f>
        <v/>
      </c>
      <c r="K240" s="24">
        <f>IF($B240&lt;=Inputs!$C$6+Inputs!$C$11,$C240*Inputs!$C$7/12,0)</f>
        <v/>
      </c>
      <c r="L240" s="24">
        <f>IF($B240&lt;=Inputs!$C$6+Inputs!$C$11,$E240+$F240+$G240+$I240-$K240,0)</f>
        <v/>
      </c>
      <c r="M240" s="24">
        <f>IF($B240&lt;=Inputs!$C$6,MAX(0,$C240-$F240-$G240-$H240),0)</f>
        <v/>
      </c>
    </row>
    <row r="241">
      <c r="B241" s="22" t="n">
        <v>238</v>
      </c>
      <c r="C241" s="23">
        <f>IF($B241&lt;=Inputs!$C$6+Inputs!$C$11,$M240,"")</f>
        <v/>
      </c>
      <c r="D241" s="24">
        <f>IF($B241&lt;=Inputs!$C$6,-PMT(Inputs!$C$5/12,Inputs!$C$6,Inputs!$C$4),0)</f>
        <v/>
      </c>
      <c r="E241" s="24">
        <f>IF($B241&lt;=Inputs!$C$6+Inputs!$C$11,$C241*Inputs!$C$5/12,0)</f>
        <v/>
      </c>
      <c r="F241" s="24">
        <f>IF($B241&lt;=Inputs!$C$6,MAX(0,$D241-$E241),0)</f>
        <v/>
      </c>
      <c r="G241" s="24">
        <f>IF($B241&lt;=Inputs!$C$6,MAX(0,($C241-$F241))*(1-(1-Inputs!$C$8)^(1/12)),0)</f>
        <v/>
      </c>
      <c r="H241" s="24">
        <f>IF($B241&lt;=Inputs!$C$6,MAX(0,($C241-$F241-$G241))*(1-(1-Inputs!$C$9)^(1/12)),0)</f>
        <v/>
      </c>
      <c r="I241" s="24">
        <f>IF($B241&gt;Inputs!$C$11,INDEX($H:$H,ROW()-Inputs!$C$11)* (1-Inputs!$C$10),0)</f>
        <v/>
      </c>
      <c r="J241" s="24">
        <f>$H241*Inputs!$C$10</f>
        <v/>
      </c>
      <c r="K241" s="24">
        <f>IF($B241&lt;=Inputs!$C$6+Inputs!$C$11,$C241*Inputs!$C$7/12,0)</f>
        <v/>
      </c>
      <c r="L241" s="24">
        <f>IF($B241&lt;=Inputs!$C$6+Inputs!$C$11,$E241+$F241+$G241+$I241-$K241,0)</f>
        <v/>
      </c>
      <c r="M241" s="24">
        <f>IF($B241&lt;=Inputs!$C$6,MAX(0,$C241-$F241-$G241-$H241),0)</f>
        <v/>
      </c>
    </row>
    <row r="242">
      <c r="B242" s="22" t="n">
        <v>239</v>
      </c>
      <c r="C242" s="23">
        <f>IF($B242&lt;=Inputs!$C$6+Inputs!$C$11,$M241,"")</f>
        <v/>
      </c>
      <c r="D242" s="24">
        <f>IF($B242&lt;=Inputs!$C$6,-PMT(Inputs!$C$5/12,Inputs!$C$6,Inputs!$C$4),0)</f>
        <v/>
      </c>
      <c r="E242" s="24">
        <f>IF($B242&lt;=Inputs!$C$6+Inputs!$C$11,$C242*Inputs!$C$5/12,0)</f>
        <v/>
      </c>
      <c r="F242" s="24">
        <f>IF($B242&lt;=Inputs!$C$6,MAX(0,$D242-$E242),0)</f>
        <v/>
      </c>
      <c r="G242" s="24">
        <f>IF($B242&lt;=Inputs!$C$6,MAX(0,($C242-$F242))*(1-(1-Inputs!$C$8)^(1/12)),0)</f>
        <v/>
      </c>
      <c r="H242" s="24">
        <f>IF($B242&lt;=Inputs!$C$6,MAX(0,($C242-$F242-$G242))*(1-(1-Inputs!$C$9)^(1/12)),0)</f>
        <v/>
      </c>
      <c r="I242" s="24">
        <f>IF($B242&gt;Inputs!$C$11,INDEX($H:$H,ROW()-Inputs!$C$11)* (1-Inputs!$C$10),0)</f>
        <v/>
      </c>
      <c r="J242" s="24">
        <f>$H242*Inputs!$C$10</f>
        <v/>
      </c>
      <c r="K242" s="24">
        <f>IF($B242&lt;=Inputs!$C$6+Inputs!$C$11,$C242*Inputs!$C$7/12,0)</f>
        <v/>
      </c>
      <c r="L242" s="24">
        <f>IF($B242&lt;=Inputs!$C$6+Inputs!$C$11,$E242+$F242+$G242+$I242-$K242,0)</f>
        <v/>
      </c>
      <c r="M242" s="24">
        <f>IF($B242&lt;=Inputs!$C$6,MAX(0,$C242-$F242-$G242-$H242),0)</f>
        <v/>
      </c>
    </row>
    <row r="243">
      <c r="B243" s="22" t="n">
        <v>240</v>
      </c>
      <c r="C243" s="23">
        <f>IF($B243&lt;=Inputs!$C$6+Inputs!$C$11,$M242,"")</f>
        <v/>
      </c>
      <c r="D243" s="24">
        <f>IF($B243&lt;=Inputs!$C$6,-PMT(Inputs!$C$5/12,Inputs!$C$6,Inputs!$C$4),0)</f>
        <v/>
      </c>
      <c r="E243" s="24">
        <f>IF($B243&lt;=Inputs!$C$6+Inputs!$C$11,$C243*Inputs!$C$5/12,0)</f>
        <v/>
      </c>
      <c r="F243" s="24">
        <f>IF($B243&lt;=Inputs!$C$6,MAX(0,$D243-$E243),0)</f>
        <v/>
      </c>
      <c r="G243" s="24">
        <f>IF($B243&lt;=Inputs!$C$6,MAX(0,($C243-$F243))*(1-(1-Inputs!$C$8)^(1/12)),0)</f>
        <v/>
      </c>
      <c r="H243" s="24">
        <f>IF($B243&lt;=Inputs!$C$6,MAX(0,($C243-$F243-$G243))*(1-(1-Inputs!$C$9)^(1/12)),0)</f>
        <v/>
      </c>
      <c r="I243" s="24">
        <f>IF($B243&gt;Inputs!$C$11,INDEX($H:$H,ROW()-Inputs!$C$11)* (1-Inputs!$C$10),0)</f>
        <v/>
      </c>
      <c r="J243" s="24">
        <f>$H243*Inputs!$C$10</f>
        <v/>
      </c>
      <c r="K243" s="24">
        <f>IF($B243&lt;=Inputs!$C$6+Inputs!$C$11,$C243*Inputs!$C$7/12,0)</f>
        <v/>
      </c>
      <c r="L243" s="24">
        <f>IF($B243&lt;=Inputs!$C$6+Inputs!$C$11,$E243+$F243+$G243+$I243-$K243,0)</f>
        <v/>
      </c>
      <c r="M243" s="24">
        <f>IF($B243&lt;=Inputs!$C$6,MAX(0,$C243-$F243-$G243-$H243),0)</f>
        <v/>
      </c>
    </row>
    <row r="244">
      <c r="B244" s="22" t="n">
        <v>241</v>
      </c>
      <c r="C244" s="23">
        <f>IF($B244&lt;=Inputs!$C$6+Inputs!$C$11,$M243,"")</f>
        <v/>
      </c>
      <c r="D244" s="24">
        <f>IF($B244&lt;=Inputs!$C$6,-PMT(Inputs!$C$5/12,Inputs!$C$6,Inputs!$C$4),0)</f>
        <v/>
      </c>
      <c r="E244" s="24">
        <f>IF($B244&lt;=Inputs!$C$6+Inputs!$C$11,$C244*Inputs!$C$5/12,0)</f>
        <v/>
      </c>
      <c r="F244" s="24">
        <f>IF($B244&lt;=Inputs!$C$6,MAX(0,$D244-$E244),0)</f>
        <v/>
      </c>
      <c r="G244" s="24">
        <f>IF($B244&lt;=Inputs!$C$6,MAX(0,($C244-$F244))*(1-(1-Inputs!$C$8)^(1/12)),0)</f>
        <v/>
      </c>
      <c r="H244" s="24">
        <f>IF($B244&lt;=Inputs!$C$6,MAX(0,($C244-$F244-$G244))*(1-(1-Inputs!$C$9)^(1/12)),0)</f>
        <v/>
      </c>
      <c r="I244" s="24">
        <f>IF($B244&gt;Inputs!$C$11,INDEX($H:$H,ROW()-Inputs!$C$11)* (1-Inputs!$C$10),0)</f>
        <v/>
      </c>
      <c r="J244" s="24">
        <f>$H244*Inputs!$C$10</f>
        <v/>
      </c>
      <c r="K244" s="24">
        <f>IF($B244&lt;=Inputs!$C$6+Inputs!$C$11,$C244*Inputs!$C$7/12,0)</f>
        <v/>
      </c>
      <c r="L244" s="24">
        <f>IF($B244&lt;=Inputs!$C$6+Inputs!$C$11,$E244+$F244+$G244+$I244-$K244,0)</f>
        <v/>
      </c>
      <c r="M244" s="24">
        <f>IF($B244&lt;=Inputs!$C$6,MAX(0,$C244-$F244-$G244-$H244),0)</f>
        <v/>
      </c>
    </row>
    <row r="245">
      <c r="B245" s="22" t="n">
        <v>242</v>
      </c>
      <c r="C245" s="23">
        <f>IF($B245&lt;=Inputs!$C$6+Inputs!$C$11,$M244,"")</f>
        <v/>
      </c>
      <c r="D245" s="24">
        <f>IF($B245&lt;=Inputs!$C$6,-PMT(Inputs!$C$5/12,Inputs!$C$6,Inputs!$C$4),0)</f>
        <v/>
      </c>
      <c r="E245" s="24">
        <f>IF($B245&lt;=Inputs!$C$6+Inputs!$C$11,$C245*Inputs!$C$5/12,0)</f>
        <v/>
      </c>
      <c r="F245" s="24">
        <f>IF($B245&lt;=Inputs!$C$6,MAX(0,$D245-$E245),0)</f>
        <v/>
      </c>
      <c r="G245" s="24">
        <f>IF($B245&lt;=Inputs!$C$6,MAX(0,($C245-$F245))*(1-(1-Inputs!$C$8)^(1/12)),0)</f>
        <v/>
      </c>
      <c r="H245" s="24">
        <f>IF($B245&lt;=Inputs!$C$6,MAX(0,($C245-$F245-$G245))*(1-(1-Inputs!$C$9)^(1/12)),0)</f>
        <v/>
      </c>
      <c r="I245" s="24">
        <f>IF($B245&gt;Inputs!$C$11,INDEX($H:$H,ROW()-Inputs!$C$11)* (1-Inputs!$C$10),0)</f>
        <v/>
      </c>
      <c r="J245" s="24">
        <f>$H245*Inputs!$C$10</f>
        <v/>
      </c>
      <c r="K245" s="24">
        <f>IF($B245&lt;=Inputs!$C$6+Inputs!$C$11,$C245*Inputs!$C$7/12,0)</f>
        <v/>
      </c>
      <c r="L245" s="24">
        <f>IF($B245&lt;=Inputs!$C$6+Inputs!$C$11,$E245+$F245+$G245+$I245-$K245,0)</f>
        <v/>
      </c>
      <c r="M245" s="24">
        <f>IF($B245&lt;=Inputs!$C$6,MAX(0,$C245-$F245-$G245-$H245),0)</f>
        <v/>
      </c>
    </row>
    <row r="246">
      <c r="B246" s="22" t="n">
        <v>243</v>
      </c>
      <c r="C246" s="23">
        <f>IF($B246&lt;=Inputs!$C$6+Inputs!$C$11,$M245,"")</f>
        <v/>
      </c>
      <c r="D246" s="24">
        <f>IF($B246&lt;=Inputs!$C$6,-PMT(Inputs!$C$5/12,Inputs!$C$6,Inputs!$C$4),0)</f>
        <v/>
      </c>
      <c r="E246" s="24">
        <f>IF($B246&lt;=Inputs!$C$6+Inputs!$C$11,$C246*Inputs!$C$5/12,0)</f>
        <v/>
      </c>
      <c r="F246" s="24">
        <f>IF($B246&lt;=Inputs!$C$6,MAX(0,$D246-$E246),0)</f>
        <v/>
      </c>
      <c r="G246" s="24">
        <f>IF($B246&lt;=Inputs!$C$6,MAX(0,($C246-$F246))*(1-(1-Inputs!$C$8)^(1/12)),0)</f>
        <v/>
      </c>
      <c r="H246" s="24">
        <f>IF($B246&lt;=Inputs!$C$6,MAX(0,($C246-$F246-$G246))*(1-(1-Inputs!$C$9)^(1/12)),0)</f>
        <v/>
      </c>
      <c r="I246" s="24">
        <f>IF($B246&gt;Inputs!$C$11,INDEX($H:$H,ROW()-Inputs!$C$11)* (1-Inputs!$C$10),0)</f>
        <v/>
      </c>
      <c r="J246" s="24">
        <f>$H246*Inputs!$C$10</f>
        <v/>
      </c>
      <c r="K246" s="24">
        <f>IF($B246&lt;=Inputs!$C$6+Inputs!$C$11,$C246*Inputs!$C$7/12,0)</f>
        <v/>
      </c>
      <c r="L246" s="24">
        <f>IF($B246&lt;=Inputs!$C$6+Inputs!$C$11,$E246+$F246+$G246+$I246-$K246,0)</f>
        <v/>
      </c>
      <c r="M246" s="24">
        <f>IF($B246&lt;=Inputs!$C$6,MAX(0,$C246-$F246-$G246-$H246),0)</f>
        <v/>
      </c>
    </row>
    <row r="247">
      <c r="B247" s="22" t="n">
        <v>244</v>
      </c>
      <c r="C247" s="23">
        <f>IF($B247&lt;=Inputs!$C$6+Inputs!$C$11,$M246,"")</f>
        <v/>
      </c>
      <c r="D247" s="24">
        <f>IF($B247&lt;=Inputs!$C$6,-PMT(Inputs!$C$5/12,Inputs!$C$6,Inputs!$C$4),0)</f>
        <v/>
      </c>
      <c r="E247" s="24">
        <f>IF($B247&lt;=Inputs!$C$6+Inputs!$C$11,$C247*Inputs!$C$5/12,0)</f>
        <v/>
      </c>
      <c r="F247" s="24">
        <f>IF($B247&lt;=Inputs!$C$6,MAX(0,$D247-$E247),0)</f>
        <v/>
      </c>
      <c r="G247" s="24">
        <f>IF($B247&lt;=Inputs!$C$6,MAX(0,($C247-$F247))*(1-(1-Inputs!$C$8)^(1/12)),0)</f>
        <v/>
      </c>
      <c r="H247" s="24">
        <f>IF($B247&lt;=Inputs!$C$6,MAX(0,($C247-$F247-$G247))*(1-(1-Inputs!$C$9)^(1/12)),0)</f>
        <v/>
      </c>
      <c r="I247" s="24">
        <f>IF($B247&gt;Inputs!$C$11,INDEX($H:$H,ROW()-Inputs!$C$11)* (1-Inputs!$C$10),0)</f>
        <v/>
      </c>
      <c r="J247" s="24">
        <f>$H247*Inputs!$C$10</f>
        <v/>
      </c>
      <c r="K247" s="24">
        <f>IF($B247&lt;=Inputs!$C$6+Inputs!$C$11,$C247*Inputs!$C$7/12,0)</f>
        <v/>
      </c>
      <c r="L247" s="24">
        <f>IF($B247&lt;=Inputs!$C$6+Inputs!$C$11,$E247+$F247+$G247+$I247-$K247,0)</f>
        <v/>
      </c>
      <c r="M247" s="24">
        <f>IF($B247&lt;=Inputs!$C$6,MAX(0,$C247-$F247-$G247-$H247),0)</f>
        <v/>
      </c>
    </row>
    <row r="248">
      <c r="B248" s="22" t="n">
        <v>245</v>
      </c>
      <c r="C248" s="23">
        <f>IF($B248&lt;=Inputs!$C$6+Inputs!$C$11,$M247,"")</f>
        <v/>
      </c>
      <c r="D248" s="24">
        <f>IF($B248&lt;=Inputs!$C$6,-PMT(Inputs!$C$5/12,Inputs!$C$6,Inputs!$C$4),0)</f>
        <v/>
      </c>
      <c r="E248" s="24">
        <f>IF($B248&lt;=Inputs!$C$6+Inputs!$C$11,$C248*Inputs!$C$5/12,0)</f>
        <v/>
      </c>
      <c r="F248" s="24">
        <f>IF($B248&lt;=Inputs!$C$6,MAX(0,$D248-$E248),0)</f>
        <v/>
      </c>
      <c r="G248" s="24">
        <f>IF($B248&lt;=Inputs!$C$6,MAX(0,($C248-$F248))*(1-(1-Inputs!$C$8)^(1/12)),0)</f>
        <v/>
      </c>
      <c r="H248" s="24">
        <f>IF($B248&lt;=Inputs!$C$6,MAX(0,($C248-$F248-$G248))*(1-(1-Inputs!$C$9)^(1/12)),0)</f>
        <v/>
      </c>
      <c r="I248" s="24">
        <f>IF($B248&gt;Inputs!$C$11,INDEX($H:$H,ROW()-Inputs!$C$11)* (1-Inputs!$C$10),0)</f>
        <v/>
      </c>
      <c r="J248" s="24">
        <f>$H248*Inputs!$C$10</f>
        <v/>
      </c>
      <c r="K248" s="24">
        <f>IF($B248&lt;=Inputs!$C$6+Inputs!$C$11,$C248*Inputs!$C$7/12,0)</f>
        <v/>
      </c>
      <c r="L248" s="24">
        <f>IF($B248&lt;=Inputs!$C$6+Inputs!$C$11,$E248+$F248+$G248+$I248-$K248,0)</f>
        <v/>
      </c>
      <c r="M248" s="24">
        <f>IF($B248&lt;=Inputs!$C$6,MAX(0,$C248-$F248-$G248-$H248),0)</f>
        <v/>
      </c>
    </row>
    <row r="249">
      <c r="B249" s="22" t="n">
        <v>246</v>
      </c>
      <c r="C249" s="23">
        <f>IF($B249&lt;=Inputs!$C$6+Inputs!$C$11,$M248,"")</f>
        <v/>
      </c>
      <c r="D249" s="24">
        <f>IF($B249&lt;=Inputs!$C$6,-PMT(Inputs!$C$5/12,Inputs!$C$6,Inputs!$C$4),0)</f>
        <v/>
      </c>
      <c r="E249" s="24">
        <f>IF($B249&lt;=Inputs!$C$6+Inputs!$C$11,$C249*Inputs!$C$5/12,0)</f>
        <v/>
      </c>
      <c r="F249" s="24">
        <f>IF($B249&lt;=Inputs!$C$6,MAX(0,$D249-$E249),0)</f>
        <v/>
      </c>
      <c r="G249" s="24">
        <f>IF($B249&lt;=Inputs!$C$6,MAX(0,($C249-$F249))*(1-(1-Inputs!$C$8)^(1/12)),0)</f>
        <v/>
      </c>
      <c r="H249" s="24">
        <f>IF($B249&lt;=Inputs!$C$6,MAX(0,($C249-$F249-$G249))*(1-(1-Inputs!$C$9)^(1/12)),0)</f>
        <v/>
      </c>
      <c r="I249" s="24">
        <f>IF($B249&gt;Inputs!$C$11,INDEX($H:$H,ROW()-Inputs!$C$11)* (1-Inputs!$C$10),0)</f>
        <v/>
      </c>
      <c r="J249" s="24">
        <f>$H249*Inputs!$C$10</f>
        <v/>
      </c>
      <c r="K249" s="24">
        <f>IF($B249&lt;=Inputs!$C$6+Inputs!$C$11,$C249*Inputs!$C$7/12,0)</f>
        <v/>
      </c>
      <c r="L249" s="24">
        <f>IF($B249&lt;=Inputs!$C$6+Inputs!$C$11,$E249+$F249+$G249+$I249-$K249,0)</f>
        <v/>
      </c>
      <c r="M249" s="24">
        <f>IF($B249&lt;=Inputs!$C$6,MAX(0,$C249-$F249-$G249-$H249),0)</f>
        <v/>
      </c>
    </row>
    <row r="250">
      <c r="B250" s="22" t="n">
        <v>247</v>
      </c>
      <c r="C250" s="23">
        <f>IF($B250&lt;=Inputs!$C$6+Inputs!$C$11,$M249,"")</f>
        <v/>
      </c>
      <c r="D250" s="24">
        <f>IF($B250&lt;=Inputs!$C$6,-PMT(Inputs!$C$5/12,Inputs!$C$6,Inputs!$C$4),0)</f>
        <v/>
      </c>
      <c r="E250" s="24">
        <f>IF($B250&lt;=Inputs!$C$6+Inputs!$C$11,$C250*Inputs!$C$5/12,0)</f>
        <v/>
      </c>
      <c r="F250" s="24">
        <f>IF($B250&lt;=Inputs!$C$6,MAX(0,$D250-$E250),0)</f>
        <v/>
      </c>
      <c r="G250" s="24">
        <f>IF($B250&lt;=Inputs!$C$6,MAX(0,($C250-$F250))*(1-(1-Inputs!$C$8)^(1/12)),0)</f>
        <v/>
      </c>
      <c r="H250" s="24">
        <f>IF($B250&lt;=Inputs!$C$6,MAX(0,($C250-$F250-$G250))*(1-(1-Inputs!$C$9)^(1/12)),0)</f>
        <v/>
      </c>
      <c r="I250" s="24">
        <f>IF($B250&gt;Inputs!$C$11,INDEX($H:$H,ROW()-Inputs!$C$11)* (1-Inputs!$C$10),0)</f>
        <v/>
      </c>
      <c r="J250" s="24">
        <f>$H250*Inputs!$C$10</f>
        <v/>
      </c>
      <c r="K250" s="24">
        <f>IF($B250&lt;=Inputs!$C$6+Inputs!$C$11,$C250*Inputs!$C$7/12,0)</f>
        <v/>
      </c>
      <c r="L250" s="24">
        <f>IF($B250&lt;=Inputs!$C$6+Inputs!$C$11,$E250+$F250+$G250+$I250-$K250,0)</f>
        <v/>
      </c>
      <c r="M250" s="24">
        <f>IF($B250&lt;=Inputs!$C$6,MAX(0,$C250-$F250-$G250-$H250),0)</f>
        <v/>
      </c>
    </row>
    <row r="251">
      <c r="B251" s="22" t="n">
        <v>248</v>
      </c>
      <c r="C251" s="23">
        <f>IF($B251&lt;=Inputs!$C$6+Inputs!$C$11,$M250,"")</f>
        <v/>
      </c>
      <c r="D251" s="24">
        <f>IF($B251&lt;=Inputs!$C$6,-PMT(Inputs!$C$5/12,Inputs!$C$6,Inputs!$C$4),0)</f>
        <v/>
      </c>
      <c r="E251" s="24">
        <f>IF($B251&lt;=Inputs!$C$6+Inputs!$C$11,$C251*Inputs!$C$5/12,0)</f>
        <v/>
      </c>
      <c r="F251" s="24">
        <f>IF($B251&lt;=Inputs!$C$6,MAX(0,$D251-$E251),0)</f>
        <v/>
      </c>
      <c r="G251" s="24">
        <f>IF($B251&lt;=Inputs!$C$6,MAX(0,($C251-$F251))*(1-(1-Inputs!$C$8)^(1/12)),0)</f>
        <v/>
      </c>
      <c r="H251" s="24">
        <f>IF($B251&lt;=Inputs!$C$6,MAX(0,($C251-$F251-$G251))*(1-(1-Inputs!$C$9)^(1/12)),0)</f>
        <v/>
      </c>
      <c r="I251" s="24">
        <f>IF($B251&gt;Inputs!$C$11,INDEX($H:$H,ROW()-Inputs!$C$11)* (1-Inputs!$C$10),0)</f>
        <v/>
      </c>
      <c r="J251" s="24">
        <f>$H251*Inputs!$C$10</f>
        <v/>
      </c>
      <c r="K251" s="24">
        <f>IF($B251&lt;=Inputs!$C$6+Inputs!$C$11,$C251*Inputs!$C$7/12,0)</f>
        <v/>
      </c>
      <c r="L251" s="24">
        <f>IF($B251&lt;=Inputs!$C$6+Inputs!$C$11,$E251+$F251+$G251+$I251-$K251,0)</f>
        <v/>
      </c>
      <c r="M251" s="24">
        <f>IF($B251&lt;=Inputs!$C$6,MAX(0,$C251-$F251-$G251-$H251),0)</f>
        <v/>
      </c>
    </row>
    <row r="252">
      <c r="B252" s="22" t="n">
        <v>249</v>
      </c>
      <c r="C252" s="23">
        <f>IF($B252&lt;=Inputs!$C$6+Inputs!$C$11,$M251,"")</f>
        <v/>
      </c>
      <c r="D252" s="24">
        <f>IF($B252&lt;=Inputs!$C$6,-PMT(Inputs!$C$5/12,Inputs!$C$6,Inputs!$C$4),0)</f>
        <v/>
      </c>
      <c r="E252" s="24">
        <f>IF($B252&lt;=Inputs!$C$6+Inputs!$C$11,$C252*Inputs!$C$5/12,0)</f>
        <v/>
      </c>
      <c r="F252" s="24">
        <f>IF($B252&lt;=Inputs!$C$6,MAX(0,$D252-$E252),0)</f>
        <v/>
      </c>
      <c r="G252" s="24">
        <f>IF($B252&lt;=Inputs!$C$6,MAX(0,($C252-$F252))*(1-(1-Inputs!$C$8)^(1/12)),0)</f>
        <v/>
      </c>
      <c r="H252" s="24">
        <f>IF($B252&lt;=Inputs!$C$6,MAX(0,($C252-$F252-$G252))*(1-(1-Inputs!$C$9)^(1/12)),0)</f>
        <v/>
      </c>
      <c r="I252" s="24">
        <f>IF($B252&gt;Inputs!$C$11,INDEX($H:$H,ROW()-Inputs!$C$11)* (1-Inputs!$C$10),0)</f>
        <v/>
      </c>
      <c r="J252" s="24">
        <f>$H252*Inputs!$C$10</f>
        <v/>
      </c>
      <c r="K252" s="24">
        <f>IF($B252&lt;=Inputs!$C$6+Inputs!$C$11,$C252*Inputs!$C$7/12,0)</f>
        <v/>
      </c>
      <c r="L252" s="24">
        <f>IF($B252&lt;=Inputs!$C$6+Inputs!$C$11,$E252+$F252+$G252+$I252-$K252,0)</f>
        <v/>
      </c>
      <c r="M252" s="24">
        <f>IF($B252&lt;=Inputs!$C$6,MAX(0,$C252-$F252-$G252-$H252),0)</f>
        <v/>
      </c>
    </row>
    <row r="253">
      <c r="B253" s="22" t="n">
        <v>250</v>
      </c>
      <c r="C253" s="23">
        <f>IF($B253&lt;=Inputs!$C$6+Inputs!$C$11,$M252,"")</f>
        <v/>
      </c>
      <c r="D253" s="24">
        <f>IF($B253&lt;=Inputs!$C$6,-PMT(Inputs!$C$5/12,Inputs!$C$6,Inputs!$C$4),0)</f>
        <v/>
      </c>
      <c r="E253" s="24">
        <f>IF($B253&lt;=Inputs!$C$6+Inputs!$C$11,$C253*Inputs!$C$5/12,0)</f>
        <v/>
      </c>
      <c r="F253" s="24">
        <f>IF($B253&lt;=Inputs!$C$6,MAX(0,$D253-$E253),0)</f>
        <v/>
      </c>
      <c r="G253" s="24">
        <f>IF($B253&lt;=Inputs!$C$6,MAX(0,($C253-$F253))*(1-(1-Inputs!$C$8)^(1/12)),0)</f>
        <v/>
      </c>
      <c r="H253" s="24">
        <f>IF($B253&lt;=Inputs!$C$6,MAX(0,($C253-$F253-$G253))*(1-(1-Inputs!$C$9)^(1/12)),0)</f>
        <v/>
      </c>
      <c r="I253" s="24">
        <f>IF($B253&gt;Inputs!$C$11,INDEX($H:$H,ROW()-Inputs!$C$11)* (1-Inputs!$C$10),0)</f>
        <v/>
      </c>
      <c r="J253" s="24">
        <f>$H253*Inputs!$C$10</f>
        <v/>
      </c>
      <c r="K253" s="24">
        <f>IF($B253&lt;=Inputs!$C$6+Inputs!$C$11,$C253*Inputs!$C$7/12,0)</f>
        <v/>
      </c>
      <c r="L253" s="24">
        <f>IF($B253&lt;=Inputs!$C$6+Inputs!$C$11,$E253+$F253+$G253+$I253-$K253,0)</f>
        <v/>
      </c>
      <c r="M253" s="24">
        <f>IF($B253&lt;=Inputs!$C$6,MAX(0,$C253-$F253-$G253-$H253),0)</f>
        <v/>
      </c>
    </row>
    <row r="254">
      <c r="B254" s="22" t="n">
        <v>251</v>
      </c>
      <c r="C254" s="23">
        <f>IF($B254&lt;=Inputs!$C$6+Inputs!$C$11,$M253,"")</f>
        <v/>
      </c>
      <c r="D254" s="24">
        <f>IF($B254&lt;=Inputs!$C$6,-PMT(Inputs!$C$5/12,Inputs!$C$6,Inputs!$C$4),0)</f>
        <v/>
      </c>
      <c r="E254" s="24">
        <f>IF($B254&lt;=Inputs!$C$6+Inputs!$C$11,$C254*Inputs!$C$5/12,0)</f>
        <v/>
      </c>
      <c r="F254" s="24">
        <f>IF($B254&lt;=Inputs!$C$6,MAX(0,$D254-$E254),0)</f>
        <v/>
      </c>
      <c r="G254" s="24">
        <f>IF($B254&lt;=Inputs!$C$6,MAX(0,($C254-$F254))*(1-(1-Inputs!$C$8)^(1/12)),0)</f>
        <v/>
      </c>
      <c r="H254" s="24">
        <f>IF($B254&lt;=Inputs!$C$6,MAX(0,($C254-$F254-$G254))*(1-(1-Inputs!$C$9)^(1/12)),0)</f>
        <v/>
      </c>
      <c r="I254" s="24">
        <f>IF($B254&gt;Inputs!$C$11,INDEX($H:$H,ROW()-Inputs!$C$11)* (1-Inputs!$C$10),0)</f>
        <v/>
      </c>
      <c r="J254" s="24">
        <f>$H254*Inputs!$C$10</f>
        <v/>
      </c>
      <c r="K254" s="24">
        <f>IF($B254&lt;=Inputs!$C$6+Inputs!$C$11,$C254*Inputs!$C$7/12,0)</f>
        <v/>
      </c>
      <c r="L254" s="24">
        <f>IF($B254&lt;=Inputs!$C$6+Inputs!$C$11,$E254+$F254+$G254+$I254-$K254,0)</f>
        <v/>
      </c>
      <c r="M254" s="24">
        <f>IF($B254&lt;=Inputs!$C$6,MAX(0,$C254-$F254-$G254-$H254),0)</f>
        <v/>
      </c>
    </row>
    <row r="255">
      <c r="B255" s="22" t="n">
        <v>252</v>
      </c>
      <c r="C255" s="23">
        <f>IF($B255&lt;=Inputs!$C$6+Inputs!$C$11,$M254,"")</f>
        <v/>
      </c>
      <c r="D255" s="24">
        <f>IF($B255&lt;=Inputs!$C$6,-PMT(Inputs!$C$5/12,Inputs!$C$6,Inputs!$C$4),0)</f>
        <v/>
      </c>
      <c r="E255" s="24">
        <f>IF($B255&lt;=Inputs!$C$6+Inputs!$C$11,$C255*Inputs!$C$5/12,0)</f>
        <v/>
      </c>
      <c r="F255" s="24">
        <f>IF($B255&lt;=Inputs!$C$6,MAX(0,$D255-$E255),0)</f>
        <v/>
      </c>
      <c r="G255" s="24">
        <f>IF($B255&lt;=Inputs!$C$6,MAX(0,($C255-$F255))*(1-(1-Inputs!$C$8)^(1/12)),0)</f>
        <v/>
      </c>
      <c r="H255" s="24">
        <f>IF($B255&lt;=Inputs!$C$6,MAX(0,($C255-$F255-$G255))*(1-(1-Inputs!$C$9)^(1/12)),0)</f>
        <v/>
      </c>
      <c r="I255" s="24">
        <f>IF($B255&gt;Inputs!$C$11,INDEX($H:$H,ROW()-Inputs!$C$11)* (1-Inputs!$C$10),0)</f>
        <v/>
      </c>
      <c r="J255" s="24">
        <f>$H255*Inputs!$C$10</f>
        <v/>
      </c>
      <c r="K255" s="24">
        <f>IF($B255&lt;=Inputs!$C$6+Inputs!$C$11,$C255*Inputs!$C$7/12,0)</f>
        <v/>
      </c>
      <c r="L255" s="24">
        <f>IF($B255&lt;=Inputs!$C$6+Inputs!$C$11,$E255+$F255+$G255+$I255-$K255,0)</f>
        <v/>
      </c>
      <c r="M255" s="24">
        <f>IF($B255&lt;=Inputs!$C$6,MAX(0,$C255-$F255-$G255-$H255),0)</f>
        <v/>
      </c>
    </row>
    <row r="256">
      <c r="B256" s="22" t="n">
        <v>253</v>
      </c>
      <c r="C256" s="23">
        <f>IF($B256&lt;=Inputs!$C$6+Inputs!$C$11,$M255,"")</f>
        <v/>
      </c>
      <c r="D256" s="24">
        <f>IF($B256&lt;=Inputs!$C$6,-PMT(Inputs!$C$5/12,Inputs!$C$6,Inputs!$C$4),0)</f>
        <v/>
      </c>
      <c r="E256" s="24">
        <f>IF($B256&lt;=Inputs!$C$6+Inputs!$C$11,$C256*Inputs!$C$5/12,0)</f>
        <v/>
      </c>
      <c r="F256" s="24">
        <f>IF($B256&lt;=Inputs!$C$6,MAX(0,$D256-$E256),0)</f>
        <v/>
      </c>
      <c r="G256" s="24">
        <f>IF($B256&lt;=Inputs!$C$6,MAX(0,($C256-$F256))*(1-(1-Inputs!$C$8)^(1/12)),0)</f>
        <v/>
      </c>
      <c r="H256" s="24">
        <f>IF($B256&lt;=Inputs!$C$6,MAX(0,($C256-$F256-$G256))*(1-(1-Inputs!$C$9)^(1/12)),0)</f>
        <v/>
      </c>
      <c r="I256" s="24">
        <f>IF($B256&gt;Inputs!$C$11,INDEX($H:$H,ROW()-Inputs!$C$11)* (1-Inputs!$C$10),0)</f>
        <v/>
      </c>
      <c r="J256" s="24">
        <f>$H256*Inputs!$C$10</f>
        <v/>
      </c>
      <c r="K256" s="24">
        <f>IF($B256&lt;=Inputs!$C$6+Inputs!$C$11,$C256*Inputs!$C$7/12,0)</f>
        <v/>
      </c>
      <c r="L256" s="24">
        <f>IF($B256&lt;=Inputs!$C$6+Inputs!$C$11,$E256+$F256+$G256+$I256-$K256,0)</f>
        <v/>
      </c>
      <c r="M256" s="24">
        <f>IF($B256&lt;=Inputs!$C$6,MAX(0,$C256-$F256-$G256-$H256),0)</f>
        <v/>
      </c>
    </row>
    <row r="257">
      <c r="B257" s="22" t="n">
        <v>254</v>
      </c>
      <c r="C257" s="23">
        <f>IF($B257&lt;=Inputs!$C$6+Inputs!$C$11,$M256,"")</f>
        <v/>
      </c>
      <c r="D257" s="24">
        <f>IF($B257&lt;=Inputs!$C$6,-PMT(Inputs!$C$5/12,Inputs!$C$6,Inputs!$C$4),0)</f>
        <v/>
      </c>
      <c r="E257" s="24">
        <f>IF($B257&lt;=Inputs!$C$6+Inputs!$C$11,$C257*Inputs!$C$5/12,0)</f>
        <v/>
      </c>
      <c r="F257" s="24">
        <f>IF($B257&lt;=Inputs!$C$6,MAX(0,$D257-$E257),0)</f>
        <v/>
      </c>
      <c r="G257" s="24">
        <f>IF($B257&lt;=Inputs!$C$6,MAX(0,($C257-$F257))*(1-(1-Inputs!$C$8)^(1/12)),0)</f>
        <v/>
      </c>
      <c r="H257" s="24">
        <f>IF($B257&lt;=Inputs!$C$6,MAX(0,($C257-$F257-$G257))*(1-(1-Inputs!$C$9)^(1/12)),0)</f>
        <v/>
      </c>
      <c r="I257" s="24">
        <f>IF($B257&gt;Inputs!$C$11,INDEX($H:$H,ROW()-Inputs!$C$11)* (1-Inputs!$C$10),0)</f>
        <v/>
      </c>
      <c r="J257" s="24">
        <f>$H257*Inputs!$C$10</f>
        <v/>
      </c>
      <c r="K257" s="24">
        <f>IF($B257&lt;=Inputs!$C$6+Inputs!$C$11,$C257*Inputs!$C$7/12,0)</f>
        <v/>
      </c>
      <c r="L257" s="24">
        <f>IF($B257&lt;=Inputs!$C$6+Inputs!$C$11,$E257+$F257+$G257+$I257-$K257,0)</f>
        <v/>
      </c>
      <c r="M257" s="24">
        <f>IF($B257&lt;=Inputs!$C$6,MAX(0,$C257-$F257-$G257-$H257),0)</f>
        <v/>
      </c>
    </row>
    <row r="258">
      <c r="B258" s="22" t="n">
        <v>255</v>
      </c>
      <c r="C258" s="23">
        <f>IF($B258&lt;=Inputs!$C$6+Inputs!$C$11,$M257,"")</f>
        <v/>
      </c>
      <c r="D258" s="24">
        <f>IF($B258&lt;=Inputs!$C$6,-PMT(Inputs!$C$5/12,Inputs!$C$6,Inputs!$C$4),0)</f>
        <v/>
      </c>
      <c r="E258" s="24">
        <f>IF($B258&lt;=Inputs!$C$6+Inputs!$C$11,$C258*Inputs!$C$5/12,0)</f>
        <v/>
      </c>
      <c r="F258" s="24">
        <f>IF($B258&lt;=Inputs!$C$6,MAX(0,$D258-$E258),0)</f>
        <v/>
      </c>
      <c r="G258" s="24">
        <f>IF($B258&lt;=Inputs!$C$6,MAX(0,($C258-$F258))*(1-(1-Inputs!$C$8)^(1/12)),0)</f>
        <v/>
      </c>
      <c r="H258" s="24">
        <f>IF($B258&lt;=Inputs!$C$6,MAX(0,($C258-$F258-$G258))*(1-(1-Inputs!$C$9)^(1/12)),0)</f>
        <v/>
      </c>
      <c r="I258" s="24">
        <f>IF($B258&gt;Inputs!$C$11,INDEX($H:$H,ROW()-Inputs!$C$11)* (1-Inputs!$C$10),0)</f>
        <v/>
      </c>
      <c r="J258" s="24">
        <f>$H258*Inputs!$C$10</f>
        <v/>
      </c>
      <c r="K258" s="24">
        <f>IF($B258&lt;=Inputs!$C$6+Inputs!$C$11,$C258*Inputs!$C$7/12,0)</f>
        <v/>
      </c>
      <c r="L258" s="24">
        <f>IF($B258&lt;=Inputs!$C$6+Inputs!$C$11,$E258+$F258+$G258+$I258-$K258,0)</f>
        <v/>
      </c>
      <c r="M258" s="24">
        <f>IF($B258&lt;=Inputs!$C$6,MAX(0,$C258-$F258-$G258-$H258),0)</f>
        <v/>
      </c>
    </row>
    <row r="259">
      <c r="B259" s="22" t="n">
        <v>256</v>
      </c>
      <c r="C259" s="23">
        <f>IF($B259&lt;=Inputs!$C$6+Inputs!$C$11,$M258,"")</f>
        <v/>
      </c>
      <c r="D259" s="24">
        <f>IF($B259&lt;=Inputs!$C$6,-PMT(Inputs!$C$5/12,Inputs!$C$6,Inputs!$C$4),0)</f>
        <v/>
      </c>
      <c r="E259" s="24">
        <f>IF($B259&lt;=Inputs!$C$6+Inputs!$C$11,$C259*Inputs!$C$5/12,0)</f>
        <v/>
      </c>
      <c r="F259" s="24">
        <f>IF($B259&lt;=Inputs!$C$6,MAX(0,$D259-$E259),0)</f>
        <v/>
      </c>
      <c r="G259" s="24">
        <f>IF($B259&lt;=Inputs!$C$6,MAX(0,($C259-$F259))*(1-(1-Inputs!$C$8)^(1/12)),0)</f>
        <v/>
      </c>
      <c r="H259" s="24">
        <f>IF($B259&lt;=Inputs!$C$6,MAX(0,($C259-$F259-$G259))*(1-(1-Inputs!$C$9)^(1/12)),0)</f>
        <v/>
      </c>
      <c r="I259" s="24">
        <f>IF($B259&gt;Inputs!$C$11,INDEX($H:$H,ROW()-Inputs!$C$11)* (1-Inputs!$C$10),0)</f>
        <v/>
      </c>
      <c r="J259" s="24">
        <f>$H259*Inputs!$C$10</f>
        <v/>
      </c>
      <c r="K259" s="24">
        <f>IF($B259&lt;=Inputs!$C$6+Inputs!$C$11,$C259*Inputs!$C$7/12,0)</f>
        <v/>
      </c>
      <c r="L259" s="24">
        <f>IF($B259&lt;=Inputs!$C$6+Inputs!$C$11,$E259+$F259+$G259+$I259-$K259,0)</f>
        <v/>
      </c>
      <c r="M259" s="24">
        <f>IF($B259&lt;=Inputs!$C$6,MAX(0,$C259-$F259-$G259-$H259),0)</f>
        <v/>
      </c>
    </row>
    <row r="260">
      <c r="B260" s="22" t="n">
        <v>257</v>
      </c>
      <c r="C260" s="23">
        <f>IF($B260&lt;=Inputs!$C$6+Inputs!$C$11,$M259,"")</f>
        <v/>
      </c>
      <c r="D260" s="24">
        <f>IF($B260&lt;=Inputs!$C$6,-PMT(Inputs!$C$5/12,Inputs!$C$6,Inputs!$C$4),0)</f>
        <v/>
      </c>
      <c r="E260" s="24">
        <f>IF($B260&lt;=Inputs!$C$6+Inputs!$C$11,$C260*Inputs!$C$5/12,0)</f>
        <v/>
      </c>
      <c r="F260" s="24">
        <f>IF($B260&lt;=Inputs!$C$6,MAX(0,$D260-$E260),0)</f>
        <v/>
      </c>
      <c r="G260" s="24">
        <f>IF($B260&lt;=Inputs!$C$6,MAX(0,($C260-$F260))*(1-(1-Inputs!$C$8)^(1/12)),0)</f>
        <v/>
      </c>
      <c r="H260" s="24">
        <f>IF($B260&lt;=Inputs!$C$6,MAX(0,($C260-$F260-$G260))*(1-(1-Inputs!$C$9)^(1/12)),0)</f>
        <v/>
      </c>
      <c r="I260" s="24">
        <f>IF($B260&gt;Inputs!$C$11,INDEX($H:$H,ROW()-Inputs!$C$11)* (1-Inputs!$C$10),0)</f>
        <v/>
      </c>
      <c r="J260" s="24">
        <f>$H260*Inputs!$C$10</f>
        <v/>
      </c>
      <c r="K260" s="24">
        <f>IF($B260&lt;=Inputs!$C$6+Inputs!$C$11,$C260*Inputs!$C$7/12,0)</f>
        <v/>
      </c>
      <c r="L260" s="24">
        <f>IF($B260&lt;=Inputs!$C$6+Inputs!$C$11,$E260+$F260+$G260+$I260-$K260,0)</f>
        <v/>
      </c>
      <c r="M260" s="24">
        <f>IF($B260&lt;=Inputs!$C$6,MAX(0,$C260-$F260-$G260-$H260),0)</f>
        <v/>
      </c>
    </row>
    <row r="261">
      <c r="B261" s="22" t="n">
        <v>258</v>
      </c>
      <c r="C261" s="23">
        <f>IF($B261&lt;=Inputs!$C$6+Inputs!$C$11,$M260,"")</f>
        <v/>
      </c>
      <c r="D261" s="24">
        <f>IF($B261&lt;=Inputs!$C$6,-PMT(Inputs!$C$5/12,Inputs!$C$6,Inputs!$C$4),0)</f>
        <v/>
      </c>
      <c r="E261" s="24">
        <f>IF($B261&lt;=Inputs!$C$6+Inputs!$C$11,$C261*Inputs!$C$5/12,0)</f>
        <v/>
      </c>
      <c r="F261" s="24">
        <f>IF($B261&lt;=Inputs!$C$6,MAX(0,$D261-$E261),0)</f>
        <v/>
      </c>
      <c r="G261" s="24">
        <f>IF($B261&lt;=Inputs!$C$6,MAX(0,($C261-$F261))*(1-(1-Inputs!$C$8)^(1/12)),0)</f>
        <v/>
      </c>
      <c r="H261" s="24">
        <f>IF($B261&lt;=Inputs!$C$6,MAX(0,($C261-$F261-$G261))*(1-(1-Inputs!$C$9)^(1/12)),0)</f>
        <v/>
      </c>
      <c r="I261" s="24">
        <f>IF($B261&gt;Inputs!$C$11,INDEX($H:$H,ROW()-Inputs!$C$11)* (1-Inputs!$C$10),0)</f>
        <v/>
      </c>
      <c r="J261" s="24">
        <f>$H261*Inputs!$C$10</f>
        <v/>
      </c>
      <c r="K261" s="24">
        <f>IF($B261&lt;=Inputs!$C$6+Inputs!$C$11,$C261*Inputs!$C$7/12,0)</f>
        <v/>
      </c>
      <c r="L261" s="24">
        <f>IF($B261&lt;=Inputs!$C$6+Inputs!$C$11,$E261+$F261+$G261+$I261-$K261,0)</f>
        <v/>
      </c>
      <c r="M261" s="24">
        <f>IF($B261&lt;=Inputs!$C$6,MAX(0,$C261-$F261-$G261-$H261),0)</f>
        <v/>
      </c>
    </row>
    <row r="262">
      <c r="B262" s="22" t="n">
        <v>259</v>
      </c>
      <c r="C262" s="23">
        <f>IF($B262&lt;=Inputs!$C$6+Inputs!$C$11,$M261,"")</f>
        <v/>
      </c>
      <c r="D262" s="24">
        <f>IF($B262&lt;=Inputs!$C$6,-PMT(Inputs!$C$5/12,Inputs!$C$6,Inputs!$C$4),0)</f>
        <v/>
      </c>
      <c r="E262" s="24">
        <f>IF($B262&lt;=Inputs!$C$6+Inputs!$C$11,$C262*Inputs!$C$5/12,0)</f>
        <v/>
      </c>
      <c r="F262" s="24">
        <f>IF($B262&lt;=Inputs!$C$6,MAX(0,$D262-$E262),0)</f>
        <v/>
      </c>
      <c r="G262" s="24">
        <f>IF($B262&lt;=Inputs!$C$6,MAX(0,($C262-$F262))*(1-(1-Inputs!$C$8)^(1/12)),0)</f>
        <v/>
      </c>
      <c r="H262" s="24">
        <f>IF($B262&lt;=Inputs!$C$6,MAX(0,($C262-$F262-$G262))*(1-(1-Inputs!$C$9)^(1/12)),0)</f>
        <v/>
      </c>
      <c r="I262" s="24">
        <f>IF($B262&gt;Inputs!$C$11,INDEX($H:$H,ROW()-Inputs!$C$11)* (1-Inputs!$C$10),0)</f>
        <v/>
      </c>
      <c r="J262" s="24">
        <f>$H262*Inputs!$C$10</f>
        <v/>
      </c>
      <c r="K262" s="24">
        <f>IF($B262&lt;=Inputs!$C$6+Inputs!$C$11,$C262*Inputs!$C$7/12,0)</f>
        <v/>
      </c>
      <c r="L262" s="24">
        <f>IF($B262&lt;=Inputs!$C$6+Inputs!$C$11,$E262+$F262+$G262+$I262-$K262,0)</f>
        <v/>
      </c>
      <c r="M262" s="24">
        <f>IF($B262&lt;=Inputs!$C$6,MAX(0,$C262-$F262-$G262-$H262),0)</f>
        <v/>
      </c>
    </row>
    <row r="263">
      <c r="B263" s="22" t="n">
        <v>260</v>
      </c>
      <c r="C263" s="23">
        <f>IF($B263&lt;=Inputs!$C$6+Inputs!$C$11,$M262,"")</f>
        <v/>
      </c>
      <c r="D263" s="24">
        <f>IF($B263&lt;=Inputs!$C$6,-PMT(Inputs!$C$5/12,Inputs!$C$6,Inputs!$C$4),0)</f>
        <v/>
      </c>
      <c r="E263" s="24">
        <f>IF($B263&lt;=Inputs!$C$6+Inputs!$C$11,$C263*Inputs!$C$5/12,0)</f>
        <v/>
      </c>
      <c r="F263" s="24">
        <f>IF($B263&lt;=Inputs!$C$6,MAX(0,$D263-$E263),0)</f>
        <v/>
      </c>
      <c r="G263" s="24">
        <f>IF($B263&lt;=Inputs!$C$6,MAX(0,($C263-$F263))*(1-(1-Inputs!$C$8)^(1/12)),0)</f>
        <v/>
      </c>
      <c r="H263" s="24">
        <f>IF($B263&lt;=Inputs!$C$6,MAX(0,($C263-$F263-$G263))*(1-(1-Inputs!$C$9)^(1/12)),0)</f>
        <v/>
      </c>
      <c r="I263" s="24">
        <f>IF($B263&gt;Inputs!$C$11,INDEX($H:$H,ROW()-Inputs!$C$11)* (1-Inputs!$C$10),0)</f>
        <v/>
      </c>
      <c r="J263" s="24">
        <f>$H263*Inputs!$C$10</f>
        <v/>
      </c>
      <c r="K263" s="24">
        <f>IF($B263&lt;=Inputs!$C$6+Inputs!$C$11,$C263*Inputs!$C$7/12,0)</f>
        <v/>
      </c>
      <c r="L263" s="24">
        <f>IF($B263&lt;=Inputs!$C$6+Inputs!$C$11,$E263+$F263+$G263+$I263-$K263,0)</f>
        <v/>
      </c>
      <c r="M263" s="24">
        <f>IF($B263&lt;=Inputs!$C$6,MAX(0,$C263-$F263-$G263-$H263),0)</f>
        <v/>
      </c>
    </row>
    <row r="264">
      <c r="B264" s="22" t="n">
        <v>261</v>
      </c>
      <c r="C264" s="23">
        <f>IF($B264&lt;=Inputs!$C$6+Inputs!$C$11,$M263,"")</f>
        <v/>
      </c>
      <c r="D264" s="24">
        <f>IF($B264&lt;=Inputs!$C$6,-PMT(Inputs!$C$5/12,Inputs!$C$6,Inputs!$C$4),0)</f>
        <v/>
      </c>
      <c r="E264" s="24">
        <f>IF($B264&lt;=Inputs!$C$6+Inputs!$C$11,$C264*Inputs!$C$5/12,0)</f>
        <v/>
      </c>
      <c r="F264" s="24">
        <f>IF($B264&lt;=Inputs!$C$6,MAX(0,$D264-$E264),0)</f>
        <v/>
      </c>
      <c r="G264" s="24">
        <f>IF($B264&lt;=Inputs!$C$6,MAX(0,($C264-$F264))*(1-(1-Inputs!$C$8)^(1/12)),0)</f>
        <v/>
      </c>
      <c r="H264" s="24">
        <f>IF($B264&lt;=Inputs!$C$6,MAX(0,($C264-$F264-$G264))*(1-(1-Inputs!$C$9)^(1/12)),0)</f>
        <v/>
      </c>
      <c r="I264" s="24">
        <f>IF($B264&gt;Inputs!$C$11,INDEX($H:$H,ROW()-Inputs!$C$11)* (1-Inputs!$C$10),0)</f>
        <v/>
      </c>
      <c r="J264" s="24">
        <f>$H264*Inputs!$C$10</f>
        <v/>
      </c>
      <c r="K264" s="24">
        <f>IF($B264&lt;=Inputs!$C$6+Inputs!$C$11,$C264*Inputs!$C$7/12,0)</f>
        <v/>
      </c>
      <c r="L264" s="24">
        <f>IF($B264&lt;=Inputs!$C$6+Inputs!$C$11,$E264+$F264+$G264+$I264-$K264,0)</f>
        <v/>
      </c>
      <c r="M264" s="24">
        <f>IF($B264&lt;=Inputs!$C$6,MAX(0,$C264-$F264-$G264-$H264),0)</f>
        <v/>
      </c>
    </row>
    <row r="265">
      <c r="B265" s="22" t="n">
        <v>262</v>
      </c>
      <c r="C265" s="23">
        <f>IF($B265&lt;=Inputs!$C$6+Inputs!$C$11,$M264,"")</f>
        <v/>
      </c>
      <c r="D265" s="24">
        <f>IF($B265&lt;=Inputs!$C$6,-PMT(Inputs!$C$5/12,Inputs!$C$6,Inputs!$C$4),0)</f>
        <v/>
      </c>
      <c r="E265" s="24">
        <f>IF($B265&lt;=Inputs!$C$6+Inputs!$C$11,$C265*Inputs!$C$5/12,0)</f>
        <v/>
      </c>
      <c r="F265" s="24">
        <f>IF($B265&lt;=Inputs!$C$6,MAX(0,$D265-$E265),0)</f>
        <v/>
      </c>
      <c r="G265" s="24">
        <f>IF($B265&lt;=Inputs!$C$6,MAX(0,($C265-$F265))*(1-(1-Inputs!$C$8)^(1/12)),0)</f>
        <v/>
      </c>
      <c r="H265" s="24">
        <f>IF($B265&lt;=Inputs!$C$6,MAX(0,($C265-$F265-$G265))*(1-(1-Inputs!$C$9)^(1/12)),0)</f>
        <v/>
      </c>
      <c r="I265" s="24">
        <f>IF($B265&gt;Inputs!$C$11,INDEX($H:$H,ROW()-Inputs!$C$11)* (1-Inputs!$C$10),0)</f>
        <v/>
      </c>
      <c r="J265" s="24">
        <f>$H265*Inputs!$C$10</f>
        <v/>
      </c>
      <c r="K265" s="24">
        <f>IF($B265&lt;=Inputs!$C$6+Inputs!$C$11,$C265*Inputs!$C$7/12,0)</f>
        <v/>
      </c>
      <c r="L265" s="24">
        <f>IF($B265&lt;=Inputs!$C$6+Inputs!$C$11,$E265+$F265+$G265+$I265-$K265,0)</f>
        <v/>
      </c>
      <c r="M265" s="24">
        <f>IF($B265&lt;=Inputs!$C$6,MAX(0,$C265-$F265-$G265-$H265),0)</f>
        <v/>
      </c>
    </row>
    <row r="266">
      <c r="B266" s="22" t="n">
        <v>263</v>
      </c>
      <c r="C266" s="23">
        <f>IF($B266&lt;=Inputs!$C$6+Inputs!$C$11,$M265,"")</f>
        <v/>
      </c>
      <c r="D266" s="24">
        <f>IF($B266&lt;=Inputs!$C$6,-PMT(Inputs!$C$5/12,Inputs!$C$6,Inputs!$C$4),0)</f>
        <v/>
      </c>
      <c r="E266" s="24">
        <f>IF($B266&lt;=Inputs!$C$6+Inputs!$C$11,$C266*Inputs!$C$5/12,0)</f>
        <v/>
      </c>
      <c r="F266" s="24">
        <f>IF($B266&lt;=Inputs!$C$6,MAX(0,$D266-$E266),0)</f>
        <v/>
      </c>
      <c r="G266" s="24">
        <f>IF($B266&lt;=Inputs!$C$6,MAX(0,($C266-$F266))*(1-(1-Inputs!$C$8)^(1/12)),0)</f>
        <v/>
      </c>
      <c r="H266" s="24">
        <f>IF($B266&lt;=Inputs!$C$6,MAX(0,($C266-$F266-$G266))*(1-(1-Inputs!$C$9)^(1/12)),0)</f>
        <v/>
      </c>
      <c r="I266" s="24">
        <f>IF($B266&gt;Inputs!$C$11,INDEX($H:$H,ROW()-Inputs!$C$11)* (1-Inputs!$C$10),0)</f>
        <v/>
      </c>
      <c r="J266" s="24">
        <f>$H266*Inputs!$C$10</f>
        <v/>
      </c>
      <c r="K266" s="24">
        <f>IF($B266&lt;=Inputs!$C$6+Inputs!$C$11,$C266*Inputs!$C$7/12,0)</f>
        <v/>
      </c>
      <c r="L266" s="24">
        <f>IF($B266&lt;=Inputs!$C$6+Inputs!$C$11,$E266+$F266+$G266+$I266-$K266,0)</f>
        <v/>
      </c>
      <c r="M266" s="24">
        <f>IF($B266&lt;=Inputs!$C$6,MAX(0,$C266-$F266-$G266-$H266),0)</f>
        <v/>
      </c>
    </row>
    <row r="267">
      <c r="B267" s="22" t="n">
        <v>264</v>
      </c>
      <c r="C267" s="23">
        <f>IF($B267&lt;=Inputs!$C$6+Inputs!$C$11,$M266,"")</f>
        <v/>
      </c>
      <c r="D267" s="24">
        <f>IF($B267&lt;=Inputs!$C$6,-PMT(Inputs!$C$5/12,Inputs!$C$6,Inputs!$C$4),0)</f>
        <v/>
      </c>
      <c r="E267" s="24">
        <f>IF($B267&lt;=Inputs!$C$6+Inputs!$C$11,$C267*Inputs!$C$5/12,0)</f>
        <v/>
      </c>
      <c r="F267" s="24">
        <f>IF($B267&lt;=Inputs!$C$6,MAX(0,$D267-$E267),0)</f>
        <v/>
      </c>
      <c r="G267" s="24">
        <f>IF($B267&lt;=Inputs!$C$6,MAX(0,($C267-$F267))*(1-(1-Inputs!$C$8)^(1/12)),0)</f>
        <v/>
      </c>
      <c r="H267" s="24">
        <f>IF($B267&lt;=Inputs!$C$6,MAX(0,($C267-$F267-$G267))*(1-(1-Inputs!$C$9)^(1/12)),0)</f>
        <v/>
      </c>
      <c r="I267" s="24">
        <f>IF($B267&gt;Inputs!$C$11,INDEX($H:$H,ROW()-Inputs!$C$11)* (1-Inputs!$C$10),0)</f>
        <v/>
      </c>
      <c r="J267" s="24">
        <f>$H267*Inputs!$C$10</f>
        <v/>
      </c>
      <c r="K267" s="24">
        <f>IF($B267&lt;=Inputs!$C$6+Inputs!$C$11,$C267*Inputs!$C$7/12,0)</f>
        <v/>
      </c>
      <c r="L267" s="24">
        <f>IF($B267&lt;=Inputs!$C$6+Inputs!$C$11,$E267+$F267+$G267+$I267-$K267,0)</f>
        <v/>
      </c>
      <c r="M267" s="24">
        <f>IF($B267&lt;=Inputs!$C$6,MAX(0,$C267-$F267-$G267-$H267),0)</f>
        <v/>
      </c>
    </row>
    <row r="268">
      <c r="B268" s="22" t="n">
        <v>265</v>
      </c>
      <c r="C268" s="23">
        <f>IF($B268&lt;=Inputs!$C$6+Inputs!$C$11,$M267,"")</f>
        <v/>
      </c>
      <c r="D268" s="24">
        <f>IF($B268&lt;=Inputs!$C$6,-PMT(Inputs!$C$5/12,Inputs!$C$6,Inputs!$C$4),0)</f>
        <v/>
      </c>
      <c r="E268" s="24">
        <f>IF($B268&lt;=Inputs!$C$6+Inputs!$C$11,$C268*Inputs!$C$5/12,0)</f>
        <v/>
      </c>
      <c r="F268" s="24">
        <f>IF($B268&lt;=Inputs!$C$6,MAX(0,$D268-$E268),0)</f>
        <v/>
      </c>
      <c r="G268" s="24">
        <f>IF($B268&lt;=Inputs!$C$6,MAX(0,($C268-$F268))*(1-(1-Inputs!$C$8)^(1/12)),0)</f>
        <v/>
      </c>
      <c r="H268" s="24">
        <f>IF($B268&lt;=Inputs!$C$6,MAX(0,($C268-$F268-$G268))*(1-(1-Inputs!$C$9)^(1/12)),0)</f>
        <v/>
      </c>
      <c r="I268" s="24">
        <f>IF($B268&gt;Inputs!$C$11,INDEX($H:$H,ROW()-Inputs!$C$11)* (1-Inputs!$C$10),0)</f>
        <v/>
      </c>
      <c r="J268" s="24">
        <f>$H268*Inputs!$C$10</f>
        <v/>
      </c>
      <c r="K268" s="24">
        <f>IF($B268&lt;=Inputs!$C$6+Inputs!$C$11,$C268*Inputs!$C$7/12,0)</f>
        <v/>
      </c>
      <c r="L268" s="24">
        <f>IF($B268&lt;=Inputs!$C$6+Inputs!$C$11,$E268+$F268+$G268+$I268-$K268,0)</f>
        <v/>
      </c>
      <c r="M268" s="24">
        <f>IF($B268&lt;=Inputs!$C$6,MAX(0,$C268-$F268-$G268-$H268),0)</f>
        <v/>
      </c>
    </row>
    <row r="269">
      <c r="B269" s="22" t="n">
        <v>266</v>
      </c>
      <c r="C269" s="23">
        <f>IF($B269&lt;=Inputs!$C$6+Inputs!$C$11,$M268,"")</f>
        <v/>
      </c>
      <c r="D269" s="24">
        <f>IF($B269&lt;=Inputs!$C$6,-PMT(Inputs!$C$5/12,Inputs!$C$6,Inputs!$C$4),0)</f>
        <v/>
      </c>
      <c r="E269" s="24">
        <f>IF($B269&lt;=Inputs!$C$6+Inputs!$C$11,$C269*Inputs!$C$5/12,0)</f>
        <v/>
      </c>
      <c r="F269" s="24">
        <f>IF($B269&lt;=Inputs!$C$6,MAX(0,$D269-$E269),0)</f>
        <v/>
      </c>
      <c r="G269" s="24">
        <f>IF($B269&lt;=Inputs!$C$6,MAX(0,($C269-$F269))*(1-(1-Inputs!$C$8)^(1/12)),0)</f>
        <v/>
      </c>
      <c r="H269" s="24">
        <f>IF($B269&lt;=Inputs!$C$6,MAX(0,($C269-$F269-$G269))*(1-(1-Inputs!$C$9)^(1/12)),0)</f>
        <v/>
      </c>
      <c r="I269" s="24">
        <f>IF($B269&gt;Inputs!$C$11,INDEX($H:$H,ROW()-Inputs!$C$11)* (1-Inputs!$C$10),0)</f>
        <v/>
      </c>
      <c r="J269" s="24">
        <f>$H269*Inputs!$C$10</f>
        <v/>
      </c>
      <c r="K269" s="24">
        <f>IF($B269&lt;=Inputs!$C$6+Inputs!$C$11,$C269*Inputs!$C$7/12,0)</f>
        <v/>
      </c>
      <c r="L269" s="24">
        <f>IF($B269&lt;=Inputs!$C$6+Inputs!$C$11,$E269+$F269+$G269+$I269-$K269,0)</f>
        <v/>
      </c>
      <c r="M269" s="24">
        <f>IF($B269&lt;=Inputs!$C$6,MAX(0,$C269-$F269-$G269-$H269),0)</f>
        <v/>
      </c>
    </row>
    <row r="270">
      <c r="B270" s="22" t="n">
        <v>267</v>
      </c>
      <c r="C270" s="23">
        <f>IF($B270&lt;=Inputs!$C$6+Inputs!$C$11,$M269,"")</f>
        <v/>
      </c>
      <c r="D270" s="24">
        <f>IF($B270&lt;=Inputs!$C$6,-PMT(Inputs!$C$5/12,Inputs!$C$6,Inputs!$C$4),0)</f>
        <v/>
      </c>
      <c r="E270" s="24">
        <f>IF($B270&lt;=Inputs!$C$6+Inputs!$C$11,$C270*Inputs!$C$5/12,0)</f>
        <v/>
      </c>
      <c r="F270" s="24">
        <f>IF($B270&lt;=Inputs!$C$6,MAX(0,$D270-$E270),0)</f>
        <v/>
      </c>
      <c r="G270" s="24">
        <f>IF($B270&lt;=Inputs!$C$6,MAX(0,($C270-$F270))*(1-(1-Inputs!$C$8)^(1/12)),0)</f>
        <v/>
      </c>
      <c r="H270" s="24">
        <f>IF($B270&lt;=Inputs!$C$6,MAX(0,($C270-$F270-$G270))*(1-(1-Inputs!$C$9)^(1/12)),0)</f>
        <v/>
      </c>
      <c r="I270" s="24">
        <f>IF($B270&gt;Inputs!$C$11,INDEX($H:$H,ROW()-Inputs!$C$11)* (1-Inputs!$C$10),0)</f>
        <v/>
      </c>
      <c r="J270" s="24">
        <f>$H270*Inputs!$C$10</f>
        <v/>
      </c>
      <c r="K270" s="24">
        <f>IF($B270&lt;=Inputs!$C$6+Inputs!$C$11,$C270*Inputs!$C$7/12,0)</f>
        <v/>
      </c>
      <c r="L270" s="24">
        <f>IF($B270&lt;=Inputs!$C$6+Inputs!$C$11,$E270+$F270+$G270+$I270-$K270,0)</f>
        <v/>
      </c>
      <c r="M270" s="24">
        <f>IF($B270&lt;=Inputs!$C$6,MAX(0,$C270-$F270-$G270-$H270),0)</f>
        <v/>
      </c>
    </row>
    <row r="271">
      <c r="B271" s="22" t="n">
        <v>268</v>
      </c>
      <c r="C271" s="23">
        <f>IF($B271&lt;=Inputs!$C$6+Inputs!$C$11,$M270,"")</f>
        <v/>
      </c>
      <c r="D271" s="24">
        <f>IF($B271&lt;=Inputs!$C$6,-PMT(Inputs!$C$5/12,Inputs!$C$6,Inputs!$C$4),0)</f>
        <v/>
      </c>
      <c r="E271" s="24">
        <f>IF($B271&lt;=Inputs!$C$6+Inputs!$C$11,$C271*Inputs!$C$5/12,0)</f>
        <v/>
      </c>
      <c r="F271" s="24">
        <f>IF($B271&lt;=Inputs!$C$6,MAX(0,$D271-$E271),0)</f>
        <v/>
      </c>
      <c r="G271" s="24">
        <f>IF($B271&lt;=Inputs!$C$6,MAX(0,($C271-$F271))*(1-(1-Inputs!$C$8)^(1/12)),0)</f>
        <v/>
      </c>
      <c r="H271" s="24">
        <f>IF($B271&lt;=Inputs!$C$6,MAX(0,($C271-$F271-$G271))*(1-(1-Inputs!$C$9)^(1/12)),0)</f>
        <v/>
      </c>
      <c r="I271" s="24">
        <f>IF($B271&gt;Inputs!$C$11,INDEX($H:$H,ROW()-Inputs!$C$11)* (1-Inputs!$C$10),0)</f>
        <v/>
      </c>
      <c r="J271" s="24">
        <f>$H271*Inputs!$C$10</f>
        <v/>
      </c>
      <c r="K271" s="24">
        <f>IF($B271&lt;=Inputs!$C$6+Inputs!$C$11,$C271*Inputs!$C$7/12,0)</f>
        <v/>
      </c>
      <c r="L271" s="24">
        <f>IF($B271&lt;=Inputs!$C$6+Inputs!$C$11,$E271+$F271+$G271+$I271-$K271,0)</f>
        <v/>
      </c>
      <c r="M271" s="24">
        <f>IF($B271&lt;=Inputs!$C$6,MAX(0,$C271-$F271-$G271-$H271),0)</f>
        <v/>
      </c>
    </row>
    <row r="272">
      <c r="B272" s="22" t="n">
        <v>269</v>
      </c>
      <c r="C272" s="23">
        <f>IF($B272&lt;=Inputs!$C$6+Inputs!$C$11,$M271,"")</f>
        <v/>
      </c>
      <c r="D272" s="24">
        <f>IF($B272&lt;=Inputs!$C$6,-PMT(Inputs!$C$5/12,Inputs!$C$6,Inputs!$C$4),0)</f>
        <v/>
      </c>
      <c r="E272" s="24">
        <f>IF($B272&lt;=Inputs!$C$6+Inputs!$C$11,$C272*Inputs!$C$5/12,0)</f>
        <v/>
      </c>
      <c r="F272" s="24">
        <f>IF($B272&lt;=Inputs!$C$6,MAX(0,$D272-$E272),0)</f>
        <v/>
      </c>
      <c r="G272" s="24">
        <f>IF($B272&lt;=Inputs!$C$6,MAX(0,($C272-$F272))*(1-(1-Inputs!$C$8)^(1/12)),0)</f>
        <v/>
      </c>
      <c r="H272" s="24">
        <f>IF($B272&lt;=Inputs!$C$6,MAX(0,($C272-$F272-$G272))*(1-(1-Inputs!$C$9)^(1/12)),0)</f>
        <v/>
      </c>
      <c r="I272" s="24">
        <f>IF($B272&gt;Inputs!$C$11,INDEX($H:$H,ROW()-Inputs!$C$11)* (1-Inputs!$C$10),0)</f>
        <v/>
      </c>
      <c r="J272" s="24">
        <f>$H272*Inputs!$C$10</f>
        <v/>
      </c>
      <c r="K272" s="24">
        <f>IF($B272&lt;=Inputs!$C$6+Inputs!$C$11,$C272*Inputs!$C$7/12,0)</f>
        <v/>
      </c>
      <c r="L272" s="24">
        <f>IF($B272&lt;=Inputs!$C$6+Inputs!$C$11,$E272+$F272+$G272+$I272-$K272,0)</f>
        <v/>
      </c>
      <c r="M272" s="24">
        <f>IF($B272&lt;=Inputs!$C$6,MAX(0,$C272-$F272-$G272-$H272),0)</f>
        <v/>
      </c>
    </row>
    <row r="273">
      <c r="B273" s="22" t="n">
        <v>270</v>
      </c>
      <c r="C273" s="23">
        <f>IF($B273&lt;=Inputs!$C$6+Inputs!$C$11,$M272,"")</f>
        <v/>
      </c>
      <c r="D273" s="24">
        <f>IF($B273&lt;=Inputs!$C$6,-PMT(Inputs!$C$5/12,Inputs!$C$6,Inputs!$C$4),0)</f>
        <v/>
      </c>
      <c r="E273" s="24">
        <f>IF($B273&lt;=Inputs!$C$6+Inputs!$C$11,$C273*Inputs!$C$5/12,0)</f>
        <v/>
      </c>
      <c r="F273" s="24">
        <f>IF($B273&lt;=Inputs!$C$6,MAX(0,$D273-$E273),0)</f>
        <v/>
      </c>
      <c r="G273" s="24">
        <f>IF($B273&lt;=Inputs!$C$6,MAX(0,($C273-$F273))*(1-(1-Inputs!$C$8)^(1/12)),0)</f>
        <v/>
      </c>
      <c r="H273" s="24">
        <f>IF($B273&lt;=Inputs!$C$6,MAX(0,($C273-$F273-$G273))*(1-(1-Inputs!$C$9)^(1/12)),0)</f>
        <v/>
      </c>
      <c r="I273" s="24">
        <f>IF($B273&gt;Inputs!$C$11,INDEX($H:$H,ROW()-Inputs!$C$11)* (1-Inputs!$C$10),0)</f>
        <v/>
      </c>
      <c r="J273" s="24">
        <f>$H273*Inputs!$C$10</f>
        <v/>
      </c>
      <c r="K273" s="24">
        <f>IF($B273&lt;=Inputs!$C$6+Inputs!$C$11,$C273*Inputs!$C$7/12,0)</f>
        <v/>
      </c>
      <c r="L273" s="24">
        <f>IF($B273&lt;=Inputs!$C$6+Inputs!$C$11,$E273+$F273+$G273+$I273-$K273,0)</f>
        <v/>
      </c>
      <c r="M273" s="24">
        <f>IF($B273&lt;=Inputs!$C$6,MAX(0,$C273-$F273-$G273-$H273),0)</f>
        <v/>
      </c>
    </row>
    <row r="274">
      <c r="B274" s="22" t="n">
        <v>271</v>
      </c>
      <c r="C274" s="23">
        <f>IF($B274&lt;=Inputs!$C$6+Inputs!$C$11,$M273,"")</f>
        <v/>
      </c>
      <c r="D274" s="24">
        <f>IF($B274&lt;=Inputs!$C$6,-PMT(Inputs!$C$5/12,Inputs!$C$6,Inputs!$C$4),0)</f>
        <v/>
      </c>
      <c r="E274" s="24">
        <f>IF($B274&lt;=Inputs!$C$6+Inputs!$C$11,$C274*Inputs!$C$5/12,0)</f>
        <v/>
      </c>
      <c r="F274" s="24">
        <f>IF($B274&lt;=Inputs!$C$6,MAX(0,$D274-$E274),0)</f>
        <v/>
      </c>
      <c r="G274" s="24">
        <f>IF($B274&lt;=Inputs!$C$6,MAX(0,($C274-$F274))*(1-(1-Inputs!$C$8)^(1/12)),0)</f>
        <v/>
      </c>
      <c r="H274" s="24">
        <f>IF($B274&lt;=Inputs!$C$6,MAX(0,($C274-$F274-$G274))*(1-(1-Inputs!$C$9)^(1/12)),0)</f>
        <v/>
      </c>
      <c r="I274" s="24">
        <f>IF($B274&gt;Inputs!$C$11,INDEX($H:$H,ROW()-Inputs!$C$11)* (1-Inputs!$C$10),0)</f>
        <v/>
      </c>
      <c r="J274" s="24">
        <f>$H274*Inputs!$C$10</f>
        <v/>
      </c>
      <c r="K274" s="24">
        <f>IF($B274&lt;=Inputs!$C$6+Inputs!$C$11,$C274*Inputs!$C$7/12,0)</f>
        <v/>
      </c>
      <c r="L274" s="24">
        <f>IF($B274&lt;=Inputs!$C$6+Inputs!$C$11,$E274+$F274+$G274+$I274-$K274,0)</f>
        <v/>
      </c>
      <c r="M274" s="24">
        <f>IF($B274&lt;=Inputs!$C$6,MAX(0,$C274-$F274-$G274-$H274),0)</f>
        <v/>
      </c>
    </row>
    <row r="275">
      <c r="B275" s="22" t="n">
        <v>272</v>
      </c>
      <c r="C275" s="23">
        <f>IF($B275&lt;=Inputs!$C$6+Inputs!$C$11,$M274,"")</f>
        <v/>
      </c>
      <c r="D275" s="24">
        <f>IF($B275&lt;=Inputs!$C$6,-PMT(Inputs!$C$5/12,Inputs!$C$6,Inputs!$C$4),0)</f>
        <v/>
      </c>
      <c r="E275" s="24">
        <f>IF($B275&lt;=Inputs!$C$6+Inputs!$C$11,$C275*Inputs!$C$5/12,0)</f>
        <v/>
      </c>
      <c r="F275" s="24">
        <f>IF($B275&lt;=Inputs!$C$6,MAX(0,$D275-$E275),0)</f>
        <v/>
      </c>
      <c r="G275" s="24">
        <f>IF($B275&lt;=Inputs!$C$6,MAX(0,($C275-$F275))*(1-(1-Inputs!$C$8)^(1/12)),0)</f>
        <v/>
      </c>
      <c r="H275" s="24">
        <f>IF($B275&lt;=Inputs!$C$6,MAX(0,($C275-$F275-$G275))*(1-(1-Inputs!$C$9)^(1/12)),0)</f>
        <v/>
      </c>
      <c r="I275" s="24">
        <f>IF($B275&gt;Inputs!$C$11,INDEX($H:$H,ROW()-Inputs!$C$11)* (1-Inputs!$C$10),0)</f>
        <v/>
      </c>
      <c r="J275" s="24">
        <f>$H275*Inputs!$C$10</f>
        <v/>
      </c>
      <c r="K275" s="24">
        <f>IF($B275&lt;=Inputs!$C$6+Inputs!$C$11,$C275*Inputs!$C$7/12,0)</f>
        <v/>
      </c>
      <c r="L275" s="24">
        <f>IF($B275&lt;=Inputs!$C$6+Inputs!$C$11,$E275+$F275+$G275+$I275-$K275,0)</f>
        <v/>
      </c>
      <c r="M275" s="24">
        <f>IF($B275&lt;=Inputs!$C$6,MAX(0,$C275-$F275-$G275-$H275),0)</f>
        <v/>
      </c>
    </row>
    <row r="276">
      <c r="B276" s="22" t="n">
        <v>273</v>
      </c>
      <c r="C276" s="23">
        <f>IF($B276&lt;=Inputs!$C$6+Inputs!$C$11,$M275,"")</f>
        <v/>
      </c>
      <c r="D276" s="24">
        <f>IF($B276&lt;=Inputs!$C$6,-PMT(Inputs!$C$5/12,Inputs!$C$6,Inputs!$C$4),0)</f>
        <v/>
      </c>
      <c r="E276" s="24">
        <f>IF($B276&lt;=Inputs!$C$6+Inputs!$C$11,$C276*Inputs!$C$5/12,0)</f>
        <v/>
      </c>
      <c r="F276" s="24">
        <f>IF($B276&lt;=Inputs!$C$6,MAX(0,$D276-$E276),0)</f>
        <v/>
      </c>
      <c r="G276" s="24">
        <f>IF($B276&lt;=Inputs!$C$6,MAX(0,($C276-$F276))*(1-(1-Inputs!$C$8)^(1/12)),0)</f>
        <v/>
      </c>
      <c r="H276" s="24">
        <f>IF($B276&lt;=Inputs!$C$6,MAX(0,($C276-$F276-$G276))*(1-(1-Inputs!$C$9)^(1/12)),0)</f>
        <v/>
      </c>
      <c r="I276" s="24">
        <f>IF($B276&gt;Inputs!$C$11,INDEX($H:$H,ROW()-Inputs!$C$11)* (1-Inputs!$C$10),0)</f>
        <v/>
      </c>
      <c r="J276" s="24">
        <f>$H276*Inputs!$C$10</f>
        <v/>
      </c>
      <c r="K276" s="24">
        <f>IF($B276&lt;=Inputs!$C$6+Inputs!$C$11,$C276*Inputs!$C$7/12,0)</f>
        <v/>
      </c>
      <c r="L276" s="24">
        <f>IF($B276&lt;=Inputs!$C$6+Inputs!$C$11,$E276+$F276+$G276+$I276-$K276,0)</f>
        <v/>
      </c>
      <c r="M276" s="24">
        <f>IF($B276&lt;=Inputs!$C$6,MAX(0,$C276-$F276-$G276-$H276),0)</f>
        <v/>
      </c>
    </row>
    <row r="277">
      <c r="B277" s="22" t="n">
        <v>274</v>
      </c>
      <c r="C277" s="23">
        <f>IF($B277&lt;=Inputs!$C$6+Inputs!$C$11,$M276,"")</f>
        <v/>
      </c>
      <c r="D277" s="24">
        <f>IF($B277&lt;=Inputs!$C$6,-PMT(Inputs!$C$5/12,Inputs!$C$6,Inputs!$C$4),0)</f>
        <v/>
      </c>
      <c r="E277" s="24">
        <f>IF($B277&lt;=Inputs!$C$6+Inputs!$C$11,$C277*Inputs!$C$5/12,0)</f>
        <v/>
      </c>
      <c r="F277" s="24">
        <f>IF($B277&lt;=Inputs!$C$6,MAX(0,$D277-$E277),0)</f>
        <v/>
      </c>
      <c r="G277" s="24">
        <f>IF($B277&lt;=Inputs!$C$6,MAX(0,($C277-$F277))*(1-(1-Inputs!$C$8)^(1/12)),0)</f>
        <v/>
      </c>
      <c r="H277" s="24">
        <f>IF($B277&lt;=Inputs!$C$6,MAX(0,($C277-$F277-$G277))*(1-(1-Inputs!$C$9)^(1/12)),0)</f>
        <v/>
      </c>
      <c r="I277" s="24">
        <f>IF($B277&gt;Inputs!$C$11,INDEX($H:$H,ROW()-Inputs!$C$11)* (1-Inputs!$C$10),0)</f>
        <v/>
      </c>
      <c r="J277" s="24">
        <f>$H277*Inputs!$C$10</f>
        <v/>
      </c>
      <c r="K277" s="24">
        <f>IF($B277&lt;=Inputs!$C$6+Inputs!$C$11,$C277*Inputs!$C$7/12,0)</f>
        <v/>
      </c>
      <c r="L277" s="24">
        <f>IF($B277&lt;=Inputs!$C$6+Inputs!$C$11,$E277+$F277+$G277+$I277-$K277,0)</f>
        <v/>
      </c>
      <c r="M277" s="24">
        <f>IF($B277&lt;=Inputs!$C$6,MAX(0,$C277-$F277-$G277-$H277),0)</f>
        <v/>
      </c>
    </row>
    <row r="278">
      <c r="B278" s="22" t="n">
        <v>275</v>
      </c>
      <c r="C278" s="23">
        <f>IF($B278&lt;=Inputs!$C$6+Inputs!$C$11,$M277,"")</f>
        <v/>
      </c>
      <c r="D278" s="24">
        <f>IF($B278&lt;=Inputs!$C$6,-PMT(Inputs!$C$5/12,Inputs!$C$6,Inputs!$C$4),0)</f>
        <v/>
      </c>
      <c r="E278" s="24">
        <f>IF($B278&lt;=Inputs!$C$6+Inputs!$C$11,$C278*Inputs!$C$5/12,0)</f>
        <v/>
      </c>
      <c r="F278" s="24">
        <f>IF($B278&lt;=Inputs!$C$6,MAX(0,$D278-$E278),0)</f>
        <v/>
      </c>
      <c r="G278" s="24">
        <f>IF($B278&lt;=Inputs!$C$6,MAX(0,($C278-$F278))*(1-(1-Inputs!$C$8)^(1/12)),0)</f>
        <v/>
      </c>
      <c r="H278" s="24">
        <f>IF($B278&lt;=Inputs!$C$6,MAX(0,($C278-$F278-$G278))*(1-(1-Inputs!$C$9)^(1/12)),0)</f>
        <v/>
      </c>
      <c r="I278" s="24">
        <f>IF($B278&gt;Inputs!$C$11,INDEX($H:$H,ROW()-Inputs!$C$11)* (1-Inputs!$C$10),0)</f>
        <v/>
      </c>
      <c r="J278" s="24">
        <f>$H278*Inputs!$C$10</f>
        <v/>
      </c>
      <c r="K278" s="24">
        <f>IF($B278&lt;=Inputs!$C$6+Inputs!$C$11,$C278*Inputs!$C$7/12,0)</f>
        <v/>
      </c>
      <c r="L278" s="24">
        <f>IF($B278&lt;=Inputs!$C$6+Inputs!$C$11,$E278+$F278+$G278+$I278-$K278,0)</f>
        <v/>
      </c>
      <c r="M278" s="24">
        <f>IF($B278&lt;=Inputs!$C$6,MAX(0,$C278-$F278-$G278-$H278),0)</f>
        <v/>
      </c>
    </row>
    <row r="279">
      <c r="B279" s="22" t="n">
        <v>276</v>
      </c>
      <c r="C279" s="23">
        <f>IF($B279&lt;=Inputs!$C$6+Inputs!$C$11,$M278,"")</f>
        <v/>
      </c>
      <c r="D279" s="24">
        <f>IF($B279&lt;=Inputs!$C$6,-PMT(Inputs!$C$5/12,Inputs!$C$6,Inputs!$C$4),0)</f>
        <v/>
      </c>
      <c r="E279" s="24">
        <f>IF($B279&lt;=Inputs!$C$6+Inputs!$C$11,$C279*Inputs!$C$5/12,0)</f>
        <v/>
      </c>
      <c r="F279" s="24">
        <f>IF($B279&lt;=Inputs!$C$6,MAX(0,$D279-$E279),0)</f>
        <v/>
      </c>
      <c r="G279" s="24">
        <f>IF($B279&lt;=Inputs!$C$6,MAX(0,($C279-$F279))*(1-(1-Inputs!$C$8)^(1/12)),0)</f>
        <v/>
      </c>
      <c r="H279" s="24">
        <f>IF($B279&lt;=Inputs!$C$6,MAX(0,($C279-$F279-$G279))*(1-(1-Inputs!$C$9)^(1/12)),0)</f>
        <v/>
      </c>
      <c r="I279" s="24">
        <f>IF($B279&gt;Inputs!$C$11,INDEX($H:$H,ROW()-Inputs!$C$11)* (1-Inputs!$C$10),0)</f>
        <v/>
      </c>
      <c r="J279" s="24">
        <f>$H279*Inputs!$C$10</f>
        <v/>
      </c>
      <c r="K279" s="24">
        <f>IF($B279&lt;=Inputs!$C$6+Inputs!$C$11,$C279*Inputs!$C$7/12,0)</f>
        <v/>
      </c>
      <c r="L279" s="24">
        <f>IF($B279&lt;=Inputs!$C$6+Inputs!$C$11,$E279+$F279+$G279+$I279-$K279,0)</f>
        <v/>
      </c>
      <c r="M279" s="24">
        <f>IF($B279&lt;=Inputs!$C$6,MAX(0,$C279-$F279-$G279-$H279),0)</f>
        <v/>
      </c>
    </row>
    <row r="280">
      <c r="B280" s="22" t="n">
        <v>277</v>
      </c>
      <c r="C280" s="23">
        <f>IF($B280&lt;=Inputs!$C$6+Inputs!$C$11,$M279,"")</f>
        <v/>
      </c>
      <c r="D280" s="24">
        <f>IF($B280&lt;=Inputs!$C$6,-PMT(Inputs!$C$5/12,Inputs!$C$6,Inputs!$C$4),0)</f>
        <v/>
      </c>
      <c r="E280" s="24">
        <f>IF($B280&lt;=Inputs!$C$6+Inputs!$C$11,$C280*Inputs!$C$5/12,0)</f>
        <v/>
      </c>
      <c r="F280" s="24">
        <f>IF($B280&lt;=Inputs!$C$6,MAX(0,$D280-$E280),0)</f>
        <v/>
      </c>
      <c r="G280" s="24">
        <f>IF($B280&lt;=Inputs!$C$6,MAX(0,($C280-$F280))*(1-(1-Inputs!$C$8)^(1/12)),0)</f>
        <v/>
      </c>
      <c r="H280" s="24">
        <f>IF($B280&lt;=Inputs!$C$6,MAX(0,($C280-$F280-$G280))*(1-(1-Inputs!$C$9)^(1/12)),0)</f>
        <v/>
      </c>
      <c r="I280" s="24">
        <f>IF($B280&gt;Inputs!$C$11,INDEX($H:$H,ROW()-Inputs!$C$11)* (1-Inputs!$C$10),0)</f>
        <v/>
      </c>
      <c r="J280" s="24">
        <f>$H280*Inputs!$C$10</f>
        <v/>
      </c>
      <c r="K280" s="24">
        <f>IF($B280&lt;=Inputs!$C$6+Inputs!$C$11,$C280*Inputs!$C$7/12,0)</f>
        <v/>
      </c>
      <c r="L280" s="24">
        <f>IF($B280&lt;=Inputs!$C$6+Inputs!$C$11,$E280+$F280+$G280+$I280-$K280,0)</f>
        <v/>
      </c>
      <c r="M280" s="24">
        <f>IF($B280&lt;=Inputs!$C$6,MAX(0,$C280-$F280-$G280-$H280),0)</f>
        <v/>
      </c>
    </row>
    <row r="281">
      <c r="B281" s="22" t="n">
        <v>278</v>
      </c>
      <c r="C281" s="23">
        <f>IF($B281&lt;=Inputs!$C$6+Inputs!$C$11,$M280,"")</f>
        <v/>
      </c>
      <c r="D281" s="24">
        <f>IF($B281&lt;=Inputs!$C$6,-PMT(Inputs!$C$5/12,Inputs!$C$6,Inputs!$C$4),0)</f>
        <v/>
      </c>
      <c r="E281" s="24">
        <f>IF($B281&lt;=Inputs!$C$6+Inputs!$C$11,$C281*Inputs!$C$5/12,0)</f>
        <v/>
      </c>
      <c r="F281" s="24">
        <f>IF($B281&lt;=Inputs!$C$6,MAX(0,$D281-$E281),0)</f>
        <v/>
      </c>
      <c r="G281" s="24">
        <f>IF($B281&lt;=Inputs!$C$6,MAX(0,($C281-$F281))*(1-(1-Inputs!$C$8)^(1/12)),0)</f>
        <v/>
      </c>
      <c r="H281" s="24">
        <f>IF($B281&lt;=Inputs!$C$6,MAX(0,($C281-$F281-$G281))*(1-(1-Inputs!$C$9)^(1/12)),0)</f>
        <v/>
      </c>
      <c r="I281" s="24">
        <f>IF($B281&gt;Inputs!$C$11,INDEX($H:$H,ROW()-Inputs!$C$11)* (1-Inputs!$C$10),0)</f>
        <v/>
      </c>
      <c r="J281" s="24">
        <f>$H281*Inputs!$C$10</f>
        <v/>
      </c>
      <c r="K281" s="24">
        <f>IF($B281&lt;=Inputs!$C$6+Inputs!$C$11,$C281*Inputs!$C$7/12,0)</f>
        <v/>
      </c>
      <c r="L281" s="24">
        <f>IF($B281&lt;=Inputs!$C$6+Inputs!$C$11,$E281+$F281+$G281+$I281-$K281,0)</f>
        <v/>
      </c>
      <c r="M281" s="24">
        <f>IF($B281&lt;=Inputs!$C$6,MAX(0,$C281-$F281-$G281-$H281),0)</f>
        <v/>
      </c>
    </row>
    <row r="282">
      <c r="B282" s="22" t="n">
        <v>279</v>
      </c>
      <c r="C282" s="23">
        <f>IF($B282&lt;=Inputs!$C$6+Inputs!$C$11,$M281,"")</f>
        <v/>
      </c>
      <c r="D282" s="24">
        <f>IF($B282&lt;=Inputs!$C$6,-PMT(Inputs!$C$5/12,Inputs!$C$6,Inputs!$C$4),0)</f>
        <v/>
      </c>
      <c r="E282" s="24">
        <f>IF($B282&lt;=Inputs!$C$6+Inputs!$C$11,$C282*Inputs!$C$5/12,0)</f>
        <v/>
      </c>
      <c r="F282" s="24">
        <f>IF($B282&lt;=Inputs!$C$6,MAX(0,$D282-$E282),0)</f>
        <v/>
      </c>
      <c r="G282" s="24">
        <f>IF($B282&lt;=Inputs!$C$6,MAX(0,($C282-$F282))*(1-(1-Inputs!$C$8)^(1/12)),0)</f>
        <v/>
      </c>
      <c r="H282" s="24">
        <f>IF($B282&lt;=Inputs!$C$6,MAX(0,($C282-$F282-$G282))*(1-(1-Inputs!$C$9)^(1/12)),0)</f>
        <v/>
      </c>
      <c r="I282" s="24">
        <f>IF($B282&gt;Inputs!$C$11,INDEX($H:$H,ROW()-Inputs!$C$11)* (1-Inputs!$C$10),0)</f>
        <v/>
      </c>
      <c r="J282" s="24">
        <f>$H282*Inputs!$C$10</f>
        <v/>
      </c>
      <c r="K282" s="24">
        <f>IF($B282&lt;=Inputs!$C$6+Inputs!$C$11,$C282*Inputs!$C$7/12,0)</f>
        <v/>
      </c>
      <c r="L282" s="24">
        <f>IF($B282&lt;=Inputs!$C$6+Inputs!$C$11,$E282+$F282+$G282+$I282-$K282,0)</f>
        <v/>
      </c>
      <c r="M282" s="24">
        <f>IF($B282&lt;=Inputs!$C$6,MAX(0,$C282-$F282-$G282-$H282),0)</f>
        <v/>
      </c>
    </row>
    <row r="283">
      <c r="B283" s="22" t="n">
        <v>280</v>
      </c>
      <c r="C283" s="23">
        <f>IF($B283&lt;=Inputs!$C$6+Inputs!$C$11,$M282,"")</f>
        <v/>
      </c>
      <c r="D283" s="24">
        <f>IF($B283&lt;=Inputs!$C$6,-PMT(Inputs!$C$5/12,Inputs!$C$6,Inputs!$C$4),0)</f>
        <v/>
      </c>
      <c r="E283" s="24">
        <f>IF($B283&lt;=Inputs!$C$6+Inputs!$C$11,$C283*Inputs!$C$5/12,0)</f>
        <v/>
      </c>
      <c r="F283" s="24">
        <f>IF($B283&lt;=Inputs!$C$6,MAX(0,$D283-$E283),0)</f>
        <v/>
      </c>
      <c r="G283" s="24">
        <f>IF($B283&lt;=Inputs!$C$6,MAX(0,($C283-$F283))*(1-(1-Inputs!$C$8)^(1/12)),0)</f>
        <v/>
      </c>
      <c r="H283" s="24">
        <f>IF($B283&lt;=Inputs!$C$6,MAX(0,($C283-$F283-$G283))*(1-(1-Inputs!$C$9)^(1/12)),0)</f>
        <v/>
      </c>
      <c r="I283" s="24">
        <f>IF($B283&gt;Inputs!$C$11,INDEX($H:$H,ROW()-Inputs!$C$11)* (1-Inputs!$C$10),0)</f>
        <v/>
      </c>
      <c r="J283" s="24">
        <f>$H283*Inputs!$C$10</f>
        <v/>
      </c>
      <c r="K283" s="24">
        <f>IF($B283&lt;=Inputs!$C$6+Inputs!$C$11,$C283*Inputs!$C$7/12,0)</f>
        <v/>
      </c>
      <c r="L283" s="24">
        <f>IF($B283&lt;=Inputs!$C$6+Inputs!$C$11,$E283+$F283+$G283+$I283-$K283,0)</f>
        <v/>
      </c>
      <c r="M283" s="24">
        <f>IF($B283&lt;=Inputs!$C$6,MAX(0,$C283-$F283-$G283-$H283),0)</f>
        <v/>
      </c>
    </row>
    <row r="284">
      <c r="B284" s="22" t="n">
        <v>281</v>
      </c>
      <c r="C284" s="23">
        <f>IF($B284&lt;=Inputs!$C$6+Inputs!$C$11,$M283,"")</f>
        <v/>
      </c>
      <c r="D284" s="24">
        <f>IF($B284&lt;=Inputs!$C$6,-PMT(Inputs!$C$5/12,Inputs!$C$6,Inputs!$C$4),0)</f>
        <v/>
      </c>
      <c r="E284" s="24">
        <f>IF($B284&lt;=Inputs!$C$6+Inputs!$C$11,$C284*Inputs!$C$5/12,0)</f>
        <v/>
      </c>
      <c r="F284" s="24">
        <f>IF($B284&lt;=Inputs!$C$6,MAX(0,$D284-$E284),0)</f>
        <v/>
      </c>
      <c r="G284" s="24">
        <f>IF($B284&lt;=Inputs!$C$6,MAX(0,($C284-$F284))*(1-(1-Inputs!$C$8)^(1/12)),0)</f>
        <v/>
      </c>
      <c r="H284" s="24">
        <f>IF($B284&lt;=Inputs!$C$6,MAX(0,($C284-$F284-$G284))*(1-(1-Inputs!$C$9)^(1/12)),0)</f>
        <v/>
      </c>
      <c r="I284" s="24">
        <f>IF($B284&gt;Inputs!$C$11,INDEX($H:$H,ROW()-Inputs!$C$11)* (1-Inputs!$C$10),0)</f>
        <v/>
      </c>
      <c r="J284" s="24">
        <f>$H284*Inputs!$C$10</f>
        <v/>
      </c>
      <c r="K284" s="24">
        <f>IF($B284&lt;=Inputs!$C$6+Inputs!$C$11,$C284*Inputs!$C$7/12,0)</f>
        <v/>
      </c>
      <c r="L284" s="24">
        <f>IF($B284&lt;=Inputs!$C$6+Inputs!$C$11,$E284+$F284+$G284+$I284-$K284,0)</f>
        <v/>
      </c>
      <c r="M284" s="24">
        <f>IF($B284&lt;=Inputs!$C$6,MAX(0,$C284-$F284-$G284-$H284),0)</f>
        <v/>
      </c>
    </row>
    <row r="285">
      <c r="B285" s="22" t="n">
        <v>282</v>
      </c>
      <c r="C285" s="23">
        <f>IF($B285&lt;=Inputs!$C$6+Inputs!$C$11,$M284,"")</f>
        <v/>
      </c>
      <c r="D285" s="24">
        <f>IF($B285&lt;=Inputs!$C$6,-PMT(Inputs!$C$5/12,Inputs!$C$6,Inputs!$C$4),0)</f>
        <v/>
      </c>
      <c r="E285" s="24">
        <f>IF($B285&lt;=Inputs!$C$6+Inputs!$C$11,$C285*Inputs!$C$5/12,0)</f>
        <v/>
      </c>
      <c r="F285" s="24">
        <f>IF($B285&lt;=Inputs!$C$6,MAX(0,$D285-$E285),0)</f>
        <v/>
      </c>
      <c r="G285" s="24">
        <f>IF($B285&lt;=Inputs!$C$6,MAX(0,($C285-$F285))*(1-(1-Inputs!$C$8)^(1/12)),0)</f>
        <v/>
      </c>
      <c r="H285" s="24">
        <f>IF($B285&lt;=Inputs!$C$6,MAX(0,($C285-$F285-$G285))*(1-(1-Inputs!$C$9)^(1/12)),0)</f>
        <v/>
      </c>
      <c r="I285" s="24">
        <f>IF($B285&gt;Inputs!$C$11,INDEX($H:$H,ROW()-Inputs!$C$11)* (1-Inputs!$C$10),0)</f>
        <v/>
      </c>
      <c r="J285" s="24">
        <f>$H285*Inputs!$C$10</f>
        <v/>
      </c>
      <c r="K285" s="24">
        <f>IF($B285&lt;=Inputs!$C$6+Inputs!$C$11,$C285*Inputs!$C$7/12,0)</f>
        <v/>
      </c>
      <c r="L285" s="24">
        <f>IF($B285&lt;=Inputs!$C$6+Inputs!$C$11,$E285+$F285+$G285+$I285-$K285,0)</f>
        <v/>
      </c>
      <c r="M285" s="24">
        <f>IF($B285&lt;=Inputs!$C$6,MAX(0,$C285-$F285-$G285-$H285),0)</f>
        <v/>
      </c>
    </row>
    <row r="286">
      <c r="B286" s="22" t="n">
        <v>283</v>
      </c>
      <c r="C286" s="23">
        <f>IF($B286&lt;=Inputs!$C$6+Inputs!$C$11,$M285,"")</f>
        <v/>
      </c>
      <c r="D286" s="24">
        <f>IF($B286&lt;=Inputs!$C$6,-PMT(Inputs!$C$5/12,Inputs!$C$6,Inputs!$C$4),0)</f>
        <v/>
      </c>
      <c r="E286" s="24">
        <f>IF($B286&lt;=Inputs!$C$6+Inputs!$C$11,$C286*Inputs!$C$5/12,0)</f>
        <v/>
      </c>
      <c r="F286" s="24">
        <f>IF($B286&lt;=Inputs!$C$6,MAX(0,$D286-$E286),0)</f>
        <v/>
      </c>
      <c r="G286" s="24">
        <f>IF($B286&lt;=Inputs!$C$6,MAX(0,($C286-$F286))*(1-(1-Inputs!$C$8)^(1/12)),0)</f>
        <v/>
      </c>
      <c r="H286" s="24">
        <f>IF($B286&lt;=Inputs!$C$6,MAX(0,($C286-$F286-$G286))*(1-(1-Inputs!$C$9)^(1/12)),0)</f>
        <v/>
      </c>
      <c r="I286" s="24">
        <f>IF($B286&gt;Inputs!$C$11,INDEX($H:$H,ROW()-Inputs!$C$11)* (1-Inputs!$C$10),0)</f>
        <v/>
      </c>
      <c r="J286" s="24">
        <f>$H286*Inputs!$C$10</f>
        <v/>
      </c>
      <c r="K286" s="24">
        <f>IF($B286&lt;=Inputs!$C$6+Inputs!$C$11,$C286*Inputs!$C$7/12,0)</f>
        <v/>
      </c>
      <c r="L286" s="24">
        <f>IF($B286&lt;=Inputs!$C$6+Inputs!$C$11,$E286+$F286+$G286+$I286-$K286,0)</f>
        <v/>
      </c>
      <c r="M286" s="24">
        <f>IF($B286&lt;=Inputs!$C$6,MAX(0,$C286-$F286-$G286-$H286),0)</f>
        <v/>
      </c>
    </row>
    <row r="287">
      <c r="B287" s="22" t="n">
        <v>284</v>
      </c>
      <c r="C287" s="23">
        <f>IF($B287&lt;=Inputs!$C$6+Inputs!$C$11,$M286,"")</f>
        <v/>
      </c>
      <c r="D287" s="24">
        <f>IF($B287&lt;=Inputs!$C$6,-PMT(Inputs!$C$5/12,Inputs!$C$6,Inputs!$C$4),0)</f>
        <v/>
      </c>
      <c r="E287" s="24">
        <f>IF($B287&lt;=Inputs!$C$6+Inputs!$C$11,$C287*Inputs!$C$5/12,0)</f>
        <v/>
      </c>
      <c r="F287" s="24">
        <f>IF($B287&lt;=Inputs!$C$6,MAX(0,$D287-$E287),0)</f>
        <v/>
      </c>
      <c r="G287" s="24">
        <f>IF($B287&lt;=Inputs!$C$6,MAX(0,($C287-$F287))*(1-(1-Inputs!$C$8)^(1/12)),0)</f>
        <v/>
      </c>
      <c r="H287" s="24">
        <f>IF($B287&lt;=Inputs!$C$6,MAX(0,($C287-$F287-$G287))*(1-(1-Inputs!$C$9)^(1/12)),0)</f>
        <v/>
      </c>
      <c r="I287" s="24">
        <f>IF($B287&gt;Inputs!$C$11,INDEX($H:$H,ROW()-Inputs!$C$11)* (1-Inputs!$C$10),0)</f>
        <v/>
      </c>
      <c r="J287" s="24">
        <f>$H287*Inputs!$C$10</f>
        <v/>
      </c>
      <c r="K287" s="24">
        <f>IF($B287&lt;=Inputs!$C$6+Inputs!$C$11,$C287*Inputs!$C$7/12,0)</f>
        <v/>
      </c>
      <c r="L287" s="24">
        <f>IF($B287&lt;=Inputs!$C$6+Inputs!$C$11,$E287+$F287+$G287+$I287-$K287,0)</f>
        <v/>
      </c>
      <c r="M287" s="24">
        <f>IF($B287&lt;=Inputs!$C$6,MAX(0,$C287-$F287-$G287-$H287),0)</f>
        <v/>
      </c>
    </row>
    <row r="288">
      <c r="B288" s="22" t="n">
        <v>285</v>
      </c>
      <c r="C288" s="23">
        <f>IF($B288&lt;=Inputs!$C$6+Inputs!$C$11,$M287,"")</f>
        <v/>
      </c>
      <c r="D288" s="24">
        <f>IF($B288&lt;=Inputs!$C$6,-PMT(Inputs!$C$5/12,Inputs!$C$6,Inputs!$C$4),0)</f>
        <v/>
      </c>
      <c r="E288" s="24">
        <f>IF($B288&lt;=Inputs!$C$6+Inputs!$C$11,$C288*Inputs!$C$5/12,0)</f>
        <v/>
      </c>
      <c r="F288" s="24">
        <f>IF($B288&lt;=Inputs!$C$6,MAX(0,$D288-$E288),0)</f>
        <v/>
      </c>
      <c r="G288" s="24">
        <f>IF($B288&lt;=Inputs!$C$6,MAX(0,($C288-$F288))*(1-(1-Inputs!$C$8)^(1/12)),0)</f>
        <v/>
      </c>
      <c r="H288" s="24">
        <f>IF($B288&lt;=Inputs!$C$6,MAX(0,($C288-$F288-$G288))*(1-(1-Inputs!$C$9)^(1/12)),0)</f>
        <v/>
      </c>
      <c r="I288" s="24">
        <f>IF($B288&gt;Inputs!$C$11,INDEX($H:$H,ROW()-Inputs!$C$11)* (1-Inputs!$C$10),0)</f>
        <v/>
      </c>
      <c r="J288" s="24">
        <f>$H288*Inputs!$C$10</f>
        <v/>
      </c>
      <c r="K288" s="24">
        <f>IF($B288&lt;=Inputs!$C$6+Inputs!$C$11,$C288*Inputs!$C$7/12,0)</f>
        <v/>
      </c>
      <c r="L288" s="24">
        <f>IF($B288&lt;=Inputs!$C$6+Inputs!$C$11,$E288+$F288+$G288+$I288-$K288,0)</f>
        <v/>
      </c>
      <c r="M288" s="24">
        <f>IF($B288&lt;=Inputs!$C$6,MAX(0,$C288-$F288-$G288-$H288),0)</f>
        <v/>
      </c>
    </row>
    <row r="289">
      <c r="B289" s="22" t="n">
        <v>286</v>
      </c>
      <c r="C289" s="23">
        <f>IF($B289&lt;=Inputs!$C$6+Inputs!$C$11,$M288,"")</f>
        <v/>
      </c>
      <c r="D289" s="24">
        <f>IF($B289&lt;=Inputs!$C$6,-PMT(Inputs!$C$5/12,Inputs!$C$6,Inputs!$C$4),0)</f>
        <v/>
      </c>
      <c r="E289" s="24">
        <f>IF($B289&lt;=Inputs!$C$6+Inputs!$C$11,$C289*Inputs!$C$5/12,0)</f>
        <v/>
      </c>
      <c r="F289" s="24">
        <f>IF($B289&lt;=Inputs!$C$6,MAX(0,$D289-$E289),0)</f>
        <v/>
      </c>
      <c r="G289" s="24">
        <f>IF($B289&lt;=Inputs!$C$6,MAX(0,($C289-$F289))*(1-(1-Inputs!$C$8)^(1/12)),0)</f>
        <v/>
      </c>
      <c r="H289" s="24">
        <f>IF($B289&lt;=Inputs!$C$6,MAX(0,($C289-$F289-$G289))*(1-(1-Inputs!$C$9)^(1/12)),0)</f>
        <v/>
      </c>
      <c r="I289" s="24">
        <f>IF($B289&gt;Inputs!$C$11,INDEX($H:$H,ROW()-Inputs!$C$11)* (1-Inputs!$C$10),0)</f>
        <v/>
      </c>
      <c r="J289" s="24">
        <f>$H289*Inputs!$C$10</f>
        <v/>
      </c>
      <c r="K289" s="24">
        <f>IF($B289&lt;=Inputs!$C$6+Inputs!$C$11,$C289*Inputs!$C$7/12,0)</f>
        <v/>
      </c>
      <c r="L289" s="24">
        <f>IF($B289&lt;=Inputs!$C$6+Inputs!$C$11,$E289+$F289+$G289+$I289-$K289,0)</f>
        <v/>
      </c>
      <c r="M289" s="24">
        <f>IF($B289&lt;=Inputs!$C$6,MAX(0,$C289-$F289-$G289-$H289),0)</f>
        <v/>
      </c>
    </row>
    <row r="290">
      <c r="B290" s="22" t="n">
        <v>287</v>
      </c>
      <c r="C290" s="23">
        <f>IF($B290&lt;=Inputs!$C$6+Inputs!$C$11,$M289,"")</f>
        <v/>
      </c>
      <c r="D290" s="24">
        <f>IF($B290&lt;=Inputs!$C$6,-PMT(Inputs!$C$5/12,Inputs!$C$6,Inputs!$C$4),0)</f>
        <v/>
      </c>
      <c r="E290" s="24">
        <f>IF($B290&lt;=Inputs!$C$6+Inputs!$C$11,$C290*Inputs!$C$5/12,0)</f>
        <v/>
      </c>
      <c r="F290" s="24">
        <f>IF($B290&lt;=Inputs!$C$6,MAX(0,$D290-$E290),0)</f>
        <v/>
      </c>
      <c r="G290" s="24">
        <f>IF($B290&lt;=Inputs!$C$6,MAX(0,($C290-$F290))*(1-(1-Inputs!$C$8)^(1/12)),0)</f>
        <v/>
      </c>
      <c r="H290" s="24">
        <f>IF($B290&lt;=Inputs!$C$6,MAX(0,($C290-$F290-$G290))*(1-(1-Inputs!$C$9)^(1/12)),0)</f>
        <v/>
      </c>
      <c r="I290" s="24">
        <f>IF($B290&gt;Inputs!$C$11,INDEX($H:$H,ROW()-Inputs!$C$11)* (1-Inputs!$C$10),0)</f>
        <v/>
      </c>
      <c r="J290" s="24">
        <f>$H290*Inputs!$C$10</f>
        <v/>
      </c>
      <c r="K290" s="24">
        <f>IF($B290&lt;=Inputs!$C$6+Inputs!$C$11,$C290*Inputs!$C$7/12,0)</f>
        <v/>
      </c>
      <c r="L290" s="24">
        <f>IF($B290&lt;=Inputs!$C$6+Inputs!$C$11,$E290+$F290+$G290+$I290-$K290,0)</f>
        <v/>
      </c>
      <c r="M290" s="24">
        <f>IF($B290&lt;=Inputs!$C$6,MAX(0,$C290-$F290-$G290-$H290),0)</f>
        <v/>
      </c>
    </row>
    <row r="291">
      <c r="B291" s="22" t="n">
        <v>288</v>
      </c>
      <c r="C291" s="23">
        <f>IF($B291&lt;=Inputs!$C$6+Inputs!$C$11,$M290,"")</f>
        <v/>
      </c>
      <c r="D291" s="24">
        <f>IF($B291&lt;=Inputs!$C$6,-PMT(Inputs!$C$5/12,Inputs!$C$6,Inputs!$C$4),0)</f>
        <v/>
      </c>
      <c r="E291" s="24">
        <f>IF($B291&lt;=Inputs!$C$6+Inputs!$C$11,$C291*Inputs!$C$5/12,0)</f>
        <v/>
      </c>
      <c r="F291" s="24">
        <f>IF($B291&lt;=Inputs!$C$6,MAX(0,$D291-$E291),0)</f>
        <v/>
      </c>
      <c r="G291" s="24">
        <f>IF($B291&lt;=Inputs!$C$6,MAX(0,($C291-$F291))*(1-(1-Inputs!$C$8)^(1/12)),0)</f>
        <v/>
      </c>
      <c r="H291" s="24">
        <f>IF($B291&lt;=Inputs!$C$6,MAX(0,($C291-$F291-$G291))*(1-(1-Inputs!$C$9)^(1/12)),0)</f>
        <v/>
      </c>
      <c r="I291" s="24">
        <f>IF($B291&gt;Inputs!$C$11,INDEX($H:$H,ROW()-Inputs!$C$11)* (1-Inputs!$C$10),0)</f>
        <v/>
      </c>
      <c r="J291" s="24">
        <f>$H291*Inputs!$C$10</f>
        <v/>
      </c>
      <c r="K291" s="24">
        <f>IF($B291&lt;=Inputs!$C$6+Inputs!$C$11,$C291*Inputs!$C$7/12,0)</f>
        <v/>
      </c>
      <c r="L291" s="24">
        <f>IF($B291&lt;=Inputs!$C$6+Inputs!$C$11,$E291+$F291+$G291+$I291-$K291,0)</f>
        <v/>
      </c>
      <c r="M291" s="24">
        <f>IF($B291&lt;=Inputs!$C$6,MAX(0,$C291-$F291-$G291-$H291),0)</f>
        <v/>
      </c>
    </row>
    <row r="292">
      <c r="B292" s="22" t="n">
        <v>289</v>
      </c>
      <c r="C292" s="23">
        <f>IF($B292&lt;=Inputs!$C$6+Inputs!$C$11,$M291,"")</f>
        <v/>
      </c>
      <c r="D292" s="24">
        <f>IF($B292&lt;=Inputs!$C$6,-PMT(Inputs!$C$5/12,Inputs!$C$6,Inputs!$C$4),0)</f>
        <v/>
      </c>
      <c r="E292" s="24">
        <f>IF($B292&lt;=Inputs!$C$6+Inputs!$C$11,$C292*Inputs!$C$5/12,0)</f>
        <v/>
      </c>
      <c r="F292" s="24">
        <f>IF($B292&lt;=Inputs!$C$6,MAX(0,$D292-$E292),0)</f>
        <v/>
      </c>
      <c r="G292" s="24">
        <f>IF($B292&lt;=Inputs!$C$6,MAX(0,($C292-$F292))*(1-(1-Inputs!$C$8)^(1/12)),0)</f>
        <v/>
      </c>
      <c r="H292" s="24">
        <f>IF($B292&lt;=Inputs!$C$6,MAX(0,($C292-$F292-$G292))*(1-(1-Inputs!$C$9)^(1/12)),0)</f>
        <v/>
      </c>
      <c r="I292" s="24">
        <f>IF($B292&gt;Inputs!$C$11,INDEX($H:$H,ROW()-Inputs!$C$11)* (1-Inputs!$C$10),0)</f>
        <v/>
      </c>
      <c r="J292" s="24">
        <f>$H292*Inputs!$C$10</f>
        <v/>
      </c>
      <c r="K292" s="24">
        <f>IF($B292&lt;=Inputs!$C$6+Inputs!$C$11,$C292*Inputs!$C$7/12,0)</f>
        <v/>
      </c>
      <c r="L292" s="24">
        <f>IF($B292&lt;=Inputs!$C$6+Inputs!$C$11,$E292+$F292+$G292+$I292-$K292,0)</f>
        <v/>
      </c>
      <c r="M292" s="24">
        <f>IF($B292&lt;=Inputs!$C$6,MAX(0,$C292-$F292-$G292-$H292),0)</f>
        <v/>
      </c>
    </row>
    <row r="293">
      <c r="B293" s="22" t="n">
        <v>290</v>
      </c>
      <c r="C293" s="23">
        <f>IF($B293&lt;=Inputs!$C$6+Inputs!$C$11,$M292,"")</f>
        <v/>
      </c>
      <c r="D293" s="24">
        <f>IF($B293&lt;=Inputs!$C$6,-PMT(Inputs!$C$5/12,Inputs!$C$6,Inputs!$C$4),0)</f>
        <v/>
      </c>
      <c r="E293" s="24">
        <f>IF($B293&lt;=Inputs!$C$6+Inputs!$C$11,$C293*Inputs!$C$5/12,0)</f>
        <v/>
      </c>
      <c r="F293" s="24">
        <f>IF($B293&lt;=Inputs!$C$6,MAX(0,$D293-$E293),0)</f>
        <v/>
      </c>
      <c r="G293" s="24">
        <f>IF($B293&lt;=Inputs!$C$6,MAX(0,($C293-$F293))*(1-(1-Inputs!$C$8)^(1/12)),0)</f>
        <v/>
      </c>
      <c r="H293" s="24">
        <f>IF($B293&lt;=Inputs!$C$6,MAX(0,($C293-$F293-$G293))*(1-(1-Inputs!$C$9)^(1/12)),0)</f>
        <v/>
      </c>
      <c r="I293" s="24">
        <f>IF($B293&gt;Inputs!$C$11,INDEX($H:$H,ROW()-Inputs!$C$11)* (1-Inputs!$C$10),0)</f>
        <v/>
      </c>
      <c r="J293" s="24">
        <f>$H293*Inputs!$C$10</f>
        <v/>
      </c>
      <c r="K293" s="24">
        <f>IF($B293&lt;=Inputs!$C$6+Inputs!$C$11,$C293*Inputs!$C$7/12,0)</f>
        <v/>
      </c>
      <c r="L293" s="24">
        <f>IF($B293&lt;=Inputs!$C$6+Inputs!$C$11,$E293+$F293+$G293+$I293-$K293,0)</f>
        <v/>
      </c>
      <c r="M293" s="24">
        <f>IF($B293&lt;=Inputs!$C$6,MAX(0,$C293-$F293-$G293-$H293),0)</f>
        <v/>
      </c>
    </row>
    <row r="294">
      <c r="B294" s="22" t="n">
        <v>291</v>
      </c>
      <c r="C294" s="23">
        <f>IF($B294&lt;=Inputs!$C$6+Inputs!$C$11,$M293,"")</f>
        <v/>
      </c>
      <c r="D294" s="24">
        <f>IF($B294&lt;=Inputs!$C$6,-PMT(Inputs!$C$5/12,Inputs!$C$6,Inputs!$C$4),0)</f>
        <v/>
      </c>
      <c r="E294" s="24">
        <f>IF($B294&lt;=Inputs!$C$6+Inputs!$C$11,$C294*Inputs!$C$5/12,0)</f>
        <v/>
      </c>
      <c r="F294" s="24">
        <f>IF($B294&lt;=Inputs!$C$6,MAX(0,$D294-$E294),0)</f>
        <v/>
      </c>
      <c r="G294" s="24">
        <f>IF($B294&lt;=Inputs!$C$6,MAX(0,($C294-$F294))*(1-(1-Inputs!$C$8)^(1/12)),0)</f>
        <v/>
      </c>
      <c r="H294" s="24">
        <f>IF($B294&lt;=Inputs!$C$6,MAX(0,($C294-$F294-$G294))*(1-(1-Inputs!$C$9)^(1/12)),0)</f>
        <v/>
      </c>
      <c r="I294" s="24">
        <f>IF($B294&gt;Inputs!$C$11,INDEX($H:$H,ROW()-Inputs!$C$11)* (1-Inputs!$C$10),0)</f>
        <v/>
      </c>
      <c r="J294" s="24">
        <f>$H294*Inputs!$C$10</f>
        <v/>
      </c>
      <c r="K294" s="24">
        <f>IF($B294&lt;=Inputs!$C$6+Inputs!$C$11,$C294*Inputs!$C$7/12,0)</f>
        <v/>
      </c>
      <c r="L294" s="24">
        <f>IF($B294&lt;=Inputs!$C$6+Inputs!$C$11,$E294+$F294+$G294+$I294-$K294,0)</f>
        <v/>
      </c>
      <c r="M294" s="24">
        <f>IF($B294&lt;=Inputs!$C$6,MAX(0,$C294-$F294-$G294-$H294),0)</f>
        <v/>
      </c>
    </row>
    <row r="295">
      <c r="B295" s="22" t="n">
        <v>292</v>
      </c>
      <c r="C295" s="23">
        <f>IF($B295&lt;=Inputs!$C$6+Inputs!$C$11,$M294,"")</f>
        <v/>
      </c>
      <c r="D295" s="24">
        <f>IF($B295&lt;=Inputs!$C$6,-PMT(Inputs!$C$5/12,Inputs!$C$6,Inputs!$C$4),0)</f>
        <v/>
      </c>
      <c r="E295" s="24">
        <f>IF($B295&lt;=Inputs!$C$6+Inputs!$C$11,$C295*Inputs!$C$5/12,0)</f>
        <v/>
      </c>
      <c r="F295" s="24">
        <f>IF($B295&lt;=Inputs!$C$6,MAX(0,$D295-$E295),0)</f>
        <v/>
      </c>
      <c r="G295" s="24">
        <f>IF($B295&lt;=Inputs!$C$6,MAX(0,($C295-$F295))*(1-(1-Inputs!$C$8)^(1/12)),0)</f>
        <v/>
      </c>
      <c r="H295" s="24">
        <f>IF($B295&lt;=Inputs!$C$6,MAX(0,($C295-$F295-$G295))*(1-(1-Inputs!$C$9)^(1/12)),0)</f>
        <v/>
      </c>
      <c r="I295" s="24">
        <f>IF($B295&gt;Inputs!$C$11,INDEX($H:$H,ROW()-Inputs!$C$11)* (1-Inputs!$C$10),0)</f>
        <v/>
      </c>
      <c r="J295" s="24">
        <f>$H295*Inputs!$C$10</f>
        <v/>
      </c>
      <c r="K295" s="24">
        <f>IF($B295&lt;=Inputs!$C$6+Inputs!$C$11,$C295*Inputs!$C$7/12,0)</f>
        <v/>
      </c>
      <c r="L295" s="24">
        <f>IF($B295&lt;=Inputs!$C$6+Inputs!$C$11,$E295+$F295+$G295+$I295-$K295,0)</f>
        <v/>
      </c>
      <c r="M295" s="24">
        <f>IF($B295&lt;=Inputs!$C$6,MAX(0,$C295-$F295-$G295-$H295),0)</f>
        <v/>
      </c>
    </row>
    <row r="296">
      <c r="B296" s="22" t="n">
        <v>293</v>
      </c>
      <c r="C296" s="23">
        <f>IF($B296&lt;=Inputs!$C$6+Inputs!$C$11,$M295,"")</f>
        <v/>
      </c>
      <c r="D296" s="24">
        <f>IF($B296&lt;=Inputs!$C$6,-PMT(Inputs!$C$5/12,Inputs!$C$6,Inputs!$C$4),0)</f>
        <v/>
      </c>
      <c r="E296" s="24">
        <f>IF($B296&lt;=Inputs!$C$6+Inputs!$C$11,$C296*Inputs!$C$5/12,0)</f>
        <v/>
      </c>
      <c r="F296" s="24">
        <f>IF($B296&lt;=Inputs!$C$6,MAX(0,$D296-$E296),0)</f>
        <v/>
      </c>
      <c r="G296" s="24">
        <f>IF($B296&lt;=Inputs!$C$6,MAX(0,($C296-$F296))*(1-(1-Inputs!$C$8)^(1/12)),0)</f>
        <v/>
      </c>
      <c r="H296" s="24">
        <f>IF($B296&lt;=Inputs!$C$6,MAX(0,($C296-$F296-$G296))*(1-(1-Inputs!$C$9)^(1/12)),0)</f>
        <v/>
      </c>
      <c r="I296" s="24">
        <f>IF($B296&gt;Inputs!$C$11,INDEX($H:$H,ROW()-Inputs!$C$11)* (1-Inputs!$C$10),0)</f>
        <v/>
      </c>
      <c r="J296" s="24">
        <f>$H296*Inputs!$C$10</f>
        <v/>
      </c>
      <c r="K296" s="24">
        <f>IF($B296&lt;=Inputs!$C$6+Inputs!$C$11,$C296*Inputs!$C$7/12,0)</f>
        <v/>
      </c>
      <c r="L296" s="24">
        <f>IF($B296&lt;=Inputs!$C$6+Inputs!$C$11,$E296+$F296+$G296+$I296-$K296,0)</f>
        <v/>
      </c>
      <c r="M296" s="24">
        <f>IF($B296&lt;=Inputs!$C$6,MAX(0,$C296-$F296-$G296-$H296),0)</f>
        <v/>
      </c>
    </row>
    <row r="297">
      <c r="B297" s="22" t="n">
        <v>294</v>
      </c>
      <c r="C297" s="23">
        <f>IF($B297&lt;=Inputs!$C$6+Inputs!$C$11,$M296,"")</f>
        <v/>
      </c>
      <c r="D297" s="24">
        <f>IF($B297&lt;=Inputs!$C$6,-PMT(Inputs!$C$5/12,Inputs!$C$6,Inputs!$C$4),0)</f>
        <v/>
      </c>
      <c r="E297" s="24">
        <f>IF($B297&lt;=Inputs!$C$6+Inputs!$C$11,$C297*Inputs!$C$5/12,0)</f>
        <v/>
      </c>
      <c r="F297" s="24">
        <f>IF($B297&lt;=Inputs!$C$6,MAX(0,$D297-$E297),0)</f>
        <v/>
      </c>
      <c r="G297" s="24">
        <f>IF($B297&lt;=Inputs!$C$6,MAX(0,($C297-$F297))*(1-(1-Inputs!$C$8)^(1/12)),0)</f>
        <v/>
      </c>
      <c r="H297" s="24">
        <f>IF($B297&lt;=Inputs!$C$6,MAX(0,($C297-$F297-$G297))*(1-(1-Inputs!$C$9)^(1/12)),0)</f>
        <v/>
      </c>
      <c r="I297" s="24">
        <f>IF($B297&gt;Inputs!$C$11,INDEX($H:$H,ROW()-Inputs!$C$11)* (1-Inputs!$C$10),0)</f>
        <v/>
      </c>
      <c r="J297" s="24">
        <f>$H297*Inputs!$C$10</f>
        <v/>
      </c>
      <c r="K297" s="24">
        <f>IF($B297&lt;=Inputs!$C$6+Inputs!$C$11,$C297*Inputs!$C$7/12,0)</f>
        <v/>
      </c>
      <c r="L297" s="24">
        <f>IF($B297&lt;=Inputs!$C$6+Inputs!$C$11,$E297+$F297+$G297+$I297-$K297,0)</f>
        <v/>
      </c>
      <c r="M297" s="24">
        <f>IF($B297&lt;=Inputs!$C$6,MAX(0,$C297-$F297-$G297-$H297),0)</f>
        <v/>
      </c>
    </row>
    <row r="298">
      <c r="B298" s="22" t="n">
        <v>295</v>
      </c>
      <c r="C298" s="23">
        <f>IF($B298&lt;=Inputs!$C$6+Inputs!$C$11,$M297,"")</f>
        <v/>
      </c>
      <c r="D298" s="24">
        <f>IF($B298&lt;=Inputs!$C$6,-PMT(Inputs!$C$5/12,Inputs!$C$6,Inputs!$C$4),0)</f>
        <v/>
      </c>
      <c r="E298" s="24">
        <f>IF($B298&lt;=Inputs!$C$6+Inputs!$C$11,$C298*Inputs!$C$5/12,0)</f>
        <v/>
      </c>
      <c r="F298" s="24">
        <f>IF($B298&lt;=Inputs!$C$6,MAX(0,$D298-$E298),0)</f>
        <v/>
      </c>
      <c r="G298" s="24">
        <f>IF($B298&lt;=Inputs!$C$6,MAX(0,($C298-$F298))*(1-(1-Inputs!$C$8)^(1/12)),0)</f>
        <v/>
      </c>
      <c r="H298" s="24">
        <f>IF($B298&lt;=Inputs!$C$6,MAX(0,($C298-$F298-$G298))*(1-(1-Inputs!$C$9)^(1/12)),0)</f>
        <v/>
      </c>
      <c r="I298" s="24">
        <f>IF($B298&gt;Inputs!$C$11,INDEX($H:$H,ROW()-Inputs!$C$11)* (1-Inputs!$C$10),0)</f>
        <v/>
      </c>
      <c r="J298" s="24">
        <f>$H298*Inputs!$C$10</f>
        <v/>
      </c>
      <c r="K298" s="24">
        <f>IF($B298&lt;=Inputs!$C$6+Inputs!$C$11,$C298*Inputs!$C$7/12,0)</f>
        <v/>
      </c>
      <c r="L298" s="24">
        <f>IF($B298&lt;=Inputs!$C$6+Inputs!$C$11,$E298+$F298+$G298+$I298-$K298,0)</f>
        <v/>
      </c>
      <c r="M298" s="24">
        <f>IF($B298&lt;=Inputs!$C$6,MAX(0,$C298-$F298-$G298-$H298),0)</f>
        <v/>
      </c>
    </row>
    <row r="299">
      <c r="B299" s="22" t="n">
        <v>296</v>
      </c>
      <c r="C299" s="23">
        <f>IF($B299&lt;=Inputs!$C$6+Inputs!$C$11,$M298,"")</f>
        <v/>
      </c>
      <c r="D299" s="24">
        <f>IF($B299&lt;=Inputs!$C$6,-PMT(Inputs!$C$5/12,Inputs!$C$6,Inputs!$C$4),0)</f>
        <v/>
      </c>
      <c r="E299" s="24">
        <f>IF($B299&lt;=Inputs!$C$6+Inputs!$C$11,$C299*Inputs!$C$5/12,0)</f>
        <v/>
      </c>
      <c r="F299" s="24">
        <f>IF($B299&lt;=Inputs!$C$6,MAX(0,$D299-$E299),0)</f>
        <v/>
      </c>
      <c r="G299" s="24">
        <f>IF($B299&lt;=Inputs!$C$6,MAX(0,($C299-$F299))*(1-(1-Inputs!$C$8)^(1/12)),0)</f>
        <v/>
      </c>
      <c r="H299" s="24">
        <f>IF($B299&lt;=Inputs!$C$6,MAX(0,($C299-$F299-$G299))*(1-(1-Inputs!$C$9)^(1/12)),0)</f>
        <v/>
      </c>
      <c r="I299" s="24">
        <f>IF($B299&gt;Inputs!$C$11,INDEX($H:$H,ROW()-Inputs!$C$11)* (1-Inputs!$C$10),0)</f>
        <v/>
      </c>
      <c r="J299" s="24">
        <f>$H299*Inputs!$C$10</f>
        <v/>
      </c>
      <c r="K299" s="24">
        <f>IF($B299&lt;=Inputs!$C$6+Inputs!$C$11,$C299*Inputs!$C$7/12,0)</f>
        <v/>
      </c>
      <c r="L299" s="24">
        <f>IF($B299&lt;=Inputs!$C$6+Inputs!$C$11,$E299+$F299+$G299+$I299-$K299,0)</f>
        <v/>
      </c>
      <c r="M299" s="24">
        <f>IF($B299&lt;=Inputs!$C$6,MAX(0,$C299-$F299-$G299-$H299),0)</f>
        <v/>
      </c>
    </row>
    <row r="300">
      <c r="B300" s="22" t="n">
        <v>297</v>
      </c>
      <c r="C300" s="23">
        <f>IF($B300&lt;=Inputs!$C$6+Inputs!$C$11,$M299,"")</f>
        <v/>
      </c>
      <c r="D300" s="24">
        <f>IF($B300&lt;=Inputs!$C$6,-PMT(Inputs!$C$5/12,Inputs!$C$6,Inputs!$C$4),0)</f>
        <v/>
      </c>
      <c r="E300" s="24">
        <f>IF($B300&lt;=Inputs!$C$6+Inputs!$C$11,$C300*Inputs!$C$5/12,0)</f>
        <v/>
      </c>
      <c r="F300" s="24">
        <f>IF($B300&lt;=Inputs!$C$6,MAX(0,$D300-$E300),0)</f>
        <v/>
      </c>
      <c r="G300" s="24">
        <f>IF($B300&lt;=Inputs!$C$6,MAX(0,($C300-$F300))*(1-(1-Inputs!$C$8)^(1/12)),0)</f>
        <v/>
      </c>
      <c r="H300" s="24">
        <f>IF($B300&lt;=Inputs!$C$6,MAX(0,($C300-$F300-$G300))*(1-(1-Inputs!$C$9)^(1/12)),0)</f>
        <v/>
      </c>
      <c r="I300" s="24">
        <f>IF($B300&gt;Inputs!$C$11,INDEX($H:$H,ROW()-Inputs!$C$11)* (1-Inputs!$C$10),0)</f>
        <v/>
      </c>
      <c r="J300" s="24">
        <f>$H300*Inputs!$C$10</f>
        <v/>
      </c>
      <c r="K300" s="24">
        <f>IF($B300&lt;=Inputs!$C$6+Inputs!$C$11,$C300*Inputs!$C$7/12,0)</f>
        <v/>
      </c>
      <c r="L300" s="24">
        <f>IF($B300&lt;=Inputs!$C$6+Inputs!$C$11,$E300+$F300+$G300+$I300-$K300,0)</f>
        <v/>
      </c>
      <c r="M300" s="24">
        <f>IF($B300&lt;=Inputs!$C$6,MAX(0,$C300-$F300-$G300-$H300),0)</f>
        <v/>
      </c>
    </row>
    <row r="301">
      <c r="B301" s="22" t="n">
        <v>298</v>
      </c>
      <c r="C301" s="23">
        <f>IF($B301&lt;=Inputs!$C$6+Inputs!$C$11,$M300,"")</f>
        <v/>
      </c>
      <c r="D301" s="24">
        <f>IF($B301&lt;=Inputs!$C$6,-PMT(Inputs!$C$5/12,Inputs!$C$6,Inputs!$C$4),0)</f>
        <v/>
      </c>
      <c r="E301" s="24">
        <f>IF($B301&lt;=Inputs!$C$6+Inputs!$C$11,$C301*Inputs!$C$5/12,0)</f>
        <v/>
      </c>
      <c r="F301" s="24">
        <f>IF($B301&lt;=Inputs!$C$6,MAX(0,$D301-$E301),0)</f>
        <v/>
      </c>
      <c r="G301" s="24">
        <f>IF($B301&lt;=Inputs!$C$6,MAX(0,($C301-$F301))*(1-(1-Inputs!$C$8)^(1/12)),0)</f>
        <v/>
      </c>
      <c r="H301" s="24">
        <f>IF($B301&lt;=Inputs!$C$6,MAX(0,($C301-$F301-$G301))*(1-(1-Inputs!$C$9)^(1/12)),0)</f>
        <v/>
      </c>
      <c r="I301" s="24">
        <f>IF($B301&gt;Inputs!$C$11,INDEX($H:$H,ROW()-Inputs!$C$11)* (1-Inputs!$C$10),0)</f>
        <v/>
      </c>
      <c r="J301" s="24">
        <f>$H301*Inputs!$C$10</f>
        <v/>
      </c>
      <c r="K301" s="24">
        <f>IF($B301&lt;=Inputs!$C$6+Inputs!$C$11,$C301*Inputs!$C$7/12,0)</f>
        <v/>
      </c>
      <c r="L301" s="24">
        <f>IF($B301&lt;=Inputs!$C$6+Inputs!$C$11,$E301+$F301+$G301+$I301-$K301,0)</f>
        <v/>
      </c>
      <c r="M301" s="24">
        <f>IF($B301&lt;=Inputs!$C$6,MAX(0,$C301-$F301-$G301-$H301),0)</f>
        <v/>
      </c>
    </row>
    <row r="302">
      <c r="B302" s="22" t="n">
        <v>299</v>
      </c>
      <c r="C302" s="23">
        <f>IF($B302&lt;=Inputs!$C$6+Inputs!$C$11,$M301,"")</f>
        <v/>
      </c>
      <c r="D302" s="24">
        <f>IF($B302&lt;=Inputs!$C$6,-PMT(Inputs!$C$5/12,Inputs!$C$6,Inputs!$C$4),0)</f>
        <v/>
      </c>
      <c r="E302" s="24">
        <f>IF($B302&lt;=Inputs!$C$6+Inputs!$C$11,$C302*Inputs!$C$5/12,0)</f>
        <v/>
      </c>
      <c r="F302" s="24">
        <f>IF($B302&lt;=Inputs!$C$6,MAX(0,$D302-$E302),0)</f>
        <v/>
      </c>
      <c r="G302" s="24">
        <f>IF($B302&lt;=Inputs!$C$6,MAX(0,($C302-$F302))*(1-(1-Inputs!$C$8)^(1/12)),0)</f>
        <v/>
      </c>
      <c r="H302" s="24">
        <f>IF($B302&lt;=Inputs!$C$6,MAX(0,($C302-$F302-$G302))*(1-(1-Inputs!$C$9)^(1/12)),0)</f>
        <v/>
      </c>
      <c r="I302" s="24">
        <f>IF($B302&gt;Inputs!$C$11,INDEX($H:$H,ROW()-Inputs!$C$11)* (1-Inputs!$C$10),0)</f>
        <v/>
      </c>
      <c r="J302" s="24">
        <f>$H302*Inputs!$C$10</f>
        <v/>
      </c>
      <c r="K302" s="24">
        <f>IF($B302&lt;=Inputs!$C$6+Inputs!$C$11,$C302*Inputs!$C$7/12,0)</f>
        <v/>
      </c>
      <c r="L302" s="24">
        <f>IF($B302&lt;=Inputs!$C$6+Inputs!$C$11,$E302+$F302+$G302+$I302-$K302,0)</f>
        <v/>
      </c>
      <c r="M302" s="24">
        <f>IF($B302&lt;=Inputs!$C$6,MAX(0,$C302-$F302-$G302-$H302),0)</f>
        <v/>
      </c>
    </row>
    <row r="303">
      <c r="B303" s="22" t="n">
        <v>300</v>
      </c>
      <c r="C303" s="23">
        <f>IF($B303&lt;=Inputs!$C$6+Inputs!$C$11,$M302,"")</f>
        <v/>
      </c>
      <c r="D303" s="24">
        <f>IF($B303&lt;=Inputs!$C$6,-PMT(Inputs!$C$5/12,Inputs!$C$6,Inputs!$C$4),0)</f>
        <v/>
      </c>
      <c r="E303" s="24">
        <f>IF($B303&lt;=Inputs!$C$6+Inputs!$C$11,$C303*Inputs!$C$5/12,0)</f>
        <v/>
      </c>
      <c r="F303" s="24">
        <f>IF($B303&lt;=Inputs!$C$6,MAX(0,$D303-$E303),0)</f>
        <v/>
      </c>
      <c r="G303" s="24">
        <f>IF($B303&lt;=Inputs!$C$6,MAX(0,($C303-$F303))*(1-(1-Inputs!$C$8)^(1/12)),0)</f>
        <v/>
      </c>
      <c r="H303" s="24">
        <f>IF($B303&lt;=Inputs!$C$6,MAX(0,($C303-$F303-$G303))*(1-(1-Inputs!$C$9)^(1/12)),0)</f>
        <v/>
      </c>
      <c r="I303" s="24">
        <f>IF($B303&gt;Inputs!$C$11,INDEX($H:$H,ROW()-Inputs!$C$11)* (1-Inputs!$C$10),0)</f>
        <v/>
      </c>
      <c r="J303" s="24">
        <f>$H303*Inputs!$C$10</f>
        <v/>
      </c>
      <c r="K303" s="24">
        <f>IF($B303&lt;=Inputs!$C$6+Inputs!$C$11,$C303*Inputs!$C$7/12,0)</f>
        <v/>
      </c>
      <c r="L303" s="24">
        <f>IF($B303&lt;=Inputs!$C$6+Inputs!$C$11,$E303+$F303+$G303+$I303-$K303,0)</f>
        <v/>
      </c>
      <c r="M303" s="24">
        <f>IF($B303&lt;=Inputs!$C$6,MAX(0,$C303-$F303-$G303-$H303),0)</f>
        <v/>
      </c>
    </row>
    <row r="304">
      <c r="B304" s="22" t="n">
        <v>301</v>
      </c>
      <c r="C304" s="23">
        <f>IF($B304&lt;=Inputs!$C$6+Inputs!$C$11,$M303,"")</f>
        <v/>
      </c>
      <c r="D304" s="24">
        <f>IF($B304&lt;=Inputs!$C$6,-PMT(Inputs!$C$5/12,Inputs!$C$6,Inputs!$C$4),0)</f>
        <v/>
      </c>
      <c r="E304" s="24">
        <f>IF($B304&lt;=Inputs!$C$6+Inputs!$C$11,$C304*Inputs!$C$5/12,0)</f>
        <v/>
      </c>
      <c r="F304" s="24">
        <f>IF($B304&lt;=Inputs!$C$6,MAX(0,$D304-$E304),0)</f>
        <v/>
      </c>
      <c r="G304" s="24">
        <f>IF($B304&lt;=Inputs!$C$6,MAX(0,($C304-$F304))*(1-(1-Inputs!$C$8)^(1/12)),0)</f>
        <v/>
      </c>
      <c r="H304" s="24">
        <f>IF($B304&lt;=Inputs!$C$6,MAX(0,($C304-$F304-$G304))*(1-(1-Inputs!$C$9)^(1/12)),0)</f>
        <v/>
      </c>
      <c r="I304" s="24">
        <f>IF($B304&gt;Inputs!$C$11,INDEX($H:$H,ROW()-Inputs!$C$11)* (1-Inputs!$C$10),0)</f>
        <v/>
      </c>
      <c r="J304" s="24">
        <f>$H304*Inputs!$C$10</f>
        <v/>
      </c>
      <c r="K304" s="24">
        <f>IF($B304&lt;=Inputs!$C$6+Inputs!$C$11,$C304*Inputs!$C$7/12,0)</f>
        <v/>
      </c>
      <c r="L304" s="24">
        <f>IF($B304&lt;=Inputs!$C$6+Inputs!$C$11,$E304+$F304+$G304+$I304-$K304,0)</f>
        <v/>
      </c>
      <c r="M304" s="24">
        <f>IF($B304&lt;=Inputs!$C$6,MAX(0,$C304-$F304-$G304-$H304),0)</f>
        <v/>
      </c>
    </row>
    <row r="305">
      <c r="B305" s="22" t="n">
        <v>302</v>
      </c>
      <c r="C305" s="23">
        <f>IF($B305&lt;=Inputs!$C$6+Inputs!$C$11,$M304,"")</f>
        <v/>
      </c>
      <c r="D305" s="24">
        <f>IF($B305&lt;=Inputs!$C$6,-PMT(Inputs!$C$5/12,Inputs!$C$6,Inputs!$C$4),0)</f>
        <v/>
      </c>
      <c r="E305" s="24">
        <f>IF($B305&lt;=Inputs!$C$6+Inputs!$C$11,$C305*Inputs!$C$5/12,0)</f>
        <v/>
      </c>
      <c r="F305" s="24">
        <f>IF($B305&lt;=Inputs!$C$6,MAX(0,$D305-$E305),0)</f>
        <v/>
      </c>
      <c r="G305" s="24">
        <f>IF($B305&lt;=Inputs!$C$6,MAX(0,($C305-$F305))*(1-(1-Inputs!$C$8)^(1/12)),0)</f>
        <v/>
      </c>
      <c r="H305" s="24">
        <f>IF($B305&lt;=Inputs!$C$6,MAX(0,($C305-$F305-$G305))*(1-(1-Inputs!$C$9)^(1/12)),0)</f>
        <v/>
      </c>
      <c r="I305" s="24">
        <f>IF($B305&gt;Inputs!$C$11,INDEX($H:$H,ROW()-Inputs!$C$11)* (1-Inputs!$C$10),0)</f>
        <v/>
      </c>
      <c r="J305" s="24">
        <f>$H305*Inputs!$C$10</f>
        <v/>
      </c>
      <c r="K305" s="24">
        <f>IF($B305&lt;=Inputs!$C$6+Inputs!$C$11,$C305*Inputs!$C$7/12,0)</f>
        <v/>
      </c>
      <c r="L305" s="24">
        <f>IF($B305&lt;=Inputs!$C$6+Inputs!$C$11,$E305+$F305+$G305+$I305-$K305,0)</f>
        <v/>
      </c>
      <c r="M305" s="24">
        <f>IF($B305&lt;=Inputs!$C$6,MAX(0,$C305-$F305-$G305-$H305),0)</f>
        <v/>
      </c>
    </row>
    <row r="306">
      <c r="B306" s="22" t="n">
        <v>303</v>
      </c>
      <c r="C306" s="23">
        <f>IF($B306&lt;=Inputs!$C$6+Inputs!$C$11,$M305,"")</f>
        <v/>
      </c>
      <c r="D306" s="24">
        <f>IF($B306&lt;=Inputs!$C$6,-PMT(Inputs!$C$5/12,Inputs!$C$6,Inputs!$C$4),0)</f>
        <v/>
      </c>
      <c r="E306" s="24">
        <f>IF($B306&lt;=Inputs!$C$6+Inputs!$C$11,$C306*Inputs!$C$5/12,0)</f>
        <v/>
      </c>
      <c r="F306" s="24">
        <f>IF($B306&lt;=Inputs!$C$6,MAX(0,$D306-$E306),0)</f>
        <v/>
      </c>
      <c r="G306" s="24">
        <f>IF($B306&lt;=Inputs!$C$6,MAX(0,($C306-$F306))*(1-(1-Inputs!$C$8)^(1/12)),0)</f>
        <v/>
      </c>
      <c r="H306" s="24">
        <f>IF($B306&lt;=Inputs!$C$6,MAX(0,($C306-$F306-$G306))*(1-(1-Inputs!$C$9)^(1/12)),0)</f>
        <v/>
      </c>
      <c r="I306" s="24">
        <f>IF($B306&gt;Inputs!$C$11,INDEX($H:$H,ROW()-Inputs!$C$11)* (1-Inputs!$C$10),0)</f>
        <v/>
      </c>
      <c r="J306" s="24">
        <f>$H306*Inputs!$C$10</f>
        <v/>
      </c>
      <c r="K306" s="24">
        <f>IF($B306&lt;=Inputs!$C$6+Inputs!$C$11,$C306*Inputs!$C$7/12,0)</f>
        <v/>
      </c>
      <c r="L306" s="24">
        <f>IF($B306&lt;=Inputs!$C$6+Inputs!$C$11,$E306+$F306+$G306+$I306-$K306,0)</f>
        <v/>
      </c>
      <c r="M306" s="24">
        <f>IF($B306&lt;=Inputs!$C$6,MAX(0,$C306-$F306-$G306-$H306),0)</f>
        <v/>
      </c>
    </row>
    <row r="307">
      <c r="B307" s="22" t="n">
        <v>304</v>
      </c>
      <c r="C307" s="23">
        <f>IF($B307&lt;=Inputs!$C$6+Inputs!$C$11,$M306,"")</f>
        <v/>
      </c>
      <c r="D307" s="24">
        <f>IF($B307&lt;=Inputs!$C$6,-PMT(Inputs!$C$5/12,Inputs!$C$6,Inputs!$C$4),0)</f>
        <v/>
      </c>
      <c r="E307" s="24">
        <f>IF($B307&lt;=Inputs!$C$6+Inputs!$C$11,$C307*Inputs!$C$5/12,0)</f>
        <v/>
      </c>
      <c r="F307" s="24">
        <f>IF($B307&lt;=Inputs!$C$6,MAX(0,$D307-$E307),0)</f>
        <v/>
      </c>
      <c r="G307" s="24">
        <f>IF($B307&lt;=Inputs!$C$6,MAX(0,($C307-$F307))*(1-(1-Inputs!$C$8)^(1/12)),0)</f>
        <v/>
      </c>
      <c r="H307" s="24">
        <f>IF($B307&lt;=Inputs!$C$6,MAX(0,($C307-$F307-$G307))*(1-(1-Inputs!$C$9)^(1/12)),0)</f>
        <v/>
      </c>
      <c r="I307" s="24">
        <f>IF($B307&gt;Inputs!$C$11,INDEX($H:$H,ROW()-Inputs!$C$11)* (1-Inputs!$C$10),0)</f>
        <v/>
      </c>
      <c r="J307" s="24">
        <f>$H307*Inputs!$C$10</f>
        <v/>
      </c>
      <c r="K307" s="24">
        <f>IF($B307&lt;=Inputs!$C$6+Inputs!$C$11,$C307*Inputs!$C$7/12,0)</f>
        <v/>
      </c>
      <c r="L307" s="24">
        <f>IF($B307&lt;=Inputs!$C$6+Inputs!$C$11,$E307+$F307+$G307+$I307-$K307,0)</f>
        <v/>
      </c>
      <c r="M307" s="24">
        <f>IF($B307&lt;=Inputs!$C$6,MAX(0,$C307-$F307-$G307-$H307),0)</f>
        <v/>
      </c>
    </row>
    <row r="308">
      <c r="B308" s="22" t="n">
        <v>305</v>
      </c>
      <c r="C308" s="23">
        <f>IF($B308&lt;=Inputs!$C$6+Inputs!$C$11,$M307,"")</f>
        <v/>
      </c>
      <c r="D308" s="24">
        <f>IF($B308&lt;=Inputs!$C$6,-PMT(Inputs!$C$5/12,Inputs!$C$6,Inputs!$C$4),0)</f>
        <v/>
      </c>
      <c r="E308" s="24">
        <f>IF($B308&lt;=Inputs!$C$6+Inputs!$C$11,$C308*Inputs!$C$5/12,0)</f>
        <v/>
      </c>
      <c r="F308" s="24">
        <f>IF($B308&lt;=Inputs!$C$6,MAX(0,$D308-$E308),0)</f>
        <v/>
      </c>
      <c r="G308" s="24">
        <f>IF($B308&lt;=Inputs!$C$6,MAX(0,($C308-$F308))*(1-(1-Inputs!$C$8)^(1/12)),0)</f>
        <v/>
      </c>
      <c r="H308" s="24">
        <f>IF($B308&lt;=Inputs!$C$6,MAX(0,($C308-$F308-$G308))*(1-(1-Inputs!$C$9)^(1/12)),0)</f>
        <v/>
      </c>
      <c r="I308" s="24">
        <f>IF($B308&gt;Inputs!$C$11,INDEX($H:$H,ROW()-Inputs!$C$11)* (1-Inputs!$C$10),0)</f>
        <v/>
      </c>
      <c r="J308" s="24">
        <f>$H308*Inputs!$C$10</f>
        <v/>
      </c>
      <c r="K308" s="24">
        <f>IF($B308&lt;=Inputs!$C$6+Inputs!$C$11,$C308*Inputs!$C$7/12,0)</f>
        <v/>
      </c>
      <c r="L308" s="24">
        <f>IF($B308&lt;=Inputs!$C$6+Inputs!$C$11,$E308+$F308+$G308+$I308-$K308,0)</f>
        <v/>
      </c>
      <c r="M308" s="24">
        <f>IF($B308&lt;=Inputs!$C$6,MAX(0,$C308-$F308-$G308-$H308),0)</f>
        <v/>
      </c>
    </row>
    <row r="309">
      <c r="B309" s="22" t="n">
        <v>306</v>
      </c>
      <c r="C309" s="23">
        <f>IF($B309&lt;=Inputs!$C$6+Inputs!$C$11,$M308,"")</f>
        <v/>
      </c>
      <c r="D309" s="24">
        <f>IF($B309&lt;=Inputs!$C$6,-PMT(Inputs!$C$5/12,Inputs!$C$6,Inputs!$C$4),0)</f>
        <v/>
      </c>
      <c r="E309" s="24">
        <f>IF($B309&lt;=Inputs!$C$6+Inputs!$C$11,$C309*Inputs!$C$5/12,0)</f>
        <v/>
      </c>
      <c r="F309" s="24">
        <f>IF($B309&lt;=Inputs!$C$6,MAX(0,$D309-$E309),0)</f>
        <v/>
      </c>
      <c r="G309" s="24">
        <f>IF($B309&lt;=Inputs!$C$6,MAX(0,($C309-$F309))*(1-(1-Inputs!$C$8)^(1/12)),0)</f>
        <v/>
      </c>
      <c r="H309" s="24">
        <f>IF($B309&lt;=Inputs!$C$6,MAX(0,($C309-$F309-$G309))*(1-(1-Inputs!$C$9)^(1/12)),0)</f>
        <v/>
      </c>
      <c r="I309" s="24">
        <f>IF($B309&gt;Inputs!$C$11,INDEX($H:$H,ROW()-Inputs!$C$11)* (1-Inputs!$C$10),0)</f>
        <v/>
      </c>
      <c r="J309" s="24">
        <f>$H309*Inputs!$C$10</f>
        <v/>
      </c>
      <c r="K309" s="24">
        <f>IF($B309&lt;=Inputs!$C$6+Inputs!$C$11,$C309*Inputs!$C$7/12,0)</f>
        <v/>
      </c>
      <c r="L309" s="24">
        <f>IF($B309&lt;=Inputs!$C$6+Inputs!$C$11,$E309+$F309+$G309+$I309-$K309,0)</f>
        <v/>
      </c>
      <c r="M309" s="24">
        <f>IF($B309&lt;=Inputs!$C$6,MAX(0,$C309-$F309-$G309-$H309),0)</f>
        <v/>
      </c>
    </row>
    <row r="310">
      <c r="B310" s="22" t="n">
        <v>307</v>
      </c>
      <c r="C310" s="23">
        <f>IF($B310&lt;=Inputs!$C$6+Inputs!$C$11,$M309,"")</f>
        <v/>
      </c>
      <c r="D310" s="24">
        <f>IF($B310&lt;=Inputs!$C$6,-PMT(Inputs!$C$5/12,Inputs!$C$6,Inputs!$C$4),0)</f>
        <v/>
      </c>
      <c r="E310" s="24">
        <f>IF($B310&lt;=Inputs!$C$6+Inputs!$C$11,$C310*Inputs!$C$5/12,0)</f>
        <v/>
      </c>
      <c r="F310" s="24">
        <f>IF($B310&lt;=Inputs!$C$6,MAX(0,$D310-$E310),0)</f>
        <v/>
      </c>
      <c r="G310" s="24">
        <f>IF($B310&lt;=Inputs!$C$6,MAX(0,($C310-$F310))*(1-(1-Inputs!$C$8)^(1/12)),0)</f>
        <v/>
      </c>
      <c r="H310" s="24">
        <f>IF($B310&lt;=Inputs!$C$6,MAX(0,($C310-$F310-$G310))*(1-(1-Inputs!$C$9)^(1/12)),0)</f>
        <v/>
      </c>
      <c r="I310" s="24">
        <f>IF($B310&gt;Inputs!$C$11,INDEX($H:$H,ROW()-Inputs!$C$11)* (1-Inputs!$C$10),0)</f>
        <v/>
      </c>
      <c r="J310" s="24">
        <f>$H310*Inputs!$C$10</f>
        <v/>
      </c>
      <c r="K310" s="24">
        <f>IF($B310&lt;=Inputs!$C$6+Inputs!$C$11,$C310*Inputs!$C$7/12,0)</f>
        <v/>
      </c>
      <c r="L310" s="24">
        <f>IF($B310&lt;=Inputs!$C$6+Inputs!$C$11,$E310+$F310+$G310+$I310-$K310,0)</f>
        <v/>
      </c>
      <c r="M310" s="24">
        <f>IF($B310&lt;=Inputs!$C$6,MAX(0,$C310-$F310-$G310-$H310),0)</f>
        <v/>
      </c>
    </row>
    <row r="311">
      <c r="B311" s="22" t="n">
        <v>308</v>
      </c>
      <c r="C311" s="23">
        <f>IF($B311&lt;=Inputs!$C$6+Inputs!$C$11,$M310,"")</f>
        <v/>
      </c>
      <c r="D311" s="24">
        <f>IF($B311&lt;=Inputs!$C$6,-PMT(Inputs!$C$5/12,Inputs!$C$6,Inputs!$C$4),0)</f>
        <v/>
      </c>
      <c r="E311" s="24">
        <f>IF($B311&lt;=Inputs!$C$6+Inputs!$C$11,$C311*Inputs!$C$5/12,0)</f>
        <v/>
      </c>
      <c r="F311" s="24">
        <f>IF($B311&lt;=Inputs!$C$6,MAX(0,$D311-$E311),0)</f>
        <v/>
      </c>
      <c r="G311" s="24">
        <f>IF($B311&lt;=Inputs!$C$6,MAX(0,($C311-$F311))*(1-(1-Inputs!$C$8)^(1/12)),0)</f>
        <v/>
      </c>
      <c r="H311" s="24">
        <f>IF($B311&lt;=Inputs!$C$6,MAX(0,($C311-$F311-$G311))*(1-(1-Inputs!$C$9)^(1/12)),0)</f>
        <v/>
      </c>
      <c r="I311" s="24">
        <f>IF($B311&gt;Inputs!$C$11,INDEX($H:$H,ROW()-Inputs!$C$11)* (1-Inputs!$C$10),0)</f>
        <v/>
      </c>
      <c r="J311" s="24">
        <f>$H311*Inputs!$C$10</f>
        <v/>
      </c>
      <c r="K311" s="24">
        <f>IF($B311&lt;=Inputs!$C$6+Inputs!$C$11,$C311*Inputs!$C$7/12,0)</f>
        <v/>
      </c>
      <c r="L311" s="24">
        <f>IF($B311&lt;=Inputs!$C$6+Inputs!$C$11,$E311+$F311+$G311+$I311-$K311,0)</f>
        <v/>
      </c>
      <c r="M311" s="24">
        <f>IF($B311&lt;=Inputs!$C$6,MAX(0,$C311-$F311-$G311-$H311),0)</f>
        <v/>
      </c>
    </row>
    <row r="312">
      <c r="B312" s="22" t="n">
        <v>309</v>
      </c>
      <c r="C312" s="23">
        <f>IF($B312&lt;=Inputs!$C$6+Inputs!$C$11,$M311,"")</f>
        <v/>
      </c>
      <c r="D312" s="24">
        <f>IF($B312&lt;=Inputs!$C$6,-PMT(Inputs!$C$5/12,Inputs!$C$6,Inputs!$C$4),0)</f>
        <v/>
      </c>
      <c r="E312" s="24">
        <f>IF($B312&lt;=Inputs!$C$6+Inputs!$C$11,$C312*Inputs!$C$5/12,0)</f>
        <v/>
      </c>
      <c r="F312" s="24">
        <f>IF($B312&lt;=Inputs!$C$6,MAX(0,$D312-$E312),0)</f>
        <v/>
      </c>
      <c r="G312" s="24">
        <f>IF($B312&lt;=Inputs!$C$6,MAX(0,($C312-$F312))*(1-(1-Inputs!$C$8)^(1/12)),0)</f>
        <v/>
      </c>
      <c r="H312" s="24">
        <f>IF($B312&lt;=Inputs!$C$6,MAX(0,($C312-$F312-$G312))*(1-(1-Inputs!$C$9)^(1/12)),0)</f>
        <v/>
      </c>
      <c r="I312" s="24">
        <f>IF($B312&gt;Inputs!$C$11,INDEX($H:$H,ROW()-Inputs!$C$11)* (1-Inputs!$C$10),0)</f>
        <v/>
      </c>
      <c r="J312" s="24">
        <f>$H312*Inputs!$C$10</f>
        <v/>
      </c>
      <c r="K312" s="24">
        <f>IF($B312&lt;=Inputs!$C$6+Inputs!$C$11,$C312*Inputs!$C$7/12,0)</f>
        <v/>
      </c>
      <c r="L312" s="24">
        <f>IF($B312&lt;=Inputs!$C$6+Inputs!$C$11,$E312+$F312+$G312+$I312-$K312,0)</f>
        <v/>
      </c>
      <c r="M312" s="24">
        <f>IF($B312&lt;=Inputs!$C$6,MAX(0,$C312-$F312-$G312-$H312),0)</f>
        <v/>
      </c>
    </row>
    <row r="313">
      <c r="B313" s="22" t="n">
        <v>310</v>
      </c>
      <c r="C313" s="23">
        <f>IF($B313&lt;=Inputs!$C$6+Inputs!$C$11,$M312,"")</f>
        <v/>
      </c>
      <c r="D313" s="24">
        <f>IF($B313&lt;=Inputs!$C$6,-PMT(Inputs!$C$5/12,Inputs!$C$6,Inputs!$C$4),0)</f>
        <v/>
      </c>
      <c r="E313" s="24">
        <f>IF($B313&lt;=Inputs!$C$6+Inputs!$C$11,$C313*Inputs!$C$5/12,0)</f>
        <v/>
      </c>
      <c r="F313" s="24">
        <f>IF($B313&lt;=Inputs!$C$6,MAX(0,$D313-$E313),0)</f>
        <v/>
      </c>
      <c r="G313" s="24">
        <f>IF($B313&lt;=Inputs!$C$6,MAX(0,($C313-$F313))*(1-(1-Inputs!$C$8)^(1/12)),0)</f>
        <v/>
      </c>
      <c r="H313" s="24">
        <f>IF($B313&lt;=Inputs!$C$6,MAX(0,($C313-$F313-$G313))*(1-(1-Inputs!$C$9)^(1/12)),0)</f>
        <v/>
      </c>
      <c r="I313" s="24">
        <f>IF($B313&gt;Inputs!$C$11,INDEX($H:$H,ROW()-Inputs!$C$11)* (1-Inputs!$C$10),0)</f>
        <v/>
      </c>
      <c r="J313" s="24">
        <f>$H313*Inputs!$C$10</f>
        <v/>
      </c>
      <c r="K313" s="24">
        <f>IF($B313&lt;=Inputs!$C$6+Inputs!$C$11,$C313*Inputs!$C$7/12,0)</f>
        <v/>
      </c>
      <c r="L313" s="24">
        <f>IF($B313&lt;=Inputs!$C$6+Inputs!$C$11,$E313+$F313+$G313+$I313-$K313,0)</f>
        <v/>
      </c>
      <c r="M313" s="24">
        <f>IF($B313&lt;=Inputs!$C$6,MAX(0,$C313-$F313-$G313-$H313),0)</f>
        <v/>
      </c>
    </row>
    <row r="314">
      <c r="B314" s="22" t="n">
        <v>311</v>
      </c>
      <c r="C314" s="23">
        <f>IF($B314&lt;=Inputs!$C$6+Inputs!$C$11,$M313,"")</f>
        <v/>
      </c>
      <c r="D314" s="24">
        <f>IF($B314&lt;=Inputs!$C$6,-PMT(Inputs!$C$5/12,Inputs!$C$6,Inputs!$C$4),0)</f>
        <v/>
      </c>
      <c r="E314" s="24">
        <f>IF($B314&lt;=Inputs!$C$6+Inputs!$C$11,$C314*Inputs!$C$5/12,0)</f>
        <v/>
      </c>
      <c r="F314" s="24">
        <f>IF($B314&lt;=Inputs!$C$6,MAX(0,$D314-$E314),0)</f>
        <v/>
      </c>
      <c r="G314" s="24">
        <f>IF($B314&lt;=Inputs!$C$6,MAX(0,($C314-$F314))*(1-(1-Inputs!$C$8)^(1/12)),0)</f>
        <v/>
      </c>
      <c r="H314" s="24">
        <f>IF($B314&lt;=Inputs!$C$6,MAX(0,($C314-$F314-$G314))*(1-(1-Inputs!$C$9)^(1/12)),0)</f>
        <v/>
      </c>
      <c r="I314" s="24">
        <f>IF($B314&gt;Inputs!$C$11,INDEX($H:$H,ROW()-Inputs!$C$11)* (1-Inputs!$C$10),0)</f>
        <v/>
      </c>
      <c r="J314" s="24">
        <f>$H314*Inputs!$C$10</f>
        <v/>
      </c>
      <c r="K314" s="24">
        <f>IF($B314&lt;=Inputs!$C$6+Inputs!$C$11,$C314*Inputs!$C$7/12,0)</f>
        <v/>
      </c>
      <c r="L314" s="24">
        <f>IF($B314&lt;=Inputs!$C$6+Inputs!$C$11,$E314+$F314+$G314+$I314-$K314,0)</f>
        <v/>
      </c>
      <c r="M314" s="24">
        <f>IF($B314&lt;=Inputs!$C$6,MAX(0,$C314-$F314-$G314-$H314),0)</f>
        <v/>
      </c>
    </row>
    <row r="315">
      <c r="B315" s="22" t="n">
        <v>312</v>
      </c>
      <c r="C315" s="23">
        <f>IF($B315&lt;=Inputs!$C$6+Inputs!$C$11,$M314,"")</f>
        <v/>
      </c>
      <c r="D315" s="24">
        <f>IF($B315&lt;=Inputs!$C$6,-PMT(Inputs!$C$5/12,Inputs!$C$6,Inputs!$C$4),0)</f>
        <v/>
      </c>
      <c r="E315" s="24">
        <f>IF($B315&lt;=Inputs!$C$6+Inputs!$C$11,$C315*Inputs!$C$5/12,0)</f>
        <v/>
      </c>
      <c r="F315" s="24">
        <f>IF($B315&lt;=Inputs!$C$6,MAX(0,$D315-$E315),0)</f>
        <v/>
      </c>
      <c r="G315" s="24">
        <f>IF($B315&lt;=Inputs!$C$6,MAX(0,($C315-$F315))*(1-(1-Inputs!$C$8)^(1/12)),0)</f>
        <v/>
      </c>
      <c r="H315" s="24">
        <f>IF($B315&lt;=Inputs!$C$6,MAX(0,($C315-$F315-$G315))*(1-(1-Inputs!$C$9)^(1/12)),0)</f>
        <v/>
      </c>
      <c r="I315" s="24">
        <f>IF($B315&gt;Inputs!$C$11,INDEX($H:$H,ROW()-Inputs!$C$11)* (1-Inputs!$C$10),0)</f>
        <v/>
      </c>
      <c r="J315" s="24">
        <f>$H315*Inputs!$C$10</f>
        <v/>
      </c>
      <c r="K315" s="24">
        <f>IF($B315&lt;=Inputs!$C$6+Inputs!$C$11,$C315*Inputs!$C$7/12,0)</f>
        <v/>
      </c>
      <c r="L315" s="24">
        <f>IF($B315&lt;=Inputs!$C$6+Inputs!$C$11,$E315+$F315+$G315+$I315-$K315,0)</f>
        <v/>
      </c>
      <c r="M315" s="24">
        <f>IF($B315&lt;=Inputs!$C$6,MAX(0,$C315-$F315-$G315-$H315),0)</f>
        <v/>
      </c>
    </row>
    <row r="316">
      <c r="B316" s="22" t="n">
        <v>313</v>
      </c>
      <c r="C316" s="23">
        <f>IF($B316&lt;=Inputs!$C$6+Inputs!$C$11,$M315,"")</f>
        <v/>
      </c>
      <c r="D316" s="24">
        <f>IF($B316&lt;=Inputs!$C$6,-PMT(Inputs!$C$5/12,Inputs!$C$6,Inputs!$C$4),0)</f>
        <v/>
      </c>
      <c r="E316" s="24">
        <f>IF($B316&lt;=Inputs!$C$6+Inputs!$C$11,$C316*Inputs!$C$5/12,0)</f>
        <v/>
      </c>
      <c r="F316" s="24">
        <f>IF($B316&lt;=Inputs!$C$6,MAX(0,$D316-$E316),0)</f>
        <v/>
      </c>
      <c r="G316" s="24">
        <f>IF($B316&lt;=Inputs!$C$6,MAX(0,($C316-$F316))*(1-(1-Inputs!$C$8)^(1/12)),0)</f>
        <v/>
      </c>
      <c r="H316" s="24">
        <f>IF($B316&lt;=Inputs!$C$6,MAX(0,($C316-$F316-$G316))*(1-(1-Inputs!$C$9)^(1/12)),0)</f>
        <v/>
      </c>
      <c r="I316" s="24">
        <f>IF($B316&gt;Inputs!$C$11,INDEX($H:$H,ROW()-Inputs!$C$11)* (1-Inputs!$C$10),0)</f>
        <v/>
      </c>
      <c r="J316" s="24">
        <f>$H316*Inputs!$C$10</f>
        <v/>
      </c>
      <c r="K316" s="24">
        <f>IF($B316&lt;=Inputs!$C$6+Inputs!$C$11,$C316*Inputs!$C$7/12,0)</f>
        <v/>
      </c>
      <c r="L316" s="24">
        <f>IF($B316&lt;=Inputs!$C$6+Inputs!$C$11,$E316+$F316+$G316+$I316-$K316,0)</f>
        <v/>
      </c>
      <c r="M316" s="24">
        <f>IF($B316&lt;=Inputs!$C$6,MAX(0,$C316-$F316-$G316-$H316),0)</f>
        <v/>
      </c>
    </row>
    <row r="317">
      <c r="B317" s="22" t="n">
        <v>314</v>
      </c>
      <c r="C317" s="23">
        <f>IF($B317&lt;=Inputs!$C$6+Inputs!$C$11,$M316,"")</f>
        <v/>
      </c>
      <c r="D317" s="24">
        <f>IF($B317&lt;=Inputs!$C$6,-PMT(Inputs!$C$5/12,Inputs!$C$6,Inputs!$C$4),0)</f>
        <v/>
      </c>
      <c r="E317" s="24">
        <f>IF($B317&lt;=Inputs!$C$6+Inputs!$C$11,$C317*Inputs!$C$5/12,0)</f>
        <v/>
      </c>
      <c r="F317" s="24">
        <f>IF($B317&lt;=Inputs!$C$6,MAX(0,$D317-$E317),0)</f>
        <v/>
      </c>
      <c r="G317" s="24">
        <f>IF($B317&lt;=Inputs!$C$6,MAX(0,($C317-$F317))*(1-(1-Inputs!$C$8)^(1/12)),0)</f>
        <v/>
      </c>
      <c r="H317" s="24">
        <f>IF($B317&lt;=Inputs!$C$6,MAX(0,($C317-$F317-$G317))*(1-(1-Inputs!$C$9)^(1/12)),0)</f>
        <v/>
      </c>
      <c r="I317" s="24">
        <f>IF($B317&gt;Inputs!$C$11,INDEX($H:$H,ROW()-Inputs!$C$11)* (1-Inputs!$C$10),0)</f>
        <v/>
      </c>
      <c r="J317" s="24">
        <f>$H317*Inputs!$C$10</f>
        <v/>
      </c>
      <c r="K317" s="24">
        <f>IF($B317&lt;=Inputs!$C$6+Inputs!$C$11,$C317*Inputs!$C$7/12,0)</f>
        <v/>
      </c>
      <c r="L317" s="24">
        <f>IF($B317&lt;=Inputs!$C$6+Inputs!$C$11,$E317+$F317+$G317+$I317-$K317,0)</f>
        <v/>
      </c>
      <c r="M317" s="24">
        <f>IF($B317&lt;=Inputs!$C$6,MAX(0,$C317-$F317-$G317-$H317),0)</f>
        <v/>
      </c>
    </row>
    <row r="318">
      <c r="B318" s="22" t="n">
        <v>315</v>
      </c>
      <c r="C318" s="23">
        <f>IF($B318&lt;=Inputs!$C$6+Inputs!$C$11,$M317,"")</f>
        <v/>
      </c>
      <c r="D318" s="24">
        <f>IF($B318&lt;=Inputs!$C$6,-PMT(Inputs!$C$5/12,Inputs!$C$6,Inputs!$C$4),0)</f>
        <v/>
      </c>
      <c r="E318" s="24">
        <f>IF($B318&lt;=Inputs!$C$6+Inputs!$C$11,$C318*Inputs!$C$5/12,0)</f>
        <v/>
      </c>
      <c r="F318" s="24">
        <f>IF($B318&lt;=Inputs!$C$6,MAX(0,$D318-$E318),0)</f>
        <v/>
      </c>
      <c r="G318" s="24">
        <f>IF($B318&lt;=Inputs!$C$6,MAX(0,($C318-$F318))*(1-(1-Inputs!$C$8)^(1/12)),0)</f>
        <v/>
      </c>
      <c r="H318" s="24">
        <f>IF($B318&lt;=Inputs!$C$6,MAX(0,($C318-$F318-$G318))*(1-(1-Inputs!$C$9)^(1/12)),0)</f>
        <v/>
      </c>
      <c r="I318" s="24">
        <f>IF($B318&gt;Inputs!$C$11,INDEX($H:$H,ROW()-Inputs!$C$11)* (1-Inputs!$C$10),0)</f>
        <v/>
      </c>
      <c r="J318" s="24">
        <f>$H318*Inputs!$C$10</f>
        <v/>
      </c>
      <c r="K318" s="24">
        <f>IF($B318&lt;=Inputs!$C$6+Inputs!$C$11,$C318*Inputs!$C$7/12,0)</f>
        <v/>
      </c>
      <c r="L318" s="24">
        <f>IF($B318&lt;=Inputs!$C$6+Inputs!$C$11,$E318+$F318+$G318+$I318-$K318,0)</f>
        <v/>
      </c>
      <c r="M318" s="24">
        <f>IF($B318&lt;=Inputs!$C$6,MAX(0,$C318-$F318-$G318-$H318),0)</f>
        <v/>
      </c>
    </row>
    <row r="319">
      <c r="B319" s="22" t="n">
        <v>316</v>
      </c>
      <c r="C319" s="23">
        <f>IF($B319&lt;=Inputs!$C$6+Inputs!$C$11,$M318,"")</f>
        <v/>
      </c>
      <c r="D319" s="24">
        <f>IF($B319&lt;=Inputs!$C$6,-PMT(Inputs!$C$5/12,Inputs!$C$6,Inputs!$C$4),0)</f>
        <v/>
      </c>
      <c r="E319" s="24">
        <f>IF($B319&lt;=Inputs!$C$6+Inputs!$C$11,$C319*Inputs!$C$5/12,0)</f>
        <v/>
      </c>
      <c r="F319" s="24">
        <f>IF($B319&lt;=Inputs!$C$6,MAX(0,$D319-$E319),0)</f>
        <v/>
      </c>
      <c r="G319" s="24">
        <f>IF($B319&lt;=Inputs!$C$6,MAX(0,($C319-$F319))*(1-(1-Inputs!$C$8)^(1/12)),0)</f>
        <v/>
      </c>
      <c r="H319" s="24">
        <f>IF($B319&lt;=Inputs!$C$6,MAX(0,($C319-$F319-$G319))*(1-(1-Inputs!$C$9)^(1/12)),0)</f>
        <v/>
      </c>
      <c r="I319" s="24">
        <f>IF($B319&gt;Inputs!$C$11,INDEX($H:$H,ROW()-Inputs!$C$11)* (1-Inputs!$C$10),0)</f>
        <v/>
      </c>
      <c r="J319" s="24">
        <f>$H319*Inputs!$C$10</f>
        <v/>
      </c>
      <c r="K319" s="24">
        <f>IF($B319&lt;=Inputs!$C$6+Inputs!$C$11,$C319*Inputs!$C$7/12,0)</f>
        <v/>
      </c>
      <c r="L319" s="24">
        <f>IF($B319&lt;=Inputs!$C$6+Inputs!$C$11,$E319+$F319+$G319+$I319-$K319,0)</f>
        <v/>
      </c>
      <c r="M319" s="24">
        <f>IF($B319&lt;=Inputs!$C$6,MAX(0,$C319-$F319-$G319-$H319),0)</f>
        <v/>
      </c>
    </row>
    <row r="320">
      <c r="B320" s="22" t="n">
        <v>317</v>
      </c>
      <c r="C320" s="23">
        <f>IF($B320&lt;=Inputs!$C$6+Inputs!$C$11,$M319,"")</f>
        <v/>
      </c>
      <c r="D320" s="24">
        <f>IF($B320&lt;=Inputs!$C$6,-PMT(Inputs!$C$5/12,Inputs!$C$6,Inputs!$C$4),0)</f>
        <v/>
      </c>
      <c r="E320" s="24">
        <f>IF($B320&lt;=Inputs!$C$6+Inputs!$C$11,$C320*Inputs!$C$5/12,0)</f>
        <v/>
      </c>
      <c r="F320" s="24">
        <f>IF($B320&lt;=Inputs!$C$6,MAX(0,$D320-$E320),0)</f>
        <v/>
      </c>
      <c r="G320" s="24">
        <f>IF($B320&lt;=Inputs!$C$6,MAX(0,($C320-$F320))*(1-(1-Inputs!$C$8)^(1/12)),0)</f>
        <v/>
      </c>
      <c r="H320" s="24">
        <f>IF($B320&lt;=Inputs!$C$6,MAX(0,($C320-$F320-$G320))*(1-(1-Inputs!$C$9)^(1/12)),0)</f>
        <v/>
      </c>
      <c r="I320" s="24">
        <f>IF($B320&gt;Inputs!$C$11,INDEX($H:$H,ROW()-Inputs!$C$11)* (1-Inputs!$C$10),0)</f>
        <v/>
      </c>
      <c r="J320" s="24">
        <f>$H320*Inputs!$C$10</f>
        <v/>
      </c>
      <c r="K320" s="24">
        <f>IF($B320&lt;=Inputs!$C$6+Inputs!$C$11,$C320*Inputs!$C$7/12,0)</f>
        <v/>
      </c>
      <c r="L320" s="24">
        <f>IF($B320&lt;=Inputs!$C$6+Inputs!$C$11,$E320+$F320+$G320+$I320-$K320,0)</f>
        <v/>
      </c>
      <c r="M320" s="24">
        <f>IF($B320&lt;=Inputs!$C$6,MAX(0,$C320-$F320-$G320-$H320),0)</f>
        <v/>
      </c>
    </row>
    <row r="321">
      <c r="B321" s="22" t="n">
        <v>318</v>
      </c>
      <c r="C321" s="23">
        <f>IF($B321&lt;=Inputs!$C$6+Inputs!$C$11,$M320,"")</f>
        <v/>
      </c>
      <c r="D321" s="24">
        <f>IF($B321&lt;=Inputs!$C$6,-PMT(Inputs!$C$5/12,Inputs!$C$6,Inputs!$C$4),0)</f>
        <v/>
      </c>
      <c r="E321" s="24">
        <f>IF($B321&lt;=Inputs!$C$6+Inputs!$C$11,$C321*Inputs!$C$5/12,0)</f>
        <v/>
      </c>
      <c r="F321" s="24">
        <f>IF($B321&lt;=Inputs!$C$6,MAX(0,$D321-$E321),0)</f>
        <v/>
      </c>
      <c r="G321" s="24">
        <f>IF($B321&lt;=Inputs!$C$6,MAX(0,($C321-$F321))*(1-(1-Inputs!$C$8)^(1/12)),0)</f>
        <v/>
      </c>
      <c r="H321" s="24">
        <f>IF($B321&lt;=Inputs!$C$6,MAX(0,($C321-$F321-$G321))*(1-(1-Inputs!$C$9)^(1/12)),0)</f>
        <v/>
      </c>
      <c r="I321" s="24">
        <f>IF($B321&gt;Inputs!$C$11,INDEX($H:$H,ROW()-Inputs!$C$11)* (1-Inputs!$C$10),0)</f>
        <v/>
      </c>
      <c r="J321" s="24">
        <f>$H321*Inputs!$C$10</f>
        <v/>
      </c>
      <c r="K321" s="24">
        <f>IF($B321&lt;=Inputs!$C$6+Inputs!$C$11,$C321*Inputs!$C$7/12,0)</f>
        <v/>
      </c>
      <c r="L321" s="24">
        <f>IF($B321&lt;=Inputs!$C$6+Inputs!$C$11,$E321+$F321+$G321+$I321-$K321,0)</f>
        <v/>
      </c>
      <c r="M321" s="24">
        <f>IF($B321&lt;=Inputs!$C$6,MAX(0,$C321-$F321-$G321-$H321),0)</f>
        <v/>
      </c>
    </row>
    <row r="322">
      <c r="B322" s="22" t="n">
        <v>319</v>
      </c>
      <c r="C322" s="23">
        <f>IF($B322&lt;=Inputs!$C$6+Inputs!$C$11,$M321,"")</f>
        <v/>
      </c>
      <c r="D322" s="24">
        <f>IF($B322&lt;=Inputs!$C$6,-PMT(Inputs!$C$5/12,Inputs!$C$6,Inputs!$C$4),0)</f>
        <v/>
      </c>
      <c r="E322" s="24">
        <f>IF($B322&lt;=Inputs!$C$6+Inputs!$C$11,$C322*Inputs!$C$5/12,0)</f>
        <v/>
      </c>
      <c r="F322" s="24">
        <f>IF($B322&lt;=Inputs!$C$6,MAX(0,$D322-$E322),0)</f>
        <v/>
      </c>
      <c r="G322" s="24">
        <f>IF($B322&lt;=Inputs!$C$6,MAX(0,($C322-$F322))*(1-(1-Inputs!$C$8)^(1/12)),0)</f>
        <v/>
      </c>
      <c r="H322" s="24">
        <f>IF($B322&lt;=Inputs!$C$6,MAX(0,($C322-$F322-$G322))*(1-(1-Inputs!$C$9)^(1/12)),0)</f>
        <v/>
      </c>
      <c r="I322" s="24">
        <f>IF($B322&gt;Inputs!$C$11,INDEX($H:$H,ROW()-Inputs!$C$11)* (1-Inputs!$C$10),0)</f>
        <v/>
      </c>
      <c r="J322" s="24">
        <f>$H322*Inputs!$C$10</f>
        <v/>
      </c>
      <c r="K322" s="24">
        <f>IF($B322&lt;=Inputs!$C$6+Inputs!$C$11,$C322*Inputs!$C$7/12,0)</f>
        <v/>
      </c>
      <c r="L322" s="24">
        <f>IF($B322&lt;=Inputs!$C$6+Inputs!$C$11,$E322+$F322+$G322+$I322-$K322,0)</f>
        <v/>
      </c>
      <c r="M322" s="24">
        <f>IF($B322&lt;=Inputs!$C$6,MAX(0,$C322-$F322-$G322-$H322),0)</f>
        <v/>
      </c>
    </row>
    <row r="323">
      <c r="B323" s="22" t="n">
        <v>320</v>
      </c>
      <c r="C323" s="23">
        <f>IF($B323&lt;=Inputs!$C$6+Inputs!$C$11,$M322,"")</f>
        <v/>
      </c>
      <c r="D323" s="24">
        <f>IF($B323&lt;=Inputs!$C$6,-PMT(Inputs!$C$5/12,Inputs!$C$6,Inputs!$C$4),0)</f>
        <v/>
      </c>
      <c r="E323" s="24">
        <f>IF($B323&lt;=Inputs!$C$6+Inputs!$C$11,$C323*Inputs!$C$5/12,0)</f>
        <v/>
      </c>
      <c r="F323" s="24">
        <f>IF($B323&lt;=Inputs!$C$6,MAX(0,$D323-$E323),0)</f>
        <v/>
      </c>
      <c r="G323" s="24">
        <f>IF($B323&lt;=Inputs!$C$6,MAX(0,($C323-$F323))*(1-(1-Inputs!$C$8)^(1/12)),0)</f>
        <v/>
      </c>
      <c r="H323" s="24">
        <f>IF($B323&lt;=Inputs!$C$6,MAX(0,($C323-$F323-$G323))*(1-(1-Inputs!$C$9)^(1/12)),0)</f>
        <v/>
      </c>
      <c r="I323" s="24">
        <f>IF($B323&gt;Inputs!$C$11,INDEX($H:$H,ROW()-Inputs!$C$11)* (1-Inputs!$C$10),0)</f>
        <v/>
      </c>
      <c r="J323" s="24">
        <f>$H323*Inputs!$C$10</f>
        <v/>
      </c>
      <c r="K323" s="24">
        <f>IF($B323&lt;=Inputs!$C$6+Inputs!$C$11,$C323*Inputs!$C$7/12,0)</f>
        <v/>
      </c>
      <c r="L323" s="24">
        <f>IF($B323&lt;=Inputs!$C$6+Inputs!$C$11,$E323+$F323+$G323+$I323-$K323,0)</f>
        <v/>
      </c>
      <c r="M323" s="24">
        <f>IF($B323&lt;=Inputs!$C$6,MAX(0,$C323-$F323-$G323-$H323),0)</f>
        <v/>
      </c>
    </row>
    <row r="324">
      <c r="B324" s="22" t="n">
        <v>321</v>
      </c>
      <c r="C324" s="23">
        <f>IF($B324&lt;=Inputs!$C$6+Inputs!$C$11,$M323,"")</f>
        <v/>
      </c>
      <c r="D324" s="24">
        <f>IF($B324&lt;=Inputs!$C$6,-PMT(Inputs!$C$5/12,Inputs!$C$6,Inputs!$C$4),0)</f>
        <v/>
      </c>
      <c r="E324" s="24">
        <f>IF($B324&lt;=Inputs!$C$6+Inputs!$C$11,$C324*Inputs!$C$5/12,0)</f>
        <v/>
      </c>
      <c r="F324" s="24">
        <f>IF($B324&lt;=Inputs!$C$6,MAX(0,$D324-$E324),0)</f>
        <v/>
      </c>
      <c r="G324" s="24">
        <f>IF($B324&lt;=Inputs!$C$6,MAX(0,($C324-$F324))*(1-(1-Inputs!$C$8)^(1/12)),0)</f>
        <v/>
      </c>
      <c r="H324" s="24">
        <f>IF($B324&lt;=Inputs!$C$6,MAX(0,($C324-$F324-$G324))*(1-(1-Inputs!$C$9)^(1/12)),0)</f>
        <v/>
      </c>
      <c r="I324" s="24">
        <f>IF($B324&gt;Inputs!$C$11,INDEX($H:$H,ROW()-Inputs!$C$11)* (1-Inputs!$C$10),0)</f>
        <v/>
      </c>
      <c r="J324" s="24">
        <f>$H324*Inputs!$C$10</f>
        <v/>
      </c>
      <c r="K324" s="24">
        <f>IF($B324&lt;=Inputs!$C$6+Inputs!$C$11,$C324*Inputs!$C$7/12,0)</f>
        <v/>
      </c>
      <c r="L324" s="24">
        <f>IF($B324&lt;=Inputs!$C$6+Inputs!$C$11,$E324+$F324+$G324+$I324-$K324,0)</f>
        <v/>
      </c>
      <c r="M324" s="24">
        <f>IF($B324&lt;=Inputs!$C$6,MAX(0,$C324-$F324-$G324-$H324),0)</f>
        <v/>
      </c>
    </row>
    <row r="325">
      <c r="B325" s="22" t="n">
        <v>322</v>
      </c>
      <c r="C325" s="23">
        <f>IF($B325&lt;=Inputs!$C$6+Inputs!$C$11,$M324,"")</f>
        <v/>
      </c>
      <c r="D325" s="24">
        <f>IF($B325&lt;=Inputs!$C$6,-PMT(Inputs!$C$5/12,Inputs!$C$6,Inputs!$C$4),0)</f>
        <v/>
      </c>
      <c r="E325" s="24">
        <f>IF($B325&lt;=Inputs!$C$6+Inputs!$C$11,$C325*Inputs!$C$5/12,0)</f>
        <v/>
      </c>
      <c r="F325" s="24">
        <f>IF($B325&lt;=Inputs!$C$6,MAX(0,$D325-$E325),0)</f>
        <v/>
      </c>
      <c r="G325" s="24">
        <f>IF($B325&lt;=Inputs!$C$6,MAX(0,($C325-$F325))*(1-(1-Inputs!$C$8)^(1/12)),0)</f>
        <v/>
      </c>
      <c r="H325" s="24">
        <f>IF($B325&lt;=Inputs!$C$6,MAX(0,($C325-$F325-$G325))*(1-(1-Inputs!$C$9)^(1/12)),0)</f>
        <v/>
      </c>
      <c r="I325" s="24">
        <f>IF($B325&gt;Inputs!$C$11,INDEX($H:$H,ROW()-Inputs!$C$11)* (1-Inputs!$C$10),0)</f>
        <v/>
      </c>
      <c r="J325" s="24">
        <f>$H325*Inputs!$C$10</f>
        <v/>
      </c>
      <c r="K325" s="24">
        <f>IF($B325&lt;=Inputs!$C$6+Inputs!$C$11,$C325*Inputs!$C$7/12,0)</f>
        <v/>
      </c>
      <c r="L325" s="24">
        <f>IF($B325&lt;=Inputs!$C$6+Inputs!$C$11,$E325+$F325+$G325+$I325-$K325,0)</f>
        <v/>
      </c>
      <c r="M325" s="24">
        <f>IF($B325&lt;=Inputs!$C$6,MAX(0,$C325-$F325-$G325-$H325),0)</f>
        <v/>
      </c>
    </row>
    <row r="326">
      <c r="B326" s="22" t="n">
        <v>323</v>
      </c>
      <c r="C326" s="23">
        <f>IF($B326&lt;=Inputs!$C$6+Inputs!$C$11,$M325,"")</f>
        <v/>
      </c>
      <c r="D326" s="24">
        <f>IF($B326&lt;=Inputs!$C$6,-PMT(Inputs!$C$5/12,Inputs!$C$6,Inputs!$C$4),0)</f>
        <v/>
      </c>
      <c r="E326" s="24">
        <f>IF($B326&lt;=Inputs!$C$6+Inputs!$C$11,$C326*Inputs!$C$5/12,0)</f>
        <v/>
      </c>
      <c r="F326" s="24">
        <f>IF($B326&lt;=Inputs!$C$6,MAX(0,$D326-$E326),0)</f>
        <v/>
      </c>
      <c r="G326" s="24">
        <f>IF($B326&lt;=Inputs!$C$6,MAX(0,($C326-$F326))*(1-(1-Inputs!$C$8)^(1/12)),0)</f>
        <v/>
      </c>
      <c r="H326" s="24">
        <f>IF($B326&lt;=Inputs!$C$6,MAX(0,($C326-$F326-$G326))*(1-(1-Inputs!$C$9)^(1/12)),0)</f>
        <v/>
      </c>
      <c r="I326" s="24">
        <f>IF($B326&gt;Inputs!$C$11,INDEX($H:$H,ROW()-Inputs!$C$11)* (1-Inputs!$C$10),0)</f>
        <v/>
      </c>
      <c r="J326" s="24">
        <f>$H326*Inputs!$C$10</f>
        <v/>
      </c>
      <c r="K326" s="24">
        <f>IF($B326&lt;=Inputs!$C$6+Inputs!$C$11,$C326*Inputs!$C$7/12,0)</f>
        <v/>
      </c>
      <c r="L326" s="24">
        <f>IF($B326&lt;=Inputs!$C$6+Inputs!$C$11,$E326+$F326+$G326+$I326-$K326,0)</f>
        <v/>
      </c>
      <c r="M326" s="24">
        <f>IF($B326&lt;=Inputs!$C$6,MAX(0,$C326-$F326-$G326-$H326),0)</f>
        <v/>
      </c>
    </row>
    <row r="327">
      <c r="B327" s="22" t="n">
        <v>324</v>
      </c>
      <c r="C327" s="23">
        <f>IF($B327&lt;=Inputs!$C$6+Inputs!$C$11,$M326,"")</f>
        <v/>
      </c>
      <c r="D327" s="24">
        <f>IF($B327&lt;=Inputs!$C$6,-PMT(Inputs!$C$5/12,Inputs!$C$6,Inputs!$C$4),0)</f>
        <v/>
      </c>
      <c r="E327" s="24">
        <f>IF($B327&lt;=Inputs!$C$6+Inputs!$C$11,$C327*Inputs!$C$5/12,0)</f>
        <v/>
      </c>
      <c r="F327" s="24">
        <f>IF($B327&lt;=Inputs!$C$6,MAX(0,$D327-$E327),0)</f>
        <v/>
      </c>
      <c r="G327" s="24">
        <f>IF($B327&lt;=Inputs!$C$6,MAX(0,($C327-$F327))*(1-(1-Inputs!$C$8)^(1/12)),0)</f>
        <v/>
      </c>
      <c r="H327" s="24">
        <f>IF($B327&lt;=Inputs!$C$6,MAX(0,($C327-$F327-$G327))*(1-(1-Inputs!$C$9)^(1/12)),0)</f>
        <v/>
      </c>
      <c r="I327" s="24">
        <f>IF($B327&gt;Inputs!$C$11,INDEX($H:$H,ROW()-Inputs!$C$11)* (1-Inputs!$C$10),0)</f>
        <v/>
      </c>
      <c r="J327" s="24">
        <f>$H327*Inputs!$C$10</f>
        <v/>
      </c>
      <c r="K327" s="24">
        <f>IF($B327&lt;=Inputs!$C$6+Inputs!$C$11,$C327*Inputs!$C$7/12,0)</f>
        <v/>
      </c>
      <c r="L327" s="24">
        <f>IF($B327&lt;=Inputs!$C$6+Inputs!$C$11,$E327+$F327+$G327+$I327-$K327,0)</f>
        <v/>
      </c>
      <c r="M327" s="24">
        <f>IF($B327&lt;=Inputs!$C$6,MAX(0,$C327-$F327-$G327-$H327),0)</f>
        <v/>
      </c>
    </row>
    <row r="328">
      <c r="B328" s="22" t="n">
        <v>325</v>
      </c>
      <c r="C328" s="23">
        <f>IF($B328&lt;=Inputs!$C$6+Inputs!$C$11,$M327,"")</f>
        <v/>
      </c>
      <c r="D328" s="24">
        <f>IF($B328&lt;=Inputs!$C$6,-PMT(Inputs!$C$5/12,Inputs!$C$6,Inputs!$C$4),0)</f>
        <v/>
      </c>
      <c r="E328" s="24">
        <f>IF($B328&lt;=Inputs!$C$6+Inputs!$C$11,$C328*Inputs!$C$5/12,0)</f>
        <v/>
      </c>
      <c r="F328" s="24">
        <f>IF($B328&lt;=Inputs!$C$6,MAX(0,$D328-$E328),0)</f>
        <v/>
      </c>
      <c r="G328" s="24">
        <f>IF($B328&lt;=Inputs!$C$6,MAX(0,($C328-$F328))*(1-(1-Inputs!$C$8)^(1/12)),0)</f>
        <v/>
      </c>
      <c r="H328" s="24">
        <f>IF($B328&lt;=Inputs!$C$6,MAX(0,($C328-$F328-$G328))*(1-(1-Inputs!$C$9)^(1/12)),0)</f>
        <v/>
      </c>
      <c r="I328" s="24">
        <f>IF($B328&gt;Inputs!$C$11,INDEX($H:$H,ROW()-Inputs!$C$11)* (1-Inputs!$C$10),0)</f>
        <v/>
      </c>
      <c r="J328" s="24">
        <f>$H328*Inputs!$C$10</f>
        <v/>
      </c>
      <c r="K328" s="24">
        <f>IF($B328&lt;=Inputs!$C$6+Inputs!$C$11,$C328*Inputs!$C$7/12,0)</f>
        <v/>
      </c>
      <c r="L328" s="24">
        <f>IF($B328&lt;=Inputs!$C$6+Inputs!$C$11,$E328+$F328+$G328+$I328-$K328,0)</f>
        <v/>
      </c>
      <c r="M328" s="24">
        <f>IF($B328&lt;=Inputs!$C$6,MAX(0,$C328-$F328-$G328-$H328),0)</f>
        <v/>
      </c>
    </row>
    <row r="329">
      <c r="B329" s="22" t="n">
        <v>326</v>
      </c>
      <c r="C329" s="23">
        <f>IF($B329&lt;=Inputs!$C$6+Inputs!$C$11,$M328,"")</f>
        <v/>
      </c>
      <c r="D329" s="24">
        <f>IF($B329&lt;=Inputs!$C$6,-PMT(Inputs!$C$5/12,Inputs!$C$6,Inputs!$C$4),0)</f>
        <v/>
      </c>
      <c r="E329" s="24">
        <f>IF($B329&lt;=Inputs!$C$6+Inputs!$C$11,$C329*Inputs!$C$5/12,0)</f>
        <v/>
      </c>
      <c r="F329" s="24">
        <f>IF($B329&lt;=Inputs!$C$6,MAX(0,$D329-$E329),0)</f>
        <v/>
      </c>
      <c r="G329" s="24">
        <f>IF($B329&lt;=Inputs!$C$6,MAX(0,($C329-$F329))*(1-(1-Inputs!$C$8)^(1/12)),0)</f>
        <v/>
      </c>
      <c r="H329" s="24">
        <f>IF($B329&lt;=Inputs!$C$6,MAX(0,($C329-$F329-$G329))*(1-(1-Inputs!$C$9)^(1/12)),0)</f>
        <v/>
      </c>
      <c r="I329" s="24">
        <f>IF($B329&gt;Inputs!$C$11,INDEX($H:$H,ROW()-Inputs!$C$11)* (1-Inputs!$C$10),0)</f>
        <v/>
      </c>
      <c r="J329" s="24">
        <f>$H329*Inputs!$C$10</f>
        <v/>
      </c>
      <c r="K329" s="24">
        <f>IF($B329&lt;=Inputs!$C$6+Inputs!$C$11,$C329*Inputs!$C$7/12,0)</f>
        <v/>
      </c>
      <c r="L329" s="24">
        <f>IF($B329&lt;=Inputs!$C$6+Inputs!$C$11,$E329+$F329+$G329+$I329-$K329,0)</f>
        <v/>
      </c>
      <c r="M329" s="24">
        <f>IF($B329&lt;=Inputs!$C$6,MAX(0,$C329-$F329-$G329-$H329),0)</f>
        <v/>
      </c>
    </row>
    <row r="330">
      <c r="B330" s="22" t="n">
        <v>327</v>
      </c>
      <c r="C330" s="23">
        <f>IF($B330&lt;=Inputs!$C$6+Inputs!$C$11,$M329,"")</f>
        <v/>
      </c>
      <c r="D330" s="24">
        <f>IF($B330&lt;=Inputs!$C$6,-PMT(Inputs!$C$5/12,Inputs!$C$6,Inputs!$C$4),0)</f>
        <v/>
      </c>
      <c r="E330" s="24">
        <f>IF($B330&lt;=Inputs!$C$6+Inputs!$C$11,$C330*Inputs!$C$5/12,0)</f>
        <v/>
      </c>
      <c r="F330" s="24">
        <f>IF($B330&lt;=Inputs!$C$6,MAX(0,$D330-$E330),0)</f>
        <v/>
      </c>
      <c r="G330" s="24">
        <f>IF($B330&lt;=Inputs!$C$6,MAX(0,($C330-$F330))*(1-(1-Inputs!$C$8)^(1/12)),0)</f>
        <v/>
      </c>
      <c r="H330" s="24">
        <f>IF($B330&lt;=Inputs!$C$6,MAX(0,($C330-$F330-$G330))*(1-(1-Inputs!$C$9)^(1/12)),0)</f>
        <v/>
      </c>
      <c r="I330" s="24">
        <f>IF($B330&gt;Inputs!$C$11,INDEX($H:$H,ROW()-Inputs!$C$11)* (1-Inputs!$C$10),0)</f>
        <v/>
      </c>
      <c r="J330" s="24">
        <f>$H330*Inputs!$C$10</f>
        <v/>
      </c>
      <c r="K330" s="24">
        <f>IF($B330&lt;=Inputs!$C$6+Inputs!$C$11,$C330*Inputs!$C$7/12,0)</f>
        <v/>
      </c>
      <c r="L330" s="24">
        <f>IF($B330&lt;=Inputs!$C$6+Inputs!$C$11,$E330+$F330+$G330+$I330-$K330,0)</f>
        <v/>
      </c>
      <c r="M330" s="24">
        <f>IF($B330&lt;=Inputs!$C$6,MAX(0,$C330-$F330-$G330-$H330),0)</f>
        <v/>
      </c>
    </row>
    <row r="331">
      <c r="B331" s="22" t="n">
        <v>328</v>
      </c>
      <c r="C331" s="23">
        <f>IF($B331&lt;=Inputs!$C$6+Inputs!$C$11,$M330,"")</f>
        <v/>
      </c>
      <c r="D331" s="24">
        <f>IF($B331&lt;=Inputs!$C$6,-PMT(Inputs!$C$5/12,Inputs!$C$6,Inputs!$C$4),0)</f>
        <v/>
      </c>
      <c r="E331" s="24">
        <f>IF($B331&lt;=Inputs!$C$6+Inputs!$C$11,$C331*Inputs!$C$5/12,0)</f>
        <v/>
      </c>
      <c r="F331" s="24">
        <f>IF($B331&lt;=Inputs!$C$6,MAX(0,$D331-$E331),0)</f>
        <v/>
      </c>
      <c r="G331" s="24">
        <f>IF($B331&lt;=Inputs!$C$6,MAX(0,($C331-$F331))*(1-(1-Inputs!$C$8)^(1/12)),0)</f>
        <v/>
      </c>
      <c r="H331" s="24">
        <f>IF($B331&lt;=Inputs!$C$6,MAX(0,($C331-$F331-$G331))*(1-(1-Inputs!$C$9)^(1/12)),0)</f>
        <v/>
      </c>
      <c r="I331" s="24">
        <f>IF($B331&gt;Inputs!$C$11,INDEX($H:$H,ROW()-Inputs!$C$11)* (1-Inputs!$C$10),0)</f>
        <v/>
      </c>
      <c r="J331" s="24">
        <f>$H331*Inputs!$C$10</f>
        <v/>
      </c>
      <c r="K331" s="24">
        <f>IF($B331&lt;=Inputs!$C$6+Inputs!$C$11,$C331*Inputs!$C$7/12,0)</f>
        <v/>
      </c>
      <c r="L331" s="24">
        <f>IF($B331&lt;=Inputs!$C$6+Inputs!$C$11,$E331+$F331+$G331+$I331-$K331,0)</f>
        <v/>
      </c>
      <c r="M331" s="24">
        <f>IF($B331&lt;=Inputs!$C$6,MAX(0,$C331-$F331-$G331-$H331),0)</f>
        <v/>
      </c>
    </row>
    <row r="332">
      <c r="B332" s="22" t="n">
        <v>329</v>
      </c>
      <c r="C332" s="23">
        <f>IF($B332&lt;=Inputs!$C$6+Inputs!$C$11,$M331,"")</f>
        <v/>
      </c>
      <c r="D332" s="24">
        <f>IF($B332&lt;=Inputs!$C$6,-PMT(Inputs!$C$5/12,Inputs!$C$6,Inputs!$C$4),0)</f>
        <v/>
      </c>
      <c r="E332" s="24">
        <f>IF($B332&lt;=Inputs!$C$6+Inputs!$C$11,$C332*Inputs!$C$5/12,0)</f>
        <v/>
      </c>
      <c r="F332" s="24">
        <f>IF($B332&lt;=Inputs!$C$6,MAX(0,$D332-$E332),0)</f>
        <v/>
      </c>
      <c r="G332" s="24">
        <f>IF($B332&lt;=Inputs!$C$6,MAX(0,($C332-$F332))*(1-(1-Inputs!$C$8)^(1/12)),0)</f>
        <v/>
      </c>
      <c r="H332" s="24">
        <f>IF($B332&lt;=Inputs!$C$6,MAX(0,($C332-$F332-$G332))*(1-(1-Inputs!$C$9)^(1/12)),0)</f>
        <v/>
      </c>
      <c r="I332" s="24">
        <f>IF($B332&gt;Inputs!$C$11,INDEX($H:$H,ROW()-Inputs!$C$11)* (1-Inputs!$C$10),0)</f>
        <v/>
      </c>
      <c r="J332" s="24">
        <f>$H332*Inputs!$C$10</f>
        <v/>
      </c>
      <c r="K332" s="24">
        <f>IF($B332&lt;=Inputs!$C$6+Inputs!$C$11,$C332*Inputs!$C$7/12,0)</f>
        <v/>
      </c>
      <c r="L332" s="24">
        <f>IF($B332&lt;=Inputs!$C$6+Inputs!$C$11,$E332+$F332+$G332+$I332-$K332,0)</f>
        <v/>
      </c>
      <c r="M332" s="24">
        <f>IF($B332&lt;=Inputs!$C$6,MAX(0,$C332-$F332-$G332-$H332),0)</f>
        <v/>
      </c>
    </row>
    <row r="333">
      <c r="B333" s="22" t="n">
        <v>330</v>
      </c>
      <c r="C333" s="23">
        <f>IF($B333&lt;=Inputs!$C$6+Inputs!$C$11,$M332,"")</f>
        <v/>
      </c>
      <c r="D333" s="24">
        <f>IF($B333&lt;=Inputs!$C$6,-PMT(Inputs!$C$5/12,Inputs!$C$6,Inputs!$C$4),0)</f>
        <v/>
      </c>
      <c r="E333" s="24">
        <f>IF($B333&lt;=Inputs!$C$6+Inputs!$C$11,$C333*Inputs!$C$5/12,0)</f>
        <v/>
      </c>
      <c r="F333" s="24">
        <f>IF($B333&lt;=Inputs!$C$6,MAX(0,$D333-$E333),0)</f>
        <v/>
      </c>
      <c r="G333" s="24">
        <f>IF($B333&lt;=Inputs!$C$6,MAX(0,($C333-$F333))*(1-(1-Inputs!$C$8)^(1/12)),0)</f>
        <v/>
      </c>
      <c r="H333" s="24">
        <f>IF($B333&lt;=Inputs!$C$6,MAX(0,($C333-$F333-$G333))*(1-(1-Inputs!$C$9)^(1/12)),0)</f>
        <v/>
      </c>
      <c r="I333" s="24">
        <f>IF($B333&gt;Inputs!$C$11,INDEX($H:$H,ROW()-Inputs!$C$11)* (1-Inputs!$C$10),0)</f>
        <v/>
      </c>
      <c r="J333" s="24">
        <f>$H333*Inputs!$C$10</f>
        <v/>
      </c>
      <c r="K333" s="24">
        <f>IF($B333&lt;=Inputs!$C$6+Inputs!$C$11,$C333*Inputs!$C$7/12,0)</f>
        <v/>
      </c>
      <c r="L333" s="24">
        <f>IF($B333&lt;=Inputs!$C$6+Inputs!$C$11,$E333+$F333+$G333+$I333-$K333,0)</f>
        <v/>
      </c>
      <c r="M333" s="24">
        <f>IF($B333&lt;=Inputs!$C$6,MAX(0,$C333-$F333-$G333-$H333),0)</f>
        <v/>
      </c>
    </row>
    <row r="334">
      <c r="B334" s="22" t="n">
        <v>331</v>
      </c>
      <c r="C334" s="23">
        <f>IF($B334&lt;=Inputs!$C$6+Inputs!$C$11,$M333,"")</f>
        <v/>
      </c>
      <c r="D334" s="24">
        <f>IF($B334&lt;=Inputs!$C$6,-PMT(Inputs!$C$5/12,Inputs!$C$6,Inputs!$C$4),0)</f>
        <v/>
      </c>
      <c r="E334" s="24">
        <f>IF($B334&lt;=Inputs!$C$6+Inputs!$C$11,$C334*Inputs!$C$5/12,0)</f>
        <v/>
      </c>
      <c r="F334" s="24">
        <f>IF($B334&lt;=Inputs!$C$6,MAX(0,$D334-$E334),0)</f>
        <v/>
      </c>
      <c r="G334" s="24">
        <f>IF($B334&lt;=Inputs!$C$6,MAX(0,($C334-$F334))*(1-(1-Inputs!$C$8)^(1/12)),0)</f>
        <v/>
      </c>
      <c r="H334" s="24">
        <f>IF($B334&lt;=Inputs!$C$6,MAX(0,($C334-$F334-$G334))*(1-(1-Inputs!$C$9)^(1/12)),0)</f>
        <v/>
      </c>
      <c r="I334" s="24">
        <f>IF($B334&gt;Inputs!$C$11,INDEX($H:$H,ROW()-Inputs!$C$11)* (1-Inputs!$C$10),0)</f>
        <v/>
      </c>
      <c r="J334" s="24">
        <f>$H334*Inputs!$C$10</f>
        <v/>
      </c>
      <c r="K334" s="24">
        <f>IF($B334&lt;=Inputs!$C$6+Inputs!$C$11,$C334*Inputs!$C$7/12,0)</f>
        <v/>
      </c>
      <c r="L334" s="24">
        <f>IF($B334&lt;=Inputs!$C$6+Inputs!$C$11,$E334+$F334+$G334+$I334-$K334,0)</f>
        <v/>
      </c>
      <c r="M334" s="24">
        <f>IF($B334&lt;=Inputs!$C$6,MAX(0,$C334-$F334-$G334-$H334),0)</f>
        <v/>
      </c>
    </row>
    <row r="335">
      <c r="B335" s="22" t="n">
        <v>332</v>
      </c>
      <c r="C335" s="23">
        <f>IF($B335&lt;=Inputs!$C$6+Inputs!$C$11,$M334,"")</f>
        <v/>
      </c>
      <c r="D335" s="24">
        <f>IF($B335&lt;=Inputs!$C$6,-PMT(Inputs!$C$5/12,Inputs!$C$6,Inputs!$C$4),0)</f>
        <v/>
      </c>
      <c r="E335" s="24">
        <f>IF($B335&lt;=Inputs!$C$6+Inputs!$C$11,$C335*Inputs!$C$5/12,0)</f>
        <v/>
      </c>
      <c r="F335" s="24">
        <f>IF($B335&lt;=Inputs!$C$6,MAX(0,$D335-$E335),0)</f>
        <v/>
      </c>
      <c r="G335" s="24">
        <f>IF($B335&lt;=Inputs!$C$6,MAX(0,($C335-$F335))*(1-(1-Inputs!$C$8)^(1/12)),0)</f>
        <v/>
      </c>
      <c r="H335" s="24">
        <f>IF($B335&lt;=Inputs!$C$6,MAX(0,($C335-$F335-$G335))*(1-(1-Inputs!$C$9)^(1/12)),0)</f>
        <v/>
      </c>
      <c r="I335" s="24">
        <f>IF($B335&gt;Inputs!$C$11,INDEX($H:$H,ROW()-Inputs!$C$11)* (1-Inputs!$C$10),0)</f>
        <v/>
      </c>
      <c r="J335" s="24">
        <f>$H335*Inputs!$C$10</f>
        <v/>
      </c>
      <c r="K335" s="24">
        <f>IF($B335&lt;=Inputs!$C$6+Inputs!$C$11,$C335*Inputs!$C$7/12,0)</f>
        <v/>
      </c>
      <c r="L335" s="24">
        <f>IF($B335&lt;=Inputs!$C$6+Inputs!$C$11,$E335+$F335+$G335+$I335-$K335,0)</f>
        <v/>
      </c>
      <c r="M335" s="24">
        <f>IF($B335&lt;=Inputs!$C$6,MAX(0,$C335-$F335-$G335-$H335),0)</f>
        <v/>
      </c>
    </row>
    <row r="336">
      <c r="B336" s="22" t="n">
        <v>333</v>
      </c>
      <c r="C336" s="23">
        <f>IF($B336&lt;=Inputs!$C$6+Inputs!$C$11,$M335,"")</f>
        <v/>
      </c>
      <c r="D336" s="24">
        <f>IF($B336&lt;=Inputs!$C$6,-PMT(Inputs!$C$5/12,Inputs!$C$6,Inputs!$C$4),0)</f>
        <v/>
      </c>
      <c r="E336" s="24">
        <f>IF($B336&lt;=Inputs!$C$6+Inputs!$C$11,$C336*Inputs!$C$5/12,0)</f>
        <v/>
      </c>
      <c r="F336" s="24">
        <f>IF($B336&lt;=Inputs!$C$6,MAX(0,$D336-$E336),0)</f>
        <v/>
      </c>
      <c r="G336" s="24">
        <f>IF($B336&lt;=Inputs!$C$6,MAX(0,($C336-$F336))*(1-(1-Inputs!$C$8)^(1/12)),0)</f>
        <v/>
      </c>
      <c r="H336" s="24">
        <f>IF($B336&lt;=Inputs!$C$6,MAX(0,($C336-$F336-$G336))*(1-(1-Inputs!$C$9)^(1/12)),0)</f>
        <v/>
      </c>
      <c r="I336" s="24">
        <f>IF($B336&gt;Inputs!$C$11,INDEX($H:$H,ROW()-Inputs!$C$11)* (1-Inputs!$C$10),0)</f>
        <v/>
      </c>
      <c r="J336" s="24">
        <f>$H336*Inputs!$C$10</f>
        <v/>
      </c>
      <c r="K336" s="24">
        <f>IF($B336&lt;=Inputs!$C$6+Inputs!$C$11,$C336*Inputs!$C$7/12,0)</f>
        <v/>
      </c>
      <c r="L336" s="24">
        <f>IF($B336&lt;=Inputs!$C$6+Inputs!$C$11,$E336+$F336+$G336+$I336-$K336,0)</f>
        <v/>
      </c>
      <c r="M336" s="24">
        <f>IF($B336&lt;=Inputs!$C$6,MAX(0,$C336-$F336-$G336-$H336),0)</f>
        <v/>
      </c>
    </row>
    <row r="337">
      <c r="B337" s="22" t="n">
        <v>334</v>
      </c>
      <c r="C337" s="23">
        <f>IF($B337&lt;=Inputs!$C$6+Inputs!$C$11,$M336,"")</f>
        <v/>
      </c>
      <c r="D337" s="24">
        <f>IF($B337&lt;=Inputs!$C$6,-PMT(Inputs!$C$5/12,Inputs!$C$6,Inputs!$C$4),0)</f>
        <v/>
      </c>
      <c r="E337" s="24">
        <f>IF($B337&lt;=Inputs!$C$6+Inputs!$C$11,$C337*Inputs!$C$5/12,0)</f>
        <v/>
      </c>
      <c r="F337" s="24">
        <f>IF($B337&lt;=Inputs!$C$6,MAX(0,$D337-$E337),0)</f>
        <v/>
      </c>
      <c r="G337" s="24">
        <f>IF($B337&lt;=Inputs!$C$6,MAX(0,($C337-$F337))*(1-(1-Inputs!$C$8)^(1/12)),0)</f>
        <v/>
      </c>
      <c r="H337" s="24">
        <f>IF($B337&lt;=Inputs!$C$6,MAX(0,($C337-$F337-$G337))*(1-(1-Inputs!$C$9)^(1/12)),0)</f>
        <v/>
      </c>
      <c r="I337" s="24">
        <f>IF($B337&gt;Inputs!$C$11,INDEX($H:$H,ROW()-Inputs!$C$11)* (1-Inputs!$C$10),0)</f>
        <v/>
      </c>
      <c r="J337" s="24">
        <f>$H337*Inputs!$C$10</f>
        <v/>
      </c>
      <c r="K337" s="24">
        <f>IF($B337&lt;=Inputs!$C$6+Inputs!$C$11,$C337*Inputs!$C$7/12,0)</f>
        <v/>
      </c>
      <c r="L337" s="24">
        <f>IF($B337&lt;=Inputs!$C$6+Inputs!$C$11,$E337+$F337+$G337+$I337-$K337,0)</f>
        <v/>
      </c>
      <c r="M337" s="24">
        <f>IF($B337&lt;=Inputs!$C$6,MAX(0,$C337-$F337-$G337-$H337),0)</f>
        <v/>
      </c>
    </row>
    <row r="338">
      <c r="B338" s="22" t="n">
        <v>335</v>
      </c>
      <c r="C338" s="23">
        <f>IF($B338&lt;=Inputs!$C$6+Inputs!$C$11,$M337,"")</f>
        <v/>
      </c>
      <c r="D338" s="24">
        <f>IF($B338&lt;=Inputs!$C$6,-PMT(Inputs!$C$5/12,Inputs!$C$6,Inputs!$C$4),0)</f>
        <v/>
      </c>
      <c r="E338" s="24">
        <f>IF($B338&lt;=Inputs!$C$6+Inputs!$C$11,$C338*Inputs!$C$5/12,0)</f>
        <v/>
      </c>
      <c r="F338" s="24">
        <f>IF($B338&lt;=Inputs!$C$6,MAX(0,$D338-$E338),0)</f>
        <v/>
      </c>
      <c r="G338" s="24">
        <f>IF($B338&lt;=Inputs!$C$6,MAX(0,($C338-$F338))*(1-(1-Inputs!$C$8)^(1/12)),0)</f>
        <v/>
      </c>
      <c r="H338" s="24">
        <f>IF($B338&lt;=Inputs!$C$6,MAX(0,($C338-$F338-$G338))*(1-(1-Inputs!$C$9)^(1/12)),0)</f>
        <v/>
      </c>
      <c r="I338" s="24">
        <f>IF($B338&gt;Inputs!$C$11,INDEX($H:$H,ROW()-Inputs!$C$11)* (1-Inputs!$C$10),0)</f>
        <v/>
      </c>
      <c r="J338" s="24">
        <f>$H338*Inputs!$C$10</f>
        <v/>
      </c>
      <c r="K338" s="24">
        <f>IF($B338&lt;=Inputs!$C$6+Inputs!$C$11,$C338*Inputs!$C$7/12,0)</f>
        <v/>
      </c>
      <c r="L338" s="24">
        <f>IF($B338&lt;=Inputs!$C$6+Inputs!$C$11,$E338+$F338+$G338+$I338-$K338,0)</f>
        <v/>
      </c>
      <c r="M338" s="24">
        <f>IF($B338&lt;=Inputs!$C$6,MAX(0,$C338-$F338-$G338-$H338),0)</f>
        <v/>
      </c>
    </row>
    <row r="339">
      <c r="B339" s="22" t="n">
        <v>336</v>
      </c>
      <c r="C339" s="23">
        <f>IF($B339&lt;=Inputs!$C$6+Inputs!$C$11,$M338,"")</f>
        <v/>
      </c>
      <c r="D339" s="24">
        <f>IF($B339&lt;=Inputs!$C$6,-PMT(Inputs!$C$5/12,Inputs!$C$6,Inputs!$C$4),0)</f>
        <v/>
      </c>
      <c r="E339" s="24">
        <f>IF($B339&lt;=Inputs!$C$6+Inputs!$C$11,$C339*Inputs!$C$5/12,0)</f>
        <v/>
      </c>
      <c r="F339" s="24">
        <f>IF($B339&lt;=Inputs!$C$6,MAX(0,$D339-$E339),0)</f>
        <v/>
      </c>
      <c r="G339" s="24">
        <f>IF($B339&lt;=Inputs!$C$6,MAX(0,($C339-$F339))*(1-(1-Inputs!$C$8)^(1/12)),0)</f>
        <v/>
      </c>
      <c r="H339" s="24">
        <f>IF($B339&lt;=Inputs!$C$6,MAX(0,($C339-$F339-$G339))*(1-(1-Inputs!$C$9)^(1/12)),0)</f>
        <v/>
      </c>
      <c r="I339" s="24">
        <f>IF($B339&gt;Inputs!$C$11,INDEX($H:$H,ROW()-Inputs!$C$11)* (1-Inputs!$C$10),0)</f>
        <v/>
      </c>
      <c r="J339" s="24">
        <f>$H339*Inputs!$C$10</f>
        <v/>
      </c>
      <c r="K339" s="24">
        <f>IF($B339&lt;=Inputs!$C$6+Inputs!$C$11,$C339*Inputs!$C$7/12,0)</f>
        <v/>
      </c>
      <c r="L339" s="24">
        <f>IF($B339&lt;=Inputs!$C$6+Inputs!$C$11,$E339+$F339+$G339+$I339-$K339,0)</f>
        <v/>
      </c>
      <c r="M339" s="24">
        <f>IF($B339&lt;=Inputs!$C$6,MAX(0,$C339-$F339-$G339-$H339),0)</f>
        <v/>
      </c>
    </row>
    <row r="340">
      <c r="B340" s="22" t="n">
        <v>337</v>
      </c>
      <c r="C340" s="23">
        <f>IF($B340&lt;=Inputs!$C$6+Inputs!$C$11,$M339,"")</f>
        <v/>
      </c>
      <c r="D340" s="24">
        <f>IF($B340&lt;=Inputs!$C$6,-PMT(Inputs!$C$5/12,Inputs!$C$6,Inputs!$C$4),0)</f>
        <v/>
      </c>
      <c r="E340" s="24">
        <f>IF($B340&lt;=Inputs!$C$6+Inputs!$C$11,$C340*Inputs!$C$5/12,0)</f>
        <v/>
      </c>
      <c r="F340" s="24">
        <f>IF($B340&lt;=Inputs!$C$6,MAX(0,$D340-$E340),0)</f>
        <v/>
      </c>
      <c r="G340" s="24">
        <f>IF($B340&lt;=Inputs!$C$6,MAX(0,($C340-$F340))*(1-(1-Inputs!$C$8)^(1/12)),0)</f>
        <v/>
      </c>
      <c r="H340" s="24">
        <f>IF($B340&lt;=Inputs!$C$6,MAX(0,($C340-$F340-$G340))*(1-(1-Inputs!$C$9)^(1/12)),0)</f>
        <v/>
      </c>
      <c r="I340" s="24">
        <f>IF($B340&gt;Inputs!$C$11,INDEX($H:$H,ROW()-Inputs!$C$11)* (1-Inputs!$C$10),0)</f>
        <v/>
      </c>
      <c r="J340" s="24">
        <f>$H340*Inputs!$C$10</f>
        <v/>
      </c>
      <c r="K340" s="24">
        <f>IF($B340&lt;=Inputs!$C$6+Inputs!$C$11,$C340*Inputs!$C$7/12,0)</f>
        <v/>
      </c>
      <c r="L340" s="24">
        <f>IF($B340&lt;=Inputs!$C$6+Inputs!$C$11,$E340+$F340+$G340+$I340-$K340,0)</f>
        <v/>
      </c>
      <c r="M340" s="24">
        <f>IF($B340&lt;=Inputs!$C$6,MAX(0,$C340-$F340-$G340-$H340),0)</f>
        <v/>
      </c>
    </row>
    <row r="341">
      <c r="B341" s="22" t="n">
        <v>338</v>
      </c>
      <c r="C341" s="23">
        <f>IF($B341&lt;=Inputs!$C$6+Inputs!$C$11,$M340,"")</f>
        <v/>
      </c>
      <c r="D341" s="24">
        <f>IF($B341&lt;=Inputs!$C$6,-PMT(Inputs!$C$5/12,Inputs!$C$6,Inputs!$C$4),0)</f>
        <v/>
      </c>
      <c r="E341" s="24">
        <f>IF($B341&lt;=Inputs!$C$6+Inputs!$C$11,$C341*Inputs!$C$5/12,0)</f>
        <v/>
      </c>
      <c r="F341" s="24">
        <f>IF($B341&lt;=Inputs!$C$6,MAX(0,$D341-$E341),0)</f>
        <v/>
      </c>
      <c r="G341" s="24">
        <f>IF($B341&lt;=Inputs!$C$6,MAX(0,($C341-$F341))*(1-(1-Inputs!$C$8)^(1/12)),0)</f>
        <v/>
      </c>
      <c r="H341" s="24">
        <f>IF($B341&lt;=Inputs!$C$6,MAX(0,($C341-$F341-$G341))*(1-(1-Inputs!$C$9)^(1/12)),0)</f>
        <v/>
      </c>
      <c r="I341" s="24">
        <f>IF($B341&gt;Inputs!$C$11,INDEX($H:$H,ROW()-Inputs!$C$11)* (1-Inputs!$C$10),0)</f>
        <v/>
      </c>
      <c r="J341" s="24">
        <f>$H341*Inputs!$C$10</f>
        <v/>
      </c>
      <c r="K341" s="24">
        <f>IF($B341&lt;=Inputs!$C$6+Inputs!$C$11,$C341*Inputs!$C$7/12,0)</f>
        <v/>
      </c>
      <c r="L341" s="24">
        <f>IF($B341&lt;=Inputs!$C$6+Inputs!$C$11,$E341+$F341+$G341+$I341-$K341,0)</f>
        <v/>
      </c>
      <c r="M341" s="24">
        <f>IF($B341&lt;=Inputs!$C$6,MAX(0,$C341-$F341-$G341-$H341),0)</f>
        <v/>
      </c>
    </row>
    <row r="342">
      <c r="B342" s="22" t="n">
        <v>339</v>
      </c>
      <c r="C342" s="23">
        <f>IF($B342&lt;=Inputs!$C$6+Inputs!$C$11,$M341,"")</f>
        <v/>
      </c>
      <c r="D342" s="24">
        <f>IF($B342&lt;=Inputs!$C$6,-PMT(Inputs!$C$5/12,Inputs!$C$6,Inputs!$C$4),0)</f>
        <v/>
      </c>
      <c r="E342" s="24">
        <f>IF($B342&lt;=Inputs!$C$6+Inputs!$C$11,$C342*Inputs!$C$5/12,0)</f>
        <v/>
      </c>
      <c r="F342" s="24">
        <f>IF($B342&lt;=Inputs!$C$6,MAX(0,$D342-$E342),0)</f>
        <v/>
      </c>
      <c r="G342" s="24">
        <f>IF($B342&lt;=Inputs!$C$6,MAX(0,($C342-$F342))*(1-(1-Inputs!$C$8)^(1/12)),0)</f>
        <v/>
      </c>
      <c r="H342" s="24">
        <f>IF($B342&lt;=Inputs!$C$6,MAX(0,($C342-$F342-$G342))*(1-(1-Inputs!$C$9)^(1/12)),0)</f>
        <v/>
      </c>
      <c r="I342" s="24">
        <f>IF($B342&gt;Inputs!$C$11,INDEX($H:$H,ROW()-Inputs!$C$11)* (1-Inputs!$C$10),0)</f>
        <v/>
      </c>
      <c r="J342" s="24">
        <f>$H342*Inputs!$C$10</f>
        <v/>
      </c>
      <c r="K342" s="24">
        <f>IF($B342&lt;=Inputs!$C$6+Inputs!$C$11,$C342*Inputs!$C$7/12,0)</f>
        <v/>
      </c>
      <c r="L342" s="24">
        <f>IF($B342&lt;=Inputs!$C$6+Inputs!$C$11,$E342+$F342+$G342+$I342-$K342,0)</f>
        <v/>
      </c>
      <c r="M342" s="24">
        <f>IF($B342&lt;=Inputs!$C$6,MAX(0,$C342-$F342-$G342-$H342),0)</f>
        <v/>
      </c>
    </row>
    <row r="343">
      <c r="B343" s="22" t="n">
        <v>340</v>
      </c>
      <c r="C343" s="23">
        <f>IF($B343&lt;=Inputs!$C$6+Inputs!$C$11,$M342,"")</f>
        <v/>
      </c>
      <c r="D343" s="24">
        <f>IF($B343&lt;=Inputs!$C$6,-PMT(Inputs!$C$5/12,Inputs!$C$6,Inputs!$C$4),0)</f>
        <v/>
      </c>
      <c r="E343" s="24">
        <f>IF($B343&lt;=Inputs!$C$6+Inputs!$C$11,$C343*Inputs!$C$5/12,0)</f>
        <v/>
      </c>
      <c r="F343" s="24">
        <f>IF($B343&lt;=Inputs!$C$6,MAX(0,$D343-$E343),0)</f>
        <v/>
      </c>
      <c r="G343" s="24">
        <f>IF($B343&lt;=Inputs!$C$6,MAX(0,($C343-$F343))*(1-(1-Inputs!$C$8)^(1/12)),0)</f>
        <v/>
      </c>
      <c r="H343" s="24">
        <f>IF($B343&lt;=Inputs!$C$6,MAX(0,($C343-$F343-$G343))*(1-(1-Inputs!$C$9)^(1/12)),0)</f>
        <v/>
      </c>
      <c r="I343" s="24">
        <f>IF($B343&gt;Inputs!$C$11,INDEX($H:$H,ROW()-Inputs!$C$11)* (1-Inputs!$C$10),0)</f>
        <v/>
      </c>
      <c r="J343" s="24">
        <f>$H343*Inputs!$C$10</f>
        <v/>
      </c>
      <c r="K343" s="24">
        <f>IF($B343&lt;=Inputs!$C$6+Inputs!$C$11,$C343*Inputs!$C$7/12,0)</f>
        <v/>
      </c>
      <c r="L343" s="24">
        <f>IF($B343&lt;=Inputs!$C$6+Inputs!$C$11,$E343+$F343+$G343+$I343-$K343,0)</f>
        <v/>
      </c>
      <c r="M343" s="24">
        <f>IF($B343&lt;=Inputs!$C$6,MAX(0,$C343-$F343-$G343-$H343),0)</f>
        <v/>
      </c>
    </row>
    <row r="344">
      <c r="B344" s="22" t="n">
        <v>341</v>
      </c>
      <c r="C344" s="23">
        <f>IF($B344&lt;=Inputs!$C$6+Inputs!$C$11,$M343,"")</f>
        <v/>
      </c>
      <c r="D344" s="24">
        <f>IF($B344&lt;=Inputs!$C$6,-PMT(Inputs!$C$5/12,Inputs!$C$6,Inputs!$C$4),0)</f>
        <v/>
      </c>
      <c r="E344" s="24">
        <f>IF($B344&lt;=Inputs!$C$6+Inputs!$C$11,$C344*Inputs!$C$5/12,0)</f>
        <v/>
      </c>
      <c r="F344" s="24">
        <f>IF($B344&lt;=Inputs!$C$6,MAX(0,$D344-$E344),0)</f>
        <v/>
      </c>
      <c r="G344" s="24">
        <f>IF($B344&lt;=Inputs!$C$6,MAX(0,($C344-$F344))*(1-(1-Inputs!$C$8)^(1/12)),0)</f>
        <v/>
      </c>
      <c r="H344" s="24">
        <f>IF($B344&lt;=Inputs!$C$6,MAX(0,($C344-$F344-$G344))*(1-(1-Inputs!$C$9)^(1/12)),0)</f>
        <v/>
      </c>
      <c r="I344" s="24">
        <f>IF($B344&gt;Inputs!$C$11,INDEX($H:$H,ROW()-Inputs!$C$11)* (1-Inputs!$C$10),0)</f>
        <v/>
      </c>
      <c r="J344" s="24">
        <f>$H344*Inputs!$C$10</f>
        <v/>
      </c>
      <c r="K344" s="24">
        <f>IF($B344&lt;=Inputs!$C$6+Inputs!$C$11,$C344*Inputs!$C$7/12,0)</f>
        <v/>
      </c>
      <c r="L344" s="24">
        <f>IF($B344&lt;=Inputs!$C$6+Inputs!$C$11,$E344+$F344+$G344+$I344-$K344,0)</f>
        <v/>
      </c>
      <c r="M344" s="24">
        <f>IF($B344&lt;=Inputs!$C$6,MAX(0,$C344-$F344-$G344-$H344),0)</f>
        <v/>
      </c>
    </row>
    <row r="345">
      <c r="B345" s="22" t="n">
        <v>342</v>
      </c>
      <c r="C345" s="23">
        <f>IF($B345&lt;=Inputs!$C$6+Inputs!$C$11,$M344,"")</f>
        <v/>
      </c>
      <c r="D345" s="24">
        <f>IF($B345&lt;=Inputs!$C$6,-PMT(Inputs!$C$5/12,Inputs!$C$6,Inputs!$C$4),0)</f>
        <v/>
      </c>
      <c r="E345" s="24">
        <f>IF($B345&lt;=Inputs!$C$6+Inputs!$C$11,$C345*Inputs!$C$5/12,0)</f>
        <v/>
      </c>
      <c r="F345" s="24">
        <f>IF($B345&lt;=Inputs!$C$6,MAX(0,$D345-$E345),0)</f>
        <v/>
      </c>
      <c r="G345" s="24">
        <f>IF($B345&lt;=Inputs!$C$6,MAX(0,($C345-$F345))*(1-(1-Inputs!$C$8)^(1/12)),0)</f>
        <v/>
      </c>
      <c r="H345" s="24">
        <f>IF($B345&lt;=Inputs!$C$6,MAX(0,($C345-$F345-$G345))*(1-(1-Inputs!$C$9)^(1/12)),0)</f>
        <v/>
      </c>
      <c r="I345" s="24">
        <f>IF($B345&gt;Inputs!$C$11,INDEX($H:$H,ROW()-Inputs!$C$11)* (1-Inputs!$C$10),0)</f>
        <v/>
      </c>
      <c r="J345" s="24">
        <f>$H345*Inputs!$C$10</f>
        <v/>
      </c>
      <c r="K345" s="24">
        <f>IF($B345&lt;=Inputs!$C$6+Inputs!$C$11,$C345*Inputs!$C$7/12,0)</f>
        <v/>
      </c>
      <c r="L345" s="24">
        <f>IF($B345&lt;=Inputs!$C$6+Inputs!$C$11,$E345+$F345+$G345+$I345-$K345,0)</f>
        <v/>
      </c>
      <c r="M345" s="24">
        <f>IF($B345&lt;=Inputs!$C$6,MAX(0,$C345-$F345-$G345-$H345),0)</f>
        <v/>
      </c>
    </row>
    <row r="346">
      <c r="B346" s="22" t="n">
        <v>343</v>
      </c>
      <c r="C346" s="23">
        <f>IF($B346&lt;=Inputs!$C$6+Inputs!$C$11,$M345,"")</f>
        <v/>
      </c>
      <c r="D346" s="24">
        <f>IF($B346&lt;=Inputs!$C$6,-PMT(Inputs!$C$5/12,Inputs!$C$6,Inputs!$C$4),0)</f>
        <v/>
      </c>
      <c r="E346" s="24">
        <f>IF($B346&lt;=Inputs!$C$6+Inputs!$C$11,$C346*Inputs!$C$5/12,0)</f>
        <v/>
      </c>
      <c r="F346" s="24">
        <f>IF($B346&lt;=Inputs!$C$6,MAX(0,$D346-$E346),0)</f>
        <v/>
      </c>
      <c r="G346" s="24">
        <f>IF($B346&lt;=Inputs!$C$6,MAX(0,($C346-$F346))*(1-(1-Inputs!$C$8)^(1/12)),0)</f>
        <v/>
      </c>
      <c r="H346" s="24">
        <f>IF($B346&lt;=Inputs!$C$6,MAX(0,($C346-$F346-$G346))*(1-(1-Inputs!$C$9)^(1/12)),0)</f>
        <v/>
      </c>
      <c r="I346" s="24">
        <f>IF($B346&gt;Inputs!$C$11,INDEX($H:$H,ROW()-Inputs!$C$11)* (1-Inputs!$C$10),0)</f>
        <v/>
      </c>
      <c r="J346" s="24">
        <f>$H346*Inputs!$C$10</f>
        <v/>
      </c>
      <c r="K346" s="24">
        <f>IF($B346&lt;=Inputs!$C$6+Inputs!$C$11,$C346*Inputs!$C$7/12,0)</f>
        <v/>
      </c>
      <c r="L346" s="24">
        <f>IF($B346&lt;=Inputs!$C$6+Inputs!$C$11,$E346+$F346+$G346+$I346-$K346,0)</f>
        <v/>
      </c>
      <c r="M346" s="24">
        <f>IF($B346&lt;=Inputs!$C$6,MAX(0,$C346-$F346-$G346-$H346),0)</f>
        <v/>
      </c>
    </row>
    <row r="347">
      <c r="B347" s="22" t="n">
        <v>344</v>
      </c>
      <c r="C347" s="23">
        <f>IF($B347&lt;=Inputs!$C$6+Inputs!$C$11,$M346,"")</f>
        <v/>
      </c>
      <c r="D347" s="24">
        <f>IF($B347&lt;=Inputs!$C$6,-PMT(Inputs!$C$5/12,Inputs!$C$6,Inputs!$C$4),0)</f>
        <v/>
      </c>
      <c r="E347" s="24">
        <f>IF($B347&lt;=Inputs!$C$6+Inputs!$C$11,$C347*Inputs!$C$5/12,0)</f>
        <v/>
      </c>
      <c r="F347" s="24">
        <f>IF($B347&lt;=Inputs!$C$6,MAX(0,$D347-$E347),0)</f>
        <v/>
      </c>
      <c r="G347" s="24">
        <f>IF($B347&lt;=Inputs!$C$6,MAX(0,($C347-$F347))*(1-(1-Inputs!$C$8)^(1/12)),0)</f>
        <v/>
      </c>
      <c r="H347" s="24">
        <f>IF($B347&lt;=Inputs!$C$6,MAX(0,($C347-$F347-$G347))*(1-(1-Inputs!$C$9)^(1/12)),0)</f>
        <v/>
      </c>
      <c r="I347" s="24">
        <f>IF($B347&gt;Inputs!$C$11,INDEX($H:$H,ROW()-Inputs!$C$11)* (1-Inputs!$C$10),0)</f>
        <v/>
      </c>
      <c r="J347" s="24">
        <f>$H347*Inputs!$C$10</f>
        <v/>
      </c>
      <c r="K347" s="24">
        <f>IF($B347&lt;=Inputs!$C$6+Inputs!$C$11,$C347*Inputs!$C$7/12,0)</f>
        <v/>
      </c>
      <c r="L347" s="24">
        <f>IF($B347&lt;=Inputs!$C$6+Inputs!$C$11,$E347+$F347+$G347+$I347-$K347,0)</f>
        <v/>
      </c>
      <c r="M347" s="24">
        <f>IF($B347&lt;=Inputs!$C$6,MAX(0,$C347-$F347-$G347-$H347),0)</f>
        <v/>
      </c>
    </row>
    <row r="348">
      <c r="B348" s="22" t="n">
        <v>345</v>
      </c>
      <c r="C348" s="23">
        <f>IF($B348&lt;=Inputs!$C$6+Inputs!$C$11,$M347,"")</f>
        <v/>
      </c>
      <c r="D348" s="24">
        <f>IF($B348&lt;=Inputs!$C$6,-PMT(Inputs!$C$5/12,Inputs!$C$6,Inputs!$C$4),0)</f>
        <v/>
      </c>
      <c r="E348" s="24">
        <f>IF($B348&lt;=Inputs!$C$6+Inputs!$C$11,$C348*Inputs!$C$5/12,0)</f>
        <v/>
      </c>
      <c r="F348" s="24">
        <f>IF($B348&lt;=Inputs!$C$6,MAX(0,$D348-$E348),0)</f>
        <v/>
      </c>
      <c r="G348" s="24">
        <f>IF($B348&lt;=Inputs!$C$6,MAX(0,($C348-$F348))*(1-(1-Inputs!$C$8)^(1/12)),0)</f>
        <v/>
      </c>
      <c r="H348" s="24">
        <f>IF($B348&lt;=Inputs!$C$6,MAX(0,($C348-$F348-$G348))*(1-(1-Inputs!$C$9)^(1/12)),0)</f>
        <v/>
      </c>
      <c r="I348" s="24">
        <f>IF($B348&gt;Inputs!$C$11,INDEX($H:$H,ROW()-Inputs!$C$11)* (1-Inputs!$C$10),0)</f>
        <v/>
      </c>
      <c r="J348" s="24">
        <f>$H348*Inputs!$C$10</f>
        <v/>
      </c>
      <c r="K348" s="24">
        <f>IF($B348&lt;=Inputs!$C$6+Inputs!$C$11,$C348*Inputs!$C$7/12,0)</f>
        <v/>
      </c>
      <c r="L348" s="24">
        <f>IF($B348&lt;=Inputs!$C$6+Inputs!$C$11,$E348+$F348+$G348+$I348-$K348,0)</f>
        <v/>
      </c>
      <c r="M348" s="24">
        <f>IF($B348&lt;=Inputs!$C$6,MAX(0,$C348-$F348-$G348-$H348),0)</f>
        <v/>
      </c>
    </row>
    <row r="349">
      <c r="B349" s="22" t="n">
        <v>346</v>
      </c>
      <c r="C349" s="23">
        <f>IF($B349&lt;=Inputs!$C$6+Inputs!$C$11,$M348,"")</f>
        <v/>
      </c>
      <c r="D349" s="24">
        <f>IF($B349&lt;=Inputs!$C$6,-PMT(Inputs!$C$5/12,Inputs!$C$6,Inputs!$C$4),0)</f>
        <v/>
      </c>
      <c r="E349" s="24">
        <f>IF($B349&lt;=Inputs!$C$6+Inputs!$C$11,$C349*Inputs!$C$5/12,0)</f>
        <v/>
      </c>
      <c r="F349" s="24">
        <f>IF($B349&lt;=Inputs!$C$6,MAX(0,$D349-$E349),0)</f>
        <v/>
      </c>
      <c r="G349" s="24">
        <f>IF($B349&lt;=Inputs!$C$6,MAX(0,($C349-$F349))*(1-(1-Inputs!$C$8)^(1/12)),0)</f>
        <v/>
      </c>
      <c r="H349" s="24">
        <f>IF($B349&lt;=Inputs!$C$6,MAX(0,($C349-$F349-$G349))*(1-(1-Inputs!$C$9)^(1/12)),0)</f>
        <v/>
      </c>
      <c r="I349" s="24">
        <f>IF($B349&gt;Inputs!$C$11,INDEX($H:$H,ROW()-Inputs!$C$11)* (1-Inputs!$C$10),0)</f>
        <v/>
      </c>
      <c r="J349" s="24">
        <f>$H349*Inputs!$C$10</f>
        <v/>
      </c>
      <c r="K349" s="24">
        <f>IF($B349&lt;=Inputs!$C$6+Inputs!$C$11,$C349*Inputs!$C$7/12,0)</f>
        <v/>
      </c>
      <c r="L349" s="24">
        <f>IF($B349&lt;=Inputs!$C$6+Inputs!$C$11,$E349+$F349+$G349+$I349-$K349,0)</f>
        <v/>
      </c>
      <c r="M349" s="24">
        <f>IF($B349&lt;=Inputs!$C$6,MAX(0,$C349-$F349-$G349-$H349),0)</f>
        <v/>
      </c>
    </row>
    <row r="350">
      <c r="B350" s="22" t="n">
        <v>347</v>
      </c>
      <c r="C350" s="23">
        <f>IF($B350&lt;=Inputs!$C$6+Inputs!$C$11,$M349,"")</f>
        <v/>
      </c>
      <c r="D350" s="24">
        <f>IF($B350&lt;=Inputs!$C$6,-PMT(Inputs!$C$5/12,Inputs!$C$6,Inputs!$C$4),0)</f>
        <v/>
      </c>
      <c r="E350" s="24">
        <f>IF($B350&lt;=Inputs!$C$6+Inputs!$C$11,$C350*Inputs!$C$5/12,0)</f>
        <v/>
      </c>
      <c r="F350" s="24">
        <f>IF($B350&lt;=Inputs!$C$6,MAX(0,$D350-$E350),0)</f>
        <v/>
      </c>
      <c r="G350" s="24">
        <f>IF($B350&lt;=Inputs!$C$6,MAX(0,($C350-$F350))*(1-(1-Inputs!$C$8)^(1/12)),0)</f>
        <v/>
      </c>
      <c r="H350" s="24">
        <f>IF($B350&lt;=Inputs!$C$6,MAX(0,($C350-$F350-$G350))*(1-(1-Inputs!$C$9)^(1/12)),0)</f>
        <v/>
      </c>
      <c r="I350" s="24">
        <f>IF($B350&gt;Inputs!$C$11,INDEX($H:$H,ROW()-Inputs!$C$11)* (1-Inputs!$C$10),0)</f>
        <v/>
      </c>
      <c r="J350" s="24">
        <f>$H350*Inputs!$C$10</f>
        <v/>
      </c>
      <c r="K350" s="24">
        <f>IF($B350&lt;=Inputs!$C$6+Inputs!$C$11,$C350*Inputs!$C$7/12,0)</f>
        <v/>
      </c>
      <c r="L350" s="24">
        <f>IF($B350&lt;=Inputs!$C$6+Inputs!$C$11,$E350+$F350+$G350+$I350-$K350,0)</f>
        <v/>
      </c>
      <c r="M350" s="24">
        <f>IF($B350&lt;=Inputs!$C$6,MAX(0,$C350-$F350-$G350-$H350),0)</f>
        <v/>
      </c>
    </row>
    <row r="351">
      <c r="B351" s="22" t="n">
        <v>348</v>
      </c>
      <c r="C351" s="23">
        <f>IF($B351&lt;=Inputs!$C$6+Inputs!$C$11,$M350,"")</f>
        <v/>
      </c>
      <c r="D351" s="24">
        <f>IF($B351&lt;=Inputs!$C$6,-PMT(Inputs!$C$5/12,Inputs!$C$6,Inputs!$C$4),0)</f>
        <v/>
      </c>
      <c r="E351" s="24">
        <f>IF($B351&lt;=Inputs!$C$6+Inputs!$C$11,$C351*Inputs!$C$5/12,0)</f>
        <v/>
      </c>
      <c r="F351" s="24">
        <f>IF($B351&lt;=Inputs!$C$6,MAX(0,$D351-$E351),0)</f>
        <v/>
      </c>
      <c r="G351" s="24">
        <f>IF($B351&lt;=Inputs!$C$6,MAX(0,($C351-$F351))*(1-(1-Inputs!$C$8)^(1/12)),0)</f>
        <v/>
      </c>
      <c r="H351" s="24">
        <f>IF($B351&lt;=Inputs!$C$6,MAX(0,($C351-$F351-$G351))*(1-(1-Inputs!$C$9)^(1/12)),0)</f>
        <v/>
      </c>
      <c r="I351" s="24">
        <f>IF($B351&gt;Inputs!$C$11,INDEX($H:$H,ROW()-Inputs!$C$11)* (1-Inputs!$C$10),0)</f>
        <v/>
      </c>
      <c r="J351" s="24">
        <f>$H351*Inputs!$C$10</f>
        <v/>
      </c>
      <c r="K351" s="24">
        <f>IF($B351&lt;=Inputs!$C$6+Inputs!$C$11,$C351*Inputs!$C$7/12,0)</f>
        <v/>
      </c>
      <c r="L351" s="24">
        <f>IF($B351&lt;=Inputs!$C$6+Inputs!$C$11,$E351+$F351+$G351+$I351-$K351,0)</f>
        <v/>
      </c>
      <c r="M351" s="24">
        <f>IF($B351&lt;=Inputs!$C$6,MAX(0,$C351-$F351-$G351-$H351),0)</f>
        <v/>
      </c>
    </row>
    <row r="352">
      <c r="B352" s="22" t="n">
        <v>349</v>
      </c>
      <c r="C352" s="23">
        <f>IF($B352&lt;=Inputs!$C$6+Inputs!$C$11,$M351,"")</f>
        <v/>
      </c>
      <c r="D352" s="24">
        <f>IF($B352&lt;=Inputs!$C$6,-PMT(Inputs!$C$5/12,Inputs!$C$6,Inputs!$C$4),0)</f>
        <v/>
      </c>
      <c r="E352" s="24">
        <f>IF($B352&lt;=Inputs!$C$6+Inputs!$C$11,$C352*Inputs!$C$5/12,0)</f>
        <v/>
      </c>
      <c r="F352" s="24">
        <f>IF($B352&lt;=Inputs!$C$6,MAX(0,$D352-$E352),0)</f>
        <v/>
      </c>
      <c r="G352" s="24">
        <f>IF($B352&lt;=Inputs!$C$6,MAX(0,($C352-$F352))*(1-(1-Inputs!$C$8)^(1/12)),0)</f>
        <v/>
      </c>
      <c r="H352" s="24">
        <f>IF($B352&lt;=Inputs!$C$6,MAX(0,($C352-$F352-$G352))*(1-(1-Inputs!$C$9)^(1/12)),0)</f>
        <v/>
      </c>
      <c r="I352" s="24">
        <f>IF($B352&gt;Inputs!$C$11,INDEX($H:$H,ROW()-Inputs!$C$11)* (1-Inputs!$C$10),0)</f>
        <v/>
      </c>
      <c r="J352" s="24">
        <f>$H352*Inputs!$C$10</f>
        <v/>
      </c>
      <c r="K352" s="24">
        <f>IF($B352&lt;=Inputs!$C$6+Inputs!$C$11,$C352*Inputs!$C$7/12,0)</f>
        <v/>
      </c>
      <c r="L352" s="24">
        <f>IF($B352&lt;=Inputs!$C$6+Inputs!$C$11,$E352+$F352+$G352+$I352-$K352,0)</f>
        <v/>
      </c>
      <c r="M352" s="24">
        <f>IF($B352&lt;=Inputs!$C$6,MAX(0,$C352-$F352-$G352-$H352),0)</f>
        <v/>
      </c>
    </row>
    <row r="353">
      <c r="B353" s="22" t="n">
        <v>350</v>
      </c>
      <c r="C353" s="23">
        <f>IF($B353&lt;=Inputs!$C$6+Inputs!$C$11,$M352,"")</f>
        <v/>
      </c>
      <c r="D353" s="24">
        <f>IF($B353&lt;=Inputs!$C$6,-PMT(Inputs!$C$5/12,Inputs!$C$6,Inputs!$C$4),0)</f>
        <v/>
      </c>
      <c r="E353" s="24">
        <f>IF($B353&lt;=Inputs!$C$6+Inputs!$C$11,$C353*Inputs!$C$5/12,0)</f>
        <v/>
      </c>
      <c r="F353" s="24">
        <f>IF($B353&lt;=Inputs!$C$6,MAX(0,$D353-$E353),0)</f>
        <v/>
      </c>
      <c r="G353" s="24">
        <f>IF($B353&lt;=Inputs!$C$6,MAX(0,($C353-$F353))*(1-(1-Inputs!$C$8)^(1/12)),0)</f>
        <v/>
      </c>
      <c r="H353" s="24">
        <f>IF($B353&lt;=Inputs!$C$6,MAX(0,($C353-$F353-$G353))*(1-(1-Inputs!$C$9)^(1/12)),0)</f>
        <v/>
      </c>
      <c r="I353" s="24">
        <f>IF($B353&gt;Inputs!$C$11,INDEX($H:$H,ROW()-Inputs!$C$11)* (1-Inputs!$C$10),0)</f>
        <v/>
      </c>
      <c r="J353" s="24">
        <f>$H353*Inputs!$C$10</f>
        <v/>
      </c>
      <c r="K353" s="24">
        <f>IF($B353&lt;=Inputs!$C$6+Inputs!$C$11,$C353*Inputs!$C$7/12,0)</f>
        <v/>
      </c>
      <c r="L353" s="24">
        <f>IF($B353&lt;=Inputs!$C$6+Inputs!$C$11,$E353+$F353+$G353+$I353-$K353,0)</f>
        <v/>
      </c>
      <c r="M353" s="24">
        <f>IF($B353&lt;=Inputs!$C$6,MAX(0,$C353-$F353-$G353-$H353),0)</f>
        <v/>
      </c>
    </row>
    <row r="354">
      <c r="B354" s="22" t="n">
        <v>351</v>
      </c>
      <c r="C354" s="23">
        <f>IF($B354&lt;=Inputs!$C$6+Inputs!$C$11,$M353,"")</f>
        <v/>
      </c>
      <c r="D354" s="24">
        <f>IF($B354&lt;=Inputs!$C$6,-PMT(Inputs!$C$5/12,Inputs!$C$6,Inputs!$C$4),0)</f>
        <v/>
      </c>
      <c r="E354" s="24">
        <f>IF($B354&lt;=Inputs!$C$6+Inputs!$C$11,$C354*Inputs!$C$5/12,0)</f>
        <v/>
      </c>
      <c r="F354" s="24">
        <f>IF($B354&lt;=Inputs!$C$6,MAX(0,$D354-$E354),0)</f>
        <v/>
      </c>
      <c r="G354" s="24">
        <f>IF($B354&lt;=Inputs!$C$6,MAX(0,($C354-$F354))*(1-(1-Inputs!$C$8)^(1/12)),0)</f>
        <v/>
      </c>
      <c r="H354" s="24">
        <f>IF($B354&lt;=Inputs!$C$6,MAX(0,($C354-$F354-$G354))*(1-(1-Inputs!$C$9)^(1/12)),0)</f>
        <v/>
      </c>
      <c r="I354" s="24">
        <f>IF($B354&gt;Inputs!$C$11,INDEX($H:$H,ROW()-Inputs!$C$11)* (1-Inputs!$C$10),0)</f>
        <v/>
      </c>
      <c r="J354" s="24">
        <f>$H354*Inputs!$C$10</f>
        <v/>
      </c>
      <c r="K354" s="24">
        <f>IF($B354&lt;=Inputs!$C$6+Inputs!$C$11,$C354*Inputs!$C$7/12,0)</f>
        <v/>
      </c>
      <c r="L354" s="24">
        <f>IF($B354&lt;=Inputs!$C$6+Inputs!$C$11,$E354+$F354+$G354+$I354-$K354,0)</f>
        <v/>
      </c>
      <c r="M354" s="24">
        <f>IF($B354&lt;=Inputs!$C$6,MAX(0,$C354-$F354-$G354-$H354),0)</f>
        <v/>
      </c>
    </row>
    <row r="355">
      <c r="B355" s="22" t="n">
        <v>352</v>
      </c>
      <c r="C355" s="23">
        <f>IF($B355&lt;=Inputs!$C$6+Inputs!$C$11,$M354,"")</f>
        <v/>
      </c>
      <c r="D355" s="24">
        <f>IF($B355&lt;=Inputs!$C$6,-PMT(Inputs!$C$5/12,Inputs!$C$6,Inputs!$C$4),0)</f>
        <v/>
      </c>
      <c r="E355" s="24">
        <f>IF($B355&lt;=Inputs!$C$6+Inputs!$C$11,$C355*Inputs!$C$5/12,0)</f>
        <v/>
      </c>
      <c r="F355" s="24">
        <f>IF($B355&lt;=Inputs!$C$6,MAX(0,$D355-$E355),0)</f>
        <v/>
      </c>
      <c r="G355" s="24">
        <f>IF($B355&lt;=Inputs!$C$6,MAX(0,($C355-$F355))*(1-(1-Inputs!$C$8)^(1/12)),0)</f>
        <v/>
      </c>
      <c r="H355" s="24">
        <f>IF($B355&lt;=Inputs!$C$6,MAX(0,($C355-$F355-$G355))*(1-(1-Inputs!$C$9)^(1/12)),0)</f>
        <v/>
      </c>
      <c r="I355" s="24">
        <f>IF($B355&gt;Inputs!$C$11,INDEX($H:$H,ROW()-Inputs!$C$11)* (1-Inputs!$C$10),0)</f>
        <v/>
      </c>
      <c r="J355" s="24">
        <f>$H355*Inputs!$C$10</f>
        <v/>
      </c>
      <c r="K355" s="24">
        <f>IF($B355&lt;=Inputs!$C$6+Inputs!$C$11,$C355*Inputs!$C$7/12,0)</f>
        <v/>
      </c>
      <c r="L355" s="24">
        <f>IF($B355&lt;=Inputs!$C$6+Inputs!$C$11,$E355+$F355+$G355+$I355-$K355,0)</f>
        <v/>
      </c>
      <c r="M355" s="24">
        <f>IF($B355&lt;=Inputs!$C$6,MAX(0,$C355-$F355-$G355-$H355),0)</f>
        <v/>
      </c>
    </row>
    <row r="356">
      <c r="B356" s="22" t="n">
        <v>353</v>
      </c>
      <c r="C356" s="23">
        <f>IF($B356&lt;=Inputs!$C$6+Inputs!$C$11,$M355,"")</f>
        <v/>
      </c>
      <c r="D356" s="24">
        <f>IF($B356&lt;=Inputs!$C$6,-PMT(Inputs!$C$5/12,Inputs!$C$6,Inputs!$C$4),0)</f>
        <v/>
      </c>
      <c r="E356" s="24">
        <f>IF($B356&lt;=Inputs!$C$6+Inputs!$C$11,$C356*Inputs!$C$5/12,0)</f>
        <v/>
      </c>
      <c r="F356" s="24">
        <f>IF($B356&lt;=Inputs!$C$6,MAX(0,$D356-$E356),0)</f>
        <v/>
      </c>
      <c r="G356" s="24">
        <f>IF($B356&lt;=Inputs!$C$6,MAX(0,($C356-$F356))*(1-(1-Inputs!$C$8)^(1/12)),0)</f>
        <v/>
      </c>
      <c r="H356" s="24">
        <f>IF($B356&lt;=Inputs!$C$6,MAX(0,($C356-$F356-$G356))*(1-(1-Inputs!$C$9)^(1/12)),0)</f>
        <v/>
      </c>
      <c r="I356" s="24">
        <f>IF($B356&gt;Inputs!$C$11,INDEX($H:$H,ROW()-Inputs!$C$11)* (1-Inputs!$C$10),0)</f>
        <v/>
      </c>
      <c r="J356" s="24">
        <f>$H356*Inputs!$C$10</f>
        <v/>
      </c>
      <c r="K356" s="24">
        <f>IF($B356&lt;=Inputs!$C$6+Inputs!$C$11,$C356*Inputs!$C$7/12,0)</f>
        <v/>
      </c>
      <c r="L356" s="24">
        <f>IF($B356&lt;=Inputs!$C$6+Inputs!$C$11,$E356+$F356+$G356+$I356-$K356,0)</f>
        <v/>
      </c>
      <c r="M356" s="24">
        <f>IF($B356&lt;=Inputs!$C$6,MAX(0,$C356-$F356-$G356-$H356),0)</f>
        <v/>
      </c>
    </row>
    <row r="357">
      <c r="B357" s="22" t="n">
        <v>354</v>
      </c>
      <c r="C357" s="23">
        <f>IF($B357&lt;=Inputs!$C$6+Inputs!$C$11,$M356,"")</f>
        <v/>
      </c>
      <c r="D357" s="24">
        <f>IF($B357&lt;=Inputs!$C$6,-PMT(Inputs!$C$5/12,Inputs!$C$6,Inputs!$C$4),0)</f>
        <v/>
      </c>
      <c r="E357" s="24">
        <f>IF($B357&lt;=Inputs!$C$6+Inputs!$C$11,$C357*Inputs!$C$5/12,0)</f>
        <v/>
      </c>
      <c r="F357" s="24">
        <f>IF($B357&lt;=Inputs!$C$6,MAX(0,$D357-$E357),0)</f>
        <v/>
      </c>
      <c r="G357" s="24">
        <f>IF($B357&lt;=Inputs!$C$6,MAX(0,($C357-$F357))*(1-(1-Inputs!$C$8)^(1/12)),0)</f>
        <v/>
      </c>
      <c r="H357" s="24">
        <f>IF($B357&lt;=Inputs!$C$6,MAX(0,($C357-$F357-$G357))*(1-(1-Inputs!$C$9)^(1/12)),0)</f>
        <v/>
      </c>
      <c r="I357" s="24">
        <f>IF($B357&gt;Inputs!$C$11,INDEX($H:$H,ROW()-Inputs!$C$11)* (1-Inputs!$C$10),0)</f>
        <v/>
      </c>
      <c r="J357" s="24">
        <f>$H357*Inputs!$C$10</f>
        <v/>
      </c>
      <c r="K357" s="24">
        <f>IF($B357&lt;=Inputs!$C$6+Inputs!$C$11,$C357*Inputs!$C$7/12,0)</f>
        <v/>
      </c>
      <c r="L357" s="24">
        <f>IF($B357&lt;=Inputs!$C$6+Inputs!$C$11,$E357+$F357+$G357+$I357-$K357,0)</f>
        <v/>
      </c>
      <c r="M357" s="24">
        <f>IF($B357&lt;=Inputs!$C$6,MAX(0,$C357-$F357-$G357-$H357),0)</f>
        <v/>
      </c>
    </row>
    <row r="358">
      <c r="B358" s="22" t="n">
        <v>355</v>
      </c>
      <c r="C358" s="23">
        <f>IF($B358&lt;=Inputs!$C$6+Inputs!$C$11,$M357,"")</f>
        <v/>
      </c>
      <c r="D358" s="24">
        <f>IF($B358&lt;=Inputs!$C$6,-PMT(Inputs!$C$5/12,Inputs!$C$6,Inputs!$C$4),0)</f>
        <v/>
      </c>
      <c r="E358" s="24">
        <f>IF($B358&lt;=Inputs!$C$6+Inputs!$C$11,$C358*Inputs!$C$5/12,0)</f>
        <v/>
      </c>
      <c r="F358" s="24">
        <f>IF($B358&lt;=Inputs!$C$6,MAX(0,$D358-$E358),0)</f>
        <v/>
      </c>
      <c r="G358" s="24">
        <f>IF($B358&lt;=Inputs!$C$6,MAX(0,($C358-$F358))*(1-(1-Inputs!$C$8)^(1/12)),0)</f>
        <v/>
      </c>
      <c r="H358" s="24">
        <f>IF($B358&lt;=Inputs!$C$6,MAX(0,($C358-$F358-$G358))*(1-(1-Inputs!$C$9)^(1/12)),0)</f>
        <v/>
      </c>
      <c r="I358" s="24">
        <f>IF($B358&gt;Inputs!$C$11,INDEX($H:$H,ROW()-Inputs!$C$11)* (1-Inputs!$C$10),0)</f>
        <v/>
      </c>
      <c r="J358" s="24">
        <f>$H358*Inputs!$C$10</f>
        <v/>
      </c>
      <c r="K358" s="24">
        <f>IF($B358&lt;=Inputs!$C$6+Inputs!$C$11,$C358*Inputs!$C$7/12,0)</f>
        <v/>
      </c>
      <c r="L358" s="24">
        <f>IF($B358&lt;=Inputs!$C$6+Inputs!$C$11,$E358+$F358+$G358+$I358-$K358,0)</f>
        <v/>
      </c>
      <c r="M358" s="24">
        <f>IF($B358&lt;=Inputs!$C$6,MAX(0,$C358-$F358-$G358-$H358),0)</f>
        <v/>
      </c>
    </row>
    <row r="359">
      <c r="B359" s="22" t="n">
        <v>356</v>
      </c>
      <c r="C359" s="23">
        <f>IF($B359&lt;=Inputs!$C$6+Inputs!$C$11,$M358,"")</f>
        <v/>
      </c>
      <c r="D359" s="24">
        <f>IF($B359&lt;=Inputs!$C$6,-PMT(Inputs!$C$5/12,Inputs!$C$6,Inputs!$C$4),0)</f>
        <v/>
      </c>
      <c r="E359" s="24">
        <f>IF($B359&lt;=Inputs!$C$6+Inputs!$C$11,$C359*Inputs!$C$5/12,0)</f>
        <v/>
      </c>
      <c r="F359" s="24">
        <f>IF($B359&lt;=Inputs!$C$6,MAX(0,$D359-$E359),0)</f>
        <v/>
      </c>
      <c r="G359" s="24">
        <f>IF($B359&lt;=Inputs!$C$6,MAX(0,($C359-$F359))*(1-(1-Inputs!$C$8)^(1/12)),0)</f>
        <v/>
      </c>
      <c r="H359" s="24">
        <f>IF($B359&lt;=Inputs!$C$6,MAX(0,($C359-$F359-$G359))*(1-(1-Inputs!$C$9)^(1/12)),0)</f>
        <v/>
      </c>
      <c r="I359" s="24">
        <f>IF($B359&gt;Inputs!$C$11,INDEX($H:$H,ROW()-Inputs!$C$11)* (1-Inputs!$C$10),0)</f>
        <v/>
      </c>
      <c r="J359" s="24">
        <f>$H359*Inputs!$C$10</f>
        <v/>
      </c>
      <c r="K359" s="24">
        <f>IF($B359&lt;=Inputs!$C$6+Inputs!$C$11,$C359*Inputs!$C$7/12,0)</f>
        <v/>
      </c>
      <c r="L359" s="24">
        <f>IF($B359&lt;=Inputs!$C$6+Inputs!$C$11,$E359+$F359+$G359+$I359-$K359,0)</f>
        <v/>
      </c>
      <c r="M359" s="24">
        <f>IF($B359&lt;=Inputs!$C$6,MAX(0,$C359-$F359-$G359-$H359),0)</f>
        <v/>
      </c>
    </row>
    <row r="360">
      <c r="B360" s="22" t="n">
        <v>357</v>
      </c>
      <c r="C360" s="23">
        <f>IF($B360&lt;=Inputs!$C$6+Inputs!$C$11,$M359,"")</f>
        <v/>
      </c>
      <c r="D360" s="24">
        <f>IF($B360&lt;=Inputs!$C$6,-PMT(Inputs!$C$5/12,Inputs!$C$6,Inputs!$C$4),0)</f>
        <v/>
      </c>
      <c r="E360" s="24">
        <f>IF($B360&lt;=Inputs!$C$6+Inputs!$C$11,$C360*Inputs!$C$5/12,0)</f>
        <v/>
      </c>
      <c r="F360" s="24">
        <f>IF($B360&lt;=Inputs!$C$6,MAX(0,$D360-$E360),0)</f>
        <v/>
      </c>
      <c r="G360" s="24">
        <f>IF($B360&lt;=Inputs!$C$6,MAX(0,($C360-$F360))*(1-(1-Inputs!$C$8)^(1/12)),0)</f>
        <v/>
      </c>
      <c r="H360" s="24">
        <f>IF($B360&lt;=Inputs!$C$6,MAX(0,($C360-$F360-$G360))*(1-(1-Inputs!$C$9)^(1/12)),0)</f>
        <v/>
      </c>
      <c r="I360" s="24">
        <f>IF($B360&gt;Inputs!$C$11,INDEX($H:$H,ROW()-Inputs!$C$11)* (1-Inputs!$C$10),0)</f>
        <v/>
      </c>
      <c r="J360" s="24">
        <f>$H360*Inputs!$C$10</f>
        <v/>
      </c>
      <c r="K360" s="24">
        <f>IF($B360&lt;=Inputs!$C$6+Inputs!$C$11,$C360*Inputs!$C$7/12,0)</f>
        <v/>
      </c>
      <c r="L360" s="24">
        <f>IF($B360&lt;=Inputs!$C$6+Inputs!$C$11,$E360+$F360+$G360+$I360-$K360,0)</f>
        <v/>
      </c>
      <c r="M360" s="24">
        <f>IF($B360&lt;=Inputs!$C$6,MAX(0,$C360-$F360-$G360-$H360),0)</f>
        <v/>
      </c>
    </row>
    <row r="361">
      <c r="B361" s="22" t="n">
        <v>358</v>
      </c>
      <c r="C361" s="23">
        <f>IF($B361&lt;=Inputs!$C$6+Inputs!$C$11,$M360,"")</f>
        <v/>
      </c>
      <c r="D361" s="24">
        <f>IF($B361&lt;=Inputs!$C$6,-PMT(Inputs!$C$5/12,Inputs!$C$6,Inputs!$C$4),0)</f>
        <v/>
      </c>
      <c r="E361" s="24">
        <f>IF($B361&lt;=Inputs!$C$6+Inputs!$C$11,$C361*Inputs!$C$5/12,0)</f>
        <v/>
      </c>
      <c r="F361" s="24">
        <f>IF($B361&lt;=Inputs!$C$6,MAX(0,$D361-$E361),0)</f>
        <v/>
      </c>
      <c r="G361" s="24">
        <f>IF($B361&lt;=Inputs!$C$6,MAX(0,($C361-$F361))*(1-(1-Inputs!$C$8)^(1/12)),0)</f>
        <v/>
      </c>
      <c r="H361" s="24">
        <f>IF($B361&lt;=Inputs!$C$6,MAX(0,($C361-$F361-$G361))*(1-(1-Inputs!$C$9)^(1/12)),0)</f>
        <v/>
      </c>
      <c r="I361" s="24">
        <f>IF($B361&gt;Inputs!$C$11,INDEX($H:$H,ROW()-Inputs!$C$11)* (1-Inputs!$C$10),0)</f>
        <v/>
      </c>
      <c r="J361" s="24">
        <f>$H361*Inputs!$C$10</f>
        <v/>
      </c>
      <c r="K361" s="24">
        <f>IF($B361&lt;=Inputs!$C$6+Inputs!$C$11,$C361*Inputs!$C$7/12,0)</f>
        <v/>
      </c>
      <c r="L361" s="24">
        <f>IF($B361&lt;=Inputs!$C$6+Inputs!$C$11,$E361+$F361+$G361+$I361-$K361,0)</f>
        <v/>
      </c>
      <c r="M361" s="24">
        <f>IF($B361&lt;=Inputs!$C$6,MAX(0,$C361-$F361-$G361-$H361),0)</f>
        <v/>
      </c>
    </row>
    <row r="362">
      <c r="B362" s="22" t="n">
        <v>359</v>
      </c>
      <c r="C362" s="23">
        <f>IF($B362&lt;=Inputs!$C$6+Inputs!$C$11,$M361,"")</f>
        <v/>
      </c>
      <c r="D362" s="24">
        <f>IF($B362&lt;=Inputs!$C$6,-PMT(Inputs!$C$5/12,Inputs!$C$6,Inputs!$C$4),0)</f>
        <v/>
      </c>
      <c r="E362" s="24">
        <f>IF($B362&lt;=Inputs!$C$6+Inputs!$C$11,$C362*Inputs!$C$5/12,0)</f>
        <v/>
      </c>
      <c r="F362" s="24">
        <f>IF($B362&lt;=Inputs!$C$6,MAX(0,$D362-$E362),0)</f>
        <v/>
      </c>
      <c r="G362" s="24">
        <f>IF($B362&lt;=Inputs!$C$6,MAX(0,($C362-$F362))*(1-(1-Inputs!$C$8)^(1/12)),0)</f>
        <v/>
      </c>
      <c r="H362" s="24">
        <f>IF($B362&lt;=Inputs!$C$6,MAX(0,($C362-$F362-$G362))*(1-(1-Inputs!$C$9)^(1/12)),0)</f>
        <v/>
      </c>
      <c r="I362" s="24">
        <f>IF($B362&gt;Inputs!$C$11,INDEX($H:$H,ROW()-Inputs!$C$11)* (1-Inputs!$C$10),0)</f>
        <v/>
      </c>
      <c r="J362" s="24">
        <f>$H362*Inputs!$C$10</f>
        <v/>
      </c>
      <c r="K362" s="24">
        <f>IF($B362&lt;=Inputs!$C$6+Inputs!$C$11,$C362*Inputs!$C$7/12,0)</f>
        <v/>
      </c>
      <c r="L362" s="24">
        <f>IF($B362&lt;=Inputs!$C$6+Inputs!$C$11,$E362+$F362+$G362+$I362-$K362,0)</f>
        <v/>
      </c>
      <c r="M362" s="24">
        <f>IF($B362&lt;=Inputs!$C$6,MAX(0,$C362-$F362-$G362-$H362),0)</f>
        <v/>
      </c>
    </row>
    <row r="363">
      <c r="B363" s="22" t="n">
        <v>360</v>
      </c>
      <c r="C363" s="23">
        <f>IF($B363&lt;=Inputs!$C$6+Inputs!$C$11,$M362,"")</f>
        <v/>
      </c>
      <c r="D363" s="24">
        <f>IF($B363&lt;=Inputs!$C$6,-PMT(Inputs!$C$5/12,Inputs!$C$6,Inputs!$C$4),0)</f>
        <v/>
      </c>
      <c r="E363" s="24">
        <f>IF($B363&lt;=Inputs!$C$6+Inputs!$C$11,$C363*Inputs!$C$5/12,0)</f>
        <v/>
      </c>
      <c r="F363" s="24">
        <f>IF($B363&lt;=Inputs!$C$6,MAX(0,$D363-$E363),0)</f>
        <v/>
      </c>
      <c r="G363" s="24">
        <f>IF($B363&lt;=Inputs!$C$6,MAX(0,($C363-$F363))*(1-(1-Inputs!$C$8)^(1/12)),0)</f>
        <v/>
      </c>
      <c r="H363" s="24">
        <f>IF($B363&lt;=Inputs!$C$6,MAX(0,($C363-$F363-$G363))*(1-(1-Inputs!$C$9)^(1/12)),0)</f>
        <v/>
      </c>
      <c r="I363" s="24">
        <f>IF($B363&gt;Inputs!$C$11,INDEX($H:$H,ROW()-Inputs!$C$11)* (1-Inputs!$C$10),0)</f>
        <v/>
      </c>
      <c r="J363" s="24">
        <f>$H363*Inputs!$C$10</f>
        <v/>
      </c>
      <c r="K363" s="24">
        <f>IF($B363&lt;=Inputs!$C$6+Inputs!$C$11,$C363*Inputs!$C$7/12,0)</f>
        <v/>
      </c>
      <c r="L363" s="24">
        <f>IF($B363&lt;=Inputs!$C$6+Inputs!$C$11,$E363+$F363+$G363+$I363-$K363,0)</f>
        <v/>
      </c>
      <c r="M363" s="24">
        <f>IF($B363&lt;=Inputs!$C$6,MAX(0,$C363-$F363-$G363-$H363),0)</f>
        <v/>
      </c>
    </row>
  </sheetData>
  <mergeCells count="1">
    <mergeCell ref="B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Z36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22" customHeight="1">
      <c r="B1" s="1" t="inlineStr">
        <is>
          <t>Liability waterfall (sequential-pay, reserve &amp; equity cushion)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B2" s="18" t="inlineStr">
        <is>
          <t>Setup (linked to Inputs)</t>
        </is>
      </c>
      <c r="C2" s="6" t="inlineStr">
        <is>
          <t>Pool</t>
        </is>
      </c>
      <c r="D2" s="26">
        <f>Inputs!$C$4</f>
        <v/>
      </c>
      <c r="E2" s="6" t="inlineStr">
        <is>
          <t>Reserve %</t>
        </is>
      </c>
      <c r="F2" s="13">
        <f>Inputs!$C$20</f>
        <v/>
      </c>
      <c r="G2" s="6" t="inlineStr">
        <is>
          <t>OC %</t>
        </is>
      </c>
      <c r="H2" s="13">
        <f>Inputs!$C$21</f>
        <v/>
      </c>
      <c r="I2" s="6" t="inlineStr">
        <is>
          <t>A % (NoteBase)</t>
        </is>
      </c>
      <c r="J2" s="13">
        <f>Inputs!$C$16</f>
        <v/>
      </c>
      <c r="K2" s="6" t="inlineStr">
        <is>
          <t>B % (NoteBase)</t>
        </is>
      </c>
      <c r="L2" s="13">
        <f>Inputs!$C$17</f>
        <v/>
      </c>
      <c r="M2" s="6" t="inlineStr">
        <is>
          <t>A coupon</t>
        </is>
      </c>
      <c r="N2" s="13">
        <f>Inputs!$C$18</f>
        <v/>
      </c>
      <c r="O2" s="6" t="inlineStr">
        <is>
          <t>B coupon</t>
        </is>
      </c>
      <c r="P2" s="13">
        <f>Inputs!$C$19</f>
        <v/>
      </c>
      <c r="Q2" s="6" t="inlineStr">
        <is>
          <t>Turbo</t>
        </is>
      </c>
      <c r="R2" s="27">
        <f>Inputs!$C$39</f>
        <v/>
      </c>
    </row>
    <row r="3">
      <c r="B3" s="18" t="inlineStr">
        <is>
          <t>Derived</t>
        </is>
      </c>
      <c r="C3" s="6" t="inlineStr">
        <is>
          <t>Reserve cash</t>
        </is>
      </c>
      <c r="D3" s="26">
        <f>Inputs!$C$4*Inputs!$C$20</f>
        <v/>
      </c>
      <c r="E3" s="6" t="inlineStr">
        <is>
          <t>Total Assets @t0</t>
        </is>
      </c>
      <c r="F3" s="26">
        <f>Inputs!$C$4+$D$3</f>
        <v/>
      </c>
      <c r="G3" s="6" t="inlineStr">
        <is>
          <t>NoteBase</t>
        </is>
      </c>
      <c r="H3" s="26">
        <f>Inputs!$C$4*(1-Inputs!$C$21)</f>
        <v/>
      </c>
      <c r="I3" s="6" t="inlineStr">
        <is>
          <t>Class A init</t>
        </is>
      </c>
      <c r="J3" s="26">
        <f>$H$3*Inputs!$C$16</f>
        <v/>
      </c>
      <c r="K3" s="6" t="inlineStr">
        <is>
          <t>Class B init</t>
        </is>
      </c>
      <c r="L3" s="26">
        <f>$H$3*Inputs!$C$17</f>
        <v/>
      </c>
      <c r="M3" s="6" t="inlineStr">
        <is>
          <t>Equity cushion init</t>
        </is>
      </c>
      <c r="N3" s="26">
        <f>$F$3-$J$3-$L$3</f>
        <v/>
      </c>
      <c r="O3" s="6" t="inlineStr">
        <is>
          <t>Check (&gt;=0)</t>
        </is>
      </c>
      <c r="P3" s="17">
        <f>IF($N$3&gt;=0,"OK","NEGATIVE")</f>
        <v/>
      </c>
    </row>
    <row r="5">
      <c r="B5" s="28" t="inlineStr">
        <is>
          <t>Month</t>
        </is>
      </c>
      <c r="C5" s="28" t="inlineStr">
        <is>
          <t>Avail Int</t>
        </is>
      </c>
      <c r="D5" s="28" t="inlineStr">
        <is>
          <t>Avail Prin</t>
        </is>
      </c>
      <c r="E5" s="28" t="inlineStr">
        <is>
          <t>Loss (net)</t>
        </is>
      </c>
      <c r="F5" s="28" t="inlineStr">
        <is>
          <t>Reserve Beg</t>
        </is>
      </c>
      <c r="G5" s="28" t="inlineStr">
        <is>
          <t>Reserve End</t>
        </is>
      </c>
      <c r="H5" s="28" t="inlineStr">
        <is>
          <t>EqCush Beg</t>
        </is>
      </c>
      <c r="I5" s="28" t="inlineStr">
        <is>
          <t>EqCush Used</t>
        </is>
      </c>
      <c r="J5" s="28" t="inlineStr">
        <is>
          <t>EqCush End</t>
        </is>
      </c>
      <c r="K5" s="28" t="inlineStr">
        <is>
          <t>A Beg</t>
        </is>
      </c>
      <c r="L5" s="28" t="inlineStr">
        <is>
          <t>A Int Due</t>
        </is>
      </c>
      <c r="M5" s="28" t="inlineStr">
        <is>
          <t>A Int Paid</t>
        </is>
      </c>
      <c r="N5" s="28" t="inlineStr">
        <is>
          <t>A Prin Paid</t>
        </is>
      </c>
      <c r="O5" s="28" t="inlineStr">
        <is>
          <t>A Loss</t>
        </is>
      </c>
      <c r="P5" s="28" t="inlineStr">
        <is>
          <t>A End</t>
        </is>
      </c>
      <c r="Q5" s="28" t="inlineStr">
        <is>
          <t>B Beg</t>
        </is>
      </c>
      <c r="R5" s="28" t="inlineStr">
        <is>
          <t>B Int Due</t>
        </is>
      </c>
      <c r="S5" s="28" t="inlineStr">
        <is>
          <t>B Int Paid</t>
        </is>
      </c>
      <c r="T5" s="28" t="inlineStr">
        <is>
          <t>B Prin Paid</t>
        </is>
      </c>
      <c r="U5" s="28" t="inlineStr">
        <is>
          <t>B Loss</t>
        </is>
      </c>
      <c r="V5" s="28" t="inlineStr">
        <is>
          <t>B End</t>
        </is>
      </c>
      <c r="W5" s="28" t="inlineStr">
        <is>
          <t>Excess Int (post reserve)</t>
        </is>
      </c>
      <c r="X5" s="28" t="inlineStr">
        <is>
          <t>Turbo Prin</t>
        </is>
      </c>
      <c r="Y5" s="28" t="inlineStr">
        <is>
          <t>Equity Dist (cash)</t>
        </is>
      </c>
    </row>
    <row r="6">
      <c r="B6" s="22" t="n">
        <v>1</v>
      </c>
      <c r="C6" s="29">
        <f>IF($B6&lt;=Inputs!$C$6+Inputs!$C$11,Cashflow_Asset!$E4-Cashflow_Asset!$K4,0)</f>
        <v/>
      </c>
      <c r="D6" s="29">
        <f>IF($B6&lt;=Inputs!$C$6+Inputs!$C$11,Cashflow_Asset!$F4+Cashflow_Asset!$G4+Cashflow_Asset!$I4,0)</f>
        <v/>
      </c>
      <c r="E6" s="29">
        <f>IF($B6&lt;=Inputs!$C$6+Inputs!$C$11,Cashflow_Asset!$J4,0)</f>
        <v/>
      </c>
      <c r="F6" s="29">
        <f>$D$3</f>
        <v/>
      </c>
      <c r="G6" s="24">
        <f>(MAX(0,$F6-MAX(0,($M6+$S6)-$C6)))+MIN(MAX(0,$D$3-(MAX(0,$F6-MAX(0,($M6+$S6)-$C6)))),MAX(0,MAX(0,($C6+$F6)-$M6)-$S6))</f>
        <v/>
      </c>
      <c r="H6" s="29">
        <f>$N$3</f>
        <v/>
      </c>
      <c r="I6" s="24">
        <f>MIN($E6,$H6)</f>
        <v/>
      </c>
      <c r="J6" s="24">
        <f>$H6-$I6</f>
        <v/>
      </c>
      <c r="K6" s="29">
        <f>$J$3</f>
        <v/>
      </c>
      <c r="L6" s="24">
        <f>$K6*Inputs!$C$18/12</f>
        <v/>
      </c>
      <c r="M6" s="24">
        <f>MIN(($C6+$F6),$L6)</f>
        <v/>
      </c>
      <c r="N6" s="24">
        <f>MIN(($D6+$X6),MAX(0,$K6-$O6))</f>
        <v/>
      </c>
      <c r="O6" s="24">
        <f>MIN(MAX(0,MAX(0,$E6-$I6)-$U6),$K6)</f>
        <v/>
      </c>
      <c r="P6" s="24">
        <f>MAX(0,$K6-$O6)-$N6</f>
        <v/>
      </c>
      <c r="Q6" s="29">
        <f>$L$3</f>
        <v/>
      </c>
      <c r="R6" s="24">
        <f>$Q6*Inputs!$C$19/12</f>
        <v/>
      </c>
      <c r="S6" s="24">
        <f>MIN(MAX(0,($C6+$F6)-$M6),$R6)</f>
        <v/>
      </c>
      <c r="T6" s="24">
        <f>MIN(MAX(0,($D6+$X6)-$N6),MAX(0,$Q6-$U6))</f>
        <v/>
      </c>
      <c r="U6" s="24">
        <f>MIN(MAX(0,$E6-$I6),$Q6)</f>
        <v/>
      </c>
      <c r="V6" s="24">
        <f>MAX(0,$Q6-$U6)-$T6</f>
        <v/>
      </c>
      <c r="W6" s="24">
        <f>MAX(0,MAX(0,($C6+$F6)-$M6)-$S6)-MIN(MAX(0,$D$3-(MAX(0,$F6-MAX(0,($M6+$S6)-$C6)))),MAX(0,MAX(0,($C6+$F6)-$M6)-$S6))</f>
        <v/>
      </c>
      <c r="X6" s="24">
        <f>IF(Inputs!$C$39=1,$W6,0)</f>
        <v/>
      </c>
      <c r="Y6" s="24">
        <f>IF(Inputs!$C$39=0,$W6,0)+MAX(0,MAX(0,($D6+$X6)-$N6)-$T6)</f>
        <v/>
      </c>
    </row>
    <row r="7">
      <c r="B7" s="22" t="n">
        <v>2</v>
      </c>
      <c r="C7" s="29">
        <f>IF($B7&lt;=Inputs!$C$6+Inputs!$C$11,Cashflow_Asset!$E5-Cashflow_Asset!$K5,0)</f>
        <v/>
      </c>
      <c r="D7" s="29">
        <f>IF($B7&lt;=Inputs!$C$6+Inputs!$C$11,Cashflow_Asset!$F5+Cashflow_Asset!$G5+Cashflow_Asset!$I5,0)</f>
        <v/>
      </c>
      <c r="E7" s="29">
        <f>IF($B7&lt;=Inputs!$C$6+Inputs!$C$11,Cashflow_Asset!$J5,0)</f>
        <v/>
      </c>
      <c r="F7" s="23">
        <f>$G6</f>
        <v/>
      </c>
      <c r="G7" s="24">
        <f>(MAX(0,$F7-MAX(0,($M7+$S7)-$C7)))+MIN(MAX(0,$D$3-(MAX(0,$F7-MAX(0,($M7+$S7)-$C7)))),MAX(0,MAX(0,($C7+$F7)-$M7)-$S7))</f>
        <v/>
      </c>
      <c r="H7" s="23">
        <f>$J6</f>
        <v/>
      </c>
      <c r="I7" s="24">
        <f>MIN($E7,$H7)</f>
        <v/>
      </c>
      <c r="J7" s="24">
        <f>$H7-$I7</f>
        <v/>
      </c>
      <c r="K7" s="23">
        <f>$P6</f>
        <v/>
      </c>
      <c r="L7" s="24">
        <f>$K7*Inputs!$C$18/12</f>
        <v/>
      </c>
      <c r="M7" s="24">
        <f>MIN(($C7+$F7),$L7)</f>
        <v/>
      </c>
      <c r="N7" s="24">
        <f>MIN(($D7+$X7),MAX(0,$K7-$O7))</f>
        <v/>
      </c>
      <c r="O7" s="24">
        <f>MIN(MAX(0,MAX(0,$E7-$I7)-$U7),$K7)</f>
        <v/>
      </c>
      <c r="P7" s="24">
        <f>MAX(0,$K7-$O7)-$N7</f>
        <v/>
      </c>
      <c r="Q7" s="23">
        <f>$V6</f>
        <v/>
      </c>
      <c r="R7" s="24">
        <f>$Q7*Inputs!$C$19/12</f>
        <v/>
      </c>
      <c r="S7" s="24">
        <f>MIN(MAX(0,($C7+$F7)-$M7),$R7)</f>
        <v/>
      </c>
      <c r="T7" s="24">
        <f>MIN(MAX(0,($D7+$X7)-$N7),MAX(0,$Q7-$U7))</f>
        <v/>
      </c>
      <c r="U7" s="24">
        <f>MIN(MAX(0,$E7-$I7),$Q7)</f>
        <v/>
      </c>
      <c r="V7" s="24">
        <f>MAX(0,$Q7-$U7)-$T7</f>
        <v/>
      </c>
      <c r="W7" s="24">
        <f>MAX(0,MAX(0,($C7+$F7)-$M7)-$S7)-MIN(MAX(0,$D$3-(MAX(0,$F7-MAX(0,($M7+$S7)-$C7)))),MAX(0,MAX(0,($C7+$F7)-$M7)-$S7))</f>
        <v/>
      </c>
      <c r="X7" s="24">
        <f>IF(Inputs!$C$39=1,$W7,0)</f>
        <v/>
      </c>
      <c r="Y7" s="24">
        <f>IF(Inputs!$C$39=0,$W7,0)+MAX(0,MAX(0,($D7+$X7)-$N7)-$T7)</f>
        <v/>
      </c>
    </row>
    <row r="8">
      <c r="B8" s="22" t="n">
        <v>3</v>
      </c>
      <c r="C8" s="29">
        <f>IF($B8&lt;=Inputs!$C$6+Inputs!$C$11,Cashflow_Asset!$E6-Cashflow_Asset!$K6,0)</f>
        <v/>
      </c>
      <c r="D8" s="29">
        <f>IF($B8&lt;=Inputs!$C$6+Inputs!$C$11,Cashflow_Asset!$F6+Cashflow_Asset!$G6+Cashflow_Asset!$I6,0)</f>
        <v/>
      </c>
      <c r="E8" s="29">
        <f>IF($B8&lt;=Inputs!$C$6+Inputs!$C$11,Cashflow_Asset!$J6,0)</f>
        <v/>
      </c>
      <c r="F8" s="23">
        <f>$G7</f>
        <v/>
      </c>
      <c r="G8" s="24">
        <f>(MAX(0,$F8-MAX(0,($M8+$S8)-$C8)))+MIN(MAX(0,$D$3-(MAX(0,$F8-MAX(0,($M8+$S8)-$C8)))),MAX(0,MAX(0,($C8+$F8)-$M8)-$S8))</f>
        <v/>
      </c>
      <c r="H8" s="23">
        <f>$J7</f>
        <v/>
      </c>
      <c r="I8" s="24">
        <f>MIN($E8,$H8)</f>
        <v/>
      </c>
      <c r="J8" s="24">
        <f>$H8-$I8</f>
        <v/>
      </c>
      <c r="K8" s="23">
        <f>$P7</f>
        <v/>
      </c>
      <c r="L8" s="24">
        <f>$K8*Inputs!$C$18/12</f>
        <v/>
      </c>
      <c r="M8" s="24">
        <f>MIN(($C8+$F8),$L8)</f>
        <v/>
      </c>
      <c r="N8" s="24">
        <f>MIN(($D8+$X8),MAX(0,$K8-$O8))</f>
        <v/>
      </c>
      <c r="O8" s="24">
        <f>MIN(MAX(0,MAX(0,$E8-$I8)-$U8),$K8)</f>
        <v/>
      </c>
      <c r="P8" s="24">
        <f>MAX(0,$K8-$O8)-$N8</f>
        <v/>
      </c>
      <c r="Q8" s="23">
        <f>$V7</f>
        <v/>
      </c>
      <c r="R8" s="24">
        <f>$Q8*Inputs!$C$19/12</f>
        <v/>
      </c>
      <c r="S8" s="24">
        <f>MIN(MAX(0,($C8+$F8)-$M8),$R8)</f>
        <v/>
      </c>
      <c r="T8" s="24">
        <f>MIN(MAX(0,($D8+$X8)-$N8),MAX(0,$Q8-$U8))</f>
        <v/>
      </c>
      <c r="U8" s="24">
        <f>MIN(MAX(0,$E8-$I8),$Q8)</f>
        <v/>
      </c>
      <c r="V8" s="24">
        <f>MAX(0,$Q8-$U8)-$T8</f>
        <v/>
      </c>
      <c r="W8" s="24">
        <f>MAX(0,MAX(0,($C8+$F8)-$M8)-$S8)-MIN(MAX(0,$D$3-(MAX(0,$F8-MAX(0,($M8+$S8)-$C8)))),MAX(0,MAX(0,($C8+$F8)-$M8)-$S8))</f>
        <v/>
      </c>
      <c r="X8" s="24">
        <f>IF(Inputs!$C$39=1,$W8,0)</f>
        <v/>
      </c>
      <c r="Y8" s="24">
        <f>IF(Inputs!$C$39=0,$W8,0)+MAX(0,MAX(0,($D8+$X8)-$N8)-$T8)</f>
        <v/>
      </c>
    </row>
    <row r="9">
      <c r="B9" s="22" t="n">
        <v>4</v>
      </c>
      <c r="C9" s="29">
        <f>IF($B9&lt;=Inputs!$C$6+Inputs!$C$11,Cashflow_Asset!$E7-Cashflow_Asset!$K7,0)</f>
        <v/>
      </c>
      <c r="D9" s="29">
        <f>IF($B9&lt;=Inputs!$C$6+Inputs!$C$11,Cashflow_Asset!$F7+Cashflow_Asset!$G7+Cashflow_Asset!$I7,0)</f>
        <v/>
      </c>
      <c r="E9" s="29">
        <f>IF($B9&lt;=Inputs!$C$6+Inputs!$C$11,Cashflow_Asset!$J7,0)</f>
        <v/>
      </c>
      <c r="F9" s="23">
        <f>$G8</f>
        <v/>
      </c>
      <c r="G9" s="24">
        <f>(MAX(0,$F9-MAX(0,($M9+$S9)-$C9)))+MIN(MAX(0,$D$3-(MAX(0,$F9-MAX(0,($M9+$S9)-$C9)))),MAX(0,MAX(0,($C9+$F9)-$M9)-$S9))</f>
        <v/>
      </c>
      <c r="H9" s="23">
        <f>$J8</f>
        <v/>
      </c>
      <c r="I9" s="24">
        <f>MIN($E9,$H9)</f>
        <v/>
      </c>
      <c r="J9" s="24">
        <f>$H9-$I9</f>
        <v/>
      </c>
      <c r="K9" s="23">
        <f>$P8</f>
        <v/>
      </c>
      <c r="L9" s="24">
        <f>$K9*Inputs!$C$18/12</f>
        <v/>
      </c>
      <c r="M9" s="24">
        <f>MIN(($C9+$F9),$L9)</f>
        <v/>
      </c>
      <c r="N9" s="24">
        <f>MIN(($D9+$X9),MAX(0,$K9-$O9))</f>
        <v/>
      </c>
      <c r="O9" s="24">
        <f>MIN(MAX(0,MAX(0,$E9-$I9)-$U9),$K9)</f>
        <v/>
      </c>
      <c r="P9" s="24">
        <f>MAX(0,$K9-$O9)-$N9</f>
        <v/>
      </c>
      <c r="Q9" s="23">
        <f>$V8</f>
        <v/>
      </c>
      <c r="R9" s="24">
        <f>$Q9*Inputs!$C$19/12</f>
        <v/>
      </c>
      <c r="S9" s="24">
        <f>MIN(MAX(0,($C9+$F9)-$M9),$R9)</f>
        <v/>
      </c>
      <c r="T9" s="24">
        <f>MIN(MAX(0,($D9+$X9)-$N9),MAX(0,$Q9-$U9))</f>
        <v/>
      </c>
      <c r="U9" s="24">
        <f>MIN(MAX(0,$E9-$I9),$Q9)</f>
        <v/>
      </c>
      <c r="V9" s="24">
        <f>MAX(0,$Q9-$U9)-$T9</f>
        <v/>
      </c>
      <c r="W9" s="24">
        <f>MAX(0,MAX(0,($C9+$F9)-$M9)-$S9)-MIN(MAX(0,$D$3-(MAX(0,$F9-MAX(0,($M9+$S9)-$C9)))),MAX(0,MAX(0,($C9+$F9)-$M9)-$S9))</f>
        <v/>
      </c>
      <c r="X9" s="24">
        <f>IF(Inputs!$C$39=1,$W9,0)</f>
        <v/>
      </c>
      <c r="Y9" s="24">
        <f>IF(Inputs!$C$39=0,$W9,0)+MAX(0,MAX(0,($D9+$X9)-$N9)-$T9)</f>
        <v/>
      </c>
    </row>
    <row r="10">
      <c r="B10" s="22" t="n">
        <v>5</v>
      </c>
      <c r="C10" s="29">
        <f>IF($B10&lt;=Inputs!$C$6+Inputs!$C$11,Cashflow_Asset!$E8-Cashflow_Asset!$K8,0)</f>
        <v/>
      </c>
      <c r="D10" s="29">
        <f>IF($B10&lt;=Inputs!$C$6+Inputs!$C$11,Cashflow_Asset!$F8+Cashflow_Asset!$G8+Cashflow_Asset!$I8,0)</f>
        <v/>
      </c>
      <c r="E10" s="29">
        <f>IF($B10&lt;=Inputs!$C$6+Inputs!$C$11,Cashflow_Asset!$J8,0)</f>
        <v/>
      </c>
      <c r="F10" s="23">
        <f>$G9</f>
        <v/>
      </c>
      <c r="G10" s="24">
        <f>(MAX(0,$F10-MAX(0,($M10+$S10)-$C10)))+MIN(MAX(0,$D$3-(MAX(0,$F10-MAX(0,($M10+$S10)-$C10)))),MAX(0,MAX(0,($C10+$F10)-$M10)-$S10))</f>
        <v/>
      </c>
      <c r="H10" s="23">
        <f>$J9</f>
        <v/>
      </c>
      <c r="I10" s="24">
        <f>MIN($E10,$H10)</f>
        <v/>
      </c>
      <c r="J10" s="24">
        <f>$H10-$I10</f>
        <v/>
      </c>
      <c r="K10" s="23">
        <f>$P9</f>
        <v/>
      </c>
      <c r="L10" s="24">
        <f>$K10*Inputs!$C$18/12</f>
        <v/>
      </c>
      <c r="M10" s="24">
        <f>MIN(($C10+$F10),$L10)</f>
        <v/>
      </c>
      <c r="N10" s="24">
        <f>MIN(($D10+$X10),MAX(0,$K10-$O10))</f>
        <v/>
      </c>
      <c r="O10" s="24">
        <f>MIN(MAX(0,MAX(0,$E10-$I10)-$U10),$K10)</f>
        <v/>
      </c>
      <c r="P10" s="24">
        <f>MAX(0,$K10-$O10)-$N10</f>
        <v/>
      </c>
      <c r="Q10" s="23">
        <f>$V9</f>
        <v/>
      </c>
      <c r="R10" s="24">
        <f>$Q10*Inputs!$C$19/12</f>
        <v/>
      </c>
      <c r="S10" s="24">
        <f>MIN(MAX(0,($C10+$F10)-$M10),$R10)</f>
        <v/>
      </c>
      <c r="T10" s="24">
        <f>MIN(MAX(0,($D10+$X10)-$N10),MAX(0,$Q10-$U10))</f>
        <v/>
      </c>
      <c r="U10" s="24">
        <f>MIN(MAX(0,$E10-$I10),$Q10)</f>
        <v/>
      </c>
      <c r="V10" s="24">
        <f>MAX(0,$Q10-$U10)-$T10</f>
        <v/>
      </c>
      <c r="W10" s="24">
        <f>MAX(0,MAX(0,($C10+$F10)-$M10)-$S10)-MIN(MAX(0,$D$3-(MAX(0,$F10-MAX(0,($M10+$S10)-$C10)))),MAX(0,MAX(0,($C10+$F10)-$M10)-$S10))</f>
        <v/>
      </c>
      <c r="X10" s="24">
        <f>IF(Inputs!$C$39=1,$W10,0)</f>
        <v/>
      </c>
      <c r="Y10" s="24">
        <f>IF(Inputs!$C$39=0,$W10,0)+MAX(0,MAX(0,($D10+$X10)-$N10)-$T10)</f>
        <v/>
      </c>
    </row>
    <row r="11">
      <c r="B11" s="22" t="n">
        <v>6</v>
      </c>
      <c r="C11" s="29">
        <f>IF($B11&lt;=Inputs!$C$6+Inputs!$C$11,Cashflow_Asset!$E9-Cashflow_Asset!$K9,0)</f>
        <v/>
      </c>
      <c r="D11" s="29">
        <f>IF($B11&lt;=Inputs!$C$6+Inputs!$C$11,Cashflow_Asset!$F9+Cashflow_Asset!$G9+Cashflow_Asset!$I9,0)</f>
        <v/>
      </c>
      <c r="E11" s="29">
        <f>IF($B11&lt;=Inputs!$C$6+Inputs!$C$11,Cashflow_Asset!$J9,0)</f>
        <v/>
      </c>
      <c r="F11" s="23">
        <f>$G10</f>
        <v/>
      </c>
      <c r="G11" s="24">
        <f>(MAX(0,$F11-MAX(0,($M11+$S11)-$C11)))+MIN(MAX(0,$D$3-(MAX(0,$F11-MAX(0,($M11+$S11)-$C11)))),MAX(0,MAX(0,($C11+$F11)-$M11)-$S11))</f>
        <v/>
      </c>
      <c r="H11" s="23">
        <f>$J10</f>
        <v/>
      </c>
      <c r="I11" s="24">
        <f>MIN($E11,$H11)</f>
        <v/>
      </c>
      <c r="J11" s="24">
        <f>$H11-$I11</f>
        <v/>
      </c>
      <c r="K11" s="23">
        <f>$P10</f>
        <v/>
      </c>
      <c r="L11" s="24">
        <f>$K11*Inputs!$C$18/12</f>
        <v/>
      </c>
      <c r="M11" s="24">
        <f>MIN(($C11+$F11),$L11)</f>
        <v/>
      </c>
      <c r="N11" s="24">
        <f>MIN(($D11+$X11),MAX(0,$K11-$O11))</f>
        <v/>
      </c>
      <c r="O11" s="24">
        <f>MIN(MAX(0,MAX(0,$E11-$I11)-$U11),$K11)</f>
        <v/>
      </c>
      <c r="P11" s="24">
        <f>MAX(0,$K11-$O11)-$N11</f>
        <v/>
      </c>
      <c r="Q11" s="23">
        <f>$V10</f>
        <v/>
      </c>
      <c r="R11" s="24">
        <f>$Q11*Inputs!$C$19/12</f>
        <v/>
      </c>
      <c r="S11" s="24">
        <f>MIN(MAX(0,($C11+$F11)-$M11),$R11)</f>
        <v/>
      </c>
      <c r="T11" s="24">
        <f>MIN(MAX(0,($D11+$X11)-$N11),MAX(0,$Q11-$U11))</f>
        <v/>
      </c>
      <c r="U11" s="24">
        <f>MIN(MAX(0,$E11-$I11),$Q11)</f>
        <v/>
      </c>
      <c r="V11" s="24">
        <f>MAX(0,$Q11-$U11)-$T11</f>
        <v/>
      </c>
      <c r="W11" s="24">
        <f>MAX(0,MAX(0,($C11+$F11)-$M11)-$S11)-MIN(MAX(0,$D$3-(MAX(0,$F11-MAX(0,($M11+$S11)-$C11)))),MAX(0,MAX(0,($C11+$F11)-$M11)-$S11))</f>
        <v/>
      </c>
      <c r="X11" s="24">
        <f>IF(Inputs!$C$39=1,$W11,0)</f>
        <v/>
      </c>
      <c r="Y11" s="24">
        <f>IF(Inputs!$C$39=0,$W11,0)+MAX(0,MAX(0,($D11+$X11)-$N11)-$T11)</f>
        <v/>
      </c>
    </row>
    <row r="12">
      <c r="B12" s="22" t="n">
        <v>7</v>
      </c>
      <c r="C12" s="29">
        <f>IF($B12&lt;=Inputs!$C$6+Inputs!$C$11,Cashflow_Asset!$E10-Cashflow_Asset!$K10,0)</f>
        <v/>
      </c>
      <c r="D12" s="29">
        <f>IF($B12&lt;=Inputs!$C$6+Inputs!$C$11,Cashflow_Asset!$F10+Cashflow_Asset!$G10+Cashflow_Asset!$I10,0)</f>
        <v/>
      </c>
      <c r="E12" s="29">
        <f>IF($B12&lt;=Inputs!$C$6+Inputs!$C$11,Cashflow_Asset!$J10,0)</f>
        <v/>
      </c>
      <c r="F12" s="23">
        <f>$G11</f>
        <v/>
      </c>
      <c r="G12" s="24">
        <f>(MAX(0,$F12-MAX(0,($M12+$S12)-$C12)))+MIN(MAX(0,$D$3-(MAX(0,$F12-MAX(0,($M12+$S12)-$C12)))),MAX(0,MAX(0,($C12+$F12)-$M12)-$S12))</f>
        <v/>
      </c>
      <c r="H12" s="23">
        <f>$J11</f>
        <v/>
      </c>
      <c r="I12" s="24">
        <f>MIN($E12,$H12)</f>
        <v/>
      </c>
      <c r="J12" s="24">
        <f>$H12-$I12</f>
        <v/>
      </c>
      <c r="K12" s="23">
        <f>$P11</f>
        <v/>
      </c>
      <c r="L12" s="24">
        <f>$K12*Inputs!$C$18/12</f>
        <v/>
      </c>
      <c r="M12" s="24">
        <f>MIN(($C12+$F12),$L12)</f>
        <v/>
      </c>
      <c r="N12" s="24">
        <f>MIN(($D12+$X12),MAX(0,$K12-$O12))</f>
        <v/>
      </c>
      <c r="O12" s="24">
        <f>MIN(MAX(0,MAX(0,$E12-$I12)-$U12),$K12)</f>
        <v/>
      </c>
      <c r="P12" s="24">
        <f>MAX(0,$K12-$O12)-$N12</f>
        <v/>
      </c>
      <c r="Q12" s="23">
        <f>$V11</f>
        <v/>
      </c>
      <c r="R12" s="24">
        <f>$Q12*Inputs!$C$19/12</f>
        <v/>
      </c>
      <c r="S12" s="24">
        <f>MIN(MAX(0,($C12+$F12)-$M12),$R12)</f>
        <v/>
      </c>
      <c r="T12" s="24">
        <f>MIN(MAX(0,($D12+$X12)-$N12),MAX(0,$Q12-$U12))</f>
        <v/>
      </c>
      <c r="U12" s="24">
        <f>MIN(MAX(0,$E12-$I12),$Q12)</f>
        <v/>
      </c>
      <c r="V12" s="24">
        <f>MAX(0,$Q12-$U12)-$T12</f>
        <v/>
      </c>
      <c r="W12" s="24">
        <f>MAX(0,MAX(0,($C12+$F12)-$M12)-$S12)-MIN(MAX(0,$D$3-(MAX(0,$F12-MAX(0,($M12+$S12)-$C12)))),MAX(0,MAX(0,($C12+$F12)-$M12)-$S12))</f>
        <v/>
      </c>
      <c r="X12" s="24">
        <f>IF(Inputs!$C$39=1,$W12,0)</f>
        <v/>
      </c>
      <c r="Y12" s="24">
        <f>IF(Inputs!$C$39=0,$W12,0)+MAX(0,MAX(0,($D12+$X12)-$N12)-$T12)</f>
        <v/>
      </c>
    </row>
    <row r="13">
      <c r="B13" s="22" t="n">
        <v>8</v>
      </c>
      <c r="C13" s="29">
        <f>IF($B13&lt;=Inputs!$C$6+Inputs!$C$11,Cashflow_Asset!$E11-Cashflow_Asset!$K11,0)</f>
        <v/>
      </c>
      <c r="D13" s="29">
        <f>IF($B13&lt;=Inputs!$C$6+Inputs!$C$11,Cashflow_Asset!$F11+Cashflow_Asset!$G11+Cashflow_Asset!$I11,0)</f>
        <v/>
      </c>
      <c r="E13" s="29">
        <f>IF($B13&lt;=Inputs!$C$6+Inputs!$C$11,Cashflow_Asset!$J11,0)</f>
        <v/>
      </c>
      <c r="F13" s="23">
        <f>$G12</f>
        <v/>
      </c>
      <c r="G13" s="24">
        <f>(MAX(0,$F13-MAX(0,($M13+$S13)-$C13)))+MIN(MAX(0,$D$3-(MAX(0,$F13-MAX(0,($M13+$S13)-$C13)))),MAX(0,MAX(0,($C13+$F13)-$M13)-$S13))</f>
        <v/>
      </c>
      <c r="H13" s="23">
        <f>$J12</f>
        <v/>
      </c>
      <c r="I13" s="24">
        <f>MIN($E13,$H13)</f>
        <v/>
      </c>
      <c r="J13" s="24">
        <f>$H13-$I13</f>
        <v/>
      </c>
      <c r="K13" s="23">
        <f>$P12</f>
        <v/>
      </c>
      <c r="L13" s="24">
        <f>$K13*Inputs!$C$18/12</f>
        <v/>
      </c>
      <c r="M13" s="24">
        <f>MIN(($C13+$F13),$L13)</f>
        <v/>
      </c>
      <c r="N13" s="24">
        <f>MIN(($D13+$X13),MAX(0,$K13-$O13))</f>
        <v/>
      </c>
      <c r="O13" s="24">
        <f>MIN(MAX(0,MAX(0,$E13-$I13)-$U13),$K13)</f>
        <v/>
      </c>
      <c r="P13" s="24">
        <f>MAX(0,$K13-$O13)-$N13</f>
        <v/>
      </c>
      <c r="Q13" s="23">
        <f>$V12</f>
        <v/>
      </c>
      <c r="R13" s="24">
        <f>$Q13*Inputs!$C$19/12</f>
        <v/>
      </c>
      <c r="S13" s="24">
        <f>MIN(MAX(0,($C13+$F13)-$M13),$R13)</f>
        <v/>
      </c>
      <c r="T13" s="24">
        <f>MIN(MAX(0,($D13+$X13)-$N13),MAX(0,$Q13-$U13))</f>
        <v/>
      </c>
      <c r="U13" s="24">
        <f>MIN(MAX(0,$E13-$I13),$Q13)</f>
        <v/>
      </c>
      <c r="V13" s="24">
        <f>MAX(0,$Q13-$U13)-$T13</f>
        <v/>
      </c>
      <c r="W13" s="24">
        <f>MAX(0,MAX(0,($C13+$F13)-$M13)-$S13)-MIN(MAX(0,$D$3-(MAX(0,$F13-MAX(0,($M13+$S13)-$C13)))),MAX(0,MAX(0,($C13+$F13)-$M13)-$S13))</f>
        <v/>
      </c>
      <c r="X13" s="24">
        <f>IF(Inputs!$C$39=1,$W13,0)</f>
        <v/>
      </c>
      <c r="Y13" s="24">
        <f>IF(Inputs!$C$39=0,$W13,0)+MAX(0,MAX(0,($D13+$X13)-$N13)-$T13)</f>
        <v/>
      </c>
    </row>
    <row r="14">
      <c r="B14" s="22" t="n">
        <v>9</v>
      </c>
      <c r="C14" s="29">
        <f>IF($B14&lt;=Inputs!$C$6+Inputs!$C$11,Cashflow_Asset!$E12-Cashflow_Asset!$K12,0)</f>
        <v/>
      </c>
      <c r="D14" s="29">
        <f>IF($B14&lt;=Inputs!$C$6+Inputs!$C$11,Cashflow_Asset!$F12+Cashflow_Asset!$G12+Cashflow_Asset!$I12,0)</f>
        <v/>
      </c>
      <c r="E14" s="29">
        <f>IF($B14&lt;=Inputs!$C$6+Inputs!$C$11,Cashflow_Asset!$J12,0)</f>
        <v/>
      </c>
      <c r="F14" s="23">
        <f>$G13</f>
        <v/>
      </c>
      <c r="G14" s="24">
        <f>(MAX(0,$F14-MAX(0,($M14+$S14)-$C14)))+MIN(MAX(0,$D$3-(MAX(0,$F14-MAX(0,($M14+$S14)-$C14)))),MAX(0,MAX(0,($C14+$F14)-$M14)-$S14))</f>
        <v/>
      </c>
      <c r="H14" s="23">
        <f>$J13</f>
        <v/>
      </c>
      <c r="I14" s="24">
        <f>MIN($E14,$H14)</f>
        <v/>
      </c>
      <c r="J14" s="24">
        <f>$H14-$I14</f>
        <v/>
      </c>
      <c r="K14" s="23">
        <f>$P13</f>
        <v/>
      </c>
      <c r="L14" s="24">
        <f>$K14*Inputs!$C$18/12</f>
        <v/>
      </c>
      <c r="M14" s="24">
        <f>MIN(($C14+$F14),$L14)</f>
        <v/>
      </c>
      <c r="N14" s="24">
        <f>MIN(($D14+$X14),MAX(0,$K14-$O14))</f>
        <v/>
      </c>
      <c r="O14" s="24">
        <f>MIN(MAX(0,MAX(0,$E14-$I14)-$U14),$K14)</f>
        <v/>
      </c>
      <c r="P14" s="24">
        <f>MAX(0,$K14-$O14)-$N14</f>
        <v/>
      </c>
      <c r="Q14" s="23">
        <f>$V13</f>
        <v/>
      </c>
      <c r="R14" s="24">
        <f>$Q14*Inputs!$C$19/12</f>
        <v/>
      </c>
      <c r="S14" s="24">
        <f>MIN(MAX(0,($C14+$F14)-$M14),$R14)</f>
        <v/>
      </c>
      <c r="T14" s="24">
        <f>MIN(MAX(0,($D14+$X14)-$N14),MAX(0,$Q14-$U14))</f>
        <v/>
      </c>
      <c r="U14" s="24">
        <f>MIN(MAX(0,$E14-$I14),$Q14)</f>
        <v/>
      </c>
      <c r="V14" s="24">
        <f>MAX(0,$Q14-$U14)-$T14</f>
        <v/>
      </c>
      <c r="W14" s="24">
        <f>MAX(0,MAX(0,($C14+$F14)-$M14)-$S14)-MIN(MAX(0,$D$3-(MAX(0,$F14-MAX(0,($M14+$S14)-$C14)))),MAX(0,MAX(0,($C14+$F14)-$M14)-$S14))</f>
        <v/>
      </c>
      <c r="X14" s="24">
        <f>IF(Inputs!$C$39=1,$W14,0)</f>
        <v/>
      </c>
      <c r="Y14" s="24">
        <f>IF(Inputs!$C$39=0,$W14,0)+MAX(0,MAX(0,($D14+$X14)-$N14)-$T14)</f>
        <v/>
      </c>
    </row>
    <row r="15">
      <c r="B15" s="22" t="n">
        <v>10</v>
      </c>
      <c r="C15" s="29">
        <f>IF($B15&lt;=Inputs!$C$6+Inputs!$C$11,Cashflow_Asset!$E13-Cashflow_Asset!$K13,0)</f>
        <v/>
      </c>
      <c r="D15" s="29">
        <f>IF($B15&lt;=Inputs!$C$6+Inputs!$C$11,Cashflow_Asset!$F13+Cashflow_Asset!$G13+Cashflow_Asset!$I13,0)</f>
        <v/>
      </c>
      <c r="E15" s="29">
        <f>IF($B15&lt;=Inputs!$C$6+Inputs!$C$11,Cashflow_Asset!$J13,0)</f>
        <v/>
      </c>
      <c r="F15" s="23">
        <f>$G14</f>
        <v/>
      </c>
      <c r="G15" s="24">
        <f>(MAX(0,$F15-MAX(0,($M15+$S15)-$C15)))+MIN(MAX(0,$D$3-(MAX(0,$F15-MAX(0,($M15+$S15)-$C15)))),MAX(0,MAX(0,($C15+$F15)-$M15)-$S15))</f>
        <v/>
      </c>
      <c r="H15" s="23">
        <f>$J14</f>
        <v/>
      </c>
      <c r="I15" s="24">
        <f>MIN($E15,$H15)</f>
        <v/>
      </c>
      <c r="J15" s="24">
        <f>$H15-$I15</f>
        <v/>
      </c>
      <c r="K15" s="23">
        <f>$P14</f>
        <v/>
      </c>
      <c r="L15" s="24">
        <f>$K15*Inputs!$C$18/12</f>
        <v/>
      </c>
      <c r="M15" s="24">
        <f>MIN(($C15+$F15),$L15)</f>
        <v/>
      </c>
      <c r="N15" s="24">
        <f>MIN(($D15+$X15),MAX(0,$K15-$O15))</f>
        <v/>
      </c>
      <c r="O15" s="24">
        <f>MIN(MAX(0,MAX(0,$E15-$I15)-$U15),$K15)</f>
        <v/>
      </c>
      <c r="P15" s="24">
        <f>MAX(0,$K15-$O15)-$N15</f>
        <v/>
      </c>
      <c r="Q15" s="23">
        <f>$V14</f>
        <v/>
      </c>
      <c r="R15" s="24">
        <f>$Q15*Inputs!$C$19/12</f>
        <v/>
      </c>
      <c r="S15" s="24">
        <f>MIN(MAX(0,($C15+$F15)-$M15),$R15)</f>
        <v/>
      </c>
      <c r="T15" s="24">
        <f>MIN(MAX(0,($D15+$X15)-$N15),MAX(0,$Q15-$U15))</f>
        <v/>
      </c>
      <c r="U15" s="24">
        <f>MIN(MAX(0,$E15-$I15),$Q15)</f>
        <v/>
      </c>
      <c r="V15" s="24">
        <f>MAX(0,$Q15-$U15)-$T15</f>
        <v/>
      </c>
      <c r="W15" s="24">
        <f>MAX(0,MAX(0,($C15+$F15)-$M15)-$S15)-MIN(MAX(0,$D$3-(MAX(0,$F15-MAX(0,($M15+$S15)-$C15)))),MAX(0,MAX(0,($C15+$F15)-$M15)-$S15))</f>
        <v/>
      </c>
      <c r="X15" s="24">
        <f>IF(Inputs!$C$39=1,$W15,0)</f>
        <v/>
      </c>
      <c r="Y15" s="24">
        <f>IF(Inputs!$C$39=0,$W15,0)+MAX(0,MAX(0,($D15+$X15)-$N15)-$T15)</f>
        <v/>
      </c>
    </row>
    <row r="16">
      <c r="B16" s="22" t="n">
        <v>11</v>
      </c>
      <c r="C16" s="29">
        <f>IF($B16&lt;=Inputs!$C$6+Inputs!$C$11,Cashflow_Asset!$E14-Cashflow_Asset!$K14,0)</f>
        <v/>
      </c>
      <c r="D16" s="29">
        <f>IF($B16&lt;=Inputs!$C$6+Inputs!$C$11,Cashflow_Asset!$F14+Cashflow_Asset!$G14+Cashflow_Asset!$I14,0)</f>
        <v/>
      </c>
      <c r="E16" s="29">
        <f>IF($B16&lt;=Inputs!$C$6+Inputs!$C$11,Cashflow_Asset!$J14,0)</f>
        <v/>
      </c>
      <c r="F16" s="23">
        <f>$G15</f>
        <v/>
      </c>
      <c r="G16" s="24">
        <f>(MAX(0,$F16-MAX(0,($M16+$S16)-$C16)))+MIN(MAX(0,$D$3-(MAX(0,$F16-MAX(0,($M16+$S16)-$C16)))),MAX(0,MAX(0,($C16+$F16)-$M16)-$S16))</f>
        <v/>
      </c>
      <c r="H16" s="23">
        <f>$J15</f>
        <v/>
      </c>
      <c r="I16" s="24">
        <f>MIN($E16,$H16)</f>
        <v/>
      </c>
      <c r="J16" s="24">
        <f>$H16-$I16</f>
        <v/>
      </c>
      <c r="K16" s="23">
        <f>$P15</f>
        <v/>
      </c>
      <c r="L16" s="24">
        <f>$K16*Inputs!$C$18/12</f>
        <v/>
      </c>
      <c r="M16" s="24">
        <f>MIN(($C16+$F16),$L16)</f>
        <v/>
      </c>
      <c r="N16" s="24">
        <f>MIN(($D16+$X16),MAX(0,$K16-$O16))</f>
        <v/>
      </c>
      <c r="O16" s="24">
        <f>MIN(MAX(0,MAX(0,$E16-$I16)-$U16),$K16)</f>
        <v/>
      </c>
      <c r="P16" s="24">
        <f>MAX(0,$K16-$O16)-$N16</f>
        <v/>
      </c>
      <c r="Q16" s="23">
        <f>$V15</f>
        <v/>
      </c>
      <c r="R16" s="24">
        <f>$Q16*Inputs!$C$19/12</f>
        <v/>
      </c>
      <c r="S16" s="24">
        <f>MIN(MAX(0,($C16+$F16)-$M16),$R16)</f>
        <v/>
      </c>
      <c r="T16" s="24">
        <f>MIN(MAX(0,($D16+$X16)-$N16),MAX(0,$Q16-$U16))</f>
        <v/>
      </c>
      <c r="U16" s="24">
        <f>MIN(MAX(0,$E16-$I16),$Q16)</f>
        <v/>
      </c>
      <c r="V16" s="24">
        <f>MAX(0,$Q16-$U16)-$T16</f>
        <v/>
      </c>
      <c r="W16" s="24">
        <f>MAX(0,MAX(0,($C16+$F16)-$M16)-$S16)-MIN(MAX(0,$D$3-(MAX(0,$F16-MAX(0,($M16+$S16)-$C16)))),MAX(0,MAX(0,($C16+$F16)-$M16)-$S16))</f>
        <v/>
      </c>
      <c r="X16" s="24">
        <f>IF(Inputs!$C$39=1,$W16,0)</f>
        <v/>
      </c>
      <c r="Y16" s="24">
        <f>IF(Inputs!$C$39=0,$W16,0)+MAX(0,MAX(0,($D16+$X16)-$N16)-$T16)</f>
        <v/>
      </c>
    </row>
    <row r="17">
      <c r="B17" s="22" t="n">
        <v>12</v>
      </c>
      <c r="C17" s="29">
        <f>IF($B17&lt;=Inputs!$C$6+Inputs!$C$11,Cashflow_Asset!$E15-Cashflow_Asset!$K15,0)</f>
        <v/>
      </c>
      <c r="D17" s="29">
        <f>IF($B17&lt;=Inputs!$C$6+Inputs!$C$11,Cashflow_Asset!$F15+Cashflow_Asset!$G15+Cashflow_Asset!$I15,0)</f>
        <v/>
      </c>
      <c r="E17" s="29">
        <f>IF($B17&lt;=Inputs!$C$6+Inputs!$C$11,Cashflow_Asset!$J15,0)</f>
        <v/>
      </c>
      <c r="F17" s="23">
        <f>$G16</f>
        <v/>
      </c>
      <c r="G17" s="24">
        <f>(MAX(0,$F17-MAX(0,($M17+$S17)-$C17)))+MIN(MAX(0,$D$3-(MAX(0,$F17-MAX(0,($M17+$S17)-$C17)))),MAX(0,MAX(0,($C17+$F17)-$M17)-$S17))</f>
        <v/>
      </c>
      <c r="H17" s="23">
        <f>$J16</f>
        <v/>
      </c>
      <c r="I17" s="24">
        <f>MIN($E17,$H17)</f>
        <v/>
      </c>
      <c r="J17" s="24">
        <f>$H17-$I17</f>
        <v/>
      </c>
      <c r="K17" s="23">
        <f>$P16</f>
        <v/>
      </c>
      <c r="L17" s="24">
        <f>$K17*Inputs!$C$18/12</f>
        <v/>
      </c>
      <c r="M17" s="24">
        <f>MIN(($C17+$F17),$L17)</f>
        <v/>
      </c>
      <c r="N17" s="24">
        <f>MIN(($D17+$X17),MAX(0,$K17-$O17))</f>
        <v/>
      </c>
      <c r="O17" s="24">
        <f>MIN(MAX(0,MAX(0,$E17-$I17)-$U17),$K17)</f>
        <v/>
      </c>
      <c r="P17" s="24">
        <f>MAX(0,$K17-$O17)-$N17</f>
        <v/>
      </c>
      <c r="Q17" s="23">
        <f>$V16</f>
        <v/>
      </c>
      <c r="R17" s="24">
        <f>$Q17*Inputs!$C$19/12</f>
        <v/>
      </c>
      <c r="S17" s="24">
        <f>MIN(MAX(0,($C17+$F17)-$M17),$R17)</f>
        <v/>
      </c>
      <c r="T17" s="24">
        <f>MIN(MAX(0,($D17+$X17)-$N17),MAX(0,$Q17-$U17))</f>
        <v/>
      </c>
      <c r="U17" s="24">
        <f>MIN(MAX(0,$E17-$I17),$Q17)</f>
        <v/>
      </c>
      <c r="V17" s="24">
        <f>MAX(0,$Q17-$U17)-$T17</f>
        <v/>
      </c>
      <c r="W17" s="24">
        <f>MAX(0,MAX(0,($C17+$F17)-$M17)-$S17)-MIN(MAX(0,$D$3-(MAX(0,$F17-MAX(0,($M17+$S17)-$C17)))),MAX(0,MAX(0,($C17+$F17)-$M17)-$S17))</f>
        <v/>
      </c>
      <c r="X17" s="24">
        <f>IF(Inputs!$C$39=1,$W17,0)</f>
        <v/>
      </c>
      <c r="Y17" s="24">
        <f>IF(Inputs!$C$39=0,$W17,0)+MAX(0,MAX(0,($D17+$X17)-$N17)-$T17)</f>
        <v/>
      </c>
    </row>
    <row r="18">
      <c r="B18" s="22" t="n">
        <v>13</v>
      </c>
      <c r="C18" s="29">
        <f>IF($B18&lt;=Inputs!$C$6+Inputs!$C$11,Cashflow_Asset!$E16-Cashflow_Asset!$K16,0)</f>
        <v/>
      </c>
      <c r="D18" s="29">
        <f>IF($B18&lt;=Inputs!$C$6+Inputs!$C$11,Cashflow_Asset!$F16+Cashflow_Asset!$G16+Cashflow_Asset!$I16,0)</f>
        <v/>
      </c>
      <c r="E18" s="29">
        <f>IF($B18&lt;=Inputs!$C$6+Inputs!$C$11,Cashflow_Asset!$J16,0)</f>
        <v/>
      </c>
      <c r="F18" s="23">
        <f>$G17</f>
        <v/>
      </c>
      <c r="G18" s="24">
        <f>(MAX(0,$F18-MAX(0,($M18+$S18)-$C18)))+MIN(MAX(0,$D$3-(MAX(0,$F18-MAX(0,($M18+$S18)-$C18)))),MAX(0,MAX(0,($C18+$F18)-$M18)-$S18))</f>
        <v/>
      </c>
      <c r="H18" s="23">
        <f>$J17</f>
        <v/>
      </c>
      <c r="I18" s="24">
        <f>MIN($E18,$H18)</f>
        <v/>
      </c>
      <c r="J18" s="24">
        <f>$H18-$I18</f>
        <v/>
      </c>
      <c r="K18" s="23">
        <f>$P17</f>
        <v/>
      </c>
      <c r="L18" s="24">
        <f>$K18*Inputs!$C$18/12</f>
        <v/>
      </c>
      <c r="M18" s="24">
        <f>MIN(($C18+$F18),$L18)</f>
        <v/>
      </c>
      <c r="N18" s="24">
        <f>MIN(($D18+$X18),MAX(0,$K18-$O18))</f>
        <v/>
      </c>
      <c r="O18" s="24">
        <f>MIN(MAX(0,MAX(0,$E18-$I18)-$U18),$K18)</f>
        <v/>
      </c>
      <c r="P18" s="24">
        <f>MAX(0,$K18-$O18)-$N18</f>
        <v/>
      </c>
      <c r="Q18" s="23">
        <f>$V17</f>
        <v/>
      </c>
      <c r="R18" s="24">
        <f>$Q18*Inputs!$C$19/12</f>
        <v/>
      </c>
      <c r="S18" s="24">
        <f>MIN(MAX(0,($C18+$F18)-$M18),$R18)</f>
        <v/>
      </c>
      <c r="T18" s="24">
        <f>MIN(MAX(0,($D18+$X18)-$N18),MAX(0,$Q18-$U18))</f>
        <v/>
      </c>
      <c r="U18" s="24">
        <f>MIN(MAX(0,$E18-$I18),$Q18)</f>
        <v/>
      </c>
      <c r="V18" s="24">
        <f>MAX(0,$Q18-$U18)-$T18</f>
        <v/>
      </c>
      <c r="W18" s="24">
        <f>MAX(0,MAX(0,($C18+$F18)-$M18)-$S18)-MIN(MAX(0,$D$3-(MAX(0,$F18-MAX(0,($M18+$S18)-$C18)))),MAX(0,MAX(0,($C18+$F18)-$M18)-$S18))</f>
        <v/>
      </c>
      <c r="X18" s="24">
        <f>IF(Inputs!$C$39=1,$W18,0)</f>
        <v/>
      </c>
      <c r="Y18" s="24">
        <f>IF(Inputs!$C$39=0,$W18,0)+MAX(0,MAX(0,($D18+$X18)-$N18)-$T18)</f>
        <v/>
      </c>
    </row>
    <row r="19">
      <c r="B19" s="22" t="n">
        <v>14</v>
      </c>
      <c r="C19" s="29">
        <f>IF($B19&lt;=Inputs!$C$6+Inputs!$C$11,Cashflow_Asset!$E17-Cashflow_Asset!$K17,0)</f>
        <v/>
      </c>
      <c r="D19" s="29">
        <f>IF($B19&lt;=Inputs!$C$6+Inputs!$C$11,Cashflow_Asset!$F17+Cashflow_Asset!$G17+Cashflow_Asset!$I17,0)</f>
        <v/>
      </c>
      <c r="E19" s="29">
        <f>IF($B19&lt;=Inputs!$C$6+Inputs!$C$11,Cashflow_Asset!$J17,0)</f>
        <v/>
      </c>
      <c r="F19" s="23">
        <f>$G18</f>
        <v/>
      </c>
      <c r="G19" s="24">
        <f>(MAX(0,$F19-MAX(0,($M19+$S19)-$C19)))+MIN(MAX(0,$D$3-(MAX(0,$F19-MAX(0,($M19+$S19)-$C19)))),MAX(0,MAX(0,($C19+$F19)-$M19)-$S19))</f>
        <v/>
      </c>
      <c r="H19" s="23">
        <f>$J18</f>
        <v/>
      </c>
      <c r="I19" s="24">
        <f>MIN($E19,$H19)</f>
        <v/>
      </c>
      <c r="J19" s="24">
        <f>$H19-$I19</f>
        <v/>
      </c>
      <c r="K19" s="23">
        <f>$P18</f>
        <v/>
      </c>
      <c r="L19" s="24">
        <f>$K19*Inputs!$C$18/12</f>
        <v/>
      </c>
      <c r="M19" s="24">
        <f>MIN(($C19+$F19),$L19)</f>
        <v/>
      </c>
      <c r="N19" s="24">
        <f>MIN(($D19+$X19),MAX(0,$K19-$O19))</f>
        <v/>
      </c>
      <c r="O19" s="24">
        <f>MIN(MAX(0,MAX(0,$E19-$I19)-$U19),$K19)</f>
        <v/>
      </c>
      <c r="P19" s="24">
        <f>MAX(0,$K19-$O19)-$N19</f>
        <v/>
      </c>
      <c r="Q19" s="23">
        <f>$V18</f>
        <v/>
      </c>
      <c r="R19" s="24">
        <f>$Q19*Inputs!$C$19/12</f>
        <v/>
      </c>
      <c r="S19" s="24">
        <f>MIN(MAX(0,($C19+$F19)-$M19),$R19)</f>
        <v/>
      </c>
      <c r="T19" s="24">
        <f>MIN(MAX(0,($D19+$X19)-$N19),MAX(0,$Q19-$U19))</f>
        <v/>
      </c>
      <c r="U19" s="24">
        <f>MIN(MAX(0,$E19-$I19),$Q19)</f>
        <v/>
      </c>
      <c r="V19" s="24">
        <f>MAX(0,$Q19-$U19)-$T19</f>
        <v/>
      </c>
      <c r="W19" s="24">
        <f>MAX(0,MAX(0,($C19+$F19)-$M19)-$S19)-MIN(MAX(0,$D$3-(MAX(0,$F19-MAX(0,($M19+$S19)-$C19)))),MAX(0,MAX(0,($C19+$F19)-$M19)-$S19))</f>
        <v/>
      </c>
      <c r="X19" s="24">
        <f>IF(Inputs!$C$39=1,$W19,0)</f>
        <v/>
      </c>
      <c r="Y19" s="24">
        <f>IF(Inputs!$C$39=0,$W19,0)+MAX(0,MAX(0,($D19+$X19)-$N19)-$T19)</f>
        <v/>
      </c>
    </row>
    <row r="20">
      <c r="B20" s="22" t="n">
        <v>15</v>
      </c>
      <c r="C20" s="29">
        <f>IF($B20&lt;=Inputs!$C$6+Inputs!$C$11,Cashflow_Asset!$E18-Cashflow_Asset!$K18,0)</f>
        <v/>
      </c>
      <c r="D20" s="29">
        <f>IF($B20&lt;=Inputs!$C$6+Inputs!$C$11,Cashflow_Asset!$F18+Cashflow_Asset!$G18+Cashflow_Asset!$I18,0)</f>
        <v/>
      </c>
      <c r="E20" s="29">
        <f>IF($B20&lt;=Inputs!$C$6+Inputs!$C$11,Cashflow_Asset!$J18,0)</f>
        <v/>
      </c>
      <c r="F20" s="23">
        <f>$G19</f>
        <v/>
      </c>
      <c r="G20" s="24">
        <f>(MAX(0,$F20-MAX(0,($M20+$S20)-$C20)))+MIN(MAX(0,$D$3-(MAX(0,$F20-MAX(0,($M20+$S20)-$C20)))),MAX(0,MAX(0,($C20+$F20)-$M20)-$S20))</f>
        <v/>
      </c>
      <c r="H20" s="23">
        <f>$J19</f>
        <v/>
      </c>
      <c r="I20" s="24">
        <f>MIN($E20,$H20)</f>
        <v/>
      </c>
      <c r="J20" s="24">
        <f>$H20-$I20</f>
        <v/>
      </c>
      <c r="K20" s="23">
        <f>$P19</f>
        <v/>
      </c>
      <c r="L20" s="24">
        <f>$K20*Inputs!$C$18/12</f>
        <v/>
      </c>
      <c r="M20" s="24">
        <f>MIN(($C20+$F20),$L20)</f>
        <v/>
      </c>
      <c r="N20" s="24">
        <f>MIN(($D20+$X20),MAX(0,$K20-$O20))</f>
        <v/>
      </c>
      <c r="O20" s="24">
        <f>MIN(MAX(0,MAX(0,$E20-$I20)-$U20),$K20)</f>
        <v/>
      </c>
      <c r="P20" s="24">
        <f>MAX(0,$K20-$O20)-$N20</f>
        <v/>
      </c>
      <c r="Q20" s="23">
        <f>$V19</f>
        <v/>
      </c>
      <c r="R20" s="24">
        <f>$Q20*Inputs!$C$19/12</f>
        <v/>
      </c>
      <c r="S20" s="24">
        <f>MIN(MAX(0,($C20+$F20)-$M20),$R20)</f>
        <v/>
      </c>
      <c r="T20" s="24">
        <f>MIN(MAX(0,($D20+$X20)-$N20),MAX(0,$Q20-$U20))</f>
        <v/>
      </c>
      <c r="U20" s="24">
        <f>MIN(MAX(0,$E20-$I20),$Q20)</f>
        <v/>
      </c>
      <c r="V20" s="24">
        <f>MAX(0,$Q20-$U20)-$T20</f>
        <v/>
      </c>
      <c r="W20" s="24">
        <f>MAX(0,MAX(0,($C20+$F20)-$M20)-$S20)-MIN(MAX(0,$D$3-(MAX(0,$F20-MAX(0,($M20+$S20)-$C20)))),MAX(0,MAX(0,($C20+$F20)-$M20)-$S20))</f>
        <v/>
      </c>
      <c r="X20" s="24">
        <f>IF(Inputs!$C$39=1,$W20,0)</f>
        <v/>
      </c>
      <c r="Y20" s="24">
        <f>IF(Inputs!$C$39=0,$W20,0)+MAX(0,MAX(0,($D20+$X20)-$N20)-$T20)</f>
        <v/>
      </c>
    </row>
    <row r="21">
      <c r="B21" s="22" t="n">
        <v>16</v>
      </c>
      <c r="C21" s="29">
        <f>IF($B21&lt;=Inputs!$C$6+Inputs!$C$11,Cashflow_Asset!$E19-Cashflow_Asset!$K19,0)</f>
        <v/>
      </c>
      <c r="D21" s="29">
        <f>IF($B21&lt;=Inputs!$C$6+Inputs!$C$11,Cashflow_Asset!$F19+Cashflow_Asset!$G19+Cashflow_Asset!$I19,0)</f>
        <v/>
      </c>
      <c r="E21" s="29">
        <f>IF($B21&lt;=Inputs!$C$6+Inputs!$C$11,Cashflow_Asset!$J19,0)</f>
        <v/>
      </c>
      <c r="F21" s="23">
        <f>$G20</f>
        <v/>
      </c>
      <c r="G21" s="24">
        <f>(MAX(0,$F21-MAX(0,($M21+$S21)-$C21)))+MIN(MAX(0,$D$3-(MAX(0,$F21-MAX(0,($M21+$S21)-$C21)))),MAX(0,MAX(0,($C21+$F21)-$M21)-$S21))</f>
        <v/>
      </c>
      <c r="H21" s="23">
        <f>$J20</f>
        <v/>
      </c>
      <c r="I21" s="24">
        <f>MIN($E21,$H21)</f>
        <v/>
      </c>
      <c r="J21" s="24">
        <f>$H21-$I21</f>
        <v/>
      </c>
      <c r="K21" s="23">
        <f>$P20</f>
        <v/>
      </c>
      <c r="L21" s="24">
        <f>$K21*Inputs!$C$18/12</f>
        <v/>
      </c>
      <c r="M21" s="24">
        <f>MIN(($C21+$F21),$L21)</f>
        <v/>
      </c>
      <c r="N21" s="24">
        <f>MIN(($D21+$X21),MAX(0,$K21-$O21))</f>
        <v/>
      </c>
      <c r="O21" s="24">
        <f>MIN(MAX(0,MAX(0,$E21-$I21)-$U21),$K21)</f>
        <v/>
      </c>
      <c r="P21" s="24">
        <f>MAX(0,$K21-$O21)-$N21</f>
        <v/>
      </c>
      <c r="Q21" s="23">
        <f>$V20</f>
        <v/>
      </c>
      <c r="R21" s="24">
        <f>$Q21*Inputs!$C$19/12</f>
        <v/>
      </c>
      <c r="S21" s="24">
        <f>MIN(MAX(0,($C21+$F21)-$M21),$R21)</f>
        <v/>
      </c>
      <c r="T21" s="24">
        <f>MIN(MAX(0,($D21+$X21)-$N21),MAX(0,$Q21-$U21))</f>
        <v/>
      </c>
      <c r="U21" s="24">
        <f>MIN(MAX(0,$E21-$I21),$Q21)</f>
        <v/>
      </c>
      <c r="V21" s="24">
        <f>MAX(0,$Q21-$U21)-$T21</f>
        <v/>
      </c>
      <c r="W21" s="24">
        <f>MAX(0,MAX(0,($C21+$F21)-$M21)-$S21)-MIN(MAX(0,$D$3-(MAX(0,$F21-MAX(0,($M21+$S21)-$C21)))),MAX(0,MAX(0,($C21+$F21)-$M21)-$S21))</f>
        <v/>
      </c>
      <c r="X21" s="24">
        <f>IF(Inputs!$C$39=1,$W21,0)</f>
        <v/>
      </c>
      <c r="Y21" s="24">
        <f>IF(Inputs!$C$39=0,$W21,0)+MAX(0,MAX(0,($D21+$X21)-$N21)-$T21)</f>
        <v/>
      </c>
    </row>
    <row r="22">
      <c r="B22" s="22" t="n">
        <v>17</v>
      </c>
      <c r="C22" s="29">
        <f>IF($B22&lt;=Inputs!$C$6+Inputs!$C$11,Cashflow_Asset!$E20-Cashflow_Asset!$K20,0)</f>
        <v/>
      </c>
      <c r="D22" s="29">
        <f>IF($B22&lt;=Inputs!$C$6+Inputs!$C$11,Cashflow_Asset!$F20+Cashflow_Asset!$G20+Cashflow_Asset!$I20,0)</f>
        <v/>
      </c>
      <c r="E22" s="29">
        <f>IF($B22&lt;=Inputs!$C$6+Inputs!$C$11,Cashflow_Asset!$J20,0)</f>
        <v/>
      </c>
      <c r="F22" s="23">
        <f>$G21</f>
        <v/>
      </c>
      <c r="G22" s="24">
        <f>(MAX(0,$F22-MAX(0,($M22+$S22)-$C22)))+MIN(MAX(0,$D$3-(MAX(0,$F22-MAX(0,($M22+$S22)-$C22)))),MAX(0,MAX(0,($C22+$F22)-$M22)-$S22))</f>
        <v/>
      </c>
      <c r="H22" s="23">
        <f>$J21</f>
        <v/>
      </c>
      <c r="I22" s="24">
        <f>MIN($E22,$H22)</f>
        <v/>
      </c>
      <c r="J22" s="24">
        <f>$H22-$I22</f>
        <v/>
      </c>
      <c r="K22" s="23">
        <f>$P21</f>
        <v/>
      </c>
      <c r="L22" s="24">
        <f>$K22*Inputs!$C$18/12</f>
        <v/>
      </c>
      <c r="M22" s="24">
        <f>MIN(($C22+$F22),$L22)</f>
        <v/>
      </c>
      <c r="N22" s="24">
        <f>MIN(($D22+$X22),MAX(0,$K22-$O22))</f>
        <v/>
      </c>
      <c r="O22" s="24">
        <f>MIN(MAX(0,MAX(0,$E22-$I22)-$U22),$K22)</f>
        <v/>
      </c>
      <c r="P22" s="24">
        <f>MAX(0,$K22-$O22)-$N22</f>
        <v/>
      </c>
      <c r="Q22" s="23">
        <f>$V21</f>
        <v/>
      </c>
      <c r="R22" s="24">
        <f>$Q22*Inputs!$C$19/12</f>
        <v/>
      </c>
      <c r="S22" s="24">
        <f>MIN(MAX(0,($C22+$F22)-$M22),$R22)</f>
        <v/>
      </c>
      <c r="T22" s="24">
        <f>MIN(MAX(0,($D22+$X22)-$N22),MAX(0,$Q22-$U22))</f>
        <v/>
      </c>
      <c r="U22" s="24">
        <f>MIN(MAX(0,$E22-$I22),$Q22)</f>
        <v/>
      </c>
      <c r="V22" s="24">
        <f>MAX(0,$Q22-$U22)-$T22</f>
        <v/>
      </c>
      <c r="W22" s="24">
        <f>MAX(0,MAX(0,($C22+$F22)-$M22)-$S22)-MIN(MAX(0,$D$3-(MAX(0,$F22-MAX(0,($M22+$S22)-$C22)))),MAX(0,MAX(0,($C22+$F22)-$M22)-$S22))</f>
        <v/>
      </c>
      <c r="X22" s="24">
        <f>IF(Inputs!$C$39=1,$W22,0)</f>
        <v/>
      </c>
      <c r="Y22" s="24">
        <f>IF(Inputs!$C$39=0,$W22,0)+MAX(0,MAX(0,($D22+$X22)-$N22)-$T22)</f>
        <v/>
      </c>
    </row>
    <row r="23">
      <c r="B23" s="22" t="n">
        <v>18</v>
      </c>
      <c r="C23" s="29">
        <f>IF($B23&lt;=Inputs!$C$6+Inputs!$C$11,Cashflow_Asset!$E21-Cashflow_Asset!$K21,0)</f>
        <v/>
      </c>
      <c r="D23" s="29">
        <f>IF($B23&lt;=Inputs!$C$6+Inputs!$C$11,Cashflow_Asset!$F21+Cashflow_Asset!$G21+Cashflow_Asset!$I21,0)</f>
        <v/>
      </c>
      <c r="E23" s="29">
        <f>IF($B23&lt;=Inputs!$C$6+Inputs!$C$11,Cashflow_Asset!$J21,0)</f>
        <v/>
      </c>
      <c r="F23" s="23">
        <f>$G22</f>
        <v/>
      </c>
      <c r="G23" s="24">
        <f>(MAX(0,$F23-MAX(0,($M23+$S23)-$C23)))+MIN(MAX(0,$D$3-(MAX(0,$F23-MAX(0,($M23+$S23)-$C23)))),MAX(0,MAX(0,($C23+$F23)-$M23)-$S23))</f>
        <v/>
      </c>
      <c r="H23" s="23">
        <f>$J22</f>
        <v/>
      </c>
      <c r="I23" s="24">
        <f>MIN($E23,$H23)</f>
        <v/>
      </c>
      <c r="J23" s="24">
        <f>$H23-$I23</f>
        <v/>
      </c>
      <c r="K23" s="23">
        <f>$P22</f>
        <v/>
      </c>
      <c r="L23" s="24">
        <f>$K23*Inputs!$C$18/12</f>
        <v/>
      </c>
      <c r="M23" s="24">
        <f>MIN(($C23+$F23),$L23)</f>
        <v/>
      </c>
      <c r="N23" s="24">
        <f>MIN(($D23+$X23),MAX(0,$K23-$O23))</f>
        <v/>
      </c>
      <c r="O23" s="24">
        <f>MIN(MAX(0,MAX(0,$E23-$I23)-$U23),$K23)</f>
        <v/>
      </c>
      <c r="P23" s="24">
        <f>MAX(0,$K23-$O23)-$N23</f>
        <v/>
      </c>
      <c r="Q23" s="23">
        <f>$V22</f>
        <v/>
      </c>
      <c r="R23" s="24">
        <f>$Q23*Inputs!$C$19/12</f>
        <v/>
      </c>
      <c r="S23" s="24">
        <f>MIN(MAX(0,($C23+$F23)-$M23),$R23)</f>
        <v/>
      </c>
      <c r="T23" s="24">
        <f>MIN(MAX(0,($D23+$X23)-$N23),MAX(0,$Q23-$U23))</f>
        <v/>
      </c>
      <c r="U23" s="24">
        <f>MIN(MAX(0,$E23-$I23),$Q23)</f>
        <v/>
      </c>
      <c r="V23" s="24">
        <f>MAX(0,$Q23-$U23)-$T23</f>
        <v/>
      </c>
      <c r="W23" s="24">
        <f>MAX(0,MAX(0,($C23+$F23)-$M23)-$S23)-MIN(MAX(0,$D$3-(MAX(0,$F23-MAX(0,($M23+$S23)-$C23)))),MAX(0,MAX(0,($C23+$F23)-$M23)-$S23))</f>
        <v/>
      </c>
      <c r="X23" s="24">
        <f>IF(Inputs!$C$39=1,$W23,0)</f>
        <v/>
      </c>
      <c r="Y23" s="24">
        <f>IF(Inputs!$C$39=0,$W23,0)+MAX(0,MAX(0,($D23+$X23)-$N23)-$T23)</f>
        <v/>
      </c>
    </row>
    <row r="24">
      <c r="B24" s="22" t="n">
        <v>19</v>
      </c>
      <c r="C24" s="29">
        <f>IF($B24&lt;=Inputs!$C$6+Inputs!$C$11,Cashflow_Asset!$E22-Cashflow_Asset!$K22,0)</f>
        <v/>
      </c>
      <c r="D24" s="29">
        <f>IF($B24&lt;=Inputs!$C$6+Inputs!$C$11,Cashflow_Asset!$F22+Cashflow_Asset!$G22+Cashflow_Asset!$I22,0)</f>
        <v/>
      </c>
      <c r="E24" s="29">
        <f>IF($B24&lt;=Inputs!$C$6+Inputs!$C$11,Cashflow_Asset!$J22,0)</f>
        <v/>
      </c>
      <c r="F24" s="23">
        <f>$G23</f>
        <v/>
      </c>
      <c r="G24" s="24">
        <f>(MAX(0,$F24-MAX(0,($M24+$S24)-$C24)))+MIN(MAX(0,$D$3-(MAX(0,$F24-MAX(0,($M24+$S24)-$C24)))),MAX(0,MAX(0,($C24+$F24)-$M24)-$S24))</f>
        <v/>
      </c>
      <c r="H24" s="23">
        <f>$J23</f>
        <v/>
      </c>
      <c r="I24" s="24">
        <f>MIN($E24,$H24)</f>
        <v/>
      </c>
      <c r="J24" s="24">
        <f>$H24-$I24</f>
        <v/>
      </c>
      <c r="K24" s="23">
        <f>$P23</f>
        <v/>
      </c>
      <c r="L24" s="24">
        <f>$K24*Inputs!$C$18/12</f>
        <v/>
      </c>
      <c r="M24" s="24">
        <f>MIN(($C24+$F24),$L24)</f>
        <v/>
      </c>
      <c r="N24" s="24">
        <f>MIN(($D24+$X24),MAX(0,$K24-$O24))</f>
        <v/>
      </c>
      <c r="O24" s="24">
        <f>MIN(MAX(0,MAX(0,$E24-$I24)-$U24),$K24)</f>
        <v/>
      </c>
      <c r="P24" s="24">
        <f>MAX(0,$K24-$O24)-$N24</f>
        <v/>
      </c>
      <c r="Q24" s="23">
        <f>$V23</f>
        <v/>
      </c>
      <c r="R24" s="24">
        <f>$Q24*Inputs!$C$19/12</f>
        <v/>
      </c>
      <c r="S24" s="24">
        <f>MIN(MAX(0,($C24+$F24)-$M24),$R24)</f>
        <v/>
      </c>
      <c r="T24" s="24">
        <f>MIN(MAX(0,($D24+$X24)-$N24),MAX(0,$Q24-$U24))</f>
        <v/>
      </c>
      <c r="U24" s="24">
        <f>MIN(MAX(0,$E24-$I24),$Q24)</f>
        <v/>
      </c>
      <c r="V24" s="24">
        <f>MAX(0,$Q24-$U24)-$T24</f>
        <v/>
      </c>
      <c r="W24" s="24">
        <f>MAX(0,MAX(0,($C24+$F24)-$M24)-$S24)-MIN(MAX(0,$D$3-(MAX(0,$F24-MAX(0,($M24+$S24)-$C24)))),MAX(0,MAX(0,($C24+$F24)-$M24)-$S24))</f>
        <v/>
      </c>
      <c r="X24" s="24">
        <f>IF(Inputs!$C$39=1,$W24,0)</f>
        <v/>
      </c>
      <c r="Y24" s="24">
        <f>IF(Inputs!$C$39=0,$W24,0)+MAX(0,MAX(0,($D24+$X24)-$N24)-$T24)</f>
        <v/>
      </c>
    </row>
    <row r="25">
      <c r="B25" s="22" t="n">
        <v>20</v>
      </c>
      <c r="C25" s="29">
        <f>IF($B25&lt;=Inputs!$C$6+Inputs!$C$11,Cashflow_Asset!$E23-Cashflow_Asset!$K23,0)</f>
        <v/>
      </c>
      <c r="D25" s="29">
        <f>IF($B25&lt;=Inputs!$C$6+Inputs!$C$11,Cashflow_Asset!$F23+Cashflow_Asset!$G23+Cashflow_Asset!$I23,0)</f>
        <v/>
      </c>
      <c r="E25" s="29">
        <f>IF($B25&lt;=Inputs!$C$6+Inputs!$C$11,Cashflow_Asset!$J23,0)</f>
        <v/>
      </c>
      <c r="F25" s="23">
        <f>$G24</f>
        <v/>
      </c>
      <c r="G25" s="24">
        <f>(MAX(0,$F25-MAX(0,($M25+$S25)-$C25)))+MIN(MAX(0,$D$3-(MAX(0,$F25-MAX(0,($M25+$S25)-$C25)))),MAX(0,MAX(0,($C25+$F25)-$M25)-$S25))</f>
        <v/>
      </c>
      <c r="H25" s="23">
        <f>$J24</f>
        <v/>
      </c>
      <c r="I25" s="24">
        <f>MIN($E25,$H25)</f>
        <v/>
      </c>
      <c r="J25" s="24">
        <f>$H25-$I25</f>
        <v/>
      </c>
      <c r="K25" s="23">
        <f>$P24</f>
        <v/>
      </c>
      <c r="L25" s="24">
        <f>$K25*Inputs!$C$18/12</f>
        <v/>
      </c>
      <c r="M25" s="24">
        <f>MIN(($C25+$F25),$L25)</f>
        <v/>
      </c>
      <c r="N25" s="24">
        <f>MIN(($D25+$X25),MAX(0,$K25-$O25))</f>
        <v/>
      </c>
      <c r="O25" s="24">
        <f>MIN(MAX(0,MAX(0,$E25-$I25)-$U25),$K25)</f>
        <v/>
      </c>
      <c r="P25" s="24">
        <f>MAX(0,$K25-$O25)-$N25</f>
        <v/>
      </c>
      <c r="Q25" s="23">
        <f>$V24</f>
        <v/>
      </c>
      <c r="R25" s="24">
        <f>$Q25*Inputs!$C$19/12</f>
        <v/>
      </c>
      <c r="S25" s="24">
        <f>MIN(MAX(0,($C25+$F25)-$M25),$R25)</f>
        <v/>
      </c>
      <c r="T25" s="24">
        <f>MIN(MAX(0,($D25+$X25)-$N25),MAX(0,$Q25-$U25))</f>
        <v/>
      </c>
      <c r="U25" s="24">
        <f>MIN(MAX(0,$E25-$I25),$Q25)</f>
        <v/>
      </c>
      <c r="V25" s="24">
        <f>MAX(0,$Q25-$U25)-$T25</f>
        <v/>
      </c>
      <c r="W25" s="24">
        <f>MAX(0,MAX(0,($C25+$F25)-$M25)-$S25)-MIN(MAX(0,$D$3-(MAX(0,$F25-MAX(0,($M25+$S25)-$C25)))),MAX(0,MAX(0,($C25+$F25)-$M25)-$S25))</f>
        <v/>
      </c>
      <c r="X25" s="24">
        <f>IF(Inputs!$C$39=1,$W25,0)</f>
        <v/>
      </c>
      <c r="Y25" s="24">
        <f>IF(Inputs!$C$39=0,$W25,0)+MAX(0,MAX(0,($D25+$X25)-$N25)-$T25)</f>
        <v/>
      </c>
    </row>
    <row r="26">
      <c r="B26" s="22" t="n">
        <v>21</v>
      </c>
      <c r="C26" s="29">
        <f>IF($B26&lt;=Inputs!$C$6+Inputs!$C$11,Cashflow_Asset!$E24-Cashflow_Asset!$K24,0)</f>
        <v/>
      </c>
      <c r="D26" s="29">
        <f>IF($B26&lt;=Inputs!$C$6+Inputs!$C$11,Cashflow_Asset!$F24+Cashflow_Asset!$G24+Cashflow_Asset!$I24,0)</f>
        <v/>
      </c>
      <c r="E26" s="29">
        <f>IF($B26&lt;=Inputs!$C$6+Inputs!$C$11,Cashflow_Asset!$J24,0)</f>
        <v/>
      </c>
      <c r="F26" s="23">
        <f>$G25</f>
        <v/>
      </c>
      <c r="G26" s="24">
        <f>(MAX(0,$F26-MAX(0,($M26+$S26)-$C26)))+MIN(MAX(0,$D$3-(MAX(0,$F26-MAX(0,($M26+$S26)-$C26)))),MAX(0,MAX(0,($C26+$F26)-$M26)-$S26))</f>
        <v/>
      </c>
      <c r="H26" s="23">
        <f>$J25</f>
        <v/>
      </c>
      <c r="I26" s="24">
        <f>MIN($E26,$H26)</f>
        <v/>
      </c>
      <c r="J26" s="24">
        <f>$H26-$I26</f>
        <v/>
      </c>
      <c r="K26" s="23">
        <f>$P25</f>
        <v/>
      </c>
      <c r="L26" s="24">
        <f>$K26*Inputs!$C$18/12</f>
        <v/>
      </c>
      <c r="M26" s="24">
        <f>MIN(($C26+$F26),$L26)</f>
        <v/>
      </c>
      <c r="N26" s="24">
        <f>MIN(($D26+$X26),MAX(0,$K26-$O26))</f>
        <v/>
      </c>
      <c r="O26" s="24">
        <f>MIN(MAX(0,MAX(0,$E26-$I26)-$U26),$K26)</f>
        <v/>
      </c>
      <c r="P26" s="24">
        <f>MAX(0,$K26-$O26)-$N26</f>
        <v/>
      </c>
      <c r="Q26" s="23">
        <f>$V25</f>
        <v/>
      </c>
      <c r="R26" s="24">
        <f>$Q26*Inputs!$C$19/12</f>
        <v/>
      </c>
      <c r="S26" s="24">
        <f>MIN(MAX(0,($C26+$F26)-$M26),$R26)</f>
        <v/>
      </c>
      <c r="T26" s="24">
        <f>MIN(MAX(0,($D26+$X26)-$N26),MAX(0,$Q26-$U26))</f>
        <v/>
      </c>
      <c r="U26" s="24">
        <f>MIN(MAX(0,$E26-$I26),$Q26)</f>
        <v/>
      </c>
      <c r="V26" s="24">
        <f>MAX(0,$Q26-$U26)-$T26</f>
        <v/>
      </c>
      <c r="W26" s="24">
        <f>MAX(0,MAX(0,($C26+$F26)-$M26)-$S26)-MIN(MAX(0,$D$3-(MAX(0,$F26-MAX(0,($M26+$S26)-$C26)))),MAX(0,MAX(0,($C26+$F26)-$M26)-$S26))</f>
        <v/>
      </c>
      <c r="X26" s="24">
        <f>IF(Inputs!$C$39=1,$W26,0)</f>
        <v/>
      </c>
      <c r="Y26" s="24">
        <f>IF(Inputs!$C$39=0,$W26,0)+MAX(0,MAX(0,($D26+$X26)-$N26)-$T26)</f>
        <v/>
      </c>
    </row>
    <row r="27">
      <c r="B27" s="22" t="n">
        <v>22</v>
      </c>
      <c r="C27" s="29">
        <f>IF($B27&lt;=Inputs!$C$6+Inputs!$C$11,Cashflow_Asset!$E25-Cashflow_Asset!$K25,0)</f>
        <v/>
      </c>
      <c r="D27" s="29">
        <f>IF($B27&lt;=Inputs!$C$6+Inputs!$C$11,Cashflow_Asset!$F25+Cashflow_Asset!$G25+Cashflow_Asset!$I25,0)</f>
        <v/>
      </c>
      <c r="E27" s="29">
        <f>IF($B27&lt;=Inputs!$C$6+Inputs!$C$11,Cashflow_Asset!$J25,0)</f>
        <v/>
      </c>
      <c r="F27" s="23">
        <f>$G26</f>
        <v/>
      </c>
      <c r="G27" s="24">
        <f>(MAX(0,$F27-MAX(0,($M27+$S27)-$C27)))+MIN(MAX(0,$D$3-(MAX(0,$F27-MAX(0,($M27+$S27)-$C27)))),MAX(0,MAX(0,($C27+$F27)-$M27)-$S27))</f>
        <v/>
      </c>
      <c r="H27" s="23">
        <f>$J26</f>
        <v/>
      </c>
      <c r="I27" s="24">
        <f>MIN($E27,$H27)</f>
        <v/>
      </c>
      <c r="J27" s="24">
        <f>$H27-$I27</f>
        <v/>
      </c>
      <c r="K27" s="23">
        <f>$P26</f>
        <v/>
      </c>
      <c r="L27" s="24">
        <f>$K27*Inputs!$C$18/12</f>
        <v/>
      </c>
      <c r="M27" s="24">
        <f>MIN(($C27+$F27),$L27)</f>
        <v/>
      </c>
      <c r="N27" s="24">
        <f>MIN(($D27+$X27),MAX(0,$K27-$O27))</f>
        <v/>
      </c>
      <c r="O27" s="24">
        <f>MIN(MAX(0,MAX(0,$E27-$I27)-$U27),$K27)</f>
        <v/>
      </c>
      <c r="P27" s="24">
        <f>MAX(0,$K27-$O27)-$N27</f>
        <v/>
      </c>
      <c r="Q27" s="23">
        <f>$V26</f>
        <v/>
      </c>
      <c r="R27" s="24">
        <f>$Q27*Inputs!$C$19/12</f>
        <v/>
      </c>
      <c r="S27" s="24">
        <f>MIN(MAX(0,($C27+$F27)-$M27),$R27)</f>
        <v/>
      </c>
      <c r="T27" s="24">
        <f>MIN(MAX(0,($D27+$X27)-$N27),MAX(0,$Q27-$U27))</f>
        <v/>
      </c>
      <c r="U27" s="24">
        <f>MIN(MAX(0,$E27-$I27),$Q27)</f>
        <v/>
      </c>
      <c r="V27" s="24">
        <f>MAX(0,$Q27-$U27)-$T27</f>
        <v/>
      </c>
      <c r="W27" s="24">
        <f>MAX(0,MAX(0,($C27+$F27)-$M27)-$S27)-MIN(MAX(0,$D$3-(MAX(0,$F27-MAX(0,($M27+$S27)-$C27)))),MAX(0,MAX(0,($C27+$F27)-$M27)-$S27))</f>
        <v/>
      </c>
      <c r="X27" s="24">
        <f>IF(Inputs!$C$39=1,$W27,0)</f>
        <v/>
      </c>
      <c r="Y27" s="24">
        <f>IF(Inputs!$C$39=0,$W27,0)+MAX(0,MAX(0,($D27+$X27)-$N27)-$T27)</f>
        <v/>
      </c>
    </row>
    <row r="28">
      <c r="B28" s="22" t="n">
        <v>23</v>
      </c>
      <c r="C28" s="29">
        <f>IF($B28&lt;=Inputs!$C$6+Inputs!$C$11,Cashflow_Asset!$E26-Cashflow_Asset!$K26,0)</f>
        <v/>
      </c>
      <c r="D28" s="29">
        <f>IF($B28&lt;=Inputs!$C$6+Inputs!$C$11,Cashflow_Asset!$F26+Cashflow_Asset!$G26+Cashflow_Asset!$I26,0)</f>
        <v/>
      </c>
      <c r="E28" s="29">
        <f>IF($B28&lt;=Inputs!$C$6+Inputs!$C$11,Cashflow_Asset!$J26,0)</f>
        <v/>
      </c>
      <c r="F28" s="23">
        <f>$G27</f>
        <v/>
      </c>
      <c r="G28" s="24">
        <f>(MAX(0,$F28-MAX(0,($M28+$S28)-$C28)))+MIN(MAX(0,$D$3-(MAX(0,$F28-MAX(0,($M28+$S28)-$C28)))),MAX(0,MAX(0,($C28+$F28)-$M28)-$S28))</f>
        <v/>
      </c>
      <c r="H28" s="23">
        <f>$J27</f>
        <v/>
      </c>
      <c r="I28" s="24">
        <f>MIN($E28,$H28)</f>
        <v/>
      </c>
      <c r="J28" s="24">
        <f>$H28-$I28</f>
        <v/>
      </c>
      <c r="K28" s="23">
        <f>$P27</f>
        <v/>
      </c>
      <c r="L28" s="24">
        <f>$K28*Inputs!$C$18/12</f>
        <v/>
      </c>
      <c r="M28" s="24">
        <f>MIN(($C28+$F28),$L28)</f>
        <v/>
      </c>
      <c r="N28" s="24">
        <f>MIN(($D28+$X28),MAX(0,$K28-$O28))</f>
        <v/>
      </c>
      <c r="O28" s="24">
        <f>MIN(MAX(0,MAX(0,$E28-$I28)-$U28),$K28)</f>
        <v/>
      </c>
      <c r="P28" s="24">
        <f>MAX(0,$K28-$O28)-$N28</f>
        <v/>
      </c>
      <c r="Q28" s="23">
        <f>$V27</f>
        <v/>
      </c>
      <c r="R28" s="24">
        <f>$Q28*Inputs!$C$19/12</f>
        <v/>
      </c>
      <c r="S28" s="24">
        <f>MIN(MAX(0,($C28+$F28)-$M28),$R28)</f>
        <v/>
      </c>
      <c r="T28" s="24">
        <f>MIN(MAX(0,($D28+$X28)-$N28),MAX(0,$Q28-$U28))</f>
        <v/>
      </c>
      <c r="U28" s="24">
        <f>MIN(MAX(0,$E28-$I28),$Q28)</f>
        <v/>
      </c>
      <c r="V28" s="24">
        <f>MAX(0,$Q28-$U28)-$T28</f>
        <v/>
      </c>
      <c r="W28" s="24">
        <f>MAX(0,MAX(0,($C28+$F28)-$M28)-$S28)-MIN(MAX(0,$D$3-(MAX(0,$F28-MAX(0,($M28+$S28)-$C28)))),MAX(0,MAX(0,($C28+$F28)-$M28)-$S28))</f>
        <v/>
      </c>
      <c r="X28" s="24">
        <f>IF(Inputs!$C$39=1,$W28,0)</f>
        <v/>
      </c>
      <c r="Y28" s="24">
        <f>IF(Inputs!$C$39=0,$W28,0)+MAX(0,MAX(0,($D28+$X28)-$N28)-$T28)</f>
        <v/>
      </c>
    </row>
    <row r="29">
      <c r="B29" s="22" t="n">
        <v>24</v>
      </c>
      <c r="C29" s="29">
        <f>IF($B29&lt;=Inputs!$C$6+Inputs!$C$11,Cashflow_Asset!$E27-Cashflow_Asset!$K27,0)</f>
        <v/>
      </c>
      <c r="D29" s="29">
        <f>IF($B29&lt;=Inputs!$C$6+Inputs!$C$11,Cashflow_Asset!$F27+Cashflow_Asset!$G27+Cashflow_Asset!$I27,0)</f>
        <v/>
      </c>
      <c r="E29" s="29">
        <f>IF($B29&lt;=Inputs!$C$6+Inputs!$C$11,Cashflow_Asset!$J27,0)</f>
        <v/>
      </c>
      <c r="F29" s="23">
        <f>$G28</f>
        <v/>
      </c>
      <c r="G29" s="24">
        <f>(MAX(0,$F29-MAX(0,($M29+$S29)-$C29)))+MIN(MAX(0,$D$3-(MAX(0,$F29-MAX(0,($M29+$S29)-$C29)))),MAX(0,MAX(0,($C29+$F29)-$M29)-$S29))</f>
        <v/>
      </c>
      <c r="H29" s="23">
        <f>$J28</f>
        <v/>
      </c>
      <c r="I29" s="24">
        <f>MIN($E29,$H29)</f>
        <v/>
      </c>
      <c r="J29" s="24">
        <f>$H29-$I29</f>
        <v/>
      </c>
      <c r="K29" s="23">
        <f>$P28</f>
        <v/>
      </c>
      <c r="L29" s="24">
        <f>$K29*Inputs!$C$18/12</f>
        <v/>
      </c>
      <c r="M29" s="24">
        <f>MIN(($C29+$F29),$L29)</f>
        <v/>
      </c>
      <c r="N29" s="24">
        <f>MIN(($D29+$X29),MAX(0,$K29-$O29))</f>
        <v/>
      </c>
      <c r="O29" s="24">
        <f>MIN(MAX(0,MAX(0,$E29-$I29)-$U29),$K29)</f>
        <v/>
      </c>
      <c r="P29" s="24">
        <f>MAX(0,$K29-$O29)-$N29</f>
        <v/>
      </c>
      <c r="Q29" s="23">
        <f>$V28</f>
        <v/>
      </c>
      <c r="R29" s="24">
        <f>$Q29*Inputs!$C$19/12</f>
        <v/>
      </c>
      <c r="S29" s="24">
        <f>MIN(MAX(0,($C29+$F29)-$M29),$R29)</f>
        <v/>
      </c>
      <c r="T29" s="24">
        <f>MIN(MAX(0,($D29+$X29)-$N29),MAX(0,$Q29-$U29))</f>
        <v/>
      </c>
      <c r="U29" s="24">
        <f>MIN(MAX(0,$E29-$I29),$Q29)</f>
        <v/>
      </c>
      <c r="V29" s="24">
        <f>MAX(0,$Q29-$U29)-$T29</f>
        <v/>
      </c>
      <c r="W29" s="24">
        <f>MAX(0,MAX(0,($C29+$F29)-$M29)-$S29)-MIN(MAX(0,$D$3-(MAX(0,$F29-MAX(0,($M29+$S29)-$C29)))),MAX(0,MAX(0,($C29+$F29)-$M29)-$S29))</f>
        <v/>
      </c>
      <c r="X29" s="24">
        <f>IF(Inputs!$C$39=1,$W29,0)</f>
        <v/>
      </c>
      <c r="Y29" s="24">
        <f>IF(Inputs!$C$39=0,$W29,0)+MAX(0,MAX(0,($D29+$X29)-$N29)-$T29)</f>
        <v/>
      </c>
    </row>
    <row r="30">
      <c r="B30" s="22" t="n">
        <v>25</v>
      </c>
      <c r="C30" s="29">
        <f>IF($B30&lt;=Inputs!$C$6+Inputs!$C$11,Cashflow_Asset!$E28-Cashflow_Asset!$K28,0)</f>
        <v/>
      </c>
      <c r="D30" s="29">
        <f>IF($B30&lt;=Inputs!$C$6+Inputs!$C$11,Cashflow_Asset!$F28+Cashflow_Asset!$G28+Cashflow_Asset!$I28,0)</f>
        <v/>
      </c>
      <c r="E30" s="29">
        <f>IF($B30&lt;=Inputs!$C$6+Inputs!$C$11,Cashflow_Asset!$J28,0)</f>
        <v/>
      </c>
      <c r="F30" s="23">
        <f>$G29</f>
        <v/>
      </c>
      <c r="G30" s="24">
        <f>(MAX(0,$F30-MAX(0,($M30+$S30)-$C30)))+MIN(MAX(0,$D$3-(MAX(0,$F30-MAX(0,($M30+$S30)-$C30)))),MAX(0,MAX(0,($C30+$F30)-$M30)-$S30))</f>
        <v/>
      </c>
      <c r="H30" s="23">
        <f>$J29</f>
        <v/>
      </c>
      <c r="I30" s="24">
        <f>MIN($E30,$H30)</f>
        <v/>
      </c>
      <c r="J30" s="24">
        <f>$H30-$I30</f>
        <v/>
      </c>
      <c r="K30" s="23">
        <f>$P29</f>
        <v/>
      </c>
      <c r="L30" s="24">
        <f>$K30*Inputs!$C$18/12</f>
        <v/>
      </c>
      <c r="M30" s="24">
        <f>MIN(($C30+$F30),$L30)</f>
        <v/>
      </c>
      <c r="N30" s="24">
        <f>MIN(($D30+$X30),MAX(0,$K30-$O30))</f>
        <v/>
      </c>
      <c r="O30" s="24">
        <f>MIN(MAX(0,MAX(0,$E30-$I30)-$U30),$K30)</f>
        <v/>
      </c>
      <c r="P30" s="24">
        <f>MAX(0,$K30-$O30)-$N30</f>
        <v/>
      </c>
      <c r="Q30" s="23">
        <f>$V29</f>
        <v/>
      </c>
      <c r="R30" s="24">
        <f>$Q30*Inputs!$C$19/12</f>
        <v/>
      </c>
      <c r="S30" s="24">
        <f>MIN(MAX(0,($C30+$F30)-$M30),$R30)</f>
        <v/>
      </c>
      <c r="T30" s="24">
        <f>MIN(MAX(0,($D30+$X30)-$N30),MAX(0,$Q30-$U30))</f>
        <v/>
      </c>
      <c r="U30" s="24">
        <f>MIN(MAX(0,$E30-$I30),$Q30)</f>
        <v/>
      </c>
      <c r="V30" s="24">
        <f>MAX(0,$Q30-$U30)-$T30</f>
        <v/>
      </c>
      <c r="W30" s="24">
        <f>MAX(0,MAX(0,($C30+$F30)-$M30)-$S30)-MIN(MAX(0,$D$3-(MAX(0,$F30-MAX(0,($M30+$S30)-$C30)))),MAX(0,MAX(0,($C30+$F30)-$M30)-$S30))</f>
        <v/>
      </c>
      <c r="X30" s="24">
        <f>IF(Inputs!$C$39=1,$W30,0)</f>
        <v/>
      </c>
      <c r="Y30" s="24">
        <f>IF(Inputs!$C$39=0,$W30,0)+MAX(0,MAX(0,($D30+$X30)-$N30)-$T30)</f>
        <v/>
      </c>
    </row>
    <row r="31">
      <c r="B31" s="22" t="n">
        <v>26</v>
      </c>
      <c r="C31" s="29">
        <f>IF($B31&lt;=Inputs!$C$6+Inputs!$C$11,Cashflow_Asset!$E29-Cashflow_Asset!$K29,0)</f>
        <v/>
      </c>
      <c r="D31" s="29">
        <f>IF($B31&lt;=Inputs!$C$6+Inputs!$C$11,Cashflow_Asset!$F29+Cashflow_Asset!$G29+Cashflow_Asset!$I29,0)</f>
        <v/>
      </c>
      <c r="E31" s="29">
        <f>IF($B31&lt;=Inputs!$C$6+Inputs!$C$11,Cashflow_Asset!$J29,0)</f>
        <v/>
      </c>
      <c r="F31" s="23">
        <f>$G30</f>
        <v/>
      </c>
      <c r="G31" s="24">
        <f>(MAX(0,$F31-MAX(0,($M31+$S31)-$C31)))+MIN(MAX(0,$D$3-(MAX(0,$F31-MAX(0,($M31+$S31)-$C31)))),MAX(0,MAX(0,($C31+$F31)-$M31)-$S31))</f>
        <v/>
      </c>
      <c r="H31" s="23">
        <f>$J30</f>
        <v/>
      </c>
      <c r="I31" s="24">
        <f>MIN($E31,$H31)</f>
        <v/>
      </c>
      <c r="J31" s="24">
        <f>$H31-$I31</f>
        <v/>
      </c>
      <c r="K31" s="23">
        <f>$P30</f>
        <v/>
      </c>
      <c r="L31" s="24">
        <f>$K31*Inputs!$C$18/12</f>
        <v/>
      </c>
      <c r="M31" s="24">
        <f>MIN(($C31+$F31),$L31)</f>
        <v/>
      </c>
      <c r="N31" s="24">
        <f>MIN(($D31+$X31),MAX(0,$K31-$O31))</f>
        <v/>
      </c>
      <c r="O31" s="24">
        <f>MIN(MAX(0,MAX(0,$E31-$I31)-$U31),$K31)</f>
        <v/>
      </c>
      <c r="P31" s="24">
        <f>MAX(0,$K31-$O31)-$N31</f>
        <v/>
      </c>
      <c r="Q31" s="23">
        <f>$V30</f>
        <v/>
      </c>
      <c r="R31" s="24">
        <f>$Q31*Inputs!$C$19/12</f>
        <v/>
      </c>
      <c r="S31" s="24">
        <f>MIN(MAX(0,($C31+$F31)-$M31),$R31)</f>
        <v/>
      </c>
      <c r="T31" s="24">
        <f>MIN(MAX(0,($D31+$X31)-$N31),MAX(0,$Q31-$U31))</f>
        <v/>
      </c>
      <c r="U31" s="24">
        <f>MIN(MAX(0,$E31-$I31),$Q31)</f>
        <v/>
      </c>
      <c r="V31" s="24">
        <f>MAX(0,$Q31-$U31)-$T31</f>
        <v/>
      </c>
      <c r="W31" s="24">
        <f>MAX(0,MAX(0,($C31+$F31)-$M31)-$S31)-MIN(MAX(0,$D$3-(MAX(0,$F31-MAX(0,($M31+$S31)-$C31)))),MAX(0,MAX(0,($C31+$F31)-$M31)-$S31))</f>
        <v/>
      </c>
      <c r="X31" s="24">
        <f>IF(Inputs!$C$39=1,$W31,0)</f>
        <v/>
      </c>
      <c r="Y31" s="24">
        <f>IF(Inputs!$C$39=0,$W31,0)+MAX(0,MAX(0,($D31+$X31)-$N31)-$T31)</f>
        <v/>
      </c>
    </row>
    <row r="32">
      <c r="B32" s="22" t="n">
        <v>27</v>
      </c>
      <c r="C32" s="29">
        <f>IF($B32&lt;=Inputs!$C$6+Inputs!$C$11,Cashflow_Asset!$E30-Cashflow_Asset!$K30,0)</f>
        <v/>
      </c>
      <c r="D32" s="29">
        <f>IF($B32&lt;=Inputs!$C$6+Inputs!$C$11,Cashflow_Asset!$F30+Cashflow_Asset!$G30+Cashflow_Asset!$I30,0)</f>
        <v/>
      </c>
      <c r="E32" s="29">
        <f>IF($B32&lt;=Inputs!$C$6+Inputs!$C$11,Cashflow_Asset!$J30,0)</f>
        <v/>
      </c>
      <c r="F32" s="23">
        <f>$G31</f>
        <v/>
      </c>
      <c r="G32" s="24">
        <f>(MAX(0,$F32-MAX(0,($M32+$S32)-$C32)))+MIN(MAX(0,$D$3-(MAX(0,$F32-MAX(0,($M32+$S32)-$C32)))),MAX(0,MAX(0,($C32+$F32)-$M32)-$S32))</f>
        <v/>
      </c>
      <c r="H32" s="23">
        <f>$J31</f>
        <v/>
      </c>
      <c r="I32" s="24">
        <f>MIN($E32,$H32)</f>
        <v/>
      </c>
      <c r="J32" s="24">
        <f>$H32-$I32</f>
        <v/>
      </c>
      <c r="K32" s="23">
        <f>$P31</f>
        <v/>
      </c>
      <c r="L32" s="24">
        <f>$K32*Inputs!$C$18/12</f>
        <v/>
      </c>
      <c r="M32" s="24">
        <f>MIN(($C32+$F32),$L32)</f>
        <v/>
      </c>
      <c r="N32" s="24">
        <f>MIN(($D32+$X32),MAX(0,$K32-$O32))</f>
        <v/>
      </c>
      <c r="O32" s="24">
        <f>MIN(MAX(0,MAX(0,$E32-$I32)-$U32),$K32)</f>
        <v/>
      </c>
      <c r="P32" s="24">
        <f>MAX(0,$K32-$O32)-$N32</f>
        <v/>
      </c>
      <c r="Q32" s="23">
        <f>$V31</f>
        <v/>
      </c>
      <c r="R32" s="24">
        <f>$Q32*Inputs!$C$19/12</f>
        <v/>
      </c>
      <c r="S32" s="24">
        <f>MIN(MAX(0,($C32+$F32)-$M32),$R32)</f>
        <v/>
      </c>
      <c r="T32" s="24">
        <f>MIN(MAX(0,($D32+$X32)-$N32),MAX(0,$Q32-$U32))</f>
        <v/>
      </c>
      <c r="U32" s="24">
        <f>MIN(MAX(0,$E32-$I32),$Q32)</f>
        <v/>
      </c>
      <c r="V32" s="24">
        <f>MAX(0,$Q32-$U32)-$T32</f>
        <v/>
      </c>
      <c r="W32" s="24">
        <f>MAX(0,MAX(0,($C32+$F32)-$M32)-$S32)-MIN(MAX(0,$D$3-(MAX(0,$F32-MAX(0,($M32+$S32)-$C32)))),MAX(0,MAX(0,($C32+$F32)-$M32)-$S32))</f>
        <v/>
      </c>
      <c r="X32" s="24">
        <f>IF(Inputs!$C$39=1,$W32,0)</f>
        <v/>
      </c>
      <c r="Y32" s="24">
        <f>IF(Inputs!$C$39=0,$W32,0)+MAX(0,MAX(0,($D32+$X32)-$N32)-$T32)</f>
        <v/>
      </c>
    </row>
    <row r="33">
      <c r="B33" s="22" t="n">
        <v>28</v>
      </c>
      <c r="C33" s="29">
        <f>IF($B33&lt;=Inputs!$C$6+Inputs!$C$11,Cashflow_Asset!$E31-Cashflow_Asset!$K31,0)</f>
        <v/>
      </c>
      <c r="D33" s="29">
        <f>IF($B33&lt;=Inputs!$C$6+Inputs!$C$11,Cashflow_Asset!$F31+Cashflow_Asset!$G31+Cashflow_Asset!$I31,0)</f>
        <v/>
      </c>
      <c r="E33" s="29">
        <f>IF($B33&lt;=Inputs!$C$6+Inputs!$C$11,Cashflow_Asset!$J31,0)</f>
        <v/>
      </c>
      <c r="F33" s="23">
        <f>$G32</f>
        <v/>
      </c>
      <c r="G33" s="24">
        <f>(MAX(0,$F33-MAX(0,($M33+$S33)-$C33)))+MIN(MAX(0,$D$3-(MAX(0,$F33-MAX(0,($M33+$S33)-$C33)))),MAX(0,MAX(0,($C33+$F33)-$M33)-$S33))</f>
        <v/>
      </c>
      <c r="H33" s="23">
        <f>$J32</f>
        <v/>
      </c>
      <c r="I33" s="24">
        <f>MIN($E33,$H33)</f>
        <v/>
      </c>
      <c r="J33" s="24">
        <f>$H33-$I33</f>
        <v/>
      </c>
      <c r="K33" s="23">
        <f>$P32</f>
        <v/>
      </c>
      <c r="L33" s="24">
        <f>$K33*Inputs!$C$18/12</f>
        <v/>
      </c>
      <c r="M33" s="24">
        <f>MIN(($C33+$F33),$L33)</f>
        <v/>
      </c>
      <c r="N33" s="24">
        <f>MIN(($D33+$X33),MAX(0,$K33-$O33))</f>
        <v/>
      </c>
      <c r="O33" s="24">
        <f>MIN(MAX(0,MAX(0,$E33-$I33)-$U33),$K33)</f>
        <v/>
      </c>
      <c r="P33" s="24">
        <f>MAX(0,$K33-$O33)-$N33</f>
        <v/>
      </c>
      <c r="Q33" s="23">
        <f>$V32</f>
        <v/>
      </c>
      <c r="R33" s="24">
        <f>$Q33*Inputs!$C$19/12</f>
        <v/>
      </c>
      <c r="S33" s="24">
        <f>MIN(MAX(0,($C33+$F33)-$M33),$R33)</f>
        <v/>
      </c>
      <c r="T33" s="24">
        <f>MIN(MAX(0,($D33+$X33)-$N33),MAX(0,$Q33-$U33))</f>
        <v/>
      </c>
      <c r="U33" s="24">
        <f>MIN(MAX(0,$E33-$I33),$Q33)</f>
        <v/>
      </c>
      <c r="V33" s="24">
        <f>MAX(0,$Q33-$U33)-$T33</f>
        <v/>
      </c>
      <c r="W33" s="24">
        <f>MAX(0,MAX(0,($C33+$F33)-$M33)-$S33)-MIN(MAX(0,$D$3-(MAX(0,$F33-MAX(0,($M33+$S33)-$C33)))),MAX(0,MAX(0,($C33+$F33)-$M33)-$S33))</f>
        <v/>
      </c>
      <c r="X33" s="24">
        <f>IF(Inputs!$C$39=1,$W33,0)</f>
        <v/>
      </c>
      <c r="Y33" s="24">
        <f>IF(Inputs!$C$39=0,$W33,0)+MAX(0,MAX(0,($D33+$X33)-$N33)-$T33)</f>
        <v/>
      </c>
    </row>
    <row r="34">
      <c r="B34" s="22" t="n">
        <v>29</v>
      </c>
      <c r="C34" s="29">
        <f>IF($B34&lt;=Inputs!$C$6+Inputs!$C$11,Cashflow_Asset!$E32-Cashflow_Asset!$K32,0)</f>
        <v/>
      </c>
      <c r="D34" s="29">
        <f>IF($B34&lt;=Inputs!$C$6+Inputs!$C$11,Cashflow_Asset!$F32+Cashflow_Asset!$G32+Cashflow_Asset!$I32,0)</f>
        <v/>
      </c>
      <c r="E34" s="29">
        <f>IF($B34&lt;=Inputs!$C$6+Inputs!$C$11,Cashflow_Asset!$J32,0)</f>
        <v/>
      </c>
      <c r="F34" s="23">
        <f>$G33</f>
        <v/>
      </c>
      <c r="G34" s="24">
        <f>(MAX(0,$F34-MAX(0,($M34+$S34)-$C34)))+MIN(MAX(0,$D$3-(MAX(0,$F34-MAX(0,($M34+$S34)-$C34)))),MAX(0,MAX(0,($C34+$F34)-$M34)-$S34))</f>
        <v/>
      </c>
      <c r="H34" s="23">
        <f>$J33</f>
        <v/>
      </c>
      <c r="I34" s="24">
        <f>MIN($E34,$H34)</f>
        <v/>
      </c>
      <c r="J34" s="24">
        <f>$H34-$I34</f>
        <v/>
      </c>
      <c r="K34" s="23">
        <f>$P33</f>
        <v/>
      </c>
      <c r="L34" s="24">
        <f>$K34*Inputs!$C$18/12</f>
        <v/>
      </c>
      <c r="M34" s="24">
        <f>MIN(($C34+$F34),$L34)</f>
        <v/>
      </c>
      <c r="N34" s="24">
        <f>MIN(($D34+$X34),MAX(0,$K34-$O34))</f>
        <v/>
      </c>
      <c r="O34" s="24">
        <f>MIN(MAX(0,MAX(0,$E34-$I34)-$U34),$K34)</f>
        <v/>
      </c>
      <c r="P34" s="24">
        <f>MAX(0,$K34-$O34)-$N34</f>
        <v/>
      </c>
      <c r="Q34" s="23">
        <f>$V33</f>
        <v/>
      </c>
      <c r="R34" s="24">
        <f>$Q34*Inputs!$C$19/12</f>
        <v/>
      </c>
      <c r="S34" s="24">
        <f>MIN(MAX(0,($C34+$F34)-$M34),$R34)</f>
        <v/>
      </c>
      <c r="T34" s="24">
        <f>MIN(MAX(0,($D34+$X34)-$N34),MAX(0,$Q34-$U34))</f>
        <v/>
      </c>
      <c r="U34" s="24">
        <f>MIN(MAX(0,$E34-$I34),$Q34)</f>
        <v/>
      </c>
      <c r="V34" s="24">
        <f>MAX(0,$Q34-$U34)-$T34</f>
        <v/>
      </c>
      <c r="W34" s="24">
        <f>MAX(0,MAX(0,($C34+$F34)-$M34)-$S34)-MIN(MAX(0,$D$3-(MAX(0,$F34-MAX(0,($M34+$S34)-$C34)))),MAX(0,MAX(0,($C34+$F34)-$M34)-$S34))</f>
        <v/>
      </c>
      <c r="X34" s="24">
        <f>IF(Inputs!$C$39=1,$W34,0)</f>
        <v/>
      </c>
      <c r="Y34" s="24">
        <f>IF(Inputs!$C$39=0,$W34,0)+MAX(0,MAX(0,($D34+$X34)-$N34)-$T34)</f>
        <v/>
      </c>
    </row>
    <row r="35">
      <c r="B35" s="22" t="n">
        <v>30</v>
      </c>
      <c r="C35" s="29">
        <f>IF($B35&lt;=Inputs!$C$6+Inputs!$C$11,Cashflow_Asset!$E33-Cashflow_Asset!$K33,0)</f>
        <v/>
      </c>
      <c r="D35" s="29">
        <f>IF($B35&lt;=Inputs!$C$6+Inputs!$C$11,Cashflow_Asset!$F33+Cashflow_Asset!$G33+Cashflow_Asset!$I33,0)</f>
        <v/>
      </c>
      <c r="E35" s="29">
        <f>IF($B35&lt;=Inputs!$C$6+Inputs!$C$11,Cashflow_Asset!$J33,0)</f>
        <v/>
      </c>
      <c r="F35" s="23">
        <f>$G34</f>
        <v/>
      </c>
      <c r="G35" s="24">
        <f>(MAX(0,$F35-MAX(0,($M35+$S35)-$C35)))+MIN(MAX(0,$D$3-(MAX(0,$F35-MAX(0,($M35+$S35)-$C35)))),MAX(0,MAX(0,($C35+$F35)-$M35)-$S35))</f>
        <v/>
      </c>
      <c r="H35" s="23">
        <f>$J34</f>
        <v/>
      </c>
      <c r="I35" s="24">
        <f>MIN($E35,$H35)</f>
        <v/>
      </c>
      <c r="J35" s="24">
        <f>$H35-$I35</f>
        <v/>
      </c>
      <c r="K35" s="23">
        <f>$P34</f>
        <v/>
      </c>
      <c r="L35" s="24">
        <f>$K35*Inputs!$C$18/12</f>
        <v/>
      </c>
      <c r="M35" s="24">
        <f>MIN(($C35+$F35),$L35)</f>
        <v/>
      </c>
      <c r="N35" s="24">
        <f>MIN(($D35+$X35),MAX(0,$K35-$O35))</f>
        <v/>
      </c>
      <c r="O35" s="24">
        <f>MIN(MAX(0,MAX(0,$E35-$I35)-$U35),$K35)</f>
        <v/>
      </c>
      <c r="P35" s="24">
        <f>MAX(0,$K35-$O35)-$N35</f>
        <v/>
      </c>
      <c r="Q35" s="23">
        <f>$V34</f>
        <v/>
      </c>
      <c r="R35" s="24">
        <f>$Q35*Inputs!$C$19/12</f>
        <v/>
      </c>
      <c r="S35" s="24">
        <f>MIN(MAX(0,($C35+$F35)-$M35),$R35)</f>
        <v/>
      </c>
      <c r="T35" s="24">
        <f>MIN(MAX(0,($D35+$X35)-$N35),MAX(0,$Q35-$U35))</f>
        <v/>
      </c>
      <c r="U35" s="24">
        <f>MIN(MAX(0,$E35-$I35),$Q35)</f>
        <v/>
      </c>
      <c r="V35" s="24">
        <f>MAX(0,$Q35-$U35)-$T35</f>
        <v/>
      </c>
      <c r="W35" s="24">
        <f>MAX(0,MAX(0,($C35+$F35)-$M35)-$S35)-MIN(MAX(0,$D$3-(MAX(0,$F35-MAX(0,($M35+$S35)-$C35)))),MAX(0,MAX(0,($C35+$F35)-$M35)-$S35))</f>
        <v/>
      </c>
      <c r="X35" s="24">
        <f>IF(Inputs!$C$39=1,$W35,0)</f>
        <v/>
      </c>
      <c r="Y35" s="24">
        <f>IF(Inputs!$C$39=0,$W35,0)+MAX(0,MAX(0,($D35+$X35)-$N35)-$T35)</f>
        <v/>
      </c>
    </row>
    <row r="36">
      <c r="B36" s="22" t="n">
        <v>31</v>
      </c>
      <c r="C36" s="29">
        <f>IF($B36&lt;=Inputs!$C$6+Inputs!$C$11,Cashflow_Asset!$E34-Cashflow_Asset!$K34,0)</f>
        <v/>
      </c>
      <c r="D36" s="29">
        <f>IF($B36&lt;=Inputs!$C$6+Inputs!$C$11,Cashflow_Asset!$F34+Cashflow_Asset!$G34+Cashflow_Asset!$I34,0)</f>
        <v/>
      </c>
      <c r="E36" s="29">
        <f>IF($B36&lt;=Inputs!$C$6+Inputs!$C$11,Cashflow_Asset!$J34,0)</f>
        <v/>
      </c>
      <c r="F36" s="23">
        <f>$G35</f>
        <v/>
      </c>
      <c r="G36" s="24">
        <f>(MAX(0,$F36-MAX(0,($M36+$S36)-$C36)))+MIN(MAX(0,$D$3-(MAX(0,$F36-MAX(0,($M36+$S36)-$C36)))),MAX(0,MAX(0,($C36+$F36)-$M36)-$S36))</f>
        <v/>
      </c>
      <c r="H36" s="23">
        <f>$J35</f>
        <v/>
      </c>
      <c r="I36" s="24">
        <f>MIN($E36,$H36)</f>
        <v/>
      </c>
      <c r="J36" s="24">
        <f>$H36-$I36</f>
        <v/>
      </c>
      <c r="K36" s="23">
        <f>$P35</f>
        <v/>
      </c>
      <c r="L36" s="24">
        <f>$K36*Inputs!$C$18/12</f>
        <v/>
      </c>
      <c r="M36" s="24">
        <f>MIN(($C36+$F36),$L36)</f>
        <v/>
      </c>
      <c r="N36" s="24">
        <f>MIN(($D36+$X36),MAX(0,$K36-$O36))</f>
        <v/>
      </c>
      <c r="O36" s="24">
        <f>MIN(MAX(0,MAX(0,$E36-$I36)-$U36),$K36)</f>
        <v/>
      </c>
      <c r="P36" s="24">
        <f>MAX(0,$K36-$O36)-$N36</f>
        <v/>
      </c>
      <c r="Q36" s="23">
        <f>$V35</f>
        <v/>
      </c>
      <c r="R36" s="24">
        <f>$Q36*Inputs!$C$19/12</f>
        <v/>
      </c>
      <c r="S36" s="24">
        <f>MIN(MAX(0,($C36+$F36)-$M36),$R36)</f>
        <v/>
      </c>
      <c r="T36" s="24">
        <f>MIN(MAX(0,($D36+$X36)-$N36),MAX(0,$Q36-$U36))</f>
        <v/>
      </c>
      <c r="U36" s="24">
        <f>MIN(MAX(0,$E36-$I36),$Q36)</f>
        <v/>
      </c>
      <c r="V36" s="24">
        <f>MAX(0,$Q36-$U36)-$T36</f>
        <v/>
      </c>
      <c r="W36" s="24">
        <f>MAX(0,MAX(0,($C36+$F36)-$M36)-$S36)-MIN(MAX(0,$D$3-(MAX(0,$F36-MAX(0,($M36+$S36)-$C36)))),MAX(0,MAX(0,($C36+$F36)-$M36)-$S36))</f>
        <v/>
      </c>
      <c r="X36" s="24">
        <f>IF(Inputs!$C$39=1,$W36,0)</f>
        <v/>
      </c>
      <c r="Y36" s="24">
        <f>IF(Inputs!$C$39=0,$W36,0)+MAX(0,MAX(0,($D36+$X36)-$N36)-$T36)</f>
        <v/>
      </c>
    </row>
    <row r="37">
      <c r="B37" s="22" t="n">
        <v>32</v>
      </c>
      <c r="C37" s="29">
        <f>IF($B37&lt;=Inputs!$C$6+Inputs!$C$11,Cashflow_Asset!$E35-Cashflow_Asset!$K35,0)</f>
        <v/>
      </c>
      <c r="D37" s="29">
        <f>IF($B37&lt;=Inputs!$C$6+Inputs!$C$11,Cashflow_Asset!$F35+Cashflow_Asset!$G35+Cashflow_Asset!$I35,0)</f>
        <v/>
      </c>
      <c r="E37" s="29">
        <f>IF($B37&lt;=Inputs!$C$6+Inputs!$C$11,Cashflow_Asset!$J35,0)</f>
        <v/>
      </c>
      <c r="F37" s="23">
        <f>$G36</f>
        <v/>
      </c>
      <c r="G37" s="24">
        <f>(MAX(0,$F37-MAX(0,($M37+$S37)-$C37)))+MIN(MAX(0,$D$3-(MAX(0,$F37-MAX(0,($M37+$S37)-$C37)))),MAX(0,MAX(0,($C37+$F37)-$M37)-$S37))</f>
        <v/>
      </c>
      <c r="H37" s="23">
        <f>$J36</f>
        <v/>
      </c>
      <c r="I37" s="24">
        <f>MIN($E37,$H37)</f>
        <v/>
      </c>
      <c r="J37" s="24">
        <f>$H37-$I37</f>
        <v/>
      </c>
      <c r="K37" s="23">
        <f>$P36</f>
        <v/>
      </c>
      <c r="L37" s="24">
        <f>$K37*Inputs!$C$18/12</f>
        <v/>
      </c>
      <c r="M37" s="24">
        <f>MIN(($C37+$F37),$L37)</f>
        <v/>
      </c>
      <c r="N37" s="24">
        <f>MIN(($D37+$X37),MAX(0,$K37-$O37))</f>
        <v/>
      </c>
      <c r="O37" s="24">
        <f>MIN(MAX(0,MAX(0,$E37-$I37)-$U37),$K37)</f>
        <v/>
      </c>
      <c r="P37" s="24">
        <f>MAX(0,$K37-$O37)-$N37</f>
        <v/>
      </c>
      <c r="Q37" s="23">
        <f>$V36</f>
        <v/>
      </c>
      <c r="R37" s="24">
        <f>$Q37*Inputs!$C$19/12</f>
        <v/>
      </c>
      <c r="S37" s="24">
        <f>MIN(MAX(0,($C37+$F37)-$M37),$R37)</f>
        <v/>
      </c>
      <c r="T37" s="24">
        <f>MIN(MAX(0,($D37+$X37)-$N37),MAX(0,$Q37-$U37))</f>
        <v/>
      </c>
      <c r="U37" s="24">
        <f>MIN(MAX(0,$E37-$I37),$Q37)</f>
        <v/>
      </c>
      <c r="V37" s="24">
        <f>MAX(0,$Q37-$U37)-$T37</f>
        <v/>
      </c>
      <c r="W37" s="24">
        <f>MAX(0,MAX(0,($C37+$F37)-$M37)-$S37)-MIN(MAX(0,$D$3-(MAX(0,$F37-MAX(0,($M37+$S37)-$C37)))),MAX(0,MAX(0,($C37+$F37)-$M37)-$S37))</f>
        <v/>
      </c>
      <c r="X37" s="24">
        <f>IF(Inputs!$C$39=1,$W37,0)</f>
        <v/>
      </c>
      <c r="Y37" s="24">
        <f>IF(Inputs!$C$39=0,$W37,0)+MAX(0,MAX(0,($D37+$X37)-$N37)-$T37)</f>
        <v/>
      </c>
    </row>
    <row r="38">
      <c r="B38" s="22" t="n">
        <v>33</v>
      </c>
      <c r="C38" s="29">
        <f>IF($B38&lt;=Inputs!$C$6+Inputs!$C$11,Cashflow_Asset!$E36-Cashflow_Asset!$K36,0)</f>
        <v/>
      </c>
      <c r="D38" s="29">
        <f>IF($B38&lt;=Inputs!$C$6+Inputs!$C$11,Cashflow_Asset!$F36+Cashflow_Asset!$G36+Cashflow_Asset!$I36,0)</f>
        <v/>
      </c>
      <c r="E38" s="29">
        <f>IF($B38&lt;=Inputs!$C$6+Inputs!$C$11,Cashflow_Asset!$J36,0)</f>
        <v/>
      </c>
      <c r="F38" s="23">
        <f>$G37</f>
        <v/>
      </c>
      <c r="G38" s="24">
        <f>(MAX(0,$F38-MAX(0,($M38+$S38)-$C38)))+MIN(MAX(0,$D$3-(MAX(0,$F38-MAX(0,($M38+$S38)-$C38)))),MAX(0,MAX(0,($C38+$F38)-$M38)-$S38))</f>
        <v/>
      </c>
      <c r="H38" s="23">
        <f>$J37</f>
        <v/>
      </c>
      <c r="I38" s="24">
        <f>MIN($E38,$H38)</f>
        <v/>
      </c>
      <c r="J38" s="24">
        <f>$H38-$I38</f>
        <v/>
      </c>
      <c r="K38" s="23">
        <f>$P37</f>
        <v/>
      </c>
      <c r="L38" s="24">
        <f>$K38*Inputs!$C$18/12</f>
        <v/>
      </c>
      <c r="M38" s="24">
        <f>MIN(($C38+$F38),$L38)</f>
        <v/>
      </c>
      <c r="N38" s="24">
        <f>MIN(($D38+$X38),MAX(0,$K38-$O38))</f>
        <v/>
      </c>
      <c r="O38" s="24">
        <f>MIN(MAX(0,MAX(0,$E38-$I38)-$U38),$K38)</f>
        <v/>
      </c>
      <c r="P38" s="24">
        <f>MAX(0,$K38-$O38)-$N38</f>
        <v/>
      </c>
      <c r="Q38" s="23">
        <f>$V37</f>
        <v/>
      </c>
      <c r="R38" s="24">
        <f>$Q38*Inputs!$C$19/12</f>
        <v/>
      </c>
      <c r="S38" s="24">
        <f>MIN(MAX(0,($C38+$F38)-$M38),$R38)</f>
        <v/>
      </c>
      <c r="T38" s="24">
        <f>MIN(MAX(0,($D38+$X38)-$N38),MAX(0,$Q38-$U38))</f>
        <v/>
      </c>
      <c r="U38" s="24">
        <f>MIN(MAX(0,$E38-$I38),$Q38)</f>
        <v/>
      </c>
      <c r="V38" s="24">
        <f>MAX(0,$Q38-$U38)-$T38</f>
        <v/>
      </c>
      <c r="W38" s="24">
        <f>MAX(0,MAX(0,($C38+$F38)-$M38)-$S38)-MIN(MAX(0,$D$3-(MAX(0,$F38-MAX(0,($M38+$S38)-$C38)))),MAX(0,MAX(0,($C38+$F38)-$M38)-$S38))</f>
        <v/>
      </c>
      <c r="X38" s="24">
        <f>IF(Inputs!$C$39=1,$W38,0)</f>
        <v/>
      </c>
      <c r="Y38" s="24">
        <f>IF(Inputs!$C$39=0,$W38,0)+MAX(0,MAX(0,($D38+$X38)-$N38)-$T38)</f>
        <v/>
      </c>
    </row>
    <row r="39">
      <c r="B39" s="22" t="n">
        <v>34</v>
      </c>
      <c r="C39" s="29">
        <f>IF($B39&lt;=Inputs!$C$6+Inputs!$C$11,Cashflow_Asset!$E37-Cashflow_Asset!$K37,0)</f>
        <v/>
      </c>
      <c r="D39" s="29">
        <f>IF($B39&lt;=Inputs!$C$6+Inputs!$C$11,Cashflow_Asset!$F37+Cashflow_Asset!$G37+Cashflow_Asset!$I37,0)</f>
        <v/>
      </c>
      <c r="E39" s="29">
        <f>IF($B39&lt;=Inputs!$C$6+Inputs!$C$11,Cashflow_Asset!$J37,0)</f>
        <v/>
      </c>
      <c r="F39" s="23">
        <f>$G38</f>
        <v/>
      </c>
      <c r="G39" s="24">
        <f>(MAX(0,$F39-MAX(0,($M39+$S39)-$C39)))+MIN(MAX(0,$D$3-(MAX(0,$F39-MAX(0,($M39+$S39)-$C39)))),MAX(0,MAX(0,($C39+$F39)-$M39)-$S39))</f>
        <v/>
      </c>
      <c r="H39" s="23">
        <f>$J38</f>
        <v/>
      </c>
      <c r="I39" s="24">
        <f>MIN($E39,$H39)</f>
        <v/>
      </c>
      <c r="J39" s="24">
        <f>$H39-$I39</f>
        <v/>
      </c>
      <c r="K39" s="23">
        <f>$P38</f>
        <v/>
      </c>
      <c r="L39" s="24">
        <f>$K39*Inputs!$C$18/12</f>
        <v/>
      </c>
      <c r="M39" s="24">
        <f>MIN(($C39+$F39),$L39)</f>
        <v/>
      </c>
      <c r="N39" s="24">
        <f>MIN(($D39+$X39),MAX(0,$K39-$O39))</f>
        <v/>
      </c>
      <c r="O39" s="24">
        <f>MIN(MAX(0,MAX(0,$E39-$I39)-$U39),$K39)</f>
        <v/>
      </c>
      <c r="P39" s="24">
        <f>MAX(0,$K39-$O39)-$N39</f>
        <v/>
      </c>
      <c r="Q39" s="23">
        <f>$V38</f>
        <v/>
      </c>
      <c r="R39" s="24">
        <f>$Q39*Inputs!$C$19/12</f>
        <v/>
      </c>
      <c r="S39" s="24">
        <f>MIN(MAX(0,($C39+$F39)-$M39),$R39)</f>
        <v/>
      </c>
      <c r="T39" s="24">
        <f>MIN(MAX(0,($D39+$X39)-$N39),MAX(0,$Q39-$U39))</f>
        <v/>
      </c>
      <c r="U39" s="24">
        <f>MIN(MAX(0,$E39-$I39),$Q39)</f>
        <v/>
      </c>
      <c r="V39" s="24">
        <f>MAX(0,$Q39-$U39)-$T39</f>
        <v/>
      </c>
      <c r="W39" s="24">
        <f>MAX(0,MAX(0,($C39+$F39)-$M39)-$S39)-MIN(MAX(0,$D$3-(MAX(0,$F39-MAX(0,($M39+$S39)-$C39)))),MAX(0,MAX(0,($C39+$F39)-$M39)-$S39))</f>
        <v/>
      </c>
      <c r="X39" s="24">
        <f>IF(Inputs!$C$39=1,$W39,0)</f>
        <v/>
      </c>
      <c r="Y39" s="24">
        <f>IF(Inputs!$C$39=0,$W39,0)+MAX(0,MAX(0,($D39+$X39)-$N39)-$T39)</f>
        <v/>
      </c>
    </row>
    <row r="40">
      <c r="B40" s="22" t="n">
        <v>35</v>
      </c>
      <c r="C40" s="29">
        <f>IF($B40&lt;=Inputs!$C$6+Inputs!$C$11,Cashflow_Asset!$E38-Cashflow_Asset!$K38,0)</f>
        <v/>
      </c>
      <c r="D40" s="29">
        <f>IF($B40&lt;=Inputs!$C$6+Inputs!$C$11,Cashflow_Asset!$F38+Cashflow_Asset!$G38+Cashflow_Asset!$I38,0)</f>
        <v/>
      </c>
      <c r="E40" s="29">
        <f>IF($B40&lt;=Inputs!$C$6+Inputs!$C$11,Cashflow_Asset!$J38,0)</f>
        <v/>
      </c>
      <c r="F40" s="23">
        <f>$G39</f>
        <v/>
      </c>
      <c r="G40" s="24">
        <f>(MAX(0,$F40-MAX(0,($M40+$S40)-$C40)))+MIN(MAX(0,$D$3-(MAX(0,$F40-MAX(0,($M40+$S40)-$C40)))),MAX(0,MAX(0,($C40+$F40)-$M40)-$S40))</f>
        <v/>
      </c>
      <c r="H40" s="23">
        <f>$J39</f>
        <v/>
      </c>
      <c r="I40" s="24">
        <f>MIN($E40,$H40)</f>
        <v/>
      </c>
      <c r="J40" s="24">
        <f>$H40-$I40</f>
        <v/>
      </c>
      <c r="K40" s="23">
        <f>$P39</f>
        <v/>
      </c>
      <c r="L40" s="24">
        <f>$K40*Inputs!$C$18/12</f>
        <v/>
      </c>
      <c r="M40" s="24">
        <f>MIN(($C40+$F40),$L40)</f>
        <v/>
      </c>
      <c r="N40" s="24">
        <f>MIN(($D40+$X40),MAX(0,$K40-$O40))</f>
        <v/>
      </c>
      <c r="O40" s="24">
        <f>MIN(MAX(0,MAX(0,$E40-$I40)-$U40),$K40)</f>
        <v/>
      </c>
      <c r="P40" s="24">
        <f>MAX(0,$K40-$O40)-$N40</f>
        <v/>
      </c>
      <c r="Q40" s="23">
        <f>$V39</f>
        <v/>
      </c>
      <c r="R40" s="24">
        <f>$Q40*Inputs!$C$19/12</f>
        <v/>
      </c>
      <c r="S40" s="24">
        <f>MIN(MAX(0,($C40+$F40)-$M40),$R40)</f>
        <v/>
      </c>
      <c r="T40" s="24">
        <f>MIN(MAX(0,($D40+$X40)-$N40),MAX(0,$Q40-$U40))</f>
        <v/>
      </c>
      <c r="U40" s="24">
        <f>MIN(MAX(0,$E40-$I40),$Q40)</f>
        <v/>
      </c>
      <c r="V40" s="24">
        <f>MAX(0,$Q40-$U40)-$T40</f>
        <v/>
      </c>
      <c r="W40" s="24">
        <f>MAX(0,MAX(0,($C40+$F40)-$M40)-$S40)-MIN(MAX(0,$D$3-(MAX(0,$F40-MAX(0,($M40+$S40)-$C40)))),MAX(0,MAX(0,($C40+$F40)-$M40)-$S40))</f>
        <v/>
      </c>
      <c r="X40" s="24">
        <f>IF(Inputs!$C$39=1,$W40,0)</f>
        <v/>
      </c>
      <c r="Y40" s="24">
        <f>IF(Inputs!$C$39=0,$W40,0)+MAX(0,MAX(0,($D40+$X40)-$N40)-$T40)</f>
        <v/>
      </c>
    </row>
    <row r="41">
      <c r="B41" s="22" t="n">
        <v>36</v>
      </c>
      <c r="C41" s="29">
        <f>IF($B41&lt;=Inputs!$C$6+Inputs!$C$11,Cashflow_Asset!$E39-Cashflow_Asset!$K39,0)</f>
        <v/>
      </c>
      <c r="D41" s="29">
        <f>IF($B41&lt;=Inputs!$C$6+Inputs!$C$11,Cashflow_Asset!$F39+Cashflow_Asset!$G39+Cashflow_Asset!$I39,0)</f>
        <v/>
      </c>
      <c r="E41" s="29">
        <f>IF($B41&lt;=Inputs!$C$6+Inputs!$C$11,Cashflow_Asset!$J39,0)</f>
        <v/>
      </c>
      <c r="F41" s="23">
        <f>$G40</f>
        <v/>
      </c>
      <c r="G41" s="24">
        <f>(MAX(0,$F41-MAX(0,($M41+$S41)-$C41)))+MIN(MAX(0,$D$3-(MAX(0,$F41-MAX(0,($M41+$S41)-$C41)))),MAX(0,MAX(0,($C41+$F41)-$M41)-$S41))</f>
        <v/>
      </c>
      <c r="H41" s="23">
        <f>$J40</f>
        <v/>
      </c>
      <c r="I41" s="24">
        <f>MIN($E41,$H41)</f>
        <v/>
      </c>
      <c r="J41" s="24">
        <f>$H41-$I41</f>
        <v/>
      </c>
      <c r="K41" s="23">
        <f>$P40</f>
        <v/>
      </c>
      <c r="L41" s="24">
        <f>$K41*Inputs!$C$18/12</f>
        <v/>
      </c>
      <c r="M41" s="24">
        <f>MIN(($C41+$F41),$L41)</f>
        <v/>
      </c>
      <c r="N41" s="24">
        <f>MIN(($D41+$X41),MAX(0,$K41-$O41))</f>
        <v/>
      </c>
      <c r="O41" s="24">
        <f>MIN(MAX(0,MAX(0,$E41-$I41)-$U41),$K41)</f>
        <v/>
      </c>
      <c r="P41" s="24">
        <f>MAX(0,$K41-$O41)-$N41</f>
        <v/>
      </c>
      <c r="Q41" s="23">
        <f>$V40</f>
        <v/>
      </c>
      <c r="R41" s="24">
        <f>$Q41*Inputs!$C$19/12</f>
        <v/>
      </c>
      <c r="S41" s="24">
        <f>MIN(MAX(0,($C41+$F41)-$M41),$R41)</f>
        <v/>
      </c>
      <c r="T41" s="24">
        <f>MIN(MAX(0,($D41+$X41)-$N41),MAX(0,$Q41-$U41))</f>
        <v/>
      </c>
      <c r="U41" s="24">
        <f>MIN(MAX(0,$E41-$I41),$Q41)</f>
        <v/>
      </c>
      <c r="V41" s="24">
        <f>MAX(0,$Q41-$U41)-$T41</f>
        <v/>
      </c>
      <c r="W41" s="24">
        <f>MAX(0,MAX(0,($C41+$F41)-$M41)-$S41)-MIN(MAX(0,$D$3-(MAX(0,$F41-MAX(0,($M41+$S41)-$C41)))),MAX(0,MAX(0,($C41+$F41)-$M41)-$S41))</f>
        <v/>
      </c>
      <c r="X41" s="24">
        <f>IF(Inputs!$C$39=1,$W41,0)</f>
        <v/>
      </c>
      <c r="Y41" s="24">
        <f>IF(Inputs!$C$39=0,$W41,0)+MAX(0,MAX(0,($D41+$X41)-$N41)-$T41)</f>
        <v/>
      </c>
    </row>
    <row r="42">
      <c r="B42" s="22" t="n">
        <v>37</v>
      </c>
      <c r="C42" s="29">
        <f>IF($B42&lt;=Inputs!$C$6+Inputs!$C$11,Cashflow_Asset!$E40-Cashflow_Asset!$K40,0)</f>
        <v/>
      </c>
      <c r="D42" s="29">
        <f>IF($B42&lt;=Inputs!$C$6+Inputs!$C$11,Cashflow_Asset!$F40+Cashflow_Asset!$G40+Cashflow_Asset!$I40,0)</f>
        <v/>
      </c>
      <c r="E42" s="29">
        <f>IF($B42&lt;=Inputs!$C$6+Inputs!$C$11,Cashflow_Asset!$J40,0)</f>
        <v/>
      </c>
      <c r="F42" s="23">
        <f>$G41</f>
        <v/>
      </c>
      <c r="G42" s="24">
        <f>(MAX(0,$F42-MAX(0,($M42+$S42)-$C42)))+MIN(MAX(0,$D$3-(MAX(0,$F42-MAX(0,($M42+$S42)-$C42)))),MAX(0,MAX(0,($C42+$F42)-$M42)-$S42))</f>
        <v/>
      </c>
      <c r="H42" s="23">
        <f>$J41</f>
        <v/>
      </c>
      <c r="I42" s="24">
        <f>MIN($E42,$H42)</f>
        <v/>
      </c>
      <c r="J42" s="24">
        <f>$H42-$I42</f>
        <v/>
      </c>
      <c r="K42" s="23">
        <f>$P41</f>
        <v/>
      </c>
      <c r="L42" s="24">
        <f>$K42*Inputs!$C$18/12</f>
        <v/>
      </c>
      <c r="M42" s="24">
        <f>MIN(($C42+$F42),$L42)</f>
        <v/>
      </c>
      <c r="N42" s="24">
        <f>MIN(($D42+$X42),MAX(0,$K42-$O42))</f>
        <v/>
      </c>
      <c r="O42" s="24">
        <f>MIN(MAX(0,MAX(0,$E42-$I42)-$U42),$K42)</f>
        <v/>
      </c>
      <c r="P42" s="24">
        <f>MAX(0,$K42-$O42)-$N42</f>
        <v/>
      </c>
      <c r="Q42" s="23">
        <f>$V41</f>
        <v/>
      </c>
      <c r="R42" s="24">
        <f>$Q42*Inputs!$C$19/12</f>
        <v/>
      </c>
      <c r="S42" s="24">
        <f>MIN(MAX(0,($C42+$F42)-$M42),$R42)</f>
        <v/>
      </c>
      <c r="T42" s="24">
        <f>MIN(MAX(0,($D42+$X42)-$N42),MAX(0,$Q42-$U42))</f>
        <v/>
      </c>
      <c r="U42" s="24">
        <f>MIN(MAX(0,$E42-$I42),$Q42)</f>
        <v/>
      </c>
      <c r="V42" s="24">
        <f>MAX(0,$Q42-$U42)-$T42</f>
        <v/>
      </c>
      <c r="W42" s="24">
        <f>MAX(0,MAX(0,($C42+$F42)-$M42)-$S42)-MIN(MAX(0,$D$3-(MAX(0,$F42-MAX(0,($M42+$S42)-$C42)))),MAX(0,MAX(0,($C42+$F42)-$M42)-$S42))</f>
        <v/>
      </c>
      <c r="X42" s="24">
        <f>IF(Inputs!$C$39=1,$W42,0)</f>
        <v/>
      </c>
      <c r="Y42" s="24">
        <f>IF(Inputs!$C$39=0,$W42,0)+MAX(0,MAX(0,($D42+$X42)-$N42)-$T42)</f>
        <v/>
      </c>
    </row>
    <row r="43">
      <c r="B43" s="22" t="n">
        <v>38</v>
      </c>
      <c r="C43" s="29">
        <f>IF($B43&lt;=Inputs!$C$6+Inputs!$C$11,Cashflow_Asset!$E41-Cashflow_Asset!$K41,0)</f>
        <v/>
      </c>
      <c r="D43" s="29">
        <f>IF($B43&lt;=Inputs!$C$6+Inputs!$C$11,Cashflow_Asset!$F41+Cashflow_Asset!$G41+Cashflow_Asset!$I41,0)</f>
        <v/>
      </c>
      <c r="E43" s="29">
        <f>IF($B43&lt;=Inputs!$C$6+Inputs!$C$11,Cashflow_Asset!$J41,0)</f>
        <v/>
      </c>
      <c r="F43" s="23">
        <f>$G42</f>
        <v/>
      </c>
      <c r="G43" s="24">
        <f>(MAX(0,$F43-MAX(0,($M43+$S43)-$C43)))+MIN(MAX(0,$D$3-(MAX(0,$F43-MAX(0,($M43+$S43)-$C43)))),MAX(0,MAX(0,($C43+$F43)-$M43)-$S43))</f>
        <v/>
      </c>
      <c r="H43" s="23">
        <f>$J42</f>
        <v/>
      </c>
      <c r="I43" s="24">
        <f>MIN($E43,$H43)</f>
        <v/>
      </c>
      <c r="J43" s="24">
        <f>$H43-$I43</f>
        <v/>
      </c>
      <c r="K43" s="23">
        <f>$P42</f>
        <v/>
      </c>
      <c r="L43" s="24">
        <f>$K43*Inputs!$C$18/12</f>
        <v/>
      </c>
      <c r="M43" s="24">
        <f>MIN(($C43+$F43),$L43)</f>
        <v/>
      </c>
      <c r="N43" s="24">
        <f>MIN(($D43+$X43),MAX(0,$K43-$O43))</f>
        <v/>
      </c>
      <c r="O43" s="24">
        <f>MIN(MAX(0,MAX(0,$E43-$I43)-$U43),$K43)</f>
        <v/>
      </c>
      <c r="P43" s="24">
        <f>MAX(0,$K43-$O43)-$N43</f>
        <v/>
      </c>
      <c r="Q43" s="23">
        <f>$V42</f>
        <v/>
      </c>
      <c r="R43" s="24">
        <f>$Q43*Inputs!$C$19/12</f>
        <v/>
      </c>
      <c r="S43" s="24">
        <f>MIN(MAX(0,($C43+$F43)-$M43),$R43)</f>
        <v/>
      </c>
      <c r="T43" s="24">
        <f>MIN(MAX(0,($D43+$X43)-$N43),MAX(0,$Q43-$U43))</f>
        <v/>
      </c>
      <c r="U43" s="24">
        <f>MIN(MAX(0,$E43-$I43),$Q43)</f>
        <v/>
      </c>
      <c r="V43" s="24">
        <f>MAX(0,$Q43-$U43)-$T43</f>
        <v/>
      </c>
      <c r="W43" s="24">
        <f>MAX(0,MAX(0,($C43+$F43)-$M43)-$S43)-MIN(MAX(0,$D$3-(MAX(0,$F43-MAX(0,($M43+$S43)-$C43)))),MAX(0,MAX(0,($C43+$F43)-$M43)-$S43))</f>
        <v/>
      </c>
      <c r="X43" s="24">
        <f>IF(Inputs!$C$39=1,$W43,0)</f>
        <v/>
      </c>
      <c r="Y43" s="24">
        <f>IF(Inputs!$C$39=0,$W43,0)+MAX(0,MAX(0,($D43+$X43)-$N43)-$T43)</f>
        <v/>
      </c>
    </row>
    <row r="44">
      <c r="B44" s="22" t="n">
        <v>39</v>
      </c>
      <c r="C44" s="29">
        <f>IF($B44&lt;=Inputs!$C$6+Inputs!$C$11,Cashflow_Asset!$E42-Cashflow_Asset!$K42,0)</f>
        <v/>
      </c>
      <c r="D44" s="29">
        <f>IF($B44&lt;=Inputs!$C$6+Inputs!$C$11,Cashflow_Asset!$F42+Cashflow_Asset!$G42+Cashflow_Asset!$I42,0)</f>
        <v/>
      </c>
      <c r="E44" s="29">
        <f>IF($B44&lt;=Inputs!$C$6+Inputs!$C$11,Cashflow_Asset!$J42,0)</f>
        <v/>
      </c>
      <c r="F44" s="23">
        <f>$G43</f>
        <v/>
      </c>
      <c r="G44" s="24">
        <f>(MAX(0,$F44-MAX(0,($M44+$S44)-$C44)))+MIN(MAX(0,$D$3-(MAX(0,$F44-MAX(0,($M44+$S44)-$C44)))),MAX(0,MAX(0,($C44+$F44)-$M44)-$S44))</f>
        <v/>
      </c>
      <c r="H44" s="23">
        <f>$J43</f>
        <v/>
      </c>
      <c r="I44" s="24">
        <f>MIN($E44,$H44)</f>
        <v/>
      </c>
      <c r="J44" s="24">
        <f>$H44-$I44</f>
        <v/>
      </c>
      <c r="K44" s="23">
        <f>$P43</f>
        <v/>
      </c>
      <c r="L44" s="24">
        <f>$K44*Inputs!$C$18/12</f>
        <v/>
      </c>
      <c r="M44" s="24">
        <f>MIN(($C44+$F44),$L44)</f>
        <v/>
      </c>
      <c r="N44" s="24">
        <f>MIN(($D44+$X44),MAX(0,$K44-$O44))</f>
        <v/>
      </c>
      <c r="O44" s="24">
        <f>MIN(MAX(0,MAX(0,$E44-$I44)-$U44),$K44)</f>
        <v/>
      </c>
      <c r="P44" s="24">
        <f>MAX(0,$K44-$O44)-$N44</f>
        <v/>
      </c>
      <c r="Q44" s="23">
        <f>$V43</f>
        <v/>
      </c>
      <c r="R44" s="24">
        <f>$Q44*Inputs!$C$19/12</f>
        <v/>
      </c>
      <c r="S44" s="24">
        <f>MIN(MAX(0,($C44+$F44)-$M44),$R44)</f>
        <v/>
      </c>
      <c r="T44" s="24">
        <f>MIN(MAX(0,($D44+$X44)-$N44),MAX(0,$Q44-$U44))</f>
        <v/>
      </c>
      <c r="U44" s="24">
        <f>MIN(MAX(0,$E44-$I44),$Q44)</f>
        <v/>
      </c>
      <c r="V44" s="24">
        <f>MAX(0,$Q44-$U44)-$T44</f>
        <v/>
      </c>
      <c r="W44" s="24">
        <f>MAX(0,MAX(0,($C44+$F44)-$M44)-$S44)-MIN(MAX(0,$D$3-(MAX(0,$F44-MAX(0,($M44+$S44)-$C44)))),MAX(0,MAX(0,($C44+$F44)-$M44)-$S44))</f>
        <v/>
      </c>
      <c r="X44" s="24">
        <f>IF(Inputs!$C$39=1,$W44,0)</f>
        <v/>
      </c>
      <c r="Y44" s="24">
        <f>IF(Inputs!$C$39=0,$W44,0)+MAX(0,MAX(0,($D44+$X44)-$N44)-$T44)</f>
        <v/>
      </c>
    </row>
    <row r="45">
      <c r="B45" s="22" t="n">
        <v>40</v>
      </c>
      <c r="C45" s="29">
        <f>IF($B45&lt;=Inputs!$C$6+Inputs!$C$11,Cashflow_Asset!$E43-Cashflow_Asset!$K43,0)</f>
        <v/>
      </c>
      <c r="D45" s="29">
        <f>IF($B45&lt;=Inputs!$C$6+Inputs!$C$11,Cashflow_Asset!$F43+Cashflow_Asset!$G43+Cashflow_Asset!$I43,0)</f>
        <v/>
      </c>
      <c r="E45" s="29">
        <f>IF($B45&lt;=Inputs!$C$6+Inputs!$C$11,Cashflow_Asset!$J43,0)</f>
        <v/>
      </c>
      <c r="F45" s="23">
        <f>$G44</f>
        <v/>
      </c>
      <c r="G45" s="24">
        <f>(MAX(0,$F45-MAX(0,($M45+$S45)-$C45)))+MIN(MAX(0,$D$3-(MAX(0,$F45-MAX(0,($M45+$S45)-$C45)))),MAX(0,MAX(0,($C45+$F45)-$M45)-$S45))</f>
        <v/>
      </c>
      <c r="H45" s="23">
        <f>$J44</f>
        <v/>
      </c>
      <c r="I45" s="24">
        <f>MIN($E45,$H45)</f>
        <v/>
      </c>
      <c r="J45" s="24">
        <f>$H45-$I45</f>
        <v/>
      </c>
      <c r="K45" s="23">
        <f>$P44</f>
        <v/>
      </c>
      <c r="L45" s="24">
        <f>$K45*Inputs!$C$18/12</f>
        <v/>
      </c>
      <c r="M45" s="24">
        <f>MIN(($C45+$F45),$L45)</f>
        <v/>
      </c>
      <c r="N45" s="24">
        <f>MIN(($D45+$X45),MAX(0,$K45-$O45))</f>
        <v/>
      </c>
      <c r="O45" s="24">
        <f>MIN(MAX(0,MAX(0,$E45-$I45)-$U45),$K45)</f>
        <v/>
      </c>
      <c r="P45" s="24">
        <f>MAX(0,$K45-$O45)-$N45</f>
        <v/>
      </c>
      <c r="Q45" s="23">
        <f>$V44</f>
        <v/>
      </c>
      <c r="R45" s="24">
        <f>$Q45*Inputs!$C$19/12</f>
        <v/>
      </c>
      <c r="S45" s="24">
        <f>MIN(MAX(0,($C45+$F45)-$M45),$R45)</f>
        <v/>
      </c>
      <c r="T45" s="24">
        <f>MIN(MAX(0,($D45+$X45)-$N45),MAX(0,$Q45-$U45))</f>
        <v/>
      </c>
      <c r="U45" s="24">
        <f>MIN(MAX(0,$E45-$I45),$Q45)</f>
        <v/>
      </c>
      <c r="V45" s="24">
        <f>MAX(0,$Q45-$U45)-$T45</f>
        <v/>
      </c>
      <c r="W45" s="24">
        <f>MAX(0,MAX(0,($C45+$F45)-$M45)-$S45)-MIN(MAX(0,$D$3-(MAX(0,$F45-MAX(0,($M45+$S45)-$C45)))),MAX(0,MAX(0,($C45+$F45)-$M45)-$S45))</f>
        <v/>
      </c>
      <c r="X45" s="24">
        <f>IF(Inputs!$C$39=1,$W45,0)</f>
        <v/>
      </c>
      <c r="Y45" s="24">
        <f>IF(Inputs!$C$39=0,$W45,0)+MAX(0,MAX(0,($D45+$X45)-$N45)-$T45)</f>
        <v/>
      </c>
    </row>
    <row r="46">
      <c r="B46" s="22" t="n">
        <v>41</v>
      </c>
      <c r="C46" s="29">
        <f>IF($B46&lt;=Inputs!$C$6+Inputs!$C$11,Cashflow_Asset!$E44-Cashflow_Asset!$K44,0)</f>
        <v/>
      </c>
      <c r="D46" s="29">
        <f>IF($B46&lt;=Inputs!$C$6+Inputs!$C$11,Cashflow_Asset!$F44+Cashflow_Asset!$G44+Cashflow_Asset!$I44,0)</f>
        <v/>
      </c>
      <c r="E46" s="29">
        <f>IF($B46&lt;=Inputs!$C$6+Inputs!$C$11,Cashflow_Asset!$J44,0)</f>
        <v/>
      </c>
      <c r="F46" s="23">
        <f>$G45</f>
        <v/>
      </c>
      <c r="G46" s="24">
        <f>(MAX(0,$F46-MAX(0,($M46+$S46)-$C46)))+MIN(MAX(0,$D$3-(MAX(0,$F46-MAX(0,($M46+$S46)-$C46)))),MAX(0,MAX(0,($C46+$F46)-$M46)-$S46))</f>
        <v/>
      </c>
      <c r="H46" s="23">
        <f>$J45</f>
        <v/>
      </c>
      <c r="I46" s="24">
        <f>MIN($E46,$H46)</f>
        <v/>
      </c>
      <c r="J46" s="24">
        <f>$H46-$I46</f>
        <v/>
      </c>
      <c r="K46" s="23">
        <f>$P45</f>
        <v/>
      </c>
      <c r="L46" s="24">
        <f>$K46*Inputs!$C$18/12</f>
        <v/>
      </c>
      <c r="M46" s="24">
        <f>MIN(($C46+$F46),$L46)</f>
        <v/>
      </c>
      <c r="N46" s="24">
        <f>MIN(($D46+$X46),MAX(0,$K46-$O46))</f>
        <v/>
      </c>
      <c r="O46" s="24">
        <f>MIN(MAX(0,MAX(0,$E46-$I46)-$U46),$K46)</f>
        <v/>
      </c>
      <c r="P46" s="24">
        <f>MAX(0,$K46-$O46)-$N46</f>
        <v/>
      </c>
      <c r="Q46" s="23">
        <f>$V45</f>
        <v/>
      </c>
      <c r="R46" s="24">
        <f>$Q46*Inputs!$C$19/12</f>
        <v/>
      </c>
      <c r="S46" s="24">
        <f>MIN(MAX(0,($C46+$F46)-$M46),$R46)</f>
        <v/>
      </c>
      <c r="T46" s="24">
        <f>MIN(MAX(0,($D46+$X46)-$N46),MAX(0,$Q46-$U46))</f>
        <v/>
      </c>
      <c r="U46" s="24">
        <f>MIN(MAX(0,$E46-$I46),$Q46)</f>
        <v/>
      </c>
      <c r="V46" s="24">
        <f>MAX(0,$Q46-$U46)-$T46</f>
        <v/>
      </c>
      <c r="W46" s="24">
        <f>MAX(0,MAX(0,($C46+$F46)-$M46)-$S46)-MIN(MAX(0,$D$3-(MAX(0,$F46-MAX(0,($M46+$S46)-$C46)))),MAX(0,MAX(0,($C46+$F46)-$M46)-$S46))</f>
        <v/>
      </c>
      <c r="X46" s="24">
        <f>IF(Inputs!$C$39=1,$W46,0)</f>
        <v/>
      </c>
      <c r="Y46" s="24">
        <f>IF(Inputs!$C$39=0,$W46,0)+MAX(0,MAX(0,($D46+$X46)-$N46)-$T46)</f>
        <v/>
      </c>
    </row>
    <row r="47">
      <c r="B47" s="22" t="n">
        <v>42</v>
      </c>
      <c r="C47" s="29">
        <f>IF($B47&lt;=Inputs!$C$6+Inputs!$C$11,Cashflow_Asset!$E45-Cashflow_Asset!$K45,0)</f>
        <v/>
      </c>
      <c r="D47" s="29">
        <f>IF($B47&lt;=Inputs!$C$6+Inputs!$C$11,Cashflow_Asset!$F45+Cashflow_Asset!$G45+Cashflow_Asset!$I45,0)</f>
        <v/>
      </c>
      <c r="E47" s="29">
        <f>IF($B47&lt;=Inputs!$C$6+Inputs!$C$11,Cashflow_Asset!$J45,0)</f>
        <v/>
      </c>
      <c r="F47" s="23">
        <f>$G46</f>
        <v/>
      </c>
      <c r="G47" s="24">
        <f>(MAX(0,$F47-MAX(0,($M47+$S47)-$C47)))+MIN(MAX(0,$D$3-(MAX(0,$F47-MAX(0,($M47+$S47)-$C47)))),MAX(0,MAX(0,($C47+$F47)-$M47)-$S47))</f>
        <v/>
      </c>
      <c r="H47" s="23">
        <f>$J46</f>
        <v/>
      </c>
      <c r="I47" s="24">
        <f>MIN($E47,$H47)</f>
        <v/>
      </c>
      <c r="J47" s="24">
        <f>$H47-$I47</f>
        <v/>
      </c>
      <c r="K47" s="23">
        <f>$P46</f>
        <v/>
      </c>
      <c r="L47" s="24">
        <f>$K47*Inputs!$C$18/12</f>
        <v/>
      </c>
      <c r="M47" s="24">
        <f>MIN(($C47+$F47),$L47)</f>
        <v/>
      </c>
      <c r="N47" s="24">
        <f>MIN(($D47+$X47),MAX(0,$K47-$O47))</f>
        <v/>
      </c>
      <c r="O47" s="24">
        <f>MIN(MAX(0,MAX(0,$E47-$I47)-$U47),$K47)</f>
        <v/>
      </c>
      <c r="P47" s="24">
        <f>MAX(0,$K47-$O47)-$N47</f>
        <v/>
      </c>
      <c r="Q47" s="23">
        <f>$V46</f>
        <v/>
      </c>
      <c r="R47" s="24">
        <f>$Q47*Inputs!$C$19/12</f>
        <v/>
      </c>
      <c r="S47" s="24">
        <f>MIN(MAX(0,($C47+$F47)-$M47),$R47)</f>
        <v/>
      </c>
      <c r="T47" s="24">
        <f>MIN(MAX(0,($D47+$X47)-$N47),MAX(0,$Q47-$U47))</f>
        <v/>
      </c>
      <c r="U47" s="24">
        <f>MIN(MAX(0,$E47-$I47),$Q47)</f>
        <v/>
      </c>
      <c r="V47" s="24">
        <f>MAX(0,$Q47-$U47)-$T47</f>
        <v/>
      </c>
      <c r="W47" s="24">
        <f>MAX(0,MAX(0,($C47+$F47)-$M47)-$S47)-MIN(MAX(0,$D$3-(MAX(0,$F47-MAX(0,($M47+$S47)-$C47)))),MAX(0,MAX(0,($C47+$F47)-$M47)-$S47))</f>
        <v/>
      </c>
      <c r="X47" s="24">
        <f>IF(Inputs!$C$39=1,$W47,0)</f>
        <v/>
      </c>
      <c r="Y47" s="24">
        <f>IF(Inputs!$C$39=0,$W47,0)+MAX(0,MAX(0,($D47+$X47)-$N47)-$T47)</f>
        <v/>
      </c>
    </row>
    <row r="48">
      <c r="B48" s="22" t="n">
        <v>43</v>
      </c>
      <c r="C48" s="29">
        <f>IF($B48&lt;=Inputs!$C$6+Inputs!$C$11,Cashflow_Asset!$E46-Cashflow_Asset!$K46,0)</f>
        <v/>
      </c>
      <c r="D48" s="29">
        <f>IF($B48&lt;=Inputs!$C$6+Inputs!$C$11,Cashflow_Asset!$F46+Cashflow_Asset!$G46+Cashflow_Asset!$I46,0)</f>
        <v/>
      </c>
      <c r="E48" s="29">
        <f>IF($B48&lt;=Inputs!$C$6+Inputs!$C$11,Cashflow_Asset!$J46,0)</f>
        <v/>
      </c>
      <c r="F48" s="23">
        <f>$G47</f>
        <v/>
      </c>
      <c r="G48" s="24">
        <f>(MAX(0,$F48-MAX(0,($M48+$S48)-$C48)))+MIN(MAX(0,$D$3-(MAX(0,$F48-MAX(0,($M48+$S48)-$C48)))),MAX(0,MAX(0,($C48+$F48)-$M48)-$S48))</f>
        <v/>
      </c>
      <c r="H48" s="23">
        <f>$J47</f>
        <v/>
      </c>
      <c r="I48" s="24">
        <f>MIN($E48,$H48)</f>
        <v/>
      </c>
      <c r="J48" s="24">
        <f>$H48-$I48</f>
        <v/>
      </c>
      <c r="K48" s="23">
        <f>$P47</f>
        <v/>
      </c>
      <c r="L48" s="24">
        <f>$K48*Inputs!$C$18/12</f>
        <v/>
      </c>
      <c r="M48" s="24">
        <f>MIN(($C48+$F48),$L48)</f>
        <v/>
      </c>
      <c r="N48" s="24">
        <f>MIN(($D48+$X48),MAX(0,$K48-$O48))</f>
        <v/>
      </c>
      <c r="O48" s="24">
        <f>MIN(MAX(0,MAX(0,$E48-$I48)-$U48),$K48)</f>
        <v/>
      </c>
      <c r="P48" s="24">
        <f>MAX(0,$K48-$O48)-$N48</f>
        <v/>
      </c>
      <c r="Q48" s="23">
        <f>$V47</f>
        <v/>
      </c>
      <c r="R48" s="24">
        <f>$Q48*Inputs!$C$19/12</f>
        <v/>
      </c>
      <c r="S48" s="24">
        <f>MIN(MAX(0,($C48+$F48)-$M48),$R48)</f>
        <v/>
      </c>
      <c r="T48" s="24">
        <f>MIN(MAX(0,($D48+$X48)-$N48),MAX(0,$Q48-$U48))</f>
        <v/>
      </c>
      <c r="U48" s="24">
        <f>MIN(MAX(0,$E48-$I48),$Q48)</f>
        <v/>
      </c>
      <c r="V48" s="24">
        <f>MAX(0,$Q48-$U48)-$T48</f>
        <v/>
      </c>
      <c r="W48" s="24">
        <f>MAX(0,MAX(0,($C48+$F48)-$M48)-$S48)-MIN(MAX(0,$D$3-(MAX(0,$F48-MAX(0,($M48+$S48)-$C48)))),MAX(0,MAX(0,($C48+$F48)-$M48)-$S48))</f>
        <v/>
      </c>
      <c r="X48" s="24">
        <f>IF(Inputs!$C$39=1,$W48,0)</f>
        <v/>
      </c>
      <c r="Y48" s="24">
        <f>IF(Inputs!$C$39=0,$W48,0)+MAX(0,MAX(0,($D48+$X48)-$N48)-$T48)</f>
        <v/>
      </c>
    </row>
    <row r="49">
      <c r="B49" s="22" t="n">
        <v>44</v>
      </c>
      <c r="C49" s="29">
        <f>IF($B49&lt;=Inputs!$C$6+Inputs!$C$11,Cashflow_Asset!$E47-Cashflow_Asset!$K47,0)</f>
        <v/>
      </c>
      <c r="D49" s="29">
        <f>IF($B49&lt;=Inputs!$C$6+Inputs!$C$11,Cashflow_Asset!$F47+Cashflow_Asset!$G47+Cashflow_Asset!$I47,0)</f>
        <v/>
      </c>
      <c r="E49" s="29">
        <f>IF($B49&lt;=Inputs!$C$6+Inputs!$C$11,Cashflow_Asset!$J47,0)</f>
        <v/>
      </c>
      <c r="F49" s="23">
        <f>$G48</f>
        <v/>
      </c>
      <c r="G49" s="24">
        <f>(MAX(0,$F49-MAX(0,($M49+$S49)-$C49)))+MIN(MAX(0,$D$3-(MAX(0,$F49-MAX(0,($M49+$S49)-$C49)))),MAX(0,MAX(0,($C49+$F49)-$M49)-$S49))</f>
        <v/>
      </c>
      <c r="H49" s="23">
        <f>$J48</f>
        <v/>
      </c>
      <c r="I49" s="24">
        <f>MIN($E49,$H49)</f>
        <v/>
      </c>
      <c r="J49" s="24">
        <f>$H49-$I49</f>
        <v/>
      </c>
      <c r="K49" s="23">
        <f>$P48</f>
        <v/>
      </c>
      <c r="L49" s="24">
        <f>$K49*Inputs!$C$18/12</f>
        <v/>
      </c>
      <c r="M49" s="24">
        <f>MIN(($C49+$F49),$L49)</f>
        <v/>
      </c>
      <c r="N49" s="24">
        <f>MIN(($D49+$X49),MAX(0,$K49-$O49))</f>
        <v/>
      </c>
      <c r="O49" s="24">
        <f>MIN(MAX(0,MAX(0,$E49-$I49)-$U49),$K49)</f>
        <v/>
      </c>
      <c r="P49" s="24">
        <f>MAX(0,$K49-$O49)-$N49</f>
        <v/>
      </c>
      <c r="Q49" s="23">
        <f>$V48</f>
        <v/>
      </c>
      <c r="R49" s="24">
        <f>$Q49*Inputs!$C$19/12</f>
        <v/>
      </c>
      <c r="S49" s="24">
        <f>MIN(MAX(0,($C49+$F49)-$M49),$R49)</f>
        <v/>
      </c>
      <c r="T49" s="24">
        <f>MIN(MAX(0,($D49+$X49)-$N49),MAX(0,$Q49-$U49))</f>
        <v/>
      </c>
      <c r="U49" s="24">
        <f>MIN(MAX(0,$E49-$I49),$Q49)</f>
        <v/>
      </c>
      <c r="V49" s="24">
        <f>MAX(0,$Q49-$U49)-$T49</f>
        <v/>
      </c>
      <c r="W49" s="24">
        <f>MAX(0,MAX(0,($C49+$F49)-$M49)-$S49)-MIN(MAX(0,$D$3-(MAX(0,$F49-MAX(0,($M49+$S49)-$C49)))),MAX(0,MAX(0,($C49+$F49)-$M49)-$S49))</f>
        <v/>
      </c>
      <c r="X49" s="24">
        <f>IF(Inputs!$C$39=1,$W49,0)</f>
        <v/>
      </c>
      <c r="Y49" s="24">
        <f>IF(Inputs!$C$39=0,$W49,0)+MAX(0,MAX(0,($D49+$X49)-$N49)-$T49)</f>
        <v/>
      </c>
    </row>
    <row r="50">
      <c r="B50" s="22" t="n">
        <v>45</v>
      </c>
      <c r="C50" s="29">
        <f>IF($B50&lt;=Inputs!$C$6+Inputs!$C$11,Cashflow_Asset!$E48-Cashflow_Asset!$K48,0)</f>
        <v/>
      </c>
      <c r="D50" s="29">
        <f>IF($B50&lt;=Inputs!$C$6+Inputs!$C$11,Cashflow_Asset!$F48+Cashflow_Asset!$G48+Cashflow_Asset!$I48,0)</f>
        <v/>
      </c>
      <c r="E50" s="29">
        <f>IF($B50&lt;=Inputs!$C$6+Inputs!$C$11,Cashflow_Asset!$J48,0)</f>
        <v/>
      </c>
      <c r="F50" s="23">
        <f>$G49</f>
        <v/>
      </c>
      <c r="G50" s="24">
        <f>(MAX(0,$F50-MAX(0,($M50+$S50)-$C50)))+MIN(MAX(0,$D$3-(MAX(0,$F50-MAX(0,($M50+$S50)-$C50)))),MAX(0,MAX(0,($C50+$F50)-$M50)-$S50))</f>
        <v/>
      </c>
      <c r="H50" s="23">
        <f>$J49</f>
        <v/>
      </c>
      <c r="I50" s="24">
        <f>MIN($E50,$H50)</f>
        <v/>
      </c>
      <c r="J50" s="24">
        <f>$H50-$I50</f>
        <v/>
      </c>
      <c r="K50" s="23">
        <f>$P49</f>
        <v/>
      </c>
      <c r="L50" s="24">
        <f>$K50*Inputs!$C$18/12</f>
        <v/>
      </c>
      <c r="M50" s="24">
        <f>MIN(($C50+$F50),$L50)</f>
        <v/>
      </c>
      <c r="N50" s="24">
        <f>MIN(($D50+$X50),MAX(0,$K50-$O50))</f>
        <v/>
      </c>
      <c r="O50" s="24">
        <f>MIN(MAX(0,MAX(0,$E50-$I50)-$U50),$K50)</f>
        <v/>
      </c>
      <c r="P50" s="24">
        <f>MAX(0,$K50-$O50)-$N50</f>
        <v/>
      </c>
      <c r="Q50" s="23">
        <f>$V49</f>
        <v/>
      </c>
      <c r="R50" s="24">
        <f>$Q50*Inputs!$C$19/12</f>
        <v/>
      </c>
      <c r="S50" s="24">
        <f>MIN(MAX(0,($C50+$F50)-$M50),$R50)</f>
        <v/>
      </c>
      <c r="T50" s="24">
        <f>MIN(MAX(0,($D50+$X50)-$N50),MAX(0,$Q50-$U50))</f>
        <v/>
      </c>
      <c r="U50" s="24">
        <f>MIN(MAX(0,$E50-$I50),$Q50)</f>
        <v/>
      </c>
      <c r="V50" s="24">
        <f>MAX(0,$Q50-$U50)-$T50</f>
        <v/>
      </c>
      <c r="W50" s="24">
        <f>MAX(0,MAX(0,($C50+$F50)-$M50)-$S50)-MIN(MAX(0,$D$3-(MAX(0,$F50-MAX(0,($M50+$S50)-$C50)))),MAX(0,MAX(0,($C50+$F50)-$M50)-$S50))</f>
        <v/>
      </c>
      <c r="X50" s="24">
        <f>IF(Inputs!$C$39=1,$W50,0)</f>
        <v/>
      </c>
      <c r="Y50" s="24">
        <f>IF(Inputs!$C$39=0,$W50,0)+MAX(0,MAX(0,($D50+$X50)-$N50)-$T50)</f>
        <v/>
      </c>
    </row>
    <row r="51">
      <c r="B51" s="22" t="n">
        <v>46</v>
      </c>
      <c r="C51" s="29">
        <f>IF($B51&lt;=Inputs!$C$6+Inputs!$C$11,Cashflow_Asset!$E49-Cashflow_Asset!$K49,0)</f>
        <v/>
      </c>
      <c r="D51" s="29">
        <f>IF($B51&lt;=Inputs!$C$6+Inputs!$C$11,Cashflow_Asset!$F49+Cashflow_Asset!$G49+Cashflow_Asset!$I49,0)</f>
        <v/>
      </c>
      <c r="E51" s="29">
        <f>IF($B51&lt;=Inputs!$C$6+Inputs!$C$11,Cashflow_Asset!$J49,0)</f>
        <v/>
      </c>
      <c r="F51" s="23">
        <f>$G50</f>
        <v/>
      </c>
      <c r="G51" s="24">
        <f>(MAX(0,$F51-MAX(0,($M51+$S51)-$C51)))+MIN(MAX(0,$D$3-(MAX(0,$F51-MAX(0,($M51+$S51)-$C51)))),MAX(0,MAX(0,($C51+$F51)-$M51)-$S51))</f>
        <v/>
      </c>
      <c r="H51" s="23">
        <f>$J50</f>
        <v/>
      </c>
      <c r="I51" s="24">
        <f>MIN($E51,$H51)</f>
        <v/>
      </c>
      <c r="J51" s="24">
        <f>$H51-$I51</f>
        <v/>
      </c>
      <c r="K51" s="23">
        <f>$P50</f>
        <v/>
      </c>
      <c r="L51" s="24">
        <f>$K51*Inputs!$C$18/12</f>
        <v/>
      </c>
      <c r="M51" s="24">
        <f>MIN(($C51+$F51),$L51)</f>
        <v/>
      </c>
      <c r="N51" s="24">
        <f>MIN(($D51+$X51),MAX(0,$K51-$O51))</f>
        <v/>
      </c>
      <c r="O51" s="24">
        <f>MIN(MAX(0,MAX(0,$E51-$I51)-$U51),$K51)</f>
        <v/>
      </c>
      <c r="P51" s="24">
        <f>MAX(0,$K51-$O51)-$N51</f>
        <v/>
      </c>
      <c r="Q51" s="23">
        <f>$V50</f>
        <v/>
      </c>
      <c r="R51" s="24">
        <f>$Q51*Inputs!$C$19/12</f>
        <v/>
      </c>
      <c r="S51" s="24">
        <f>MIN(MAX(0,($C51+$F51)-$M51),$R51)</f>
        <v/>
      </c>
      <c r="T51" s="24">
        <f>MIN(MAX(0,($D51+$X51)-$N51),MAX(0,$Q51-$U51))</f>
        <v/>
      </c>
      <c r="U51" s="24">
        <f>MIN(MAX(0,$E51-$I51),$Q51)</f>
        <v/>
      </c>
      <c r="V51" s="24">
        <f>MAX(0,$Q51-$U51)-$T51</f>
        <v/>
      </c>
      <c r="W51" s="24">
        <f>MAX(0,MAX(0,($C51+$F51)-$M51)-$S51)-MIN(MAX(0,$D$3-(MAX(0,$F51-MAX(0,($M51+$S51)-$C51)))),MAX(0,MAX(0,($C51+$F51)-$M51)-$S51))</f>
        <v/>
      </c>
      <c r="X51" s="24">
        <f>IF(Inputs!$C$39=1,$W51,0)</f>
        <v/>
      </c>
      <c r="Y51" s="24">
        <f>IF(Inputs!$C$39=0,$W51,0)+MAX(0,MAX(0,($D51+$X51)-$N51)-$T51)</f>
        <v/>
      </c>
    </row>
    <row r="52">
      <c r="B52" s="22" t="n">
        <v>47</v>
      </c>
      <c r="C52" s="29">
        <f>IF($B52&lt;=Inputs!$C$6+Inputs!$C$11,Cashflow_Asset!$E50-Cashflow_Asset!$K50,0)</f>
        <v/>
      </c>
      <c r="D52" s="29">
        <f>IF($B52&lt;=Inputs!$C$6+Inputs!$C$11,Cashflow_Asset!$F50+Cashflow_Asset!$G50+Cashflow_Asset!$I50,0)</f>
        <v/>
      </c>
      <c r="E52" s="29">
        <f>IF($B52&lt;=Inputs!$C$6+Inputs!$C$11,Cashflow_Asset!$J50,0)</f>
        <v/>
      </c>
      <c r="F52" s="23">
        <f>$G51</f>
        <v/>
      </c>
      <c r="G52" s="24">
        <f>(MAX(0,$F52-MAX(0,($M52+$S52)-$C52)))+MIN(MAX(0,$D$3-(MAX(0,$F52-MAX(0,($M52+$S52)-$C52)))),MAX(0,MAX(0,($C52+$F52)-$M52)-$S52))</f>
        <v/>
      </c>
      <c r="H52" s="23">
        <f>$J51</f>
        <v/>
      </c>
      <c r="I52" s="24">
        <f>MIN($E52,$H52)</f>
        <v/>
      </c>
      <c r="J52" s="24">
        <f>$H52-$I52</f>
        <v/>
      </c>
      <c r="K52" s="23">
        <f>$P51</f>
        <v/>
      </c>
      <c r="L52" s="24">
        <f>$K52*Inputs!$C$18/12</f>
        <v/>
      </c>
      <c r="M52" s="24">
        <f>MIN(($C52+$F52),$L52)</f>
        <v/>
      </c>
      <c r="N52" s="24">
        <f>MIN(($D52+$X52),MAX(0,$K52-$O52))</f>
        <v/>
      </c>
      <c r="O52" s="24">
        <f>MIN(MAX(0,MAX(0,$E52-$I52)-$U52),$K52)</f>
        <v/>
      </c>
      <c r="P52" s="24">
        <f>MAX(0,$K52-$O52)-$N52</f>
        <v/>
      </c>
      <c r="Q52" s="23">
        <f>$V51</f>
        <v/>
      </c>
      <c r="R52" s="24">
        <f>$Q52*Inputs!$C$19/12</f>
        <v/>
      </c>
      <c r="S52" s="24">
        <f>MIN(MAX(0,($C52+$F52)-$M52),$R52)</f>
        <v/>
      </c>
      <c r="T52" s="24">
        <f>MIN(MAX(0,($D52+$X52)-$N52),MAX(0,$Q52-$U52))</f>
        <v/>
      </c>
      <c r="U52" s="24">
        <f>MIN(MAX(0,$E52-$I52),$Q52)</f>
        <v/>
      </c>
      <c r="V52" s="24">
        <f>MAX(0,$Q52-$U52)-$T52</f>
        <v/>
      </c>
      <c r="W52" s="24">
        <f>MAX(0,MAX(0,($C52+$F52)-$M52)-$S52)-MIN(MAX(0,$D$3-(MAX(0,$F52-MAX(0,($M52+$S52)-$C52)))),MAX(0,MAX(0,($C52+$F52)-$M52)-$S52))</f>
        <v/>
      </c>
      <c r="X52" s="24">
        <f>IF(Inputs!$C$39=1,$W52,0)</f>
        <v/>
      </c>
      <c r="Y52" s="24">
        <f>IF(Inputs!$C$39=0,$W52,0)+MAX(0,MAX(0,($D52+$X52)-$N52)-$T52)</f>
        <v/>
      </c>
    </row>
    <row r="53">
      <c r="B53" s="22" t="n">
        <v>48</v>
      </c>
      <c r="C53" s="29">
        <f>IF($B53&lt;=Inputs!$C$6+Inputs!$C$11,Cashflow_Asset!$E51-Cashflow_Asset!$K51,0)</f>
        <v/>
      </c>
      <c r="D53" s="29">
        <f>IF($B53&lt;=Inputs!$C$6+Inputs!$C$11,Cashflow_Asset!$F51+Cashflow_Asset!$G51+Cashflow_Asset!$I51,0)</f>
        <v/>
      </c>
      <c r="E53" s="29">
        <f>IF($B53&lt;=Inputs!$C$6+Inputs!$C$11,Cashflow_Asset!$J51,0)</f>
        <v/>
      </c>
      <c r="F53" s="23">
        <f>$G52</f>
        <v/>
      </c>
      <c r="G53" s="24">
        <f>(MAX(0,$F53-MAX(0,($M53+$S53)-$C53)))+MIN(MAX(0,$D$3-(MAX(0,$F53-MAX(0,($M53+$S53)-$C53)))),MAX(0,MAX(0,($C53+$F53)-$M53)-$S53))</f>
        <v/>
      </c>
      <c r="H53" s="23">
        <f>$J52</f>
        <v/>
      </c>
      <c r="I53" s="24">
        <f>MIN($E53,$H53)</f>
        <v/>
      </c>
      <c r="J53" s="24">
        <f>$H53-$I53</f>
        <v/>
      </c>
      <c r="K53" s="23">
        <f>$P52</f>
        <v/>
      </c>
      <c r="L53" s="24">
        <f>$K53*Inputs!$C$18/12</f>
        <v/>
      </c>
      <c r="M53" s="24">
        <f>MIN(($C53+$F53),$L53)</f>
        <v/>
      </c>
      <c r="N53" s="24">
        <f>MIN(($D53+$X53),MAX(0,$K53-$O53))</f>
        <v/>
      </c>
      <c r="O53" s="24">
        <f>MIN(MAX(0,MAX(0,$E53-$I53)-$U53),$K53)</f>
        <v/>
      </c>
      <c r="P53" s="24">
        <f>MAX(0,$K53-$O53)-$N53</f>
        <v/>
      </c>
      <c r="Q53" s="23">
        <f>$V52</f>
        <v/>
      </c>
      <c r="R53" s="24">
        <f>$Q53*Inputs!$C$19/12</f>
        <v/>
      </c>
      <c r="S53" s="24">
        <f>MIN(MAX(0,($C53+$F53)-$M53),$R53)</f>
        <v/>
      </c>
      <c r="T53" s="24">
        <f>MIN(MAX(0,($D53+$X53)-$N53),MAX(0,$Q53-$U53))</f>
        <v/>
      </c>
      <c r="U53" s="24">
        <f>MIN(MAX(0,$E53-$I53),$Q53)</f>
        <v/>
      </c>
      <c r="V53" s="24">
        <f>MAX(0,$Q53-$U53)-$T53</f>
        <v/>
      </c>
      <c r="W53" s="24">
        <f>MAX(0,MAX(0,($C53+$F53)-$M53)-$S53)-MIN(MAX(0,$D$3-(MAX(0,$F53-MAX(0,($M53+$S53)-$C53)))),MAX(0,MAX(0,($C53+$F53)-$M53)-$S53))</f>
        <v/>
      </c>
      <c r="X53" s="24">
        <f>IF(Inputs!$C$39=1,$W53,0)</f>
        <v/>
      </c>
      <c r="Y53" s="24">
        <f>IF(Inputs!$C$39=0,$W53,0)+MAX(0,MAX(0,($D53+$X53)-$N53)-$T53)</f>
        <v/>
      </c>
    </row>
    <row r="54">
      <c r="B54" s="22" t="n">
        <v>49</v>
      </c>
      <c r="C54" s="29">
        <f>IF($B54&lt;=Inputs!$C$6+Inputs!$C$11,Cashflow_Asset!$E52-Cashflow_Asset!$K52,0)</f>
        <v/>
      </c>
      <c r="D54" s="29">
        <f>IF($B54&lt;=Inputs!$C$6+Inputs!$C$11,Cashflow_Asset!$F52+Cashflow_Asset!$G52+Cashflow_Asset!$I52,0)</f>
        <v/>
      </c>
      <c r="E54" s="29">
        <f>IF($B54&lt;=Inputs!$C$6+Inputs!$C$11,Cashflow_Asset!$J52,0)</f>
        <v/>
      </c>
      <c r="F54" s="23">
        <f>$G53</f>
        <v/>
      </c>
      <c r="G54" s="24">
        <f>(MAX(0,$F54-MAX(0,($M54+$S54)-$C54)))+MIN(MAX(0,$D$3-(MAX(0,$F54-MAX(0,($M54+$S54)-$C54)))),MAX(0,MAX(0,($C54+$F54)-$M54)-$S54))</f>
        <v/>
      </c>
      <c r="H54" s="23">
        <f>$J53</f>
        <v/>
      </c>
      <c r="I54" s="24">
        <f>MIN($E54,$H54)</f>
        <v/>
      </c>
      <c r="J54" s="24">
        <f>$H54-$I54</f>
        <v/>
      </c>
      <c r="K54" s="23">
        <f>$P53</f>
        <v/>
      </c>
      <c r="L54" s="24">
        <f>$K54*Inputs!$C$18/12</f>
        <v/>
      </c>
      <c r="M54" s="24">
        <f>MIN(($C54+$F54),$L54)</f>
        <v/>
      </c>
      <c r="N54" s="24">
        <f>MIN(($D54+$X54),MAX(0,$K54-$O54))</f>
        <v/>
      </c>
      <c r="O54" s="24">
        <f>MIN(MAX(0,MAX(0,$E54-$I54)-$U54),$K54)</f>
        <v/>
      </c>
      <c r="P54" s="24">
        <f>MAX(0,$K54-$O54)-$N54</f>
        <v/>
      </c>
      <c r="Q54" s="23">
        <f>$V53</f>
        <v/>
      </c>
      <c r="R54" s="24">
        <f>$Q54*Inputs!$C$19/12</f>
        <v/>
      </c>
      <c r="S54" s="24">
        <f>MIN(MAX(0,($C54+$F54)-$M54),$R54)</f>
        <v/>
      </c>
      <c r="T54" s="24">
        <f>MIN(MAX(0,($D54+$X54)-$N54),MAX(0,$Q54-$U54))</f>
        <v/>
      </c>
      <c r="U54" s="24">
        <f>MIN(MAX(0,$E54-$I54),$Q54)</f>
        <v/>
      </c>
      <c r="V54" s="24">
        <f>MAX(0,$Q54-$U54)-$T54</f>
        <v/>
      </c>
      <c r="W54" s="24">
        <f>MAX(0,MAX(0,($C54+$F54)-$M54)-$S54)-MIN(MAX(0,$D$3-(MAX(0,$F54-MAX(0,($M54+$S54)-$C54)))),MAX(0,MAX(0,($C54+$F54)-$M54)-$S54))</f>
        <v/>
      </c>
      <c r="X54" s="24">
        <f>IF(Inputs!$C$39=1,$W54,0)</f>
        <v/>
      </c>
      <c r="Y54" s="24">
        <f>IF(Inputs!$C$39=0,$W54,0)+MAX(0,MAX(0,($D54+$X54)-$N54)-$T54)</f>
        <v/>
      </c>
    </row>
    <row r="55">
      <c r="B55" s="22" t="n">
        <v>50</v>
      </c>
      <c r="C55" s="29">
        <f>IF($B55&lt;=Inputs!$C$6+Inputs!$C$11,Cashflow_Asset!$E53-Cashflow_Asset!$K53,0)</f>
        <v/>
      </c>
      <c r="D55" s="29">
        <f>IF($B55&lt;=Inputs!$C$6+Inputs!$C$11,Cashflow_Asset!$F53+Cashflow_Asset!$G53+Cashflow_Asset!$I53,0)</f>
        <v/>
      </c>
      <c r="E55" s="29">
        <f>IF($B55&lt;=Inputs!$C$6+Inputs!$C$11,Cashflow_Asset!$J53,0)</f>
        <v/>
      </c>
      <c r="F55" s="23">
        <f>$G54</f>
        <v/>
      </c>
      <c r="G55" s="24">
        <f>(MAX(0,$F55-MAX(0,($M55+$S55)-$C55)))+MIN(MAX(0,$D$3-(MAX(0,$F55-MAX(0,($M55+$S55)-$C55)))),MAX(0,MAX(0,($C55+$F55)-$M55)-$S55))</f>
        <v/>
      </c>
      <c r="H55" s="23">
        <f>$J54</f>
        <v/>
      </c>
      <c r="I55" s="24">
        <f>MIN($E55,$H55)</f>
        <v/>
      </c>
      <c r="J55" s="24">
        <f>$H55-$I55</f>
        <v/>
      </c>
      <c r="K55" s="23">
        <f>$P54</f>
        <v/>
      </c>
      <c r="L55" s="24">
        <f>$K55*Inputs!$C$18/12</f>
        <v/>
      </c>
      <c r="M55" s="24">
        <f>MIN(($C55+$F55),$L55)</f>
        <v/>
      </c>
      <c r="N55" s="24">
        <f>MIN(($D55+$X55),MAX(0,$K55-$O55))</f>
        <v/>
      </c>
      <c r="O55" s="24">
        <f>MIN(MAX(0,MAX(0,$E55-$I55)-$U55),$K55)</f>
        <v/>
      </c>
      <c r="P55" s="24">
        <f>MAX(0,$K55-$O55)-$N55</f>
        <v/>
      </c>
      <c r="Q55" s="23">
        <f>$V54</f>
        <v/>
      </c>
      <c r="R55" s="24">
        <f>$Q55*Inputs!$C$19/12</f>
        <v/>
      </c>
      <c r="S55" s="24">
        <f>MIN(MAX(0,($C55+$F55)-$M55),$R55)</f>
        <v/>
      </c>
      <c r="T55" s="24">
        <f>MIN(MAX(0,($D55+$X55)-$N55),MAX(0,$Q55-$U55))</f>
        <v/>
      </c>
      <c r="U55" s="24">
        <f>MIN(MAX(0,$E55-$I55),$Q55)</f>
        <v/>
      </c>
      <c r="V55" s="24">
        <f>MAX(0,$Q55-$U55)-$T55</f>
        <v/>
      </c>
      <c r="W55" s="24">
        <f>MAX(0,MAX(0,($C55+$F55)-$M55)-$S55)-MIN(MAX(0,$D$3-(MAX(0,$F55-MAX(0,($M55+$S55)-$C55)))),MAX(0,MAX(0,($C55+$F55)-$M55)-$S55))</f>
        <v/>
      </c>
      <c r="X55" s="24">
        <f>IF(Inputs!$C$39=1,$W55,0)</f>
        <v/>
      </c>
      <c r="Y55" s="24">
        <f>IF(Inputs!$C$39=0,$W55,0)+MAX(0,MAX(0,($D55+$X55)-$N55)-$T55)</f>
        <v/>
      </c>
    </row>
    <row r="56">
      <c r="B56" s="22" t="n">
        <v>51</v>
      </c>
      <c r="C56" s="29">
        <f>IF($B56&lt;=Inputs!$C$6+Inputs!$C$11,Cashflow_Asset!$E54-Cashflow_Asset!$K54,0)</f>
        <v/>
      </c>
      <c r="D56" s="29">
        <f>IF($B56&lt;=Inputs!$C$6+Inputs!$C$11,Cashflow_Asset!$F54+Cashflow_Asset!$G54+Cashflow_Asset!$I54,0)</f>
        <v/>
      </c>
      <c r="E56" s="29">
        <f>IF($B56&lt;=Inputs!$C$6+Inputs!$C$11,Cashflow_Asset!$J54,0)</f>
        <v/>
      </c>
      <c r="F56" s="23">
        <f>$G55</f>
        <v/>
      </c>
      <c r="G56" s="24">
        <f>(MAX(0,$F56-MAX(0,($M56+$S56)-$C56)))+MIN(MAX(0,$D$3-(MAX(0,$F56-MAX(0,($M56+$S56)-$C56)))),MAX(0,MAX(0,($C56+$F56)-$M56)-$S56))</f>
        <v/>
      </c>
      <c r="H56" s="23">
        <f>$J55</f>
        <v/>
      </c>
      <c r="I56" s="24">
        <f>MIN($E56,$H56)</f>
        <v/>
      </c>
      <c r="J56" s="24">
        <f>$H56-$I56</f>
        <v/>
      </c>
      <c r="K56" s="23">
        <f>$P55</f>
        <v/>
      </c>
      <c r="L56" s="24">
        <f>$K56*Inputs!$C$18/12</f>
        <v/>
      </c>
      <c r="M56" s="24">
        <f>MIN(($C56+$F56),$L56)</f>
        <v/>
      </c>
      <c r="N56" s="24">
        <f>MIN(($D56+$X56),MAX(0,$K56-$O56))</f>
        <v/>
      </c>
      <c r="O56" s="24">
        <f>MIN(MAX(0,MAX(0,$E56-$I56)-$U56),$K56)</f>
        <v/>
      </c>
      <c r="P56" s="24">
        <f>MAX(0,$K56-$O56)-$N56</f>
        <v/>
      </c>
      <c r="Q56" s="23">
        <f>$V55</f>
        <v/>
      </c>
      <c r="R56" s="24">
        <f>$Q56*Inputs!$C$19/12</f>
        <v/>
      </c>
      <c r="S56" s="24">
        <f>MIN(MAX(0,($C56+$F56)-$M56),$R56)</f>
        <v/>
      </c>
      <c r="T56" s="24">
        <f>MIN(MAX(0,($D56+$X56)-$N56),MAX(0,$Q56-$U56))</f>
        <v/>
      </c>
      <c r="U56" s="24">
        <f>MIN(MAX(0,$E56-$I56),$Q56)</f>
        <v/>
      </c>
      <c r="V56" s="24">
        <f>MAX(0,$Q56-$U56)-$T56</f>
        <v/>
      </c>
      <c r="W56" s="24">
        <f>MAX(0,MAX(0,($C56+$F56)-$M56)-$S56)-MIN(MAX(0,$D$3-(MAX(0,$F56-MAX(0,($M56+$S56)-$C56)))),MAX(0,MAX(0,($C56+$F56)-$M56)-$S56))</f>
        <v/>
      </c>
      <c r="X56" s="24">
        <f>IF(Inputs!$C$39=1,$W56,0)</f>
        <v/>
      </c>
      <c r="Y56" s="24">
        <f>IF(Inputs!$C$39=0,$W56,0)+MAX(0,MAX(0,($D56+$X56)-$N56)-$T56)</f>
        <v/>
      </c>
    </row>
    <row r="57">
      <c r="B57" s="22" t="n">
        <v>52</v>
      </c>
      <c r="C57" s="29">
        <f>IF($B57&lt;=Inputs!$C$6+Inputs!$C$11,Cashflow_Asset!$E55-Cashflow_Asset!$K55,0)</f>
        <v/>
      </c>
      <c r="D57" s="29">
        <f>IF($B57&lt;=Inputs!$C$6+Inputs!$C$11,Cashflow_Asset!$F55+Cashflow_Asset!$G55+Cashflow_Asset!$I55,0)</f>
        <v/>
      </c>
      <c r="E57" s="29">
        <f>IF($B57&lt;=Inputs!$C$6+Inputs!$C$11,Cashflow_Asset!$J55,0)</f>
        <v/>
      </c>
      <c r="F57" s="23">
        <f>$G56</f>
        <v/>
      </c>
      <c r="G57" s="24">
        <f>(MAX(0,$F57-MAX(0,($M57+$S57)-$C57)))+MIN(MAX(0,$D$3-(MAX(0,$F57-MAX(0,($M57+$S57)-$C57)))),MAX(0,MAX(0,($C57+$F57)-$M57)-$S57))</f>
        <v/>
      </c>
      <c r="H57" s="23">
        <f>$J56</f>
        <v/>
      </c>
      <c r="I57" s="24">
        <f>MIN($E57,$H57)</f>
        <v/>
      </c>
      <c r="J57" s="24">
        <f>$H57-$I57</f>
        <v/>
      </c>
      <c r="K57" s="23">
        <f>$P56</f>
        <v/>
      </c>
      <c r="L57" s="24">
        <f>$K57*Inputs!$C$18/12</f>
        <v/>
      </c>
      <c r="M57" s="24">
        <f>MIN(($C57+$F57),$L57)</f>
        <v/>
      </c>
      <c r="N57" s="24">
        <f>MIN(($D57+$X57),MAX(0,$K57-$O57))</f>
        <v/>
      </c>
      <c r="O57" s="24">
        <f>MIN(MAX(0,MAX(0,$E57-$I57)-$U57),$K57)</f>
        <v/>
      </c>
      <c r="P57" s="24">
        <f>MAX(0,$K57-$O57)-$N57</f>
        <v/>
      </c>
      <c r="Q57" s="23">
        <f>$V56</f>
        <v/>
      </c>
      <c r="R57" s="24">
        <f>$Q57*Inputs!$C$19/12</f>
        <v/>
      </c>
      <c r="S57" s="24">
        <f>MIN(MAX(0,($C57+$F57)-$M57),$R57)</f>
        <v/>
      </c>
      <c r="T57" s="24">
        <f>MIN(MAX(0,($D57+$X57)-$N57),MAX(0,$Q57-$U57))</f>
        <v/>
      </c>
      <c r="U57" s="24">
        <f>MIN(MAX(0,$E57-$I57),$Q57)</f>
        <v/>
      </c>
      <c r="V57" s="24">
        <f>MAX(0,$Q57-$U57)-$T57</f>
        <v/>
      </c>
      <c r="W57" s="24">
        <f>MAX(0,MAX(0,($C57+$F57)-$M57)-$S57)-MIN(MAX(0,$D$3-(MAX(0,$F57-MAX(0,($M57+$S57)-$C57)))),MAX(0,MAX(0,($C57+$F57)-$M57)-$S57))</f>
        <v/>
      </c>
      <c r="X57" s="24">
        <f>IF(Inputs!$C$39=1,$W57,0)</f>
        <v/>
      </c>
      <c r="Y57" s="24">
        <f>IF(Inputs!$C$39=0,$W57,0)+MAX(0,MAX(0,($D57+$X57)-$N57)-$T57)</f>
        <v/>
      </c>
    </row>
    <row r="58">
      <c r="B58" s="22" t="n">
        <v>53</v>
      </c>
      <c r="C58" s="29">
        <f>IF($B58&lt;=Inputs!$C$6+Inputs!$C$11,Cashflow_Asset!$E56-Cashflow_Asset!$K56,0)</f>
        <v/>
      </c>
      <c r="D58" s="29">
        <f>IF($B58&lt;=Inputs!$C$6+Inputs!$C$11,Cashflow_Asset!$F56+Cashflow_Asset!$G56+Cashflow_Asset!$I56,0)</f>
        <v/>
      </c>
      <c r="E58" s="29">
        <f>IF($B58&lt;=Inputs!$C$6+Inputs!$C$11,Cashflow_Asset!$J56,0)</f>
        <v/>
      </c>
      <c r="F58" s="23">
        <f>$G57</f>
        <v/>
      </c>
      <c r="G58" s="24">
        <f>(MAX(0,$F58-MAX(0,($M58+$S58)-$C58)))+MIN(MAX(0,$D$3-(MAX(0,$F58-MAX(0,($M58+$S58)-$C58)))),MAX(0,MAX(0,($C58+$F58)-$M58)-$S58))</f>
        <v/>
      </c>
      <c r="H58" s="23">
        <f>$J57</f>
        <v/>
      </c>
      <c r="I58" s="24">
        <f>MIN($E58,$H58)</f>
        <v/>
      </c>
      <c r="J58" s="24">
        <f>$H58-$I58</f>
        <v/>
      </c>
      <c r="K58" s="23">
        <f>$P57</f>
        <v/>
      </c>
      <c r="L58" s="24">
        <f>$K58*Inputs!$C$18/12</f>
        <v/>
      </c>
      <c r="M58" s="24">
        <f>MIN(($C58+$F58),$L58)</f>
        <v/>
      </c>
      <c r="N58" s="24">
        <f>MIN(($D58+$X58),MAX(0,$K58-$O58))</f>
        <v/>
      </c>
      <c r="O58" s="24">
        <f>MIN(MAX(0,MAX(0,$E58-$I58)-$U58),$K58)</f>
        <v/>
      </c>
      <c r="P58" s="24">
        <f>MAX(0,$K58-$O58)-$N58</f>
        <v/>
      </c>
      <c r="Q58" s="23">
        <f>$V57</f>
        <v/>
      </c>
      <c r="R58" s="24">
        <f>$Q58*Inputs!$C$19/12</f>
        <v/>
      </c>
      <c r="S58" s="24">
        <f>MIN(MAX(0,($C58+$F58)-$M58),$R58)</f>
        <v/>
      </c>
      <c r="T58" s="24">
        <f>MIN(MAX(0,($D58+$X58)-$N58),MAX(0,$Q58-$U58))</f>
        <v/>
      </c>
      <c r="U58" s="24">
        <f>MIN(MAX(0,$E58-$I58),$Q58)</f>
        <v/>
      </c>
      <c r="V58" s="24">
        <f>MAX(0,$Q58-$U58)-$T58</f>
        <v/>
      </c>
      <c r="W58" s="24">
        <f>MAX(0,MAX(0,($C58+$F58)-$M58)-$S58)-MIN(MAX(0,$D$3-(MAX(0,$F58-MAX(0,($M58+$S58)-$C58)))),MAX(0,MAX(0,($C58+$F58)-$M58)-$S58))</f>
        <v/>
      </c>
      <c r="X58" s="24">
        <f>IF(Inputs!$C$39=1,$W58,0)</f>
        <v/>
      </c>
      <c r="Y58" s="24">
        <f>IF(Inputs!$C$39=0,$W58,0)+MAX(0,MAX(0,($D58+$X58)-$N58)-$T58)</f>
        <v/>
      </c>
    </row>
    <row r="59">
      <c r="B59" s="22" t="n">
        <v>54</v>
      </c>
      <c r="C59" s="29">
        <f>IF($B59&lt;=Inputs!$C$6+Inputs!$C$11,Cashflow_Asset!$E57-Cashflow_Asset!$K57,0)</f>
        <v/>
      </c>
      <c r="D59" s="29">
        <f>IF($B59&lt;=Inputs!$C$6+Inputs!$C$11,Cashflow_Asset!$F57+Cashflow_Asset!$G57+Cashflow_Asset!$I57,0)</f>
        <v/>
      </c>
      <c r="E59" s="29">
        <f>IF($B59&lt;=Inputs!$C$6+Inputs!$C$11,Cashflow_Asset!$J57,0)</f>
        <v/>
      </c>
      <c r="F59" s="23">
        <f>$G58</f>
        <v/>
      </c>
      <c r="G59" s="24">
        <f>(MAX(0,$F59-MAX(0,($M59+$S59)-$C59)))+MIN(MAX(0,$D$3-(MAX(0,$F59-MAX(0,($M59+$S59)-$C59)))),MAX(0,MAX(0,($C59+$F59)-$M59)-$S59))</f>
        <v/>
      </c>
      <c r="H59" s="23">
        <f>$J58</f>
        <v/>
      </c>
      <c r="I59" s="24">
        <f>MIN($E59,$H59)</f>
        <v/>
      </c>
      <c r="J59" s="24">
        <f>$H59-$I59</f>
        <v/>
      </c>
      <c r="K59" s="23">
        <f>$P58</f>
        <v/>
      </c>
      <c r="L59" s="24">
        <f>$K59*Inputs!$C$18/12</f>
        <v/>
      </c>
      <c r="M59" s="24">
        <f>MIN(($C59+$F59),$L59)</f>
        <v/>
      </c>
      <c r="N59" s="24">
        <f>MIN(($D59+$X59),MAX(0,$K59-$O59))</f>
        <v/>
      </c>
      <c r="O59" s="24">
        <f>MIN(MAX(0,MAX(0,$E59-$I59)-$U59),$K59)</f>
        <v/>
      </c>
      <c r="P59" s="24">
        <f>MAX(0,$K59-$O59)-$N59</f>
        <v/>
      </c>
      <c r="Q59" s="23">
        <f>$V58</f>
        <v/>
      </c>
      <c r="R59" s="24">
        <f>$Q59*Inputs!$C$19/12</f>
        <v/>
      </c>
      <c r="S59" s="24">
        <f>MIN(MAX(0,($C59+$F59)-$M59),$R59)</f>
        <v/>
      </c>
      <c r="T59" s="24">
        <f>MIN(MAX(0,($D59+$X59)-$N59),MAX(0,$Q59-$U59))</f>
        <v/>
      </c>
      <c r="U59" s="24">
        <f>MIN(MAX(0,$E59-$I59),$Q59)</f>
        <v/>
      </c>
      <c r="V59" s="24">
        <f>MAX(0,$Q59-$U59)-$T59</f>
        <v/>
      </c>
      <c r="W59" s="24">
        <f>MAX(0,MAX(0,($C59+$F59)-$M59)-$S59)-MIN(MAX(0,$D$3-(MAX(0,$F59-MAX(0,($M59+$S59)-$C59)))),MAX(0,MAX(0,($C59+$F59)-$M59)-$S59))</f>
        <v/>
      </c>
      <c r="X59" s="24">
        <f>IF(Inputs!$C$39=1,$W59,0)</f>
        <v/>
      </c>
      <c r="Y59" s="24">
        <f>IF(Inputs!$C$39=0,$W59,0)+MAX(0,MAX(0,($D59+$X59)-$N59)-$T59)</f>
        <v/>
      </c>
    </row>
    <row r="60">
      <c r="B60" s="22" t="n">
        <v>55</v>
      </c>
      <c r="C60" s="29">
        <f>IF($B60&lt;=Inputs!$C$6+Inputs!$C$11,Cashflow_Asset!$E58-Cashflow_Asset!$K58,0)</f>
        <v/>
      </c>
      <c r="D60" s="29">
        <f>IF($B60&lt;=Inputs!$C$6+Inputs!$C$11,Cashflow_Asset!$F58+Cashflow_Asset!$G58+Cashflow_Asset!$I58,0)</f>
        <v/>
      </c>
      <c r="E60" s="29">
        <f>IF($B60&lt;=Inputs!$C$6+Inputs!$C$11,Cashflow_Asset!$J58,0)</f>
        <v/>
      </c>
      <c r="F60" s="23">
        <f>$G59</f>
        <v/>
      </c>
      <c r="G60" s="24">
        <f>(MAX(0,$F60-MAX(0,($M60+$S60)-$C60)))+MIN(MAX(0,$D$3-(MAX(0,$F60-MAX(0,($M60+$S60)-$C60)))),MAX(0,MAX(0,($C60+$F60)-$M60)-$S60))</f>
        <v/>
      </c>
      <c r="H60" s="23">
        <f>$J59</f>
        <v/>
      </c>
      <c r="I60" s="24">
        <f>MIN($E60,$H60)</f>
        <v/>
      </c>
      <c r="J60" s="24">
        <f>$H60-$I60</f>
        <v/>
      </c>
      <c r="K60" s="23">
        <f>$P59</f>
        <v/>
      </c>
      <c r="L60" s="24">
        <f>$K60*Inputs!$C$18/12</f>
        <v/>
      </c>
      <c r="M60" s="24">
        <f>MIN(($C60+$F60),$L60)</f>
        <v/>
      </c>
      <c r="N60" s="24">
        <f>MIN(($D60+$X60),MAX(0,$K60-$O60))</f>
        <v/>
      </c>
      <c r="O60" s="24">
        <f>MIN(MAX(0,MAX(0,$E60-$I60)-$U60),$K60)</f>
        <v/>
      </c>
      <c r="P60" s="24">
        <f>MAX(0,$K60-$O60)-$N60</f>
        <v/>
      </c>
      <c r="Q60" s="23">
        <f>$V59</f>
        <v/>
      </c>
      <c r="R60" s="24">
        <f>$Q60*Inputs!$C$19/12</f>
        <v/>
      </c>
      <c r="S60" s="24">
        <f>MIN(MAX(0,($C60+$F60)-$M60),$R60)</f>
        <v/>
      </c>
      <c r="T60" s="24">
        <f>MIN(MAX(0,($D60+$X60)-$N60),MAX(0,$Q60-$U60))</f>
        <v/>
      </c>
      <c r="U60" s="24">
        <f>MIN(MAX(0,$E60-$I60),$Q60)</f>
        <v/>
      </c>
      <c r="V60" s="24">
        <f>MAX(0,$Q60-$U60)-$T60</f>
        <v/>
      </c>
      <c r="W60" s="24">
        <f>MAX(0,MAX(0,($C60+$F60)-$M60)-$S60)-MIN(MAX(0,$D$3-(MAX(0,$F60-MAX(0,($M60+$S60)-$C60)))),MAX(0,MAX(0,($C60+$F60)-$M60)-$S60))</f>
        <v/>
      </c>
      <c r="X60" s="24">
        <f>IF(Inputs!$C$39=1,$W60,0)</f>
        <v/>
      </c>
      <c r="Y60" s="24">
        <f>IF(Inputs!$C$39=0,$W60,0)+MAX(0,MAX(0,($D60+$X60)-$N60)-$T60)</f>
        <v/>
      </c>
    </row>
    <row r="61">
      <c r="B61" s="22" t="n">
        <v>56</v>
      </c>
      <c r="C61" s="29">
        <f>IF($B61&lt;=Inputs!$C$6+Inputs!$C$11,Cashflow_Asset!$E59-Cashflow_Asset!$K59,0)</f>
        <v/>
      </c>
      <c r="D61" s="29">
        <f>IF($B61&lt;=Inputs!$C$6+Inputs!$C$11,Cashflow_Asset!$F59+Cashflow_Asset!$G59+Cashflow_Asset!$I59,0)</f>
        <v/>
      </c>
      <c r="E61" s="29">
        <f>IF($B61&lt;=Inputs!$C$6+Inputs!$C$11,Cashflow_Asset!$J59,0)</f>
        <v/>
      </c>
      <c r="F61" s="23">
        <f>$G60</f>
        <v/>
      </c>
      <c r="G61" s="24">
        <f>(MAX(0,$F61-MAX(0,($M61+$S61)-$C61)))+MIN(MAX(0,$D$3-(MAX(0,$F61-MAX(0,($M61+$S61)-$C61)))),MAX(0,MAX(0,($C61+$F61)-$M61)-$S61))</f>
        <v/>
      </c>
      <c r="H61" s="23">
        <f>$J60</f>
        <v/>
      </c>
      <c r="I61" s="24">
        <f>MIN($E61,$H61)</f>
        <v/>
      </c>
      <c r="J61" s="24">
        <f>$H61-$I61</f>
        <v/>
      </c>
      <c r="K61" s="23">
        <f>$P60</f>
        <v/>
      </c>
      <c r="L61" s="24">
        <f>$K61*Inputs!$C$18/12</f>
        <v/>
      </c>
      <c r="M61" s="24">
        <f>MIN(($C61+$F61),$L61)</f>
        <v/>
      </c>
      <c r="N61" s="24">
        <f>MIN(($D61+$X61),MAX(0,$K61-$O61))</f>
        <v/>
      </c>
      <c r="O61" s="24">
        <f>MIN(MAX(0,MAX(0,$E61-$I61)-$U61),$K61)</f>
        <v/>
      </c>
      <c r="P61" s="24">
        <f>MAX(0,$K61-$O61)-$N61</f>
        <v/>
      </c>
      <c r="Q61" s="23">
        <f>$V60</f>
        <v/>
      </c>
      <c r="R61" s="24">
        <f>$Q61*Inputs!$C$19/12</f>
        <v/>
      </c>
      <c r="S61" s="24">
        <f>MIN(MAX(0,($C61+$F61)-$M61),$R61)</f>
        <v/>
      </c>
      <c r="T61" s="24">
        <f>MIN(MAX(0,($D61+$X61)-$N61),MAX(0,$Q61-$U61))</f>
        <v/>
      </c>
      <c r="U61" s="24">
        <f>MIN(MAX(0,$E61-$I61),$Q61)</f>
        <v/>
      </c>
      <c r="V61" s="24">
        <f>MAX(0,$Q61-$U61)-$T61</f>
        <v/>
      </c>
      <c r="W61" s="24">
        <f>MAX(0,MAX(0,($C61+$F61)-$M61)-$S61)-MIN(MAX(0,$D$3-(MAX(0,$F61-MAX(0,($M61+$S61)-$C61)))),MAX(0,MAX(0,($C61+$F61)-$M61)-$S61))</f>
        <v/>
      </c>
      <c r="X61" s="24">
        <f>IF(Inputs!$C$39=1,$W61,0)</f>
        <v/>
      </c>
      <c r="Y61" s="24">
        <f>IF(Inputs!$C$39=0,$W61,0)+MAX(0,MAX(0,($D61+$X61)-$N61)-$T61)</f>
        <v/>
      </c>
    </row>
    <row r="62">
      <c r="B62" s="22" t="n">
        <v>57</v>
      </c>
      <c r="C62" s="29">
        <f>IF($B62&lt;=Inputs!$C$6+Inputs!$C$11,Cashflow_Asset!$E60-Cashflow_Asset!$K60,0)</f>
        <v/>
      </c>
      <c r="D62" s="29">
        <f>IF($B62&lt;=Inputs!$C$6+Inputs!$C$11,Cashflow_Asset!$F60+Cashflow_Asset!$G60+Cashflow_Asset!$I60,0)</f>
        <v/>
      </c>
      <c r="E62" s="29">
        <f>IF($B62&lt;=Inputs!$C$6+Inputs!$C$11,Cashflow_Asset!$J60,0)</f>
        <v/>
      </c>
      <c r="F62" s="23">
        <f>$G61</f>
        <v/>
      </c>
      <c r="G62" s="24">
        <f>(MAX(0,$F62-MAX(0,($M62+$S62)-$C62)))+MIN(MAX(0,$D$3-(MAX(0,$F62-MAX(0,($M62+$S62)-$C62)))),MAX(0,MAX(0,($C62+$F62)-$M62)-$S62))</f>
        <v/>
      </c>
      <c r="H62" s="23">
        <f>$J61</f>
        <v/>
      </c>
      <c r="I62" s="24">
        <f>MIN($E62,$H62)</f>
        <v/>
      </c>
      <c r="J62" s="24">
        <f>$H62-$I62</f>
        <v/>
      </c>
      <c r="K62" s="23">
        <f>$P61</f>
        <v/>
      </c>
      <c r="L62" s="24">
        <f>$K62*Inputs!$C$18/12</f>
        <v/>
      </c>
      <c r="M62" s="24">
        <f>MIN(($C62+$F62),$L62)</f>
        <v/>
      </c>
      <c r="N62" s="24">
        <f>MIN(($D62+$X62),MAX(0,$K62-$O62))</f>
        <v/>
      </c>
      <c r="O62" s="24">
        <f>MIN(MAX(0,MAX(0,$E62-$I62)-$U62),$K62)</f>
        <v/>
      </c>
      <c r="P62" s="24">
        <f>MAX(0,$K62-$O62)-$N62</f>
        <v/>
      </c>
      <c r="Q62" s="23">
        <f>$V61</f>
        <v/>
      </c>
      <c r="R62" s="24">
        <f>$Q62*Inputs!$C$19/12</f>
        <v/>
      </c>
      <c r="S62" s="24">
        <f>MIN(MAX(0,($C62+$F62)-$M62),$R62)</f>
        <v/>
      </c>
      <c r="T62" s="24">
        <f>MIN(MAX(0,($D62+$X62)-$N62),MAX(0,$Q62-$U62))</f>
        <v/>
      </c>
      <c r="U62" s="24">
        <f>MIN(MAX(0,$E62-$I62),$Q62)</f>
        <v/>
      </c>
      <c r="V62" s="24">
        <f>MAX(0,$Q62-$U62)-$T62</f>
        <v/>
      </c>
      <c r="W62" s="24">
        <f>MAX(0,MAX(0,($C62+$F62)-$M62)-$S62)-MIN(MAX(0,$D$3-(MAX(0,$F62-MAX(0,($M62+$S62)-$C62)))),MAX(0,MAX(0,($C62+$F62)-$M62)-$S62))</f>
        <v/>
      </c>
      <c r="X62" s="24">
        <f>IF(Inputs!$C$39=1,$W62,0)</f>
        <v/>
      </c>
      <c r="Y62" s="24">
        <f>IF(Inputs!$C$39=0,$W62,0)+MAX(0,MAX(0,($D62+$X62)-$N62)-$T62)</f>
        <v/>
      </c>
    </row>
    <row r="63">
      <c r="B63" s="22" t="n">
        <v>58</v>
      </c>
      <c r="C63" s="29">
        <f>IF($B63&lt;=Inputs!$C$6+Inputs!$C$11,Cashflow_Asset!$E61-Cashflow_Asset!$K61,0)</f>
        <v/>
      </c>
      <c r="D63" s="29">
        <f>IF($B63&lt;=Inputs!$C$6+Inputs!$C$11,Cashflow_Asset!$F61+Cashflow_Asset!$G61+Cashflow_Asset!$I61,0)</f>
        <v/>
      </c>
      <c r="E63" s="29">
        <f>IF($B63&lt;=Inputs!$C$6+Inputs!$C$11,Cashflow_Asset!$J61,0)</f>
        <v/>
      </c>
      <c r="F63" s="23">
        <f>$G62</f>
        <v/>
      </c>
      <c r="G63" s="24">
        <f>(MAX(0,$F63-MAX(0,($M63+$S63)-$C63)))+MIN(MAX(0,$D$3-(MAX(0,$F63-MAX(0,($M63+$S63)-$C63)))),MAX(0,MAX(0,($C63+$F63)-$M63)-$S63))</f>
        <v/>
      </c>
      <c r="H63" s="23">
        <f>$J62</f>
        <v/>
      </c>
      <c r="I63" s="24">
        <f>MIN($E63,$H63)</f>
        <v/>
      </c>
      <c r="J63" s="24">
        <f>$H63-$I63</f>
        <v/>
      </c>
      <c r="K63" s="23">
        <f>$P62</f>
        <v/>
      </c>
      <c r="L63" s="24">
        <f>$K63*Inputs!$C$18/12</f>
        <v/>
      </c>
      <c r="M63" s="24">
        <f>MIN(($C63+$F63),$L63)</f>
        <v/>
      </c>
      <c r="N63" s="24">
        <f>MIN(($D63+$X63),MAX(0,$K63-$O63))</f>
        <v/>
      </c>
      <c r="O63" s="24">
        <f>MIN(MAX(0,MAX(0,$E63-$I63)-$U63),$K63)</f>
        <v/>
      </c>
      <c r="P63" s="24">
        <f>MAX(0,$K63-$O63)-$N63</f>
        <v/>
      </c>
      <c r="Q63" s="23">
        <f>$V62</f>
        <v/>
      </c>
      <c r="R63" s="24">
        <f>$Q63*Inputs!$C$19/12</f>
        <v/>
      </c>
      <c r="S63" s="24">
        <f>MIN(MAX(0,($C63+$F63)-$M63),$R63)</f>
        <v/>
      </c>
      <c r="T63" s="24">
        <f>MIN(MAX(0,($D63+$X63)-$N63),MAX(0,$Q63-$U63))</f>
        <v/>
      </c>
      <c r="U63" s="24">
        <f>MIN(MAX(0,$E63-$I63),$Q63)</f>
        <v/>
      </c>
      <c r="V63" s="24">
        <f>MAX(0,$Q63-$U63)-$T63</f>
        <v/>
      </c>
      <c r="W63" s="24">
        <f>MAX(0,MAX(0,($C63+$F63)-$M63)-$S63)-MIN(MAX(0,$D$3-(MAX(0,$F63-MAX(0,($M63+$S63)-$C63)))),MAX(0,MAX(0,($C63+$F63)-$M63)-$S63))</f>
        <v/>
      </c>
      <c r="X63" s="24">
        <f>IF(Inputs!$C$39=1,$W63,0)</f>
        <v/>
      </c>
      <c r="Y63" s="24">
        <f>IF(Inputs!$C$39=0,$W63,0)+MAX(0,MAX(0,($D63+$X63)-$N63)-$T63)</f>
        <v/>
      </c>
    </row>
    <row r="64">
      <c r="B64" s="22" t="n">
        <v>59</v>
      </c>
      <c r="C64" s="29">
        <f>IF($B64&lt;=Inputs!$C$6+Inputs!$C$11,Cashflow_Asset!$E62-Cashflow_Asset!$K62,0)</f>
        <v/>
      </c>
      <c r="D64" s="29">
        <f>IF($B64&lt;=Inputs!$C$6+Inputs!$C$11,Cashflow_Asset!$F62+Cashflow_Asset!$G62+Cashflow_Asset!$I62,0)</f>
        <v/>
      </c>
      <c r="E64" s="29">
        <f>IF($B64&lt;=Inputs!$C$6+Inputs!$C$11,Cashflow_Asset!$J62,0)</f>
        <v/>
      </c>
      <c r="F64" s="23">
        <f>$G63</f>
        <v/>
      </c>
      <c r="G64" s="24">
        <f>(MAX(0,$F64-MAX(0,($M64+$S64)-$C64)))+MIN(MAX(0,$D$3-(MAX(0,$F64-MAX(0,($M64+$S64)-$C64)))),MAX(0,MAX(0,($C64+$F64)-$M64)-$S64))</f>
        <v/>
      </c>
      <c r="H64" s="23">
        <f>$J63</f>
        <v/>
      </c>
      <c r="I64" s="24">
        <f>MIN($E64,$H64)</f>
        <v/>
      </c>
      <c r="J64" s="24">
        <f>$H64-$I64</f>
        <v/>
      </c>
      <c r="K64" s="23">
        <f>$P63</f>
        <v/>
      </c>
      <c r="L64" s="24">
        <f>$K64*Inputs!$C$18/12</f>
        <v/>
      </c>
      <c r="M64" s="24">
        <f>MIN(($C64+$F64),$L64)</f>
        <v/>
      </c>
      <c r="N64" s="24">
        <f>MIN(($D64+$X64),MAX(0,$K64-$O64))</f>
        <v/>
      </c>
      <c r="O64" s="24">
        <f>MIN(MAX(0,MAX(0,$E64-$I64)-$U64),$K64)</f>
        <v/>
      </c>
      <c r="P64" s="24">
        <f>MAX(0,$K64-$O64)-$N64</f>
        <v/>
      </c>
      <c r="Q64" s="23">
        <f>$V63</f>
        <v/>
      </c>
      <c r="R64" s="24">
        <f>$Q64*Inputs!$C$19/12</f>
        <v/>
      </c>
      <c r="S64" s="24">
        <f>MIN(MAX(0,($C64+$F64)-$M64),$R64)</f>
        <v/>
      </c>
      <c r="T64" s="24">
        <f>MIN(MAX(0,($D64+$X64)-$N64),MAX(0,$Q64-$U64))</f>
        <v/>
      </c>
      <c r="U64" s="24">
        <f>MIN(MAX(0,$E64-$I64),$Q64)</f>
        <v/>
      </c>
      <c r="V64" s="24">
        <f>MAX(0,$Q64-$U64)-$T64</f>
        <v/>
      </c>
      <c r="W64" s="24">
        <f>MAX(0,MAX(0,($C64+$F64)-$M64)-$S64)-MIN(MAX(0,$D$3-(MAX(0,$F64-MAX(0,($M64+$S64)-$C64)))),MAX(0,MAX(0,($C64+$F64)-$M64)-$S64))</f>
        <v/>
      </c>
      <c r="X64" s="24">
        <f>IF(Inputs!$C$39=1,$W64,0)</f>
        <v/>
      </c>
      <c r="Y64" s="24">
        <f>IF(Inputs!$C$39=0,$W64,0)+MAX(0,MAX(0,($D64+$X64)-$N64)-$T64)</f>
        <v/>
      </c>
    </row>
    <row r="65">
      <c r="B65" s="22" t="n">
        <v>60</v>
      </c>
      <c r="C65" s="29">
        <f>IF($B65&lt;=Inputs!$C$6+Inputs!$C$11,Cashflow_Asset!$E63-Cashflow_Asset!$K63,0)</f>
        <v/>
      </c>
      <c r="D65" s="29">
        <f>IF($B65&lt;=Inputs!$C$6+Inputs!$C$11,Cashflow_Asset!$F63+Cashflow_Asset!$G63+Cashflow_Asset!$I63,0)</f>
        <v/>
      </c>
      <c r="E65" s="29">
        <f>IF($B65&lt;=Inputs!$C$6+Inputs!$C$11,Cashflow_Asset!$J63,0)</f>
        <v/>
      </c>
      <c r="F65" s="23">
        <f>$G64</f>
        <v/>
      </c>
      <c r="G65" s="24">
        <f>(MAX(0,$F65-MAX(0,($M65+$S65)-$C65)))+MIN(MAX(0,$D$3-(MAX(0,$F65-MAX(0,($M65+$S65)-$C65)))),MAX(0,MAX(0,($C65+$F65)-$M65)-$S65))</f>
        <v/>
      </c>
      <c r="H65" s="23">
        <f>$J64</f>
        <v/>
      </c>
      <c r="I65" s="24">
        <f>MIN($E65,$H65)</f>
        <v/>
      </c>
      <c r="J65" s="24">
        <f>$H65-$I65</f>
        <v/>
      </c>
      <c r="K65" s="23">
        <f>$P64</f>
        <v/>
      </c>
      <c r="L65" s="24">
        <f>$K65*Inputs!$C$18/12</f>
        <v/>
      </c>
      <c r="M65" s="24">
        <f>MIN(($C65+$F65),$L65)</f>
        <v/>
      </c>
      <c r="N65" s="24">
        <f>MIN(($D65+$X65),MAX(0,$K65-$O65))</f>
        <v/>
      </c>
      <c r="O65" s="24">
        <f>MIN(MAX(0,MAX(0,$E65-$I65)-$U65),$K65)</f>
        <v/>
      </c>
      <c r="P65" s="24">
        <f>MAX(0,$K65-$O65)-$N65</f>
        <v/>
      </c>
      <c r="Q65" s="23">
        <f>$V64</f>
        <v/>
      </c>
      <c r="R65" s="24">
        <f>$Q65*Inputs!$C$19/12</f>
        <v/>
      </c>
      <c r="S65" s="24">
        <f>MIN(MAX(0,($C65+$F65)-$M65),$R65)</f>
        <v/>
      </c>
      <c r="T65" s="24">
        <f>MIN(MAX(0,($D65+$X65)-$N65),MAX(0,$Q65-$U65))</f>
        <v/>
      </c>
      <c r="U65" s="24">
        <f>MIN(MAX(0,$E65-$I65),$Q65)</f>
        <v/>
      </c>
      <c r="V65" s="24">
        <f>MAX(0,$Q65-$U65)-$T65</f>
        <v/>
      </c>
      <c r="W65" s="24">
        <f>MAX(0,MAX(0,($C65+$F65)-$M65)-$S65)-MIN(MAX(0,$D$3-(MAX(0,$F65-MAX(0,($M65+$S65)-$C65)))),MAX(0,MAX(0,($C65+$F65)-$M65)-$S65))</f>
        <v/>
      </c>
      <c r="X65" s="24">
        <f>IF(Inputs!$C$39=1,$W65,0)</f>
        <v/>
      </c>
      <c r="Y65" s="24">
        <f>IF(Inputs!$C$39=0,$W65,0)+MAX(0,MAX(0,($D65+$X65)-$N65)-$T65)</f>
        <v/>
      </c>
    </row>
    <row r="66">
      <c r="B66" s="22" t="n">
        <v>61</v>
      </c>
      <c r="C66" s="29">
        <f>IF($B66&lt;=Inputs!$C$6+Inputs!$C$11,Cashflow_Asset!$E64-Cashflow_Asset!$K64,0)</f>
        <v/>
      </c>
      <c r="D66" s="29">
        <f>IF($B66&lt;=Inputs!$C$6+Inputs!$C$11,Cashflow_Asset!$F64+Cashflow_Asset!$G64+Cashflow_Asset!$I64,0)</f>
        <v/>
      </c>
      <c r="E66" s="29">
        <f>IF($B66&lt;=Inputs!$C$6+Inputs!$C$11,Cashflow_Asset!$J64,0)</f>
        <v/>
      </c>
      <c r="F66" s="23">
        <f>$G65</f>
        <v/>
      </c>
      <c r="G66" s="24">
        <f>(MAX(0,$F66-MAX(0,($M66+$S66)-$C66)))+MIN(MAX(0,$D$3-(MAX(0,$F66-MAX(0,($M66+$S66)-$C66)))),MAX(0,MAX(0,($C66+$F66)-$M66)-$S66))</f>
        <v/>
      </c>
      <c r="H66" s="23">
        <f>$J65</f>
        <v/>
      </c>
      <c r="I66" s="24">
        <f>MIN($E66,$H66)</f>
        <v/>
      </c>
      <c r="J66" s="24">
        <f>$H66-$I66</f>
        <v/>
      </c>
      <c r="K66" s="23">
        <f>$P65</f>
        <v/>
      </c>
      <c r="L66" s="24">
        <f>$K66*Inputs!$C$18/12</f>
        <v/>
      </c>
      <c r="M66" s="24">
        <f>MIN(($C66+$F66),$L66)</f>
        <v/>
      </c>
      <c r="N66" s="24">
        <f>MIN(($D66+$X66),MAX(0,$K66-$O66))</f>
        <v/>
      </c>
      <c r="O66" s="24">
        <f>MIN(MAX(0,MAX(0,$E66-$I66)-$U66),$K66)</f>
        <v/>
      </c>
      <c r="P66" s="24">
        <f>MAX(0,$K66-$O66)-$N66</f>
        <v/>
      </c>
      <c r="Q66" s="23">
        <f>$V65</f>
        <v/>
      </c>
      <c r="R66" s="24">
        <f>$Q66*Inputs!$C$19/12</f>
        <v/>
      </c>
      <c r="S66" s="24">
        <f>MIN(MAX(0,($C66+$F66)-$M66),$R66)</f>
        <v/>
      </c>
      <c r="T66" s="24">
        <f>MIN(MAX(0,($D66+$X66)-$N66),MAX(0,$Q66-$U66))</f>
        <v/>
      </c>
      <c r="U66" s="24">
        <f>MIN(MAX(0,$E66-$I66),$Q66)</f>
        <v/>
      </c>
      <c r="V66" s="24">
        <f>MAX(0,$Q66-$U66)-$T66</f>
        <v/>
      </c>
      <c r="W66" s="24">
        <f>MAX(0,MAX(0,($C66+$F66)-$M66)-$S66)-MIN(MAX(0,$D$3-(MAX(0,$F66-MAX(0,($M66+$S66)-$C66)))),MAX(0,MAX(0,($C66+$F66)-$M66)-$S66))</f>
        <v/>
      </c>
      <c r="X66" s="24">
        <f>IF(Inputs!$C$39=1,$W66,0)</f>
        <v/>
      </c>
      <c r="Y66" s="24">
        <f>IF(Inputs!$C$39=0,$W66,0)+MAX(0,MAX(0,($D66+$X66)-$N66)-$T66)</f>
        <v/>
      </c>
    </row>
    <row r="67">
      <c r="B67" s="22" t="n">
        <v>62</v>
      </c>
      <c r="C67" s="29">
        <f>IF($B67&lt;=Inputs!$C$6+Inputs!$C$11,Cashflow_Asset!$E65-Cashflow_Asset!$K65,0)</f>
        <v/>
      </c>
      <c r="D67" s="29">
        <f>IF($B67&lt;=Inputs!$C$6+Inputs!$C$11,Cashflow_Asset!$F65+Cashflow_Asset!$G65+Cashflow_Asset!$I65,0)</f>
        <v/>
      </c>
      <c r="E67" s="29">
        <f>IF($B67&lt;=Inputs!$C$6+Inputs!$C$11,Cashflow_Asset!$J65,0)</f>
        <v/>
      </c>
      <c r="F67" s="23">
        <f>$G66</f>
        <v/>
      </c>
      <c r="G67" s="24">
        <f>(MAX(0,$F67-MAX(0,($M67+$S67)-$C67)))+MIN(MAX(0,$D$3-(MAX(0,$F67-MAX(0,($M67+$S67)-$C67)))),MAX(0,MAX(0,($C67+$F67)-$M67)-$S67))</f>
        <v/>
      </c>
      <c r="H67" s="23">
        <f>$J66</f>
        <v/>
      </c>
      <c r="I67" s="24">
        <f>MIN($E67,$H67)</f>
        <v/>
      </c>
      <c r="J67" s="24">
        <f>$H67-$I67</f>
        <v/>
      </c>
      <c r="K67" s="23">
        <f>$P66</f>
        <v/>
      </c>
      <c r="L67" s="24">
        <f>$K67*Inputs!$C$18/12</f>
        <v/>
      </c>
      <c r="M67" s="24">
        <f>MIN(($C67+$F67),$L67)</f>
        <v/>
      </c>
      <c r="N67" s="24">
        <f>MIN(($D67+$X67),MAX(0,$K67-$O67))</f>
        <v/>
      </c>
      <c r="O67" s="24">
        <f>MIN(MAX(0,MAX(0,$E67-$I67)-$U67),$K67)</f>
        <v/>
      </c>
      <c r="P67" s="24">
        <f>MAX(0,$K67-$O67)-$N67</f>
        <v/>
      </c>
      <c r="Q67" s="23">
        <f>$V66</f>
        <v/>
      </c>
      <c r="R67" s="24">
        <f>$Q67*Inputs!$C$19/12</f>
        <v/>
      </c>
      <c r="S67" s="24">
        <f>MIN(MAX(0,($C67+$F67)-$M67),$R67)</f>
        <v/>
      </c>
      <c r="T67" s="24">
        <f>MIN(MAX(0,($D67+$X67)-$N67),MAX(0,$Q67-$U67))</f>
        <v/>
      </c>
      <c r="U67" s="24">
        <f>MIN(MAX(0,$E67-$I67),$Q67)</f>
        <v/>
      </c>
      <c r="V67" s="24">
        <f>MAX(0,$Q67-$U67)-$T67</f>
        <v/>
      </c>
      <c r="W67" s="24">
        <f>MAX(0,MAX(0,($C67+$F67)-$M67)-$S67)-MIN(MAX(0,$D$3-(MAX(0,$F67-MAX(0,($M67+$S67)-$C67)))),MAX(0,MAX(0,($C67+$F67)-$M67)-$S67))</f>
        <v/>
      </c>
      <c r="X67" s="24">
        <f>IF(Inputs!$C$39=1,$W67,0)</f>
        <v/>
      </c>
      <c r="Y67" s="24">
        <f>IF(Inputs!$C$39=0,$W67,0)+MAX(0,MAX(0,($D67+$X67)-$N67)-$T67)</f>
        <v/>
      </c>
    </row>
    <row r="68">
      <c r="B68" s="22" t="n">
        <v>63</v>
      </c>
      <c r="C68" s="29">
        <f>IF($B68&lt;=Inputs!$C$6+Inputs!$C$11,Cashflow_Asset!$E66-Cashflow_Asset!$K66,0)</f>
        <v/>
      </c>
      <c r="D68" s="29">
        <f>IF($B68&lt;=Inputs!$C$6+Inputs!$C$11,Cashflow_Asset!$F66+Cashflow_Asset!$G66+Cashflow_Asset!$I66,0)</f>
        <v/>
      </c>
      <c r="E68" s="29">
        <f>IF($B68&lt;=Inputs!$C$6+Inputs!$C$11,Cashflow_Asset!$J66,0)</f>
        <v/>
      </c>
      <c r="F68" s="23">
        <f>$G67</f>
        <v/>
      </c>
      <c r="G68" s="24">
        <f>(MAX(0,$F68-MAX(0,($M68+$S68)-$C68)))+MIN(MAX(0,$D$3-(MAX(0,$F68-MAX(0,($M68+$S68)-$C68)))),MAX(0,MAX(0,($C68+$F68)-$M68)-$S68))</f>
        <v/>
      </c>
      <c r="H68" s="23">
        <f>$J67</f>
        <v/>
      </c>
      <c r="I68" s="24">
        <f>MIN($E68,$H68)</f>
        <v/>
      </c>
      <c r="J68" s="24">
        <f>$H68-$I68</f>
        <v/>
      </c>
      <c r="K68" s="23">
        <f>$P67</f>
        <v/>
      </c>
      <c r="L68" s="24">
        <f>$K68*Inputs!$C$18/12</f>
        <v/>
      </c>
      <c r="M68" s="24">
        <f>MIN(($C68+$F68),$L68)</f>
        <v/>
      </c>
      <c r="N68" s="24">
        <f>MIN(($D68+$X68),MAX(0,$K68-$O68))</f>
        <v/>
      </c>
      <c r="O68" s="24">
        <f>MIN(MAX(0,MAX(0,$E68-$I68)-$U68),$K68)</f>
        <v/>
      </c>
      <c r="P68" s="24">
        <f>MAX(0,$K68-$O68)-$N68</f>
        <v/>
      </c>
      <c r="Q68" s="23">
        <f>$V67</f>
        <v/>
      </c>
      <c r="R68" s="24">
        <f>$Q68*Inputs!$C$19/12</f>
        <v/>
      </c>
      <c r="S68" s="24">
        <f>MIN(MAX(0,($C68+$F68)-$M68),$R68)</f>
        <v/>
      </c>
      <c r="T68" s="24">
        <f>MIN(MAX(0,($D68+$X68)-$N68),MAX(0,$Q68-$U68))</f>
        <v/>
      </c>
      <c r="U68" s="24">
        <f>MIN(MAX(0,$E68-$I68),$Q68)</f>
        <v/>
      </c>
      <c r="V68" s="24">
        <f>MAX(0,$Q68-$U68)-$T68</f>
        <v/>
      </c>
      <c r="W68" s="24">
        <f>MAX(0,MAX(0,($C68+$F68)-$M68)-$S68)-MIN(MAX(0,$D$3-(MAX(0,$F68-MAX(0,($M68+$S68)-$C68)))),MAX(0,MAX(0,($C68+$F68)-$M68)-$S68))</f>
        <v/>
      </c>
      <c r="X68" s="24">
        <f>IF(Inputs!$C$39=1,$W68,0)</f>
        <v/>
      </c>
      <c r="Y68" s="24">
        <f>IF(Inputs!$C$39=0,$W68,0)+MAX(0,MAX(0,($D68+$X68)-$N68)-$T68)</f>
        <v/>
      </c>
    </row>
    <row r="69">
      <c r="B69" s="22" t="n">
        <v>64</v>
      </c>
      <c r="C69" s="29">
        <f>IF($B69&lt;=Inputs!$C$6+Inputs!$C$11,Cashflow_Asset!$E67-Cashflow_Asset!$K67,0)</f>
        <v/>
      </c>
      <c r="D69" s="29">
        <f>IF($B69&lt;=Inputs!$C$6+Inputs!$C$11,Cashflow_Asset!$F67+Cashflow_Asset!$G67+Cashflow_Asset!$I67,0)</f>
        <v/>
      </c>
      <c r="E69" s="29">
        <f>IF($B69&lt;=Inputs!$C$6+Inputs!$C$11,Cashflow_Asset!$J67,0)</f>
        <v/>
      </c>
      <c r="F69" s="23">
        <f>$G68</f>
        <v/>
      </c>
      <c r="G69" s="24">
        <f>(MAX(0,$F69-MAX(0,($M69+$S69)-$C69)))+MIN(MAX(0,$D$3-(MAX(0,$F69-MAX(0,($M69+$S69)-$C69)))),MAX(0,MAX(0,($C69+$F69)-$M69)-$S69))</f>
        <v/>
      </c>
      <c r="H69" s="23">
        <f>$J68</f>
        <v/>
      </c>
      <c r="I69" s="24">
        <f>MIN($E69,$H69)</f>
        <v/>
      </c>
      <c r="J69" s="24">
        <f>$H69-$I69</f>
        <v/>
      </c>
      <c r="K69" s="23">
        <f>$P68</f>
        <v/>
      </c>
      <c r="L69" s="24">
        <f>$K69*Inputs!$C$18/12</f>
        <v/>
      </c>
      <c r="M69" s="24">
        <f>MIN(($C69+$F69),$L69)</f>
        <v/>
      </c>
      <c r="N69" s="24">
        <f>MIN(($D69+$X69),MAX(0,$K69-$O69))</f>
        <v/>
      </c>
      <c r="O69" s="24">
        <f>MIN(MAX(0,MAX(0,$E69-$I69)-$U69),$K69)</f>
        <v/>
      </c>
      <c r="P69" s="24">
        <f>MAX(0,$K69-$O69)-$N69</f>
        <v/>
      </c>
      <c r="Q69" s="23">
        <f>$V68</f>
        <v/>
      </c>
      <c r="R69" s="24">
        <f>$Q69*Inputs!$C$19/12</f>
        <v/>
      </c>
      <c r="S69" s="24">
        <f>MIN(MAX(0,($C69+$F69)-$M69),$R69)</f>
        <v/>
      </c>
      <c r="T69" s="24">
        <f>MIN(MAX(0,($D69+$X69)-$N69),MAX(0,$Q69-$U69))</f>
        <v/>
      </c>
      <c r="U69" s="24">
        <f>MIN(MAX(0,$E69-$I69),$Q69)</f>
        <v/>
      </c>
      <c r="V69" s="24">
        <f>MAX(0,$Q69-$U69)-$T69</f>
        <v/>
      </c>
      <c r="W69" s="24">
        <f>MAX(0,MAX(0,($C69+$F69)-$M69)-$S69)-MIN(MAX(0,$D$3-(MAX(0,$F69-MAX(0,($M69+$S69)-$C69)))),MAX(0,MAX(0,($C69+$F69)-$M69)-$S69))</f>
        <v/>
      </c>
      <c r="X69" s="24">
        <f>IF(Inputs!$C$39=1,$W69,0)</f>
        <v/>
      </c>
      <c r="Y69" s="24">
        <f>IF(Inputs!$C$39=0,$W69,0)+MAX(0,MAX(0,($D69+$X69)-$N69)-$T69)</f>
        <v/>
      </c>
    </row>
    <row r="70">
      <c r="B70" s="22" t="n">
        <v>65</v>
      </c>
      <c r="C70" s="29">
        <f>IF($B70&lt;=Inputs!$C$6+Inputs!$C$11,Cashflow_Asset!$E68-Cashflow_Asset!$K68,0)</f>
        <v/>
      </c>
      <c r="D70" s="29">
        <f>IF($B70&lt;=Inputs!$C$6+Inputs!$C$11,Cashflow_Asset!$F68+Cashflow_Asset!$G68+Cashflow_Asset!$I68,0)</f>
        <v/>
      </c>
      <c r="E70" s="29">
        <f>IF($B70&lt;=Inputs!$C$6+Inputs!$C$11,Cashflow_Asset!$J68,0)</f>
        <v/>
      </c>
      <c r="F70" s="23">
        <f>$G69</f>
        <v/>
      </c>
      <c r="G70" s="24">
        <f>(MAX(0,$F70-MAX(0,($M70+$S70)-$C70)))+MIN(MAX(0,$D$3-(MAX(0,$F70-MAX(0,($M70+$S70)-$C70)))),MAX(0,MAX(0,($C70+$F70)-$M70)-$S70))</f>
        <v/>
      </c>
      <c r="H70" s="23">
        <f>$J69</f>
        <v/>
      </c>
      <c r="I70" s="24">
        <f>MIN($E70,$H70)</f>
        <v/>
      </c>
      <c r="J70" s="24">
        <f>$H70-$I70</f>
        <v/>
      </c>
      <c r="K70" s="23">
        <f>$P69</f>
        <v/>
      </c>
      <c r="L70" s="24">
        <f>$K70*Inputs!$C$18/12</f>
        <v/>
      </c>
      <c r="M70" s="24">
        <f>MIN(($C70+$F70),$L70)</f>
        <v/>
      </c>
      <c r="N70" s="24">
        <f>MIN(($D70+$X70),MAX(0,$K70-$O70))</f>
        <v/>
      </c>
      <c r="O70" s="24">
        <f>MIN(MAX(0,MAX(0,$E70-$I70)-$U70),$K70)</f>
        <v/>
      </c>
      <c r="P70" s="24">
        <f>MAX(0,$K70-$O70)-$N70</f>
        <v/>
      </c>
      <c r="Q70" s="23">
        <f>$V69</f>
        <v/>
      </c>
      <c r="R70" s="24">
        <f>$Q70*Inputs!$C$19/12</f>
        <v/>
      </c>
      <c r="S70" s="24">
        <f>MIN(MAX(0,($C70+$F70)-$M70),$R70)</f>
        <v/>
      </c>
      <c r="T70" s="24">
        <f>MIN(MAX(0,($D70+$X70)-$N70),MAX(0,$Q70-$U70))</f>
        <v/>
      </c>
      <c r="U70" s="24">
        <f>MIN(MAX(0,$E70-$I70),$Q70)</f>
        <v/>
      </c>
      <c r="V70" s="24">
        <f>MAX(0,$Q70-$U70)-$T70</f>
        <v/>
      </c>
      <c r="W70" s="24">
        <f>MAX(0,MAX(0,($C70+$F70)-$M70)-$S70)-MIN(MAX(0,$D$3-(MAX(0,$F70-MAX(0,($M70+$S70)-$C70)))),MAX(0,MAX(0,($C70+$F70)-$M70)-$S70))</f>
        <v/>
      </c>
      <c r="X70" s="24">
        <f>IF(Inputs!$C$39=1,$W70,0)</f>
        <v/>
      </c>
      <c r="Y70" s="24">
        <f>IF(Inputs!$C$39=0,$W70,0)+MAX(0,MAX(0,($D70+$X70)-$N70)-$T70)</f>
        <v/>
      </c>
    </row>
    <row r="71">
      <c r="B71" s="22" t="n">
        <v>66</v>
      </c>
      <c r="C71" s="29">
        <f>IF($B71&lt;=Inputs!$C$6+Inputs!$C$11,Cashflow_Asset!$E69-Cashflow_Asset!$K69,0)</f>
        <v/>
      </c>
      <c r="D71" s="29">
        <f>IF($B71&lt;=Inputs!$C$6+Inputs!$C$11,Cashflow_Asset!$F69+Cashflow_Asset!$G69+Cashflow_Asset!$I69,0)</f>
        <v/>
      </c>
      <c r="E71" s="29">
        <f>IF($B71&lt;=Inputs!$C$6+Inputs!$C$11,Cashflow_Asset!$J69,0)</f>
        <v/>
      </c>
      <c r="F71" s="23">
        <f>$G70</f>
        <v/>
      </c>
      <c r="G71" s="24">
        <f>(MAX(0,$F71-MAX(0,($M71+$S71)-$C71)))+MIN(MAX(0,$D$3-(MAX(0,$F71-MAX(0,($M71+$S71)-$C71)))),MAX(0,MAX(0,($C71+$F71)-$M71)-$S71))</f>
        <v/>
      </c>
      <c r="H71" s="23">
        <f>$J70</f>
        <v/>
      </c>
      <c r="I71" s="24">
        <f>MIN($E71,$H71)</f>
        <v/>
      </c>
      <c r="J71" s="24">
        <f>$H71-$I71</f>
        <v/>
      </c>
      <c r="K71" s="23">
        <f>$P70</f>
        <v/>
      </c>
      <c r="L71" s="24">
        <f>$K71*Inputs!$C$18/12</f>
        <v/>
      </c>
      <c r="M71" s="24">
        <f>MIN(($C71+$F71),$L71)</f>
        <v/>
      </c>
      <c r="N71" s="24">
        <f>MIN(($D71+$X71),MAX(0,$K71-$O71))</f>
        <v/>
      </c>
      <c r="O71" s="24">
        <f>MIN(MAX(0,MAX(0,$E71-$I71)-$U71),$K71)</f>
        <v/>
      </c>
      <c r="P71" s="24">
        <f>MAX(0,$K71-$O71)-$N71</f>
        <v/>
      </c>
      <c r="Q71" s="23">
        <f>$V70</f>
        <v/>
      </c>
      <c r="R71" s="24">
        <f>$Q71*Inputs!$C$19/12</f>
        <v/>
      </c>
      <c r="S71" s="24">
        <f>MIN(MAX(0,($C71+$F71)-$M71),$R71)</f>
        <v/>
      </c>
      <c r="T71" s="24">
        <f>MIN(MAX(0,($D71+$X71)-$N71),MAX(0,$Q71-$U71))</f>
        <v/>
      </c>
      <c r="U71" s="24">
        <f>MIN(MAX(0,$E71-$I71),$Q71)</f>
        <v/>
      </c>
      <c r="V71" s="24">
        <f>MAX(0,$Q71-$U71)-$T71</f>
        <v/>
      </c>
      <c r="W71" s="24">
        <f>MAX(0,MAX(0,($C71+$F71)-$M71)-$S71)-MIN(MAX(0,$D$3-(MAX(0,$F71-MAX(0,($M71+$S71)-$C71)))),MAX(0,MAX(0,($C71+$F71)-$M71)-$S71))</f>
        <v/>
      </c>
      <c r="X71" s="24">
        <f>IF(Inputs!$C$39=1,$W71,0)</f>
        <v/>
      </c>
      <c r="Y71" s="24">
        <f>IF(Inputs!$C$39=0,$W71,0)+MAX(0,MAX(0,($D71+$X71)-$N71)-$T71)</f>
        <v/>
      </c>
    </row>
    <row r="72">
      <c r="B72" s="22" t="n">
        <v>67</v>
      </c>
      <c r="C72" s="29">
        <f>IF($B72&lt;=Inputs!$C$6+Inputs!$C$11,Cashflow_Asset!$E70-Cashflow_Asset!$K70,0)</f>
        <v/>
      </c>
      <c r="D72" s="29">
        <f>IF($B72&lt;=Inputs!$C$6+Inputs!$C$11,Cashflow_Asset!$F70+Cashflow_Asset!$G70+Cashflow_Asset!$I70,0)</f>
        <v/>
      </c>
      <c r="E72" s="29">
        <f>IF($B72&lt;=Inputs!$C$6+Inputs!$C$11,Cashflow_Asset!$J70,0)</f>
        <v/>
      </c>
      <c r="F72" s="23">
        <f>$G71</f>
        <v/>
      </c>
      <c r="G72" s="24">
        <f>(MAX(0,$F72-MAX(0,($M72+$S72)-$C72)))+MIN(MAX(0,$D$3-(MAX(0,$F72-MAX(0,($M72+$S72)-$C72)))),MAX(0,MAX(0,($C72+$F72)-$M72)-$S72))</f>
        <v/>
      </c>
      <c r="H72" s="23">
        <f>$J71</f>
        <v/>
      </c>
      <c r="I72" s="24">
        <f>MIN($E72,$H72)</f>
        <v/>
      </c>
      <c r="J72" s="24">
        <f>$H72-$I72</f>
        <v/>
      </c>
      <c r="K72" s="23">
        <f>$P71</f>
        <v/>
      </c>
      <c r="L72" s="24">
        <f>$K72*Inputs!$C$18/12</f>
        <v/>
      </c>
      <c r="M72" s="24">
        <f>MIN(($C72+$F72),$L72)</f>
        <v/>
      </c>
      <c r="N72" s="24">
        <f>MIN(($D72+$X72),MAX(0,$K72-$O72))</f>
        <v/>
      </c>
      <c r="O72" s="24">
        <f>MIN(MAX(0,MAX(0,$E72-$I72)-$U72),$K72)</f>
        <v/>
      </c>
      <c r="P72" s="24">
        <f>MAX(0,$K72-$O72)-$N72</f>
        <v/>
      </c>
      <c r="Q72" s="23">
        <f>$V71</f>
        <v/>
      </c>
      <c r="R72" s="24">
        <f>$Q72*Inputs!$C$19/12</f>
        <v/>
      </c>
      <c r="S72" s="24">
        <f>MIN(MAX(0,($C72+$F72)-$M72),$R72)</f>
        <v/>
      </c>
      <c r="T72" s="24">
        <f>MIN(MAX(0,($D72+$X72)-$N72),MAX(0,$Q72-$U72))</f>
        <v/>
      </c>
      <c r="U72" s="24">
        <f>MIN(MAX(0,$E72-$I72),$Q72)</f>
        <v/>
      </c>
      <c r="V72" s="24">
        <f>MAX(0,$Q72-$U72)-$T72</f>
        <v/>
      </c>
      <c r="W72" s="24">
        <f>MAX(0,MAX(0,($C72+$F72)-$M72)-$S72)-MIN(MAX(0,$D$3-(MAX(0,$F72-MAX(0,($M72+$S72)-$C72)))),MAX(0,MAX(0,($C72+$F72)-$M72)-$S72))</f>
        <v/>
      </c>
      <c r="X72" s="24">
        <f>IF(Inputs!$C$39=1,$W72,0)</f>
        <v/>
      </c>
      <c r="Y72" s="24">
        <f>IF(Inputs!$C$39=0,$W72,0)+MAX(0,MAX(0,($D72+$X72)-$N72)-$T72)</f>
        <v/>
      </c>
    </row>
    <row r="73">
      <c r="B73" s="22" t="n">
        <v>68</v>
      </c>
      <c r="C73" s="29">
        <f>IF($B73&lt;=Inputs!$C$6+Inputs!$C$11,Cashflow_Asset!$E71-Cashflow_Asset!$K71,0)</f>
        <v/>
      </c>
      <c r="D73" s="29">
        <f>IF($B73&lt;=Inputs!$C$6+Inputs!$C$11,Cashflow_Asset!$F71+Cashflow_Asset!$G71+Cashflow_Asset!$I71,0)</f>
        <v/>
      </c>
      <c r="E73" s="29">
        <f>IF($B73&lt;=Inputs!$C$6+Inputs!$C$11,Cashflow_Asset!$J71,0)</f>
        <v/>
      </c>
      <c r="F73" s="23">
        <f>$G72</f>
        <v/>
      </c>
      <c r="G73" s="24">
        <f>(MAX(0,$F73-MAX(0,($M73+$S73)-$C73)))+MIN(MAX(0,$D$3-(MAX(0,$F73-MAX(0,($M73+$S73)-$C73)))),MAX(0,MAX(0,($C73+$F73)-$M73)-$S73))</f>
        <v/>
      </c>
      <c r="H73" s="23">
        <f>$J72</f>
        <v/>
      </c>
      <c r="I73" s="24">
        <f>MIN($E73,$H73)</f>
        <v/>
      </c>
      <c r="J73" s="24">
        <f>$H73-$I73</f>
        <v/>
      </c>
      <c r="K73" s="23">
        <f>$P72</f>
        <v/>
      </c>
      <c r="L73" s="24">
        <f>$K73*Inputs!$C$18/12</f>
        <v/>
      </c>
      <c r="M73" s="24">
        <f>MIN(($C73+$F73),$L73)</f>
        <v/>
      </c>
      <c r="N73" s="24">
        <f>MIN(($D73+$X73),MAX(0,$K73-$O73))</f>
        <v/>
      </c>
      <c r="O73" s="24">
        <f>MIN(MAX(0,MAX(0,$E73-$I73)-$U73),$K73)</f>
        <v/>
      </c>
      <c r="P73" s="24">
        <f>MAX(0,$K73-$O73)-$N73</f>
        <v/>
      </c>
      <c r="Q73" s="23">
        <f>$V72</f>
        <v/>
      </c>
      <c r="R73" s="24">
        <f>$Q73*Inputs!$C$19/12</f>
        <v/>
      </c>
      <c r="S73" s="24">
        <f>MIN(MAX(0,($C73+$F73)-$M73),$R73)</f>
        <v/>
      </c>
      <c r="T73" s="24">
        <f>MIN(MAX(0,($D73+$X73)-$N73),MAX(0,$Q73-$U73))</f>
        <v/>
      </c>
      <c r="U73" s="24">
        <f>MIN(MAX(0,$E73-$I73),$Q73)</f>
        <v/>
      </c>
      <c r="V73" s="24">
        <f>MAX(0,$Q73-$U73)-$T73</f>
        <v/>
      </c>
      <c r="W73" s="24">
        <f>MAX(0,MAX(0,($C73+$F73)-$M73)-$S73)-MIN(MAX(0,$D$3-(MAX(0,$F73-MAX(0,($M73+$S73)-$C73)))),MAX(0,MAX(0,($C73+$F73)-$M73)-$S73))</f>
        <v/>
      </c>
      <c r="X73" s="24">
        <f>IF(Inputs!$C$39=1,$W73,0)</f>
        <v/>
      </c>
      <c r="Y73" s="24">
        <f>IF(Inputs!$C$39=0,$W73,0)+MAX(0,MAX(0,($D73+$X73)-$N73)-$T73)</f>
        <v/>
      </c>
    </row>
    <row r="74">
      <c r="B74" s="22" t="n">
        <v>69</v>
      </c>
      <c r="C74" s="29">
        <f>IF($B74&lt;=Inputs!$C$6+Inputs!$C$11,Cashflow_Asset!$E72-Cashflow_Asset!$K72,0)</f>
        <v/>
      </c>
      <c r="D74" s="29">
        <f>IF($B74&lt;=Inputs!$C$6+Inputs!$C$11,Cashflow_Asset!$F72+Cashflow_Asset!$G72+Cashflow_Asset!$I72,0)</f>
        <v/>
      </c>
      <c r="E74" s="29">
        <f>IF($B74&lt;=Inputs!$C$6+Inputs!$C$11,Cashflow_Asset!$J72,0)</f>
        <v/>
      </c>
      <c r="F74" s="23">
        <f>$G73</f>
        <v/>
      </c>
      <c r="G74" s="24">
        <f>(MAX(0,$F74-MAX(0,($M74+$S74)-$C74)))+MIN(MAX(0,$D$3-(MAX(0,$F74-MAX(0,($M74+$S74)-$C74)))),MAX(0,MAX(0,($C74+$F74)-$M74)-$S74))</f>
        <v/>
      </c>
      <c r="H74" s="23">
        <f>$J73</f>
        <v/>
      </c>
      <c r="I74" s="24">
        <f>MIN($E74,$H74)</f>
        <v/>
      </c>
      <c r="J74" s="24">
        <f>$H74-$I74</f>
        <v/>
      </c>
      <c r="K74" s="23">
        <f>$P73</f>
        <v/>
      </c>
      <c r="L74" s="24">
        <f>$K74*Inputs!$C$18/12</f>
        <v/>
      </c>
      <c r="M74" s="24">
        <f>MIN(($C74+$F74),$L74)</f>
        <v/>
      </c>
      <c r="N74" s="24">
        <f>MIN(($D74+$X74),MAX(0,$K74-$O74))</f>
        <v/>
      </c>
      <c r="O74" s="24">
        <f>MIN(MAX(0,MAX(0,$E74-$I74)-$U74),$K74)</f>
        <v/>
      </c>
      <c r="P74" s="24">
        <f>MAX(0,$K74-$O74)-$N74</f>
        <v/>
      </c>
      <c r="Q74" s="23">
        <f>$V73</f>
        <v/>
      </c>
      <c r="R74" s="24">
        <f>$Q74*Inputs!$C$19/12</f>
        <v/>
      </c>
      <c r="S74" s="24">
        <f>MIN(MAX(0,($C74+$F74)-$M74),$R74)</f>
        <v/>
      </c>
      <c r="T74" s="24">
        <f>MIN(MAX(0,($D74+$X74)-$N74),MAX(0,$Q74-$U74))</f>
        <v/>
      </c>
      <c r="U74" s="24">
        <f>MIN(MAX(0,$E74-$I74),$Q74)</f>
        <v/>
      </c>
      <c r="V74" s="24">
        <f>MAX(0,$Q74-$U74)-$T74</f>
        <v/>
      </c>
      <c r="W74" s="24">
        <f>MAX(0,MAX(0,($C74+$F74)-$M74)-$S74)-MIN(MAX(0,$D$3-(MAX(0,$F74-MAX(0,($M74+$S74)-$C74)))),MAX(0,MAX(0,($C74+$F74)-$M74)-$S74))</f>
        <v/>
      </c>
      <c r="X74" s="24">
        <f>IF(Inputs!$C$39=1,$W74,0)</f>
        <v/>
      </c>
      <c r="Y74" s="24">
        <f>IF(Inputs!$C$39=0,$W74,0)+MAX(0,MAX(0,($D74+$X74)-$N74)-$T74)</f>
        <v/>
      </c>
    </row>
    <row r="75">
      <c r="B75" s="22" t="n">
        <v>70</v>
      </c>
      <c r="C75" s="29">
        <f>IF($B75&lt;=Inputs!$C$6+Inputs!$C$11,Cashflow_Asset!$E73-Cashflow_Asset!$K73,0)</f>
        <v/>
      </c>
      <c r="D75" s="29">
        <f>IF($B75&lt;=Inputs!$C$6+Inputs!$C$11,Cashflow_Asset!$F73+Cashflow_Asset!$G73+Cashflow_Asset!$I73,0)</f>
        <v/>
      </c>
      <c r="E75" s="29">
        <f>IF($B75&lt;=Inputs!$C$6+Inputs!$C$11,Cashflow_Asset!$J73,0)</f>
        <v/>
      </c>
      <c r="F75" s="23">
        <f>$G74</f>
        <v/>
      </c>
      <c r="G75" s="24">
        <f>(MAX(0,$F75-MAX(0,($M75+$S75)-$C75)))+MIN(MAX(0,$D$3-(MAX(0,$F75-MAX(0,($M75+$S75)-$C75)))),MAX(0,MAX(0,($C75+$F75)-$M75)-$S75))</f>
        <v/>
      </c>
      <c r="H75" s="23">
        <f>$J74</f>
        <v/>
      </c>
      <c r="I75" s="24">
        <f>MIN($E75,$H75)</f>
        <v/>
      </c>
      <c r="J75" s="24">
        <f>$H75-$I75</f>
        <v/>
      </c>
      <c r="K75" s="23">
        <f>$P74</f>
        <v/>
      </c>
      <c r="L75" s="24">
        <f>$K75*Inputs!$C$18/12</f>
        <v/>
      </c>
      <c r="M75" s="24">
        <f>MIN(($C75+$F75),$L75)</f>
        <v/>
      </c>
      <c r="N75" s="24">
        <f>MIN(($D75+$X75),MAX(0,$K75-$O75))</f>
        <v/>
      </c>
      <c r="O75" s="24">
        <f>MIN(MAX(0,MAX(0,$E75-$I75)-$U75),$K75)</f>
        <v/>
      </c>
      <c r="P75" s="24">
        <f>MAX(0,$K75-$O75)-$N75</f>
        <v/>
      </c>
      <c r="Q75" s="23">
        <f>$V74</f>
        <v/>
      </c>
      <c r="R75" s="24">
        <f>$Q75*Inputs!$C$19/12</f>
        <v/>
      </c>
      <c r="S75" s="24">
        <f>MIN(MAX(0,($C75+$F75)-$M75),$R75)</f>
        <v/>
      </c>
      <c r="T75" s="24">
        <f>MIN(MAX(0,($D75+$X75)-$N75),MAX(0,$Q75-$U75))</f>
        <v/>
      </c>
      <c r="U75" s="24">
        <f>MIN(MAX(0,$E75-$I75),$Q75)</f>
        <v/>
      </c>
      <c r="V75" s="24">
        <f>MAX(0,$Q75-$U75)-$T75</f>
        <v/>
      </c>
      <c r="W75" s="24">
        <f>MAX(0,MAX(0,($C75+$F75)-$M75)-$S75)-MIN(MAX(0,$D$3-(MAX(0,$F75-MAX(0,($M75+$S75)-$C75)))),MAX(0,MAX(0,($C75+$F75)-$M75)-$S75))</f>
        <v/>
      </c>
      <c r="X75" s="24">
        <f>IF(Inputs!$C$39=1,$W75,0)</f>
        <v/>
      </c>
      <c r="Y75" s="24">
        <f>IF(Inputs!$C$39=0,$W75,0)+MAX(0,MAX(0,($D75+$X75)-$N75)-$T75)</f>
        <v/>
      </c>
    </row>
    <row r="76">
      <c r="B76" s="22" t="n">
        <v>71</v>
      </c>
      <c r="C76" s="29">
        <f>IF($B76&lt;=Inputs!$C$6+Inputs!$C$11,Cashflow_Asset!$E74-Cashflow_Asset!$K74,0)</f>
        <v/>
      </c>
      <c r="D76" s="29">
        <f>IF($B76&lt;=Inputs!$C$6+Inputs!$C$11,Cashflow_Asset!$F74+Cashflow_Asset!$G74+Cashflow_Asset!$I74,0)</f>
        <v/>
      </c>
      <c r="E76" s="29">
        <f>IF($B76&lt;=Inputs!$C$6+Inputs!$C$11,Cashflow_Asset!$J74,0)</f>
        <v/>
      </c>
      <c r="F76" s="23">
        <f>$G75</f>
        <v/>
      </c>
      <c r="G76" s="24">
        <f>(MAX(0,$F76-MAX(0,($M76+$S76)-$C76)))+MIN(MAX(0,$D$3-(MAX(0,$F76-MAX(0,($M76+$S76)-$C76)))),MAX(0,MAX(0,($C76+$F76)-$M76)-$S76))</f>
        <v/>
      </c>
      <c r="H76" s="23">
        <f>$J75</f>
        <v/>
      </c>
      <c r="I76" s="24">
        <f>MIN($E76,$H76)</f>
        <v/>
      </c>
      <c r="J76" s="24">
        <f>$H76-$I76</f>
        <v/>
      </c>
      <c r="K76" s="23">
        <f>$P75</f>
        <v/>
      </c>
      <c r="L76" s="24">
        <f>$K76*Inputs!$C$18/12</f>
        <v/>
      </c>
      <c r="M76" s="24">
        <f>MIN(($C76+$F76),$L76)</f>
        <v/>
      </c>
      <c r="N76" s="24">
        <f>MIN(($D76+$X76),MAX(0,$K76-$O76))</f>
        <v/>
      </c>
      <c r="O76" s="24">
        <f>MIN(MAX(0,MAX(0,$E76-$I76)-$U76),$K76)</f>
        <v/>
      </c>
      <c r="P76" s="24">
        <f>MAX(0,$K76-$O76)-$N76</f>
        <v/>
      </c>
      <c r="Q76" s="23">
        <f>$V75</f>
        <v/>
      </c>
      <c r="R76" s="24">
        <f>$Q76*Inputs!$C$19/12</f>
        <v/>
      </c>
      <c r="S76" s="24">
        <f>MIN(MAX(0,($C76+$F76)-$M76),$R76)</f>
        <v/>
      </c>
      <c r="T76" s="24">
        <f>MIN(MAX(0,($D76+$X76)-$N76),MAX(0,$Q76-$U76))</f>
        <v/>
      </c>
      <c r="U76" s="24">
        <f>MIN(MAX(0,$E76-$I76),$Q76)</f>
        <v/>
      </c>
      <c r="V76" s="24">
        <f>MAX(0,$Q76-$U76)-$T76</f>
        <v/>
      </c>
      <c r="W76" s="24">
        <f>MAX(0,MAX(0,($C76+$F76)-$M76)-$S76)-MIN(MAX(0,$D$3-(MAX(0,$F76-MAX(0,($M76+$S76)-$C76)))),MAX(0,MAX(0,($C76+$F76)-$M76)-$S76))</f>
        <v/>
      </c>
      <c r="X76" s="24">
        <f>IF(Inputs!$C$39=1,$W76,0)</f>
        <v/>
      </c>
      <c r="Y76" s="24">
        <f>IF(Inputs!$C$39=0,$W76,0)+MAX(0,MAX(0,($D76+$X76)-$N76)-$T76)</f>
        <v/>
      </c>
    </row>
    <row r="77">
      <c r="B77" s="22" t="n">
        <v>72</v>
      </c>
      <c r="C77" s="29">
        <f>IF($B77&lt;=Inputs!$C$6+Inputs!$C$11,Cashflow_Asset!$E75-Cashflow_Asset!$K75,0)</f>
        <v/>
      </c>
      <c r="D77" s="29">
        <f>IF($B77&lt;=Inputs!$C$6+Inputs!$C$11,Cashflow_Asset!$F75+Cashflow_Asset!$G75+Cashflow_Asset!$I75,0)</f>
        <v/>
      </c>
      <c r="E77" s="29">
        <f>IF($B77&lt;=Inputs!$C$6+Inputs!$C$11,Cashflow_Asset!$J75,0)</f>
        <v/>
      </c>
      <c r="F77" s="23">
        <f>$G76</f>
        <v/>
      </c>
      <c r="G77" s="24">
        <f>(MAX(0,$F77-MAX(0,($M77+$S77)-$C77)))+MIN(MAX(0,$D$3-(MAX(0,$F77-MAX(0,($M77+$S77)-$C77)))),MAX(0,MAX(0,($C77+$F77)-$M77)-$S77))</f>
        <v/>
      </c>
      <c r="H77" s="23">
        <f>$J76</f>
        <v/>
      </c>
      <c r="I77" s="24">
        <f>MIN($E77,$H77)</f>
        <v/>
      </c>
      <c r="J77" s="24">
        <f>$H77-$I77</f>
        <v/>
      </c>
      <c r="K77" s="23">
        <f>$P76</f>
        <v/>
      </c>
      <c r="L77" s="24">
        <f>$K77*Inputs!$C$18/12</f>
        <v/>
      </c>
      <c r="M77" s="24">
        <f>MIN(($C77+$F77),$L77)</f>
        <v/>
      </c>
      <c r="N77" s="24">
        <f>MIN(($D77+$X77),MAX(0,$K77-$O77))</f>
        <v/>
      </c>
      <c r="O77" s="24">
        <f>MIN(MAX(0,MAX(0,$E77-$I77)-$U77),$K77)</f>
        <v/>
      </c>
      <c r="P77" s="24">
        <f>MAX(0,$K77-$O77)-$N77</f>
        <v/>
      </c>
      <c r="Q77" s="23">
        <f>$V76</f>
        <v/>
      </c>
      <c r="R77" s="24">
        <f>$Q77*Inputs!$C$19/12</f>
        <v/>
      </c>
      <c r="S77" s="24">
        <f>MIN(MAX(0,($C77+$F77)-$M77),$R77)</f>
        <v/>
      </c>
      <c r="T77" s="24">
        <f>MIN(MAX(0,($D77+$X77)-$N77),MAX(0,$Q77-$U77))</f>
        <v/>
      </c>
      <c r="U77" s="24">
        <f>MIN(MAX(0,$E77-$I77),$Q77)</f>
        <v/>
      </c>
      <c r="V77" s="24">
        <f>MAX(0,$Q77-$U77)-$T77</f>
        <v/>
      </c>
      <c r="W77" s="24">
        <f>MAX(0,MAX(0,($C77+$F77)-$M77)-$S77)-MIN(MAX(0,$D$3-(MAX(0,$F77-MAX(0,($M77+$S77)-$C77)))),MAX(0,MAX(0,($C77+$F77)-$M77)-$S77))</f>
        <v/>
      </c>
      <c r="X77" s="24">
        <f>IF(Inputs!$C$39=1,$W77,0)</f>
        <v/>
      </c>
      <c r="Y77" s="24">
        <f>IF(Inputs!$C$39=0,$W77,0)+MAX(0,MAX(0,($D77+$X77)-$N77)-$T77)</f>
        <v/>
      </c>
    </row>
    <row r="78">
      <c r="B78" s="22" t="n">
        <v>73</v>
      </c>
      <c r="C78" s="29">
        <f>IF($B78&lt;=Inputs!$C$6+Inputs!$C$11,Cashflow_Asset!$E76-Cashflow_Asset!$K76,0)</f>
        <v/>
      </c>
      <c r="D78" s="29">
        <f>IF($B78&lt;=Inputs!$C$6+Inputs!$C$11,Cashflow_Asset!$F76+Cashflow_Asset!$G76+Cashflow_Asset!$I76,0)</f>
        <v/>
      </c>
      <c r="E78" s="29">
        <f>IF($B78&lt;=Inputs!$C$6+Inputs!$C$11,Cashflow_Asset!$J76,0)</f>
        <v/>
      </c>
      <c r="F78" s="23">
        <f>$G77</f>
        <v/>
      </c>
      <c r="G78" s="24">
        <f>(MAX(0,$F78-MAX(0,($M78+$S78)-$C78)))+MIN(MAX(0,$D$3-(MAX(0,$F78-MAX(0,($M78+$S78)-$C78)))),MAX(0,MAX(0,($C78+$F78)-$M78)-$S78))</f>
        <v/>
      </c>
      <c r="H78" s="23">
        <f>$J77</f>
        <v/>
      </c>
      <c r="I78" s="24">
        <f>MIN($E78,$H78)</f>
        <v/>
      </c>
      <c r="J78" s="24">
        <f>$H78-$I78</f>
        <v/>
      </c>
      <c r="K78" s="23">
        <f>$P77</f>
        <v/>
      </c>
      <c r="L78" s="24">
        <f>$K78*Inputs!$C$18/12</f>
        <v/>
      </c>
      <c r="M78" s="24">
        <f>MIN(($C78+$F78),$L78)</f>
        <v/>
      </c>
      <c r="N78" s="24">
        <f>MIN(($D78+$X78),MAX(0,$K78-$O78))</f>
        <v/>
      </c>
      <c r="O78" s="24">
        <f>MIN(MAX(0,MAX(0,$E78-$I78)-$U78),$K78)</f>
        <v/>
      </c>
      <c r="P78" s="24">
        <f>MAX(0,$K78-$O78)-$N78</f>
        <v/>
      </c>
      <c r="Q78" s="23">
        <f>$V77</f>
        <v/>
      </c>
      <c r="R78" s="24">
        <f>$Q78*Inputs!$C$19/12</f>
        <v/>
      </c>
      <c r="S78" s="24">
        <f>MIN(MAX(0,($C78+$F78)-$M78),$R78)</f>
        <v/>
      </c>
      <c r="T78" s="24">
        <f>MIN(MAX(0,($D78+$X78)-$N78),MAX(0,$Q78-$U78))</f>
        <v/>
      </c>
      <c r="U78" s="24">
        <f>MIN(MAX(0,$E78-$I78),$Q78)</f>
        <v/>
      </c>
      <c r="V78" s="24">
        <f>MAX(0,$Q78-$U78)-$T78</f>
        <v/>
      </c>
      <c r="W78" s="24">
        <f>MAX(0,MAX(0,($C78+$F78)-$M78)-$S78)-MIN(MAX(0,$D$3-(MAX(0,$F78-MAX(0,($M78+$S78)-$C78)))),MAX(0,MAX(0,($C78+$F78)-$M78)-$S78))</f>
        <v/>
      </c>
      <c r="X78" s="24">
        <f>IF(Inputs!$C$39=1,$W78,0)</f>
        <v/>
      </c>
      <c r="Y78" s="24">
        <f>IF(Inputs!$C$39=0,$W78,0)+MAX(0,MAX(0,($D78+$X78)-$N78)-$T78)</f>
        <v/>
      </c>
    </row>
    <row r="79">
      <c r="B79" s="22" t="n">
        <v>74</v>
      </c>
      <c r="C79" s="29">
        <f>IF($B79&lt;=Inputs!$C$6+Inputs!$C$11,Cashflow_Asset!$E77-Cashflow_Asset!$K77,0)</f>
        <v/>
      </c>
      <c r="D79" s="29">
        <f>IF($B79&lt;=Inputs!$C$6+Inputs!$C$11,Cashflow_Asset!$F77+Cashflow_Asset!$G77+Cashflow_Asset!$I77,0)</f>
        <v/>
      </c>
      <c r="E79" s="29">
        <f>IF($B79&lt;=Inputs!$C$6+Inputs!$C$11,Cashflow_Asset!$J77,0)</f>
        <v/>
      </c>
      <c r="F79" s="23">
        <f>$G78</f>
        <v/>
      </c>
      <c r="G79" s="24">
        <f>(MAX(0,$F79-MAX(0,($M79+$S79)-$C79)))+MIN(MAX(0,$D$3-(MAX(0,$F79-MAX(0,($M79+$S79)-$C79)))),MAX(0,MAX(0,($C79+$F79)-$M79)-$S79))</f>
        <v/>
      </c>
      <c r="H79" s="23">
        <f>$J78</f>
        <v/>
      </c>
      <c r="I79" s="24">
        <f>MIN($E79,$H79)</f>
        <v/>
      </c>
      <c r="J79" s="24">
        <f>$H79-$I79</f>
        <v/>
      </c>
      <c r="K79" s="23">
        <f>$P78</f>
        <v/>
      </c>
      <c r="L79" s="24">
        <f>$K79*Inputs!$C$18/12</f>
        <v/>
      </c>
      <c r="M79" s="24">
        <f>MIN(($C79+$F79),$L79)</f>
        <v/>
      </c>
      <c r="N79" s="24">
        <f>MIN(($D79+$X79),MAX(0,$K79-$O79))</f>
        <v/>
      </c>
      <c r="O79" s="24">
        <f>MIN(MAX(0,MAX(0,$E79-$I79)-$U79),$K79)</f>
        <v/>
      </c>
      <c r="P79" s="24">
        <f>MAX(0,$K79-$O79)-$N79</f>
        <v/>
      </c>
      <c r="Q79" s="23">
        <f>$V78</f>
        <v/>
      </c>
      <c r="R79" s="24">
        <f>$Q79*Inputs!$C$19/12</f>
        <v/>
      </c>
      <c r="S79" s="24">
        <f>MIN(MAX(0,($C79+$F79)-$M79),$R79)</f>
        <v/>
      </c>
      <c r="T79" s="24">
        <f>MIN(MAX(0,($D79+$X79)-$N79),MAX(0,$Q79-$U79))</f>
        <v/>
      </c>
      <c r="U79" s="24">
        <f>MIN(MAX(0,$E79-$I79),$Q79)</f>
        <v/>
      </c>
      <c r="V79" s="24">
        <f>MAX(0,$Q79-$U79)-$T79</f>
        <v/>
      </c>
      <c r="W79" s="24">
        <f>MAX(0,MAX(0,($C79+$F79)-$M79)-$S79)-MIN(MAX(0,$D$3-(MAX(0,$F79-MAX(0,($M79+$S79)-$C79)))),MAX(0,MAX(0,($C79+$F79)-$M79)-$S79))</f>
        <v/>
      </c>
      <c r="X79" s="24">
        <f>IF(Inputs!$C$39=1,$W79,0)</f>
        <v/>
      </c>
      <c r="Y79" s="24">
        <f>IF(Inputs!$C$39=0,$W79,0)+MAX(0,MAX(0,($D79+$X79)-$N79)-$T79)</f>
        <v/>
      </c>
    </row>
    <row r="80">
      <c r="B80" s="22" t="n">
        <v>75</v>
      </c>
      <c r="C80" s="29">
        <f>IF($B80&lt;=Inputs!$C$6+Inputs!$C$11,Cashflow_Asset!$E78-Cashflow_Asset!$K78,0)</f>
        <v/>
      </c>
      <c r="D80" s="29">
        <f>IF($B80&lt;=Inputs!$C$6+Inputs!$C$11,Cashflow_Asset!$F78+Cashflow_Asset!$G78+Cashflow_Asset!$I78,0)</f>
        <v/>
      </c>
      <c r="E80" s="29">
        <f>IF($B80&lt;=Inputs!$C$6+Inputs!$C$11,Cashflow_Asset!$J78,0)</f>
        <v/>
      </c>
      <c r="F80" s="23">
        <f>$G79</f>
        <v/>
      </c>
      <c r="G80" s="24">
        <f>(MAX(0,$F80-MAX(0,($M80+$S80)-$C80)))+MIN(MAX(0,$D$3-(MAX(0,$F80-MAX(0,($M80+$S80)-$C80)))),MAX(0,MAX(0,($C80+$F80)-$M80)-$S80))</f>
        <v/>
      </c>
      <c r="H80" s="23">
        <f>$J79</f>
        <v/>
      </c>
      <c r="I80" s="24">
        <f>MIN($E80,$H80)</f>
        <v/>
      </c>
      <c r="J80" s="24">
        <f>$H80-$I80</f>
        <v/>
      </c>
      <c r="K80" s="23">
        <f>$P79</f>
        <v/>
      </c>
      <c r="L80" s="24">
        <f>$K80*Inputs!$C$18/12</f>
        <v/>
      </c>
      <c r="M80" s="24">
        <f>MIN(($C80+$F80),$L80)</f>
        <v/>
      </c>
      <c r="N80" s="24">
        <f>MIN(($D80+$X80),MAX(0,$K80-$O80))</f>
        <v/>
      </c>
      <c r="O80" s="24">
        <f>MIN(MAX(0,MAX(0,$E80-$I80)-$U80),$K80)</f>
        <v/>
      </c>
      <c r="P80" s="24">
        <f>MAX(0,$K80-$O80)-$N80</f>
        <v/>
      </c>
      <c r="Q80" s="23">
        <f>$V79</f>
        <v/>
      </c>
      <c r="R80" s="24">
        <f>$Q80*Inputs!$C$19/12</f>
        <v/>
      </c>
      <c r="S80" s="24">
        <f>MIN(MAX(0,($C80+$F80)-$M80),$R80)</f>
        <v/>
      </c>
      <c r="T80" s="24">
        <f>MIN(MAX(0,($D80+$X80)-$N80),MAX(0,$Q80-$U80))</f>
        <v/>
      </c>
      <c r="U80" s="24">
        <f>MIN(MAX(0,$E80-$I80),$Q80)</f>
        <v/>
      </c>
      <c r="V80" s="24">
        <f>MAX(0,$Q80-$U80)-$T80</f>
        <v/>
      </c>
      <c r="W80" s="24">
        <f>MAX(0,MAX(0,($C80+$F80)-$M80)-$S80)-MIN(MAX(0,$D$3-(MAX(0,$F80-MAX(0,($M80+$S80)-$C80)))),MAX(0,MAX(0,($C80+$F80)-$M80)-$S80))</f>
        <v/>
      </c>
      <c r="X80" s="24">
        <f>IF(Inputs!$C$39=1,$W80,0)</f>
        <v/>
      </c>
      <c r="Y80" s="24">
        <f>IF(Inputs!$C$39=0,$W80,0)+MAX(0,MAX(0,($D80+$X80)-$N80)-$T80)</f>
        <v/>
      </c>
    </row>
    <row r="81">
      <c r="B81" s="22" t="n">
        <v>76</v>
      </c>
      <c r="C81" s="29">
        <f>IF($B81&lt;=Inputs!$C$6+Inputs!$C$11,Cashflow_Asset!$E79-Cashflow_Asset!$K79,0)</f>
        <v/>
      </c>
      <c r="D81" s="29">
        <f>IF($B81&lt;=Inputs!$C$6+Inputs!$C$11,Cashflow_Asset!$F79+Cashflow_Asset!$G79+Cashflow_Asset!$I79,0)</f>
        <v/>
      </c>
      <c r="E81" s="29">
        <f>IF($B81&lt;=Inputs!$C$6+Inputs!$C$11,Cashflow_Asset!$J79,0)</f>
        <v/>
      </c>
      <c r="F81" s="23">
        <f>$G80</f>
        <v/>
      </c>
      <c r="G81" s="24">
        <f>(MAX(0,$F81-MAX(0,($M81+$S81)-$C81)))+MIN(MAX(0,$D$3-(MAX(0,$F81-MAX(0,($M81+$S81)-$C81)))),MAX(0,MAX(0,($C81+$F81)-$M81)-$S81))</f>
        <v/>
      </c>
      <c r="H81" s="23">
        <f>$J80</f>
        <v/>
      </c>
      <c r="I81" s="24">
        <f>MIN($E81,$H81)</f>
        <v/>
      </c>
      <c r="J81" s="24">
        <f>$H81-$I81</f>
        <v/>
      </c>
      <c r="K81" s="23">
        <f>$P80</f>
        <v/>
      </c>
      <c r="L81" s="24">
        <f>$K81*Inputs!$C$18/12</f>
        <v/>
      </c>
      <c r="M81" s="24">
        <f>MIN(($C81+$F81),$L81)</f>
        <v/>
      </c>
      <c r="N81" s="24">
        <f>MIN(($D81+$X81),MAX(0,$K81-$O81))</f>
        <v/>
      </c>
      <c r="O81" s="24">
        <f>MIN(MAX(0,MAX(0,$E81-$I81)-$U81),$K81)</f>
        <v/>
      </c>
      <c r="P81" s="24">
        <f>MAX(0,$K81-$O81)-$N81</f>
        <v/>
      </c>
      <c r="Q81" s="23">
        <f>$V80</f>
        <v/>
      </c>
      <c r="R81" s="24">
        <f>$Q81*Inputs!$C$19/12</f>
        <v/>
      </c>
      <c r="S81" s="24">
        <f>MIN(MAX(0,($C81+$F81)-$M81),$R81)</f>
        <v/>
      </c>
      <c r="T81" s="24">
        <f>MIN(MAX(0,($D81+$X81)-$N81),MAX(0,$Q81-$U81))</f>
        <v/>
      </c>
      <c r="U81" s="24">
        <f>MIN(MAX(0,$E81-$I81),$Q81)</f>
        <v/>
      </c>
      <c r="V81" s="24">
        <f>MAX(0,$Q81-$U81)-$T81</f>
        <v/>
      </c>
      <c r="W81" s="24">
        <f>MAX(0,MAX(0,($C81+$F81)-$M81)-$S81)-MIN(MAX(0,$D$3-(MAX(0,$F81-MAX(0,($M81+$S81)-$C81)))),MAX(0,MAX(0,($C81+$F81)-$M81)-$S81))</f>
        <v/>
      </c>
      <c r="X81" s="24">
        <f>IF(Inputs!$C$39=1,$W81,0)</f>
        <v/>
      </c>
      <c r="Y81" s="24">
        <f>IF(Inputs!$C$39=0,$W81,0)+MAX(0,MAX(0,($D81+$X81)-$N81)-$T81)</f>
        <v/>
      </c>
    </row>
    <row r="82">
      <c r="B82" s="22" t="n">
        <v>77</v>
      </c>
      <c r="C82" s="29">
        <f>IF($B82&lt;=Inputs!$C$6+Inputs!$C$11,Cashflow_Asset!$E80-Cashflow_Asset!$K80,0)</f>
        <v/>
      </c>
      <c r="D82" s="29">
        <f>IF($B82&lt;=Inputs!$C$6+Inputs!$C$11,Cashflow_Asset!$F80+Cashflow_Asset!$G80+Cashflow_Asset!$I80,0)</f>
        <v/>
      </c>
      <c r="E82" s="29">
        <f>IF($B82&lt;=Inputs!$C$6+Inputs!$C$11,Cashflow_Asset!$J80,0)</f>
        <v/>
      </c>
      <c r="F82" s="23">
        <f>$G81</f>
        <v/>
      </c>
      <c r="G82" s="24">
        <f>(MAX(0,$F82-MAX(0,($M82+$S82)-$C82)))+MIN(MAX(0,$D$3-(MAX(0,$F82-MAX(0,($M82+$S82)-$C82)))),MAX(0,MAX(0,($C82+$F82)-$M82)-$S82))</f>
        <v/>
      </c>
      <c r="H82" s="23">
        <f>$J81</f>
        <v/>
      </c>
      <c r="I82" s="24">
        <f>MIN($E82,$H82)</f>
        <v/>
      </c>
      <c r="J82" s="24">
        <f>$H82-$I82</f>
        <v/>
      </c>
      <c r="K82" s="23">
        <f>$P81</f>
        <v/>
      </c>
      <c r="L82" s="24">
        <f>$K82*Inputs!$C$18/12</f>
        <v/>
      </c>
      <c r="M82" s="24">
        <f>MIN(($C82+$F82),$L82)</f>
        <v/>
      </c>
      <c r="N82" s="24">
        <f>MIN(($D82+$X82),MAX(0,$K82-$O82))</f>
        <v/>
      </c>
      <c r="O82" s="24">
        <f>MIN(MAX(0,MAX(0,$E82-$I82)-$U82),$K82)</f>
        <v/>
      </c>
      <c r="P82" s="24">
        <f>MAX(0,$K82-$O82)-$N82</f>
        <v/>
      </c>
      <c r="Q82" s="23">
        <f>$V81</f>
        <v/>
      </c>
      <c r="R82" s="24">
        <f>$Q82*Inputs!$C$19/12</f>
        <v/>
      </c>
      <c r="S82" s="24">
        <f>MIN(MAX(0,($C82+$F82)-$M82),$R82)</f>
        <v/>
      </c>
      <c r="T82" s="24">
        <f>MIN(MAX(0,($D82+$X82)-$N82),MAX(0,$Q82-$U82))</f>
        <v/>
      </c>
      <c r="U82" s="24">
        <f>MIN(MAX(0,$E82-$I82),$Q82)</f>
        <v/>
      </c>
      <c r="V82" s="24">
        <f>MAX(0,$Q82-$U82)-$T82</f>
        <v/>
      </c>
      <c r="W82" s="24">
        <f>MAX(0,MAX(0,($C82+$F82)-$M82)-$S82)-MIN(MAX(0,$D$3-(MAX(0,$F82-MAX(0,($M82+$S82)-$C82)))),MAX(0,MAX(0,($C82+$F82)-$M82)-$S82))</f>
        <v/>
      </c>
      <c r="X82" s="24">
        <f>IF(Inputs!$C$39=1,$W82,0)</f>
        <v/>
      </c>
      <c r="Y82" s="24">
        <f>IF(Inputs!$C$39=0,$W82,0)+MAX(0,MAX(0,($D82+$X82)-$N82)-$T82)</f>
        <v/>
      </c>
    </row>
    <row r="83">
      <c r="B83" s="22" t="n">
        <v>78</v>
      </c>
      <c r="C83" s="29">
        <f>IF($B83&lt;=Inputs!$C$6+Inputs!$C$11,Cashflow_Asset!$E81-Cashflow_Asset!$K81,0)</f>
        <v/>
      </c>
      <c r="D83" s="29">
        <f>IF($B83&lt;=Inputs!$C$6+Inputs!$C$11,Cashflow_Asset!$F81+Cashflow_Asset!$G81+Cashflow_Asset!$I81,0)</f>
        <v/>
      </c>
      <c r="E83" s="29">
        <f>IF($B83&lt;=Inputs!$C$6+Inputs!$C$11,Cashflow_Asset!$J81,0)</f>
        <v/>
      </c>
      <c r="F83" s="23">
        <f>$G82</f>
        <v/>
      </c>
      <c r="G83" s="24">
        <f>(MAX(0,$F83-MAX(0,($M83+$S83)-$C83)))+MIN(MAX(0,$D$3-(MAX(0,$F83-MAX(0,($M83+$S83)-$C83)))),MAX(0,MAX(0,($C83+$F83)-$M83)-$S83))</f>
        <v/>
      </c>
      <c r="H83" s="23">
        <f>$J82</f>
        <v/>
      </c>
      <c r="I83" s="24">
        <f>MIN($E83,$H83)</f>
        <v/>
      </c>
      <c r="J83" s="24">
        <f>$H83-$I83</f>
        <v/>
      </c>
      <c r="K83" s="23">
        <f>$P82</f>
        <v/>
      </c>
      <c r="L83" s="24">
        <f>$K83*Inputs!$C$18/12</f>
        <v/>
      </c>
      <c r="M83" s="24">
        <f>MIN(($C83+$F83),$L83)</f>
        <v/>
      </c>
      <c r="N83" s="24">
        <f>MIN(($D83+$X83),MAX(0,$K83-$O83))</f>
        <v/>
      </c>
      <c r="O83" s="24">
        <f>MIN(MAX(0,MAX(0,$E83-$I83)-$U83),$K83)</f>
        <v/>
      </c>
      <c r="P83" s="24">
        <f>MAX(0,$K83-$O83)-$N83</f>
        <v/>
      </c>
      <c r="Q83" s="23">
        <f>$V82</f>
        <v/>
      </c>
      <c r="R83" s="24">
        <f>$Q83*Inputs!$C$19/12</f>
        <v/>
      </c>
      <c r="S83" s="24">
        <f>MIN(MAX(0,($C83+$F83)-$M83),$R83)</f>
        <v/>
      </c>
      <c r="T83" s="24">
        <f>MIN(MAX(0,($D83+$X83)-$N83),MAX(0,$Q83-$U83))</f>
        <v/>
      </c>
      <c r="U83" s="24">
        <f>MIN(MAX(0,$E83-$I83),$Q83)</f>
        <v/>
      </c>
      <c r="V83" s="24">
        <f>MAX(0,$Q83-$U83)-$T83</f>
        <v/>
      </c>
      <c r="W83" s="24">
        <f>MAX(0,MAX(0,($C83+$F83)-$M83)-$S83)-MIN(MAX(0,$D$3-(MAX(0,$F83-MAX(0,($M83+$S83)-$C83)))),MAX(0,MAX(0,($C83+$F83)-$M83)-$S83))</f>
        <v/>
      </c>
      <c r="X83" s="24">
        <f>IF(Inputs!$C$39=1,$W83,0)</f>
        <v/>
      </c>
      <c r="Y83" s="24">
        <f>IF(Inputs!$C$39=0,$W83,0)+MAX(0,MAX(0,($D83+$X83)-$N83)-$T83)</f>
        <v/>
      </c>
    </row>
    <row r="84">
      <c r="B84" s="22" t="n">
        <v>79</v>
      </c>
      <c r="C84" s="29">
        <f>IF($B84&lt;=Inputs!$C$6+Inputs!$C$11,Cashflow_Asset!$E82-Cashflow_Asset!$K82,0)</f>
        <v/>
      </c>
      <c r="D84" s="29">
        <f>IF($B84&lt;=Inputs!$C$6+Inputs!$C$11,Cashflow_Asset!$F82+Cashflow_Asset!$G82+Cashflow_Asset!$I82,0)</f>
        <v/>
      </c>
      <c r="E84" s="29">
        <f>IF($B84&lt;=Inputs!$C$6+Inputs!$C$11,Cashflow_Asset!$J82,0)</f>
        <v/>
      </c>
      <c r="F84" s="23">
        <f>$G83</f>
        <v/>
      </c>
      <c r="G84" s="24">
        <f>(MAX(0,$F84-MAX(0,($M84+$S84)-$C84)))+MIN(MAX(0,$D$3-(MAX(0,$F84-MAX(0,($M84+$S84)-$C84)))),MAX(0,MAX(0,($C84+$F84)-$M84)-$S84))</f>
        <v/>
      </c>
      <c r="H84" s="23">
        <f>$J83</f>
        <v/>
      </c>
      <c r="I84" s="24">
        <f>MIN($E84,$H84)</f>
        <v/>
      </c>
      <c r="J84" s="24">
        <f>$H84-$I84</f>
        <v/>
      </c>
      <c r="K84" s="23">
        <f>$P83</f>
        <v/>
      </c>
      <c r="L84" s="24">
        <f>$K84*Inputs!$C$18/12</f>
        <v/>
      </c>
      <c r="M84" s="24">
        <f>MIN(($C84+$F84),$L84)</f>
        <v/>
      </c>
      <c r="N84" s="24">
        <f>MIN(($D84+$X84),MAX(0,$K84-$O84))</f>
        <v/>
      </c>
      <c r="O84" s="24">
        <f>MIN(MAX(0,MAX(0,$E84-$I84)-$U84),$K84)</f>
        <v/>
      </c>
      <c r="P84" s="24">
        <f>MAX(0,$K84-$O84)-$N84</f>
        <v/>
      </c>
      <c r="Q84" s="23">
        <f>$V83</f>
        <v/>
      </c>
      <c r="R84" s="24">
        <f>$Q84*Inputs!$C$19/12</f>
        <v/>
      </c>
      <c r="S84" s="24">
        <f>MIN(MAX(0,($C84+$F84)-$M84),$R84)</f>
        <v/>
      </c>
      <c r="T84" s="24">
        <f>MIN(MAX(0,($D84+$X84)-$N84),MAX(0,$Q84-$U84))</f>
        <v/>
      </c>
      <c r="U84" s="24">
        <f>MIN(MAX(0,$E84-$I84),$Q84)</f>
        <v/>
      </c>
      <c r="V84" s="24">
        <f>MAX(0,$Q84-$U84)-$T84</f>
        <v/>
      </c>
      <c r="W84" s="24">
        <f>MAX(0,MAX(0,($C84+$F84)-$M84)-$S84)-MIN(MAX(0,$D$3-(MAX(0,$F84-MAX(0,($M84+$S84)-$C84)))),MAX(0,MAX(0,($C84+$F84)-$M84)-$S84))</f>
        <v/>
      </c>
      <c r="X84" s="24">
        <f>IF(Inputs!$C$39=1,$W84,0)</f>
        <v/>
      </c>
      <c r="Y84" s="24">
        <f>IF(Inputs!$C$39=0,$W84,0)+MAX(0,MAX(0,($D84+$X84)-$N84)-$T84)</f>
        <v/>
      </c>
    </row>
    <row r="85">
      <c r="B85" s="22" t="n">
        <v>80</v>
      </c>
      <c r="C85" s="29">
        <f>IF($B85&lt;=Inputs!$C$6+Inputs!$C$11,Cashflow_Asset!$E83-Cashflow_Asset!$K83,0)</f>
        <v/>
      </c>
      <c r="D85" s="29">
        <f>IF($B85&lt;=Inputs!$C$6+Inputs!$C$11,Cashflow_Asset!$F83+Cashflow_Asset!$G83+Cashflow_Asset!$I83,0)</f>
        <v/>
      </c>
      <c r="E85" s="29">
        <f>IF($B85&lt;=Inputs!$C$6+Inputs!$C$11,Cashflow_Asset!$J83,0)</f>
        <v/>
      </c>
      <c r="F85" s="23">
        <f>$G84</f>
        <v/>
      </c>
      <c r="G85" s="24">
        <f>(MAX(0,$F85-MAX(0,($M85+$S85)-$C85)))+MIN(MAX(0,$D$3-(MAX(0,$F85-MAX(0,($M85+$S85)-$C85)))),MAX(0,MAX(0,($C85+$F85)-$M85)-$S85))</f>
        <v/>
      </c>
      <c r="H85" s="23">
        <f>$J84</f>
        <v/>
      </c>
      <c r="I85" s="24">
        <f>MIN($E85,$H85)</f>
        <v/>
      </c>
      <c r="J85" s="24">
        <f>$H85-$I85</f>
        <v/>
      </c>
      <c r="K85" s="23">
        <f>$P84</f>
        <v/>
      </c>
      <c r="L85" s="24">
        <f>$K85*Inputs!$C$18/12</f>
        <v/>
      </c>
      <c r="M85" s="24">
        <f>MIN(($C85+$F85),$L85)</f>
        <v/>
      </c>
      <c r="N85" s="24">
        <f>MIN(($D85+$X85),MAX(0,$K85-$O85))</f>
        <v/>
      </c>
      <c r="O85" s="24">
        <f>MIN(MAX(0,MAX(0,$E85-$I85)-$U85),$K85)</f>
        <v/>
      </c>
      <c r="P85" s="24">
        <f>MAX(0,$K85-$O85)-$N85</f>
        <v/>
      </c>
      <c r="Q85" s="23">
        <f>$V84</f>
        <v/>
      </c>
      <c r="R85" s="24">
        <f>$Q85*Inputs!$C$19/12</f>
        <v/>
      </c>
      <c r="S85" s="24">
        <f>MIN(MAX(0,($C85+$F85)-$M85),$R85)</f>
        <v/>
      </c>
      <c r="T85" s="24">
        <f>MIN(MAX(0,($D85+$X85)-$N85),MAX(0,$Q85-$U85))</f>
        <v/>
      </c>
      <c r="U85" s="24">
        <f>MIN(MAX(0,$E85-$I85),$Q85)</f>
        <v/>
      </c>
      <c r="V85" s="24">
        <f>MAX(0,$Q85-$U85)-$T85</f>
        <v/>
      </c>
      <c r="W85" s="24">
        <f>MAX(0,MAX(0,($C85+$F85)-$M85)-$S85)-MIN(MAX(0,$D$3-(MAX(0,$F85-MAX(0,($M85+$S85)-$C85)))),MAX(0,MAX(0,($C85+$F85)-$M85)-$S85))</f>
        <v/>
      </c>
      <c r="X85" s="24">
        <f>IF(Inputs!$C$39=1,$W85,0)</f>
        <v/>
      </c>
      <c r="Y85" s="24">
        <f>IF(Inputs!$C$39=0,$W85,0)+MAX(0,MAX(0,($D85+$X85)-$N85)-$T85)</f>
        <v/>
      </c>
    </row>
    <row r="86">
      <c r="B86" s="22" t="n">
        <v>81</v>
      </c>
      <c r="C86" s="29">
        <f>IF($B86&lt;=Inputs!$C$6+Inputs!$C$11,Cashflow_Asset!$E84-Cashflow_Asset!$K84,0)</f>
        <v/>
      </c>
      <c r="D86" s="29">
        <f>IF($B86&lt;=Inputs!$C$6+Inputs!$C$11,Cashflow_Asset!$F84+Cashflow_Asset!$G84+Cashflow_Asset!$I84,0)</f>
        <v/>
      </c>
      <c r="E86" s="29">
        <f>IF($B86&lt;=Inputs!$C$6+Inputs!$C$11,Cashflow_Asset!$J84,0)</f>
        <v/>
      </c>
      <c r="F86" s="23">
        <f>$G85</f>
        <v/>
      </c>
      <c r="G86" s="24">
        <f>(MAX(0,$F86-MAX(0,($M86+$S86)-$C86)))+MIN(MAX(0,$D$3-(MAX(0,$F86-MAX(0,($M86+$S86)-$C86)))),MAX(0,MAX(0,($C86+$F86)-$M86)-$S86))</f>
        <v/>
      </c>
      <c r="H86" s="23">
        <f>$J85</f>
        <v/>
      </c>
      <c r="I86" s="24">
        <f>MIN($E86,$H86)</f>
        <v/>
      </c>
      <c r="J86" s="24">
        <f>$H86-$I86</f>
        <v/>
      </c>
      <c r="K86" s="23">
        <f>$P85</f>
        <v/>
      </c>
      <c r="L86" s="24">
        <f>$K86*Inputs!$C$18/12</f>
        <v/>
      </c>
      <c r="M86" s="24">
        <f>MIN(($C86+$F86),$L86)</f>
        <v/>
      </c>
      <c r="N86" s="24">
        <f>MIN(($D86+$X86),MAX(0,$K86-$O86))</f>
        <v/>
      </c>
      <c r="O86" s="24">
        <f>MIN(MAX(0,MAX(0,$E86-$I86)-$U86),$K86)</f>
        <v/>
      </c>
      <c r="P86" s="24">
        <f>MAX(0,$K86-$O86)-$N86</f>
        <v/>
      </c>
      <c r="Q86" s="23">
        <f>$V85</f>
        <v/>
      </c>
      <c r="R86" s="24">
        <f>$Q86*Inputs!$C$19/12</f>
        <v/>
      </c>
      <c r="S86" s="24">
        <f>MIN(MAX(0,($C86+$F86)-$M86),$R86)</f>
        <v/>
      </c>
      <c r="T86" s="24">
        <f>MIN(MAX(0,($D86+$X86)-$N86),MAX(0,$Q86-$U86))</f>
        <v/>
      </c>
      <c r="U86" s="24">
        <f>MIN(MAX(0,$E86-$I86),$Q86)</f>
        <v/>
      </c>
      <c r="V86" s="24">
        <f>MAX(0,$Q86-$U86)-$T86</f>
        <v/>
      </c>
      <c r="W86" s="24">
        <f>MAX(0,MAX(0,($C86+$F86)-$M86)-$S86)-MIN(MAX(0,$D$3-(MAX(0,$F86-MAX(0,($M86+$S86)-$C86)))),MAX(0,MAX(0,($C86+$F86)-$M86)-$S86))</f>
        <v/>
      </c>
      <c r="X86" s="24">
        <f>IF(Inputs!$C$39=1,$W86,0)</f>
        <v/>
      </c>
      <c r="Y86" s="24">
        <f>IF(Inputs!$C$39=0,$W86,0)+MAX(0,MAX(0,($D86+$X86)-$N86)-$T86)</f>
        <v/>
      </c>
    </row>
    <row r="87">
      <c r="B87" s="22" t="n">
        <v>82</v>
      </c>
      <c r="C87" s="29">
        <f>IF($B87&lt;=Inputs!$C$6+Inputs!$C$11,Cashflow_Asset!$E85-Cashflow_Asset!$K85,0)</f>
        <v/>
      </c>
      <c r="D87" s="29">
        <f>IF($B87&lt;=Inputs!$C$6+Inputs!$C$11,Cashflow_Asset!$F85+Cashflow_Asset!$G85+Cashflow_Asset!$I85,0)</f>
        <v/>
      </c>
      <c r="E87" s="29">
        <f>IF($B87&lt;=Inputs!$C$6+Inputs!$C$11,Cashflow_Asset!$J85,0)</f>
        <v/>
      </c>
      <c r="F87" s="23">
        <f>$G86</f>
        <v/>
      </c>
      <c r="G87" s="24">
        <f>(MAX(0,$F87-MAX(0,($M87+$S87)-$C87)))+MIN(MAX(0,$D$3-(MAX(0,$F87-MAX(0,($M87+$S87)-$C87)))),MAX(0,MAX(0,($C87+$F87)-$M87)-$S87))</f>
        <v/>
      </c>
      <c r="H87" s="23">
        <f>$J86</f>
        <v/>
      </c>
      <c r="I87" s="24">
        <f>MIN($E87,$H87)</f>
        <v/>
      </c>
      <c r="J87" s="24">
        <f>$H87-$I87</f>
        <v/>
      </c>
      <c r="K87" s="23">
        <f>$P86</f>
        <v/>
      </c>
      <c r="L87" s="24">
        <f>$K87*Inputs!$C$18/12</f>
        <v/>
      </c>
      <c r="M87" s="24">
        <f>MIN(($C87+$F87),$L87)</f>
        <v/>
      </c>
      <c r="N87" s="24">
        <f>MIN(($D87+$X87),MAX(0,$K87-$O87))</f>
        <v/>
      </c>
      <c r="O87" s="24">
        <f>MIN(MAX(0,MAX(0,$E87-$I87)-$U87),$K87)</f>
        <v/>
      </c>
      <c r="P87" s="24">
        <f>MAX(0,$K87-$O87)-$N87</f>
        <v/>
      </c>
      <c r="Q87" s="23">
        <f>$V86</f>
        <v/>
      </c>
      <c r="R87" s="24">
        <f>$Q87*Inputs!$C$19/12</f>
        <v/>
      </c>
      <c r="S87" s="24">
        <f>MIN(MAX(0,($C87+$F87)-$M87),$R87)</f>
        <v/>
      </c>
      <c r="T87" s="24">
        <f>MIN(MAX(0,($D87+$X87)-$N87),MAX(0,$Q87-$U87))</f>
        <v/>
      </c>
      <c r="U87" s="24">
        <f>MIN(MAX(0,$E87-$I87),$Q87)</f>
        <v/>
      </c>
      <c r="V87" s="24">
        <f>MAX(0,$Q87-$U87)-$T87</f>
        <v/>
      </c>
      <c r="W87" s="24">
        <f>MAX(0,MAX(0,($C87+$F87)-$M87)-$S87)-MIN(MAX(0,$D$3-(MAX(0,$F87-MAX(0,($M87+$S87)-$C87)))),MAX(0,MAX(0,($C87+$F87)-$M87)-$S87))</f>
        <v/>
      </c>
      <c r="X87" s="24">
        <f>IF(Inputs!$C$39=1,$W87,0)</f>
        <v/>
      </c>
      <c r="Y87" s="24">
        <f>IF(Inputs!$C$39=0,$W87,0)+MAX(0,MAX(0,($D87+$X87)-$N87)-$T87)</f>
        <v/>
      </c>
    </row>
    <row r="88">
      <c r="B88" s="22" t="n">
        <v>83</v>
      </c>
      <c r="C88" s="29">
        <f>IF($B88&lt;=Inputs!$C$6+Inputs!$C$11,Cashflow_Asset!$E86-Cashflow_Asset!$K86,0)</f>
        <v/>
      </c>
      <c r="D88" s="29">
        <f>IF($B88&lt;=Inputs!$C$6+Inputs!$C$11,Cashflow_Asset!$F86+Cashflow_Asset!$G86+Cashflow_Asset!$I86,0)</f>
        <v/>
      </c>
      <c r="E88" s="29">
        <f>IF($B88&lt;=Inputs!$C$6+Inputs!$C$11,Cashflow_Asset!$J86,0)</f>
        <v/>
      </c>
      <c r="F88" s="23">
        <f>$G87</f>
        <v/>
      </c>
      <c r="G88" s="24">
        <f>(MAX(0,$F88-MAX(0,($M88+$S88)-$C88)))+MIN(MAX(0,$D$3-(MAX(0,$F88-MAX(0,($M88+$S88)-$C88)))),MAX(0,MAX(0,($C88+$F88)-$M88)-$S88))</f>
        <v/>
      </c>
      <c r="H88" s="23">
        <f>$J87</f>
        <v/>
      </c>
      <c r="I88" s="24">
        <f>MIN($E88,$H88)</f>
        <v/>
      </c>
      <c r="J88" s="24">
        <f>$H88-$I88</f>
        <v/>
      </c>
      <c r="K88" s="23">
        <f>$P87</f>
        <v/>
      </c>
      <c r="L88" s="24">
        <f>$K88*Inputs!$C$18/12</f>
        <v/>
      </c>
      <c r="M88" s="24">
        <f>MIN(($C88+$F88),$L88)</f>
        <v/>
      </c>
      <c r="N88" s="24">
        <f>MIN(($D88+$X88),MAX(0,$K88-$O88))</f>
        <v/>
      </c>
      <c r="O88" s="24">
        <f>MIN(MAX(0,MAX(0,$E88-$I88)-$U88),$K88)</f>
        <v/>
      </c>
      <c r="P88" s="24">
        <f>MAX(0,$K88-$O88)-$N88</f>
        <v/>
      </c>
      <c r="Q88" s="23">
        <f>$V87</f>
        <v/>
      </c>
      <c r="R88" s="24">
        <f>$Q88*Inputs!$C$19/12</f>
        <v/>
      </c>
      <c r="S88" s="24">
        <f>MIN(MAX(0,($C88+$F88)-$M88),$R88)</f>
        <v/>
      </c>
      <c r="T88" s="24">
        <f>MIN(MAX(0,($D88+$X88)-$N88),MAX(0,$Q88-$U88))</f>
        <v/>
      </c>
      <c r="U88" s="24">
        <f>MIN(MAX(0,$E88-$I88),$Q88)</f>
        <v/>
      </c>
      <c r="V88" s="24">
        <f>MAX(0,$Q88-$U88)-$T88</f>
        <v/>
      </c>
      <c r="W88" s="24">
        <f>MAX(0,MAX(0,($C88+$F88)-$M88)-$S88)-MIN(MAX(0,$D$3-(MAX(0,$F88-MAX(0,($M88+$S88)-$C88)))),MAX(0,MAX(0,($C88+$F88)-$M88)-$S88))</f>
        <v/>
      </c>
      <c r="X88" s="24">
        <f>IF(Inputs!$C$39=1,$W88,0)</f>
        <v/>
      </c>
      <c r="Y88" s="24">
        <f>IF(Inputs!$C$39=0,$W88,0)+MAX(0,MAX(0,($D88+$X88)-$N88)-$T88)</f>
        <v/>
      </c>
    </row>
    <row r="89">
      <c r="B89" s="22" t="n">
        <v>84</v>
      </c>
      <c r="C89" s="29">
        <f>IF($B89&lt;=Inputs!$C$6+Inputs!$C$11,Cashflow_Asset!$E87-Cashflow_Asset!$K87,0)</f>
        <v/>
      </c>
      <c r="D89" s="29">
        <f>IF($B89&lt;=Inputs!$C$6+Inputs!$C$11,Cashflow_Asset!$F87+Cashflow_Asset!$G87+Cashflow_Asset!$I87,0)</f>
        <v/>
      </c>
      <c r="E89" s="29">
        <f>IF($B89&lt;=Inputs!$C$6+Inputs!$C$11,Cashflow_Asset!$J87,0)</f>
        <v/>
      </c>
      <c r="F89" s="23">
        <f>$G88</f>
        <v/>
      </c>
      <c r="G89" s="24">
        <f>(MAX(0,$F89-MAX(0,($M89+$S89)-$C89)))+MIN(MAX(0,$D$3-(MAX(0,$F89-MAX(0,($M89+$S89)-$C89)))),MAX(0,MAX(0,($C89+$F89)-$M89)-$S89))</f>
        <v/>
      </c>
      <c r="H89" s="23">
        <f>$J88</f>
        <v/>
      </c>
      <c r="I89" s="24">
        <f>MIN($E89,$H89)</f>
        <v/>
      </c>
      <c r="J89" s="24">
        <f>$H89-$I89</f>
        <v/>
      </c>
      <c r="K89" s="23">
        <f>$P88</f>
        <v/>
      </c>
      <c r="L89" s="24">
        <f>$K89*Inputs!$C$18/12</f>
        <v/>
      </c>
      <c r="M89" s="24">
        <f>MIN(($C89+$F89),$L89)</f>
        <v/>
      </c>
      <c r="N89" s="24">
        <f>MIN(($D89+$X89),MAX(0,$K89-$O89))</f>
        <v/>
      </c>
      <c r="O89" s="24">
        <f>MIN(MAX(0,MAX(0,$E89-$I89)-$U89),$K89)</f>
        <v/>
      </c>
      <c r="P89" s="24">
        <f>MAX(0,$K89-$O89)-$N89</f>
        <v/>
      </c>
      <c r="Q89" s="23">
        <f>$V88</f>
        <v/>
      </c>
      <c r="R89" s="24">
        <f>$Q89*Inputs!$C$19/12</f>
        <v/>
      </c>
      <c r="S89" s="24">
        <f>MIN(MAX(0,($C89+$F89)-$M89),$R89)</f>
        <v/>
      </c>
      <c r="T89" s="24">
        <f>MIN(MAX(0,($D89+$X89)-$N89),MAX(0,$Q89-$U89))</f>
        <v/>
      </c>
      <c r="U89" s="24">
        <f>MIN(MAX(0,$E89-$I89),$Q89)</f>
        <v/>
      </c>
      <c r="V89" s="24">
        <f>MAX(0,$Q89-$U89)-$T89</f>
        <v/>
      </c>
      <c r="W89" s="24">
        <f>MAX(0,MAX(0,($C89+$F89)-$M89)-$S89)-MIN(MAX(0,$D$3-(MAX(0,$F89-MAX(0,($M89+$S89)-$C89)))),MAX(0,MAX(0,($C89+$F89)-$M89)-$S89))</f>
        <v/>
      </c>
      <c r="X89" s="24">
        <f>IF(Inputs!$C$39=1,$W89,0)</f>
        <v/>
      </c>
      <c r="Y89" s="24">
        <f>IF(Inputs!$C$39=0,$W89,0)+MAX(0,MAX(0,($D89+$X89)-$N89)-$T89)</f>
        <v/>
      </c>
    </row>
    <row r="90">
      <c r="B90" s="22" t="n">
        <v>85</v>
      </c>
      <c r="C90" s="29">
        <f>IF($B90&lt;=Inputs!$C$6+Inputs!$C$11,Cashflow_Asset!$E88-Cashflow_Asset!$K88,0)</f>
        <v/>
      </c>
      <c r="D90" s="29">
        <f>IF($B90&lt;=Inputs!$C$6+Inputs!$C$11,Cashflow_Asset!$F88+Cashflow_Asset!$G88+Cashflow_Asset!$I88,0)</f>
        <v/>
      </c>
      <c r="E90" s="29">
        <f>IF($B90&lt;=Inputs!$C$6+Inputs!$C$11,Cashflow_Asset!$J88,0)</f>
        <v/>
      </c>
      <c r="F90" s="23">
        <f>$G89</f>
        <v/>
      </c>
      <c r="G90" s="24">
        <f>(MAX(0,$F90-MAX(0,($M90+$S90)-$C90)))+MIN(MAX(0,$D$3-(MAX(0,$F90-MAX(0,($M90+$S90)-$C90)))),MAX(0,MAX(0,($C90+$F90)-$M90)-$S90))</f>
        <v/>
      </c>
      <c r="H90" s="23">
        <f>$J89</f>
        <v/>
      </c>
      <c r="I90" s="24">
        <f>MIN($E90,$H90)</f>
        <v/>
      </c>
      <c r="J90" s="24">
        <f>$H90-$I90</f>
        <v/>
      </c>
      <c r="K90" s="23">
        <f>$P89</f>
        <v/>
      </c>
      <c r="L90" s="24">
        <f>$K90*Inputs!$C$18/12</f>
        <v/>
      </c>
      <c r="M90" s="24">
        <f>MIN(($C90+$F90),$L90)</f>
        <v/>
      </c>
      <c r="N90" s="24">
        <f>MIN(($D90+$X90),MAX(0,$K90-$O90))</f>
        <v/>
      </c>
      <c r="O90" s="24">
        <f>MIN(MAX(0,MAX(0,$E90-$I90)-$U90),$K90)</f>
        <v/>
      </c>
      <c r="P90" s="24">
        <f>MAX(0,$K90-$O90)-$N90</f>
        <v/>
      </c>
      <c r="Q90" s="23">
        <f>$V89</f>
        <v/>
      </c>
      <c r="R90" s="24">
        <f>$Q90*Inputs!$C$19/12</f>
        <v/>
      </c>
      <c r="S90" s="24">
        <f>MIN(MAX(0,($C90+$F90)-$M90),$R90)</f>
        <v/>
      </c>
      <c r="T90" s="24">
        <f>MIN(MAX(0,($D90+$X90)-$N90),MAX(0,$Q90-$U90))</f>
        <v/>
      </c>
      <c r="U90" s="24">
        <f>MIN(MAX(0,$E90-$I90),$Q90)</f>
        <v/>
      </c>
      <c r="V90" s="24">
        <f>MAX(0,$Q90-$U90)-$T90</f>
        <v/>
      </c>
      <c r="W90" s="24">
        <f>MAX(0,MAX(0,($C90+$F90)-$M90)-$S90)-MIN(MAX(0,$D$3-(MAX(0,$F90-MAX(0,($M90+$S90)-$C90)))),MAX(0,MAX(0,($C90+$F90)-$M90)-$S90))</f>
        <v/>
      </c>
      <c r="X90" s="24">
        <f>IF(Inputs!$C$39=1,$W90,0)</f>
        <v/>
      </c>
      <c r="Y90" s="24">
        <f>IF(Inputs!$C$39=0,$W90,0)+MAX(0,MAX(0,($D90+$X90)-$N90)-$T90)</f>
        <v/>
      </c>
    </row>
    <row r="91">
      <c r="B91" s="22" t="n">
        <v>86</v>
      </c>
      <c r="C91" s="29">
        <f>IF($B91&lt;=Inputs!$C$6+Inputs!$C$11,Cashflow_Asset!$E89-Cashflow_Asset!$K89,0)</f>
        <v/>
      </c>
      <c r="D91" s="29">
        <f>IF($B91&lt;=Inputs!$C$6+Inputs!$C$11,Cashflow_Asset!$F89+Cashflow_Asset!$G89+Cashflow_Asset!$I89,0)</f>
        <v/>
      </c>
      <c r="E91" s="29">
        <f>IF($B91&lt;=Inputs!$C$6+Inputs!$C$11,Cashflow_Asset!$J89,0)</f>
        <v/>
      </c>
      <c r="F91" s="23">
        <f>$G90</f>
        <v/>
      </c>
      <c r="G91" s="24">
        <f>(MAX(0,$F91-MAX(0,($M91+$S91)-$C91)))+MIN(MAX(0,$D$3-(MAX(0,$F91-MAX(0,($M91+$S91)-$C91)))),MAX(0,MAX(0,($C91+$F91)-$M91)-$S91))</f>
        <v/>
      </c>
      <c r="H91" s="23">
        <f>$J90</f>
        <v/>
      </c>
      <c r="I91" s="24">
        <f>MIN($E91,$H91)</f>
        <v/>
      </c>
      <c r="J91" s="24">
        <f>$H91-$I91</f>
        <v/>
      </c>
      <c r="K91" s="23">
        <f>$P90</f>
        <v/>
      </c>
      <c r="L91" s="24">
        <f>$K91*Inputs!$C$18/12</f>
        <v/>
      </c>
      <c r="M91" s="24">
        <f>MIN(($C91+$F91),$L91)</f>
        <v/>
      </c>
      <c r="N91" s="24">
        <f>MIN(($D91+$X91),MAX(0,$K91-$O91))</f>
        <v/>
      </c>
      <c r="O91" s="24">
        <f>MIN(MAX(0,MAX(0,$E91-$I91)-$U91),$K91)</f>
        <v/>
      </c>
      <c r="P91" s="24">
        <f>MAX(0,$K91-$O91)-$N91</f>
        <v/>
      </c>
      <c r="Q91" s="23">
        <f>$V90</f>
        <v/>
      </c>
      <c r="R91" s="24">
        <f>$Q91*Inputs!$C$19/12</f>
        <v/>
      </c>
      <c r="S91" s="24">
        <f>MIN(MAX(0,($C91+$F91)-$M91),$R91)</f>
        <v/>
      </c>
      <c r="T91" s="24">
        <f>MIN(MAX(0,($D91+$X91)-$N91),MAX(0,$Q91-$U91))</f>
        <v/>
      </c>
      <c r="U91" s="24">
        <f>MIN(MAX(0,$E91-$I91),$Q91)</f>
        <v/>
      </c>
      <c r="V91" s="24">
        <f>MAX(0,$Q91-$U91)-$T91</f>
        <v/>
      </c>
      <c r="W91" s="24">
        <f>MAX(0,MAX(0,($C91+$F91)-$M91)-$S91)-MIN(MAX(0,$D$3-(MAX(0,$F91-MAX(0,($M91+$S91)-$C91)))),MAX(0,MAX(0,($C91+$F91)-$M91)-$S91))</f>
        <v/>
      </c>
      <c r="X91" s="24">
        <f>IF(Inputs!$C$39=1,$W91,0)</f>
        <v/>
      </c>
      <c r="Y91" s="24">
        <f>IF(Inputs!$C$39=0,$W91,0)+MAX(0,MAX(0,($D91+$X91)-$N91)-$T91)</f>
        <v/>
      </c>
    </row>
    <row r="92">
      <c r="B92" s="22" t="n">
        <v>87</v>
      </c>
      <c r="C92" s="29">
        <f>IF($B92&lt;=Inputs!$C$6+Inputs!$C$11,Cashflow_Asset!$E90-Cashflow_Asset!$K90,0)</f>
        <v/>
      </c>
      <c r="D92" s="29">
        <f>IF($B92&lt;=Inputs!$C$6+Inputs!$C$11,Cashflow_Asset!$F90+Cashflow_Asset!$G90+Cashflow_Asset!$I90,0)</f>
        <v/>
      </c>
      <c r="E92" s="29">
        <f>IF($B92&lt;=Inputs!$C$6+Inputs!$C$11,Cashflow_Asset!$J90,0)</f>
        <v/>
      </c>
      <c r="F92" s="23">
        <f>$G91</f>
        <v/>
      </c>
      <c r="G92" s="24">
        <f>(MAX(0,$F92-MAX(0,($M92+$S92)-$C92)))+MIN(MAX(0,$D$3-(MAX(0,$F92-MAX(0,($M92+$S92)-$C92)))),MAX(0,MAX(0,($C92+$F92)-$M92)-$S92))</f>
        <v/>
      </c>
      <c r="H92" s="23">
        <f>$J91</f>
        <v/>
      </c>
      <c r="I92" s="24">
        <f>MIN($E92,$H92)</f>
        <v/>
      </c>
      <c r="J92" s="24">
        <f>$H92-$I92</f>
        <v/>
      </c>
      <c r="K92" s="23">
        <f>$P91</f>
        <v/>
      </c>
      <c r="L92" s="24">
        <f>$K92*Inputs!$C$18/12</f>
        <v/>
      </c>
      <c r="M92" s="24">
        <f>MIN(($C92+$F92),$L92)</f>
        <v/>
      </c>
      <c r="N92" s="24">
        <f>MIN(($D92+$X92),MAX(0,$K92-$O92))</f>
        <v/>
      </c>
      <c r="O92" s="24">
        <f>MIN(MAX(0,MAX(0,$E92-$I92)-$U92),$K92)</f>
        <v/>
      </c>
      <c r="P92" s="24">
        <f>MAX(0,$K92-$O92)-$N92</f>
        <v/>
      </c>
      <c r="Q92" s="23">
        <f>$V91</f>
        <v/>
      </c>
      <c r="R92" s="24">
        <f>$Q92*Inputs!$C$19/12</f>
        <v/>
      </c>
      <c r="S92" s="24">
        <f>MIN(MAX(0,($C92+$F92)-$M92),$R92)</f>
        <v/>
      </c>
      <c r="T92" s="24">
        <f>MIN(MAX(0,($D92+$X92)-$N92),MAX(0,$Q92-$U92))</f>
        <v/>
      </c>
      <c r="U92" s="24">
        <f>MIN(MAX(0,$E92-$I92),$Q92)</f>
        <v/>
      </c>
      <c r="V92" s="24">
        <f>MAX(0,$Q92-$U92)-$T92</f>
        <v/>
      </c>
      <c r="W92" s="24">
        <f>MAX(0,MAX(0,($C92+$F92)-$M92)-$S92)-MIN(MAX(0,$D$3-(MAX(0,$F92-MAX(0,($M92+$S92)-$C92)))),MAX(0,MAX(0,($C92+$F92)-$M92)-$S92))</f>
        <v/>
      </c>
      <c r="X92" s="24">
        <f>IF(Inputs!$C$39=1,$W92,0)</f>
        <v/>
      </c>
      <c r="Y92" s="24">
        <f>IF(Inputs!$C$39=0,$W92,0)+MAX(0,MAX(0,($D92+$X92)-$N92)-$T92)</f>
        <v/>
      </c>
    </row>
    <row r="93">
      <c r="B93" s="22" t="n">
        <v>88</v>
      </c>
      <c r="C93" s="29">
        <f>IF($B93&lt;=Inputs!$C$6+Inputs!$C$11,Cashflow_Asset!$E91-Cashflow_Asset!$K91,0)</f>
        <v/>
      </c>
      <c r="D93" s="29">
        <f>IF($B93&lt;=Inputs!$C$6+Inputs!$C$11,Cashflow_Asset!$F91+Cashflow_Asset!$G91+Cashflow_Asset!$I91,0)</f>
        <v/>
      </c>
      <c r="E93" s="29">
        <f>IF($B93&lt;=Inputs!$C$6+Inputs!$C$11,Cashflow_Asset!$J91,0)</f>
        <v/>
      </c>
      <c r="F93" s="23">
        <f>$G92</f>
        <v/>
      </c>
      <c r="G93" s="24">
        <f>(MAX(0,$F93-MAX(0,($M93+$S93)-$C93)))+MIN(MAX(0,$D$3-(MAX(0,$F93-MAX(0,($M93+$S93)-$C93)))),MAX(0,MAX(0,($C93+$F93)-$M93)-$S93))</f>
        <v/>
      </c>
      <c r="H93" s="23">
        <f>$J92</f>
        <v/>
      </c>
      <c r="I93" s="24">
        <f>MIN($E93,$H93)</f>
        <v/>
      </c>
      <c r="J93" s="24">
        <f>$H93-$I93</f>
        <v/>
      </c>
      <c r="K93" s="23">
        <f>$P92</f>
        <v/>
      </c>
      <c r="L93" s="24">
        <f>$K93*Inputs!$C$18/12</f>
        <v/>
      </c>
      <c r="M93" s="24">
        <f>MIN(($C93+$F93),$L93)</f>
        <v/>
      </c>
      <c r="N93" s="24">
        <f>MIN(($D93+$X93),MAX(0,$K93-$O93))</f>
        <v/>
      </c>
      <c r="O93" s="24">
        <f>MIN(MAX(0,MAX(0,$E93-$I93)-$U93),$K93)</f>
        <v/>
      </c>
      <c r="P93" s="24">
        <f>MAX(0,$K93-$O93)-$N93</f>
        <v/>
      </c>
      <c r="Q93" s="23">
        <f>$V92</f>
        <v/>
      </c>
      <c r="R93" s="24">
        <f>$Q93*Inputs!$C$19/12</f>
        <v/>
      </c>
      <c r="S93" s="24">
        <f>MIN(MAX(0,($C93+$F93)-$M93),$R93)</f>
        <v/>
      </c>
      <c r="T93" s="24">
        <f>MIN(MAX(0,($D93+$X93)-$N93),MAX(0,$Q93-$U93))</f>
        <v/>
      </c>
      <c r="U93" s="24">
        <f>MIN(MAX(0,$E93-$I93),$Q93)</f>
        <v/>
      </c>
      <c r="V93" s="24">
        <f>MAX(0,$Q93-$U93)-$T93</f>
        <v/>
      </c>
      <c r="W93" s="24">
        <f>MAX(0,MAX(0,($C93+$F93)-$M93)-$S93)-MIN(MAX(0,$D$3-(MAX(0,$F93-MAX(0,($M93+$S93)-$C93)))),MAX(0,MAX(0,($C93+$F93)-$M93)-$S93))</f>
        <v/>
      </c>
      <c r="X93" s="24">
        <f>IF(Inputs!$C$39=1,$W93,0)</f>
        <v/>
      </c>
      <c r="Y93" s="24">
        <f>IF(Inputs!$C$39=0,$W93,0)+MAX(0,MAX(0,($D93+$X93)-$N93)-$T93)</f>
        <v/>
      </c>
    </row>
    <row r="94">
      <c r="B94" s="22" t="n">
        <v>89</v>
      </c>
      <c r="C94" s="29">
        <f>IF($B94&lt;=Inputs!$C$6+Inputs!$C$11,Cashflow_Asset!$E92-Cashflow_Asset!$K92,0)</f>
        <v/>
      </c>
      <c r="D94" s="29">
        <f>IF($B94&lt;=Inputs!$C$6+Inputs!$C$11,Cashflow_Asset!$F92+Cashflow_Asset!$G92+Cashflow_Asset!$I92,0)</f>
        <v/>
      </c>
      <c r="E94" s="29">
        <f>IF($B94&lt;=Inputs!$C$6+Inputs!$C$11,Cashflow_Asset!$J92,0)</f>
        <v/>
      </c>
      <c r="F94" s="23">
        <f>$G93</f>
        <v/>
      </c>
      <c r="G94" s="24">
        <f>(MAX(0,$F94-MAX(0,($M94+$S94)-$C94)))+MIN(MAX(0,$D$3-(MAX(0,$F94-MAX(0,($M94+$S94)-$C94)))),MAX(0,MAX(0,($C94+$F94)-$M94)-$S94))</f>
        <v/>
      </c>
      <c r="H94" s="23">
        <f>$J93</f>
        <v/>
      </c>
      <c r="I94" s="24">
        <f>MIN($E94,$H94)</f>
        <v/>
      </c>
      <c r="J94" s="24">
        <f>$H94-$I94</f>
        <v/>
      </c>
      <c r="K94" s="23">
        <f>$P93</f>
        <v/>
      </c>
      <c r="L94" s="24">
        <f>$K94*Inputs!$C$18/12</f>
        <v/>
      </c>
      <c r="M94" s="24">
        <f>MIN(($C94+$F94),$L94)</f>
        <v/>
      </c>
      <c r="N94" s="24">
        <f>MIN(($D94+$X94),MAX(0,$K94-$O94))</f>
        <v/>
      </c>
      <c r="O94" s="24">
        <f>MIN(MAX(0,MAX(0,$E94-$I94)-$U94),$K94)</f>
        <v/>
      </c>
      <c r="P94" s="24">
        <f>MAX(0,$K94-$O94)-$N94</f>
        <v/>
      </c>
      <c r="Q94" s="23">
        <f>$V93</f>
        <v/>
      </c>
      <c r="R94" s="24">
        <f>$Q94*Inputs!$C$19/12</f>
        <v/>
      </c>
      <c r="S94" s="24">
        <f>MIN(MAX(0,($C94+$F94)-$M94),$R94)</f>
        <v/>
      </c>
      <c r="T94" s="24">
        <f>MIN(MAX(0,($D94+$X94)-$N94),MAX(0,$Q94-$U94))</f>
        <v/>
      </c>
      <c r="U94" s="24">
        <f>MIN(MAX(0,$E94-$I94),$Q94)</f>
        <v/>
      </c>
      <c r="V94" s="24">
        <f>MAX(0,$Q94-$U94)-$T94</f>
        <v/>
      </c>
      <c r="W94" s="24">
        <f>MAX(0,MAX(0,($C94+$F94)-$M94)-$S94)-MIN(MAX(0,$D$3-(MAX(0,$F94-MAX(0,($M94+$S94)-$C94)))),MAX(0,MAX(0,($C94+$F94)-$M94)-$S94))</f>
        <v/>
      </c>
      <c r="X94" s="24">
        <f>IF(Inputs!$C$39=1,$W94,0)</f>
        <v/>
      </c>
      <c r="Y94" s="24">
        <f>IF(Inputs!$C$39=0,$W94,0)+MAX(0,MAX(0,($D94+$X94)-$N94)-$T94)</f>
        <v/>
      </c>
    </row>
    <row r="95">
      <c r="B95" s="22" t="n">
        <v>90</v>
      </c>
      <c r="C95" s="29">
        <f>IF($B95&lt;=Inputs!$C$6+Inputs!$C$11,Cashflow_Asset!$E93-Cashflow_Asset!$K93,0)</f>
        <v/>
      </c>
      <c r="D95" s="29">
        <f>IF($B95&lt;=Inputs!$C$6+Inputs!$C$11,Cashflow_Asset!$F93+Cashflow_Asset!$G93+Cashflow_Asset!$I93,0)</f>
        <v/>
      </c>
      <c r="E95" s="29">
        <f>IF($B95&lt;=Inputs!$C$6+Inputs!$C$11,Cashflow_Asset!$J93,0)</f>
        <v/>
      </c>
      <c r="F95" s="23">
        <f>$G94</f>
        <v/>
      </c>
      <c r="G95" s="24">
        <f>(MAX(0,$F95-MAX(0,($M95+$S95)-$C95)))+MIN(MAX(0,$D$3-(MAX(0,$F95-MAX(0,($M95+$S95)-$C95)))),MAX(0,MAX(0,($C95+$F95)-$M95)-$S95))</f>
        <v/>
      </c>
      <c r="H95" s="23">
        <f>$J94</f>
        <v/>
      </c>
      <c r="I95" s="24">
        <f>MIN($E95,$H95)</f>
        <v/>
      </c>
      <c r="J95" s="24">
        <f>$H95-$I95</f>
        <v/>
      </c>
      <c r="K95" s="23">
        <f>$P94</f>
        <v/>
      </c>
      <c r="L95" s="24">
        <f>$K95*Inputs!$C$18/12</f>
        <v/>
      </c>
      <c r="M95" s="24">
        <f>MIN(($C95+$F95),$L95)</f>
        <v/>
      </c>
      <c r="N95" s="24">
        <f>MIN(($D95+$X95),MAX(0,$K95-$O95))</f>
        <v/>
      </c>
      <c r="O95" s="24">
        <f>MIN(MAX(0,MAX(0,$E95-$I95)-$U95),$K95)</f>
        <v/>
      </c>
      <c r="P95" s="24">
        <f>MAX(0,$K95-$O95)-$N95</f>
        <v/>
      </c>
      <c r="Q95" s="23">
        <f>$V94</f>
        <v/>
      </c>
      <c r="R95" s="24">
        <f>$Q95*Inputs!$C$19/12</f>
        <v/>
      </c>
      <c r="S95" s="24">
        <f>MIN(MAX(0,($C95+$F95)-$M95),$R95)</f>
        <v/>
      </c>
      <c r="T95" s="24">
        <f>MIN(MAX(0,($D95+$X95)-$N95),MAX(0,$Q95-$U95))</f>
        <v/>
      </c>
      <c r="U95" s="24">
        <f>MIN(MAX(0,$E95-$I95),$Q95)</f>
        <v/>
      </c>
      <c r="V95" s="24">
        <f>MAX(0,$Q95-$U95)-$T95</f>
        <v/>
      </c>
      <c r="W95" s="24">
        <f>MAX(0,MAX(0,($C95+$F95)-$M95)-$S95)-MIN(MAX(0,$D$3-(MAX(0,$F95-MAX(0,($M95+$S95)-$C95)))),MAX(0,MAX(0,($C95+$F95)-$M95)-$S95))</f>
        <v/>
      </c>
      <c r="X95" s="24">
        <f>IF(Inputs!$C$39=1,$W95,0)</f>
        <v/>
      </c>
      <c r="Y95" s="24">
        <f>IF(Inputs!$C$39=0,$W95,0)+MAX(0,MAX(0,($D95+$X95)-$N95)-$T95)</f>
        <v/>
      </c>
    </row>
    <row r="96">
      <c r="B96" s="22" t="n">
        <v>91</v>
      </c>
      <c r="C96" s="29">
        <f>IF($B96&lt;=Inputs!$C$6+Inputs!$C$11,Cashflow_Asset!$E94-Cashflow_Asset!$K94,0)</f>
        <v/>
      </c>
      <c r="D96" s="29">
        <f>IF($B96&lt;=Inputs!$C$6+Inputs!$C$11,Cashflow_Asset!$F94+Cashflow_Asset!$G94+Cashflow_Asset!$I94,0)</f>
        <v/>
      </c>
      <c r="E96" s="29">
        <f>IF($B96&lt;=Inputs!$C$6+Inputs!$C$11,Cashflow_Asset!$J94,0)</f>
        <v/>
      </c>
      <c r="F96" s="23">
        <f>$G95</f>
        <v/>
      </c>
      <c r="G96" s="24">
        <f>(MAX(0,$F96-MAX(0,($M96+$S96)-$C96)))+MIN(MAX(0,$D$3-(MAX(0,$F96-MAX(0,($M96+$S96)-$C96)))),MAX(0,MAX(0,($C96+$F96)-$M96)-$S96))</f>
        <v/>
      </c>
      <c r="H96" s="23">
        <f>$J95</f>
        <v/>
      </c>
      <c r="I96" s="24">
        <f>MIN($E96,$H96)</f>
        <v/>
      </c>
      <c r="J96" s="24">
        <f>$H96-$I96</f>
        <v/>
      </c>
      <c r="K96" s="23">
        <f>$P95</f>
        <v/>
      </c>
      <c r="L96" s="24">
        <f>$K96*Inputs!$C$18/12</f>
        <v/>
      </c>
      <c r="M96" s="24">
        <f>MIN(($C96+$F96),$L96)</f>
        <v/>
      </c>
      <c r="N96" s="24">
        <f>MIN(($D96+$X96),MAX(0,$K96-$O96))</f>
        <v/>
      </c>
      <c r="O96" s="24">
        <f>MIN(MAX(0,MAX(0,$E96-$I96)-$U96),$K96)</f>
        <v/>
      </c>
      <c r="P96" s="24">
        <f>MAX(0,$K96-$O96)-$N96</f>
        <v/>
      </c>
      <c r="Q96" s="23">
        <f>$V95</f>
        <v/>
      </c>
      <c r="R96" s="24">
        <f>$Q96*Inputs!$C$19/12</f>
        <v/>
      </c>
      <c r="S96" s="24">
        <f>MIN(MAX(0,($C96+$F96)-$M96),$R96)</f>
        <v/>
      </c>
      <c r="T96" s="24">
        <f>MIN(MAX(0,($D96+$X96)-$N96),MAX(0,$Q96-$U96))</f>
        <v/>
      </c>
      <c r="U96" s="24">
        <f>MIN(MAX(0,$E96-$I96),$Q96)</f>
        <v/>
      </c>
      <c r="V96" s="24">
        <f>MAX(0,$Q96-$U96)-$T96</f>
        <v/>
      </c>
      <c r="W96" s="24">
        <f>MAX(0,MAX(0,($C96+$F96)-$M96)-$S96)-MIN(MAX(0,$D$3-(MAX(0,$F96-MAX(0,($M96+$S96)-$C96)))),MAX(0,MAX(0,($C96+$F96)-$M96)-$S96))</f>
        <v/>
      </c>
      <c r="X96" s="24">
        <f>IF(Inputs!$C$39=1,$W96,0)</f>
        <v/>
      </c>
      <c r="Y96" s="24">
        <f>IF(Inputs!$C$39=0,$W96,0)+MAX(0,MAX(0,($D96+$X96)-$N96)-$T96)</f>
        <v/>
      </c>
    </row>
    <row r="97">
      <c r="B97" s="22" t="n">
        <v>92</v>
      </c>
      <c r="C97" s="29">
        <f>IF($B97&lt;=Inputs!$C$6+Inputs!$C$11,Cashflow_Asset!$E95-Cashflow_Asset!$K95,0)</f>
        <v/>
      </c>
      <c r="D97" s="29">
        <f>IF($B97&lt;=Inputs!$C$6+Inputs!$C$11,Cashflow_Asset!$F95+Cashflow_Asset!$G95+Cashflow_Asset!$I95,0)</f>
        <v/>
      </c>
      <c r="E97" s="29">
        <f>IF($B97&lt;=Inputs!$C$6+Inputs!$C$11,Cashflow_Asset!$J95,0)</f>
        <v/>
      </c>
      <c r="F97" s="23">
        <f>$G96</f>
        <v/>
      </c>
      <c r="G97" s="24">
        <f>(MAX(0,$F97-MAX(0,($M97+$S97)-$C97)))+MIN(MAX(0,$D$3-(MAX(0,$F97-MAX(0,($M97+$S97)-$C97)))),MAX(0,MAX(0,($C97+$F97)-$M97)-$S97))</f>
        <v/>
      </c>
      <c r="H97" s="23">
        <f>$J96</f>
        <v/>
      </c>
      <c r="I97" s="24">
        <f>MIN($E97,$H97)</f>
        <v/>
      </c>
      <c r="J97" s="24">
        <f>$H97-$I97</f>
        <v/>
      </c>
      <c r="K97" s="23">
        <f>$P96</f>
        <v/>
      </c>
      <c r="L97" s="24">
        <f>$K97*Inputs!$C$18/12</f>
        <v/>
      </c>
      <c r="M97" s="24">
        <f>MIN(($C97+$F97),$L97)</f>
        <v/>
      </c>
      <c r="N97" s="24">
        <f>MIN(($D97+$X97),MAX(0,$K97-$O97))</f>
        <v/>
      </c>
      <c r="O97" s="24">
        <f>MIN(MAX(0,MAX(0,$E97-$I97)-$U97),$K97)</f>
        <v/>
      </c>
      <c r="P97" s="24">
        <f>MAX(0,$K97-$O97)-$N97</f>
        <v/>
      </c>
      <c r="Q97" s="23">
        <f>$V96</f>
        <v/>
      </c>
      <c r="R97" s="24">
        <f>$Q97*Inputs!$C$19/12</f>
        <v/>
      </c>
      <c r="S97" s="24">
        <f>MIN(MAX(0,($C97+$F97)-$M97),$R97)</f>
        <v/>
      </c>
      <c r="T97" s="24">
        <f>MIN(MAX(0,($D97+$X97)-$N97),MAX(0,$Q97-$U97))</f>
        <v/>
      </c>
      <c r="U97" s="24">
        <f>MIN(MAX(0,$E97-$I97),$Q97)</f>
        <v/>
      </c>
      <c r="V97" s="24">
        <f>MAX(0,$Q97-$U97)-$T97</f>
        <v/>
      </c>
      <c r="W97" s="24">
        <f>MAX(0,MAX(0,($C97+$F97)-$M97)-$S97)-MIN(MAX(0,$D$3-(MAX(0,$F97-MAX(0,($M97+$S97)-$C97)))),MAX(0,MAX(0,($C97+$F97)-$M97)-$S97))</f>
        <v/>
      </c>
      <c r="X97" s="24">
        <f>IF(Inputs!$C$39=1,$W97,0)</f>
        <v/>
      </c>
      <c r="Y97" s="24">
        <f>IF(Inputs!$C$39=0,$W97,0)+MAX(0,MAX(0,($D97+$X97)-$N97)-$T97)</f>
        <v/>
      </c>
    </row>
    <row r="98">
      <c r="B98" s="22" t="n">
        <v>93</v>
      </c>
      <c r="C98" s="29">
        <f>IF($B98&lt;=Inputs!$C$6+Inputs!$C$11,Cashflow_Asset!$E96-Cashflow_Asset!$K96,0)</f>
        <v/>
      </c>
      <c r="D98" s="29">
        <f>IF($B98&lt;=Inputs!$C$6+Inputs!$C$11,Cashflow_Asset!$F96+Cashflow_Asset!$G96+Cashflow_Asset!$I96,0)</f>
        <v/>
      </c>
      <c r="E98" s="29">
        <f>IF($B98&lt;=Inputs!$C$6+Inputs!$C$11,Cashflow_Asset!$J96,0)</f>
        <v/>
      </c>
      <c r="F98" s="23">
        <f>$G97</f>
        <v/>
      </c>
      <c r="G98" s="24">
        <f>(MAX(0,$F98-MAX(0,($M98+$S98)-$C98)))+MIN(MAX(0,$D$3-(MAX(0,$F98-MAX(0,($M98+$S98)-$C98)))),MAX(0,MAX(0,($C98+$F98)-$M98)-$S98))</f>
        <v/>
      </c>
      <c r="H98" s="23">
        <f>$J97</f>
        <v/>
      </c>
      <c r="I98" s="24">
        <f>MIN($E98,$H98)</f>
        <v/>
      </c>
      <c r="J98" s="24">
        <f>$H98-$I98</f>
        <v/>
      </c>
      <c r="K98" s="23">
        <f>$P97</f>
        <v/>
      </c>
      <c r="L98" s="24">
        <f>$K98*Inputs!$C$18/12</f>
        <v/>
      </c>
      <c r="M98" s="24">
        <f>MIN(($C98+$F98),$L98)</f>
        <v/>
      </c>
      <c r="N98" s="24">
        <f>MIN(($D98+$X98),MAX(0,$K98-$O98))</f>
        <v/>
      </c>
      <c r="O98" s="24">
        <f>MIN(MAX(0,MAX(0,$E98-$I98)-$U98),$K98)</f>
        <v/>
      </c>
      <c r="P98" s="24">
        <f>MAX(0,$K98-$O98)-$N98</f>
        <v/>
      </c>
      <c r="Q98" s="23">
        <f>$V97</f>
        <v/>
      </c>
      <c r="R98" s="24">
        <f>$Q98*Inputs!$C$19/12</f>
        <v/>
      </c>
      <c r="S98" s="24">
        <f>MIN(MAX(0,($C98+$F98)-$M98),$R98)</f>
        <v/>
      </c>
      <c r="T98" s="24">
        <f>MIN(MAX(0,($D98+$X98)-$N98),MAX(0,$Q98-$U98))</f>
        <v/>
      </c>
      <c r="U98" s="24">
        <f>MIN(MAX(0,$E98-$I98),$Q98)</f>
        <v/>
      </c>
      <c r="V98" s="24">
        <f>MAX(0,$Q98-$U98)-$T98</f>
        <v/>
      </c>
      <c r="W98" s="24">
        <f>MAX(0,MAX(0,($C98+$F98)-$M98)-$S98)-MIN(MAX(0,$D$3-(MAX(0,$F98-MAX(0,($M98+$S98)-$C98)))),MAX(0,MAX(0,($C98+$F98)-$M98)-$S98))</f>
        <v/>
      </c>
      <c r="X98" s="24">
        <f>IF(Inputs!$C$39=1,$W98,0)</f>
        <v/>
      </c>
      <c r="Y98" s="24">
        <f>IF(Inputs!$C$39=0,$W98,0)+MAX(0,MAX(0,($D98+$X98)-$N98)-$T98)</f>
        <v/>
      </c>
    </row>
    <row r="99">
      <c r="B99" s="22" t="n">
        <v>94</v>
      </c>
      <c r="C99" s="29">
        <f>IF($B99&lt;=Inputs!$C$6+Inputs!$C$11,Cashflow_Asset!$E97-Cashflow_Asset!$K97,0)</f>
        <v/>
      </c>
      <c r="D99" s="29">
        <f>IF($B99&lt;=Inputs!$C$6+Inputs!$C$11,Cashflow_Asset!$F97+Cashflow_Asset!$G97+Cashflow_Asset!$I97,0)</f>
        <v/>
      </c>
      <c r="E99" s="29">
        <f>IF($B99&lt;=Inputs!$C$6+Inputs!$C$11,Cashflow_Asset!$J97,0)</f>
        <v/>
      </c>
      <c r="F99" s="23">
        <f>$G98</f>
        <v/>
      </c>
      <c r="G99" s="24">
        <f>(MAX(0,$F99-MAX(0,($M99+$S99)-$C99)))+MIN(MAX(0,$D$3-(MAX(0,$F99-MAX(0,($M99+$S99)-$C99)))),MAX(0,MAX(0,($C99+$F99)-$M99)-$S99))</f>
        <v/>
      </c>
      <c r="H99" s="23">
        <f>$J98</f>
        <v/>
      </c>
      <c r="I99" s="24">
        <f>MIN($E99,$H99)</f>
        <v/>
      </c>
      <c r="J99" s="24">
        <f>$H99-$I99</f>
        <v/>
      </c>
      <c r="K99" s="23">
        <f>$P98</f>
        <v/>
      </c>
      <c r="L99" s="24">
        <f>$K99*Inputs!$C$18/12</f>
        <v/>
      </c>
      <c r="M99" s="24">
        <f>MIN(($C99+$F99),$L99)</f>
        <v/>
      </c>
      <c r="N99" s="24">
        <f>MIN(($D99+$X99),MAX(0,$K99-$O99))</f>
        <v/>
      </c>
      <c r="O99" s="24">
        <f>MIN(MAX(0,MAX(0,$E99-$I99)-$U99),$K99)</f>
        <v/>
      </c>
      <c r="P99" s="24">
        <f>MAX(0,$K99-$O99)-$N99</f>
        <v/>
      </c>
      <c r="Q99" s="23">
        <f>$V98</f>
        <v/>
      </c>
      <c r="R99" s="24">
        <f>$Q99*Inputs!$C$19/12</f>
        <v/>
      </c>
      <c r="S99" s="24">
        <f>MIN(MAX(0,($C99+$F99)-$M99),$R99)</f>
        <v/>
      </c>
      <c r="T99" s="24">
        <f>MIN(MAX(0,($D99+$X99)-$N99),MAX(0,$Q99-$U99))</f>
        <v/>
      </c>
      <c r="U99" s="24">
        <f>MIN(MAX(0,$E99-$I99),$Q99)</f>
        <v/>
      </c>
      <c r="V99" s="24">
        <f>MAX(0,$Q99-$U99)-$T99</f>
        <v/>
      </c>
      <c r="W99" s="24">
        <f>MAX(0,MAX(0,($C99+$F99)-$M99)-$S99)-MIN(MAX(0,$D$3-(MAX(0,$F99-MAX(0,($M99+$S99)-$C99)))),MAX(0,MAX(0,($C99+$F99)-$M99)-$S99))</f>
        <v/>
      </c>
      <c r="X99" s="24">
        <f>IF(Inputs!$C$39=1,$W99,0)</f>
        <v/>
      </c>
      <c r="Y99" s="24">
        <f>IF(Inputs!$C$39=0,$W99,0)+MAX(0,MAX(0,($D99+$X99)-$N99)-$T99)</f>
        <v/>
      </c>
    </row>
    <row r="100">
      <c r="B100" s="22" t="n">
        <v>95</v>
      </c>
      <c r="C100" s="29">
        <f>IF($B100&lt;=Inputs!$C$6+Inputs!$C$11,Cashflow_Asset!$E98-Cashflow_Asset!$K98,0)</f>
        <v/>
      </c>
      <c r="D100" s="29">
        <f>IF($B100&lt;=Inputs!$C$6+Inputs!$C$11,Cashflow_Asset!$F98+Cashflow_Asset!$G98+Cashflow_Asset!$I98,0)</f>
        <v/>
      </c>
      <c r="E100" s="29">
        <f>IF($B100&lt;=Inputs!$C$6+Inputs!$C$11,Cashflow_Asset!$J98,0)</f>
        <v/>
      </c>
      <c r="F100" s="23">
        <f>$G99</f>
        <v/>
      </c>
      <c r="G100" s="24">
        <f>(MAX(0,$F100-MAX(0,($M100+$S100)-$C100)))+MIN(MAX(0,$D$3-(MAX(0,$F100-MAX(0,($M100+$S100)-$C100)))),MAX(0,MAX(0,($C100+$F100)-$M100)-$S100))</f>
        <v/>
      </c>
      <c r="H100" s="23">
        <f>$J99</f>
        <v/>
      </c>
      <c r="I100" s="24">
        <f>MIN($E100,$H100)</f>
        <v/>
      </c>
      <c r="J100" s="24">
        <f>$H100-$I100</f>
        <v/>
      </c>
      <c r="K100" s="23">
        <f>$P99</f>
        <v/>
      </c>
      <c r="L100" s="24">
        <f>$K100*Inputs!$C$18/12</f>
        <v/>
      </c>
      <c r="M100" s="24">
        <f>MIN(($C100+$F100),$L100)</f>
        <v/>
      </c>
      <c r="N100" s="24">
        <f>MIN(($D100+$X100),MAX(0,$K100-$O100))</f>
        <v/>
      </c>
      <c r="O100" s="24">
        <f>MIN(MAX(0,MAX(0,$E100-$I100)-$U100),$K100)</f>
        <v/>
      </c>
      <c r="P100" s="24">
        <f>MAX(0,$K100-$O100)-$N100</f>
        <v/>
      </c>
      <c r="Q100" s="23">
        <f>$V99</f>
        <v/>
      </c>
      <c r="R100" s="24">
        <f>$Q100*Inputs!$C$19/12</f>
        <v/>
      </c>
      <c r="S100" s="24">
        <f>MIN(MAX(0,($C100+$F100)-$M100),$R100)</f>
        <v/>
      </c>
      <c r="T100" s="24">
        <f>MIN(MAX(0,($D100+$X100)-$N100),MAX(0,$Q100-$U100))</f>
        <v/>
      </c>
      <c r="U100" s="24">
        <f>MIN(MAX(0,$E100-$I100),$Q100)</f>
        <v/>
      </c>
      <c r="V100" s="24">
        <f>MAX(0,$Q100-$U100)-$T100</f>
        <v/>
      </c>
      <c r="W100" s="24">
        <f>MAX(0,MAX(0,($C100+$F100)-$M100)-$S100)-MIN(MAX(0,$D$3-(MAX(0,$F100-MAX(0,($M100+$S100)-$C100)))),MAX(0,MAX(0,($C100+$F100)-$M100)-$S100))</f>
        <v/>
      </c>
      <c r="X100" s="24">
        <f>IF(Inputs!$C$39=1,$W100,0)</f>
        <v/>
      </c>
      <c r="Y100" s="24">
        <f>IF(Inputs!$C$39=0,$W100,0)+MAX(0,MAX(0,($D100+$X100)-$N100)-$T100)</f>
        <v/>
      </c>
    </row>
    <row r="101">
      <c r="B101" s="22" t="n">
        <v>96</v>
      </c>
      <c r="C101" s="29">
        <f>IF($B101&lt;=Inputs!$C$6+Inputs!$C$11,Cashflow_Asset!$E99-Cashflow_Asset!$K99,0)</f>
        <v/>
      </c>
      <c r="D101" s="29">
        <f>IF($B101&lt;=Inputs!$C$6+Inputs!$C$11,Cashflow_Asset!$F99+Cashflow_Asset!$G99+Cashflow_Asset!$I99,0)</f>
        <v/>
      </c>
      <c r="E101" s="29">
        <f>IF($B101&lt;=Inputs!$C$6+Inputs!$C$11,Cashflow_Asset!$J99,0)</f>
        <v/>
      </c>
      <c r="F101" s="23">
        <f>$G100</f>
        <v/>
      </c>
      <c r="G101" s="24">
        <f>(MAX(0,$F101-MAX(0,($M101+$S101)-$C101)))+MIN(MAX(0,$D$3-(MAX(0,$F101-MAX(0,($M101+$S101)-$C101)))),MAX(0,MAX(0,($C101+$F101)-$M101)-$S101))</f>
        <v/>
      </c>
      <c r="H101" s="23">
        <f>$J100</f>
        <v/>
      </c>
      <c r="I101" s="24">
        <f>MIN($E101,$H101)</f>
        <v/>
      </c>
      <c r="J101" s="24">
        <f>$H101-$I101</f>
        <v/>
      </c>
      <c r="K101" s="23">
        <f>$P100</f>
        <v/>
      </c>
      <c r="L101" s="24">
        <f>$K101*Inputs!$C$18/12</f>
        <v/>
      </c>
      <c r="M101" s="24">
        <f>MIN(($C101+$F101),$L101)</f>
        <v/>
      </c>
      <c r="N101" s="24">
        <f>MIN(($D101+$X101),MAX(0,$K101-$O101))</f>
        <v/>
      </c>
      <c r="O101" s="24">
        <f>MIN(MAX(0,MAX(0,$E101-$I101)-$U101),$K101)</f>
        <v/>
      </c>
      <c r="P101" s="24">
        <f>MAX(0,$K101-$O101)-$N101</f>
        <v/>
      </c>
      <c r="Q101" s="23">
        <f>$V100</f>
        <v/>
      </c>
      <c r="R101" s="24">
        <f>$Q101*Inputs!$C$19/12</f>
        <v/>
      </c>
      <c r="S101" s="24">
        <f>MIN(MAX(0,($C101+$F101)-$M101),$R101)</f>
        <v/>
      </c>
      <c r="T101" s="24">
        <f>MIN(MAX(0,($D101+$X101)-$N101),MAX(0,$Q101-$U101))</f>
        <v/>
      </c>
      <c r="U101" s="24">
        <f>MIN(MAX(0,$E101-$I101),$Q101)</f>
        <v/>
      </c>
      <c r="V101" s="24">
        <f>MAX(0,$Q101-$U101)-$T101</f>
        <v/>
      </c>
      <c r="W101" s="24">
        <f>MAX(0,MAX(0,($C101+$F101)-$M101)-$S101)-MIN(MAX(0,$D$3-(MAX(0,$F101-MAX(0,($M101+$S101)-$C101)))),MAX(0,MAX(0,($C101+$F101)-$M101)-$S101))</f>
        <v/>
      </c>
      <c r="X101" s="24">
        <f>IF(Inputs!$C$39=1,$W101,0)</f>
        <v/>
      </c>
      <c r="Y101" s="24">
        <f>IF(Inputs!$C$39=0,$W101,0)+MAX(0,MAX(0,($D101+$X101)-$N101)-$T101)</f>
        <v/>
      </c>
    </row>
    <row r="102">
      <c r="B102" s="22" t="n">
        <v>97</v>
      </c>
      <c r="C102" s="29">
        <f>IF($B102&lt;=Inputs!$C$6+Inputs!$C$11,Cashflow_Asset!$E100-Cashflow_Asset!$K100,0)</f>
        <v/>
      </c>
      <c r="D102" s="29">
        <f>IF($B102&lt;=Inputs!$C$6+Inputs!$C$11,Cashflow_Asset!$F100+Cashflow_Asset!$G100+Cashflow_Asset!$I100,0)</f>
        <v/>
      </c>
      <c r="E102" s="29">
        <f>IF($B102&lt;=Inputs!$C$6+Inputs!$C$11,Cashflow_Asset!$J100,0)</f>
        <v/>
      </c>
      <c r="F102" s="23">
        <f>$G101</f>
        <v/>
      </c>
      <c r="G102" s="24">
        <f>(MAX(0,$F102-MAX(0,($M102+$S102)-$C102)))+MIN(MAX(0,$D$3-(MAX(0,$F102-MAX(0,($M102+$S102)-$C102)))),MAX(0,MAX(0,($C102+$F102)-$M102)-$S102))</f>
        <v/>
      </c>
      <c r="H102" s="23">
        <f>$J101</f>
        <v/>
      </c>
      <c r="I102" s="24">
        <f>MIN($E102,$H102)</f>
        <v/>
      </c>
      <c r="J102" s="24">
        <f>$H102-$I102</f>
        <v/>
      </c>
      <c r="K102" s="23">
        <f>$P101</f>
        <v/>
      </c>
      <c r="L102" s="24">
        <f>$K102*Inputs!$C$18/12</f>
        <v/>
      </c>
      <c r="M102" s="24">
        <f>MIN(($C102+$F102),$L102)</f>
        <v/>
      </c>
      <c r="N102" s="24">
        <f>MIN(($D102+$X102),MAX(0,$K102-$O102))</f>
        <v/>
      </c>
      <c r="O102" s="24">
        <f>MIN(MAX(0,MAX(0,$E102-$I102)-$U102),$K102)</f>
        <v/>
      </c>
      <c r="P102" s="24">
        <f>MAX(0,$K102-$O102)-$N102</f>
        <v/>
      </c>
      <c r="Q102" s="23">
        <f>$V101</f>
        <v/>
      </c>
      <c r="R102" s="24">
        <f>$Q102*Inputs!$C$19/12</f>
        <v/>
      </c>
      <c r="S102" s="24">
        <f>MIN(MAX(0,($C102+$F102)-$M102),$R102)</f>
        <v/>
      </c>
      <c r="T102" s="24">
        <f>MIN(MAX(0,($D102+$X102)-$N102),MAX(0,$Q102-$U102))</f>
        <v/>
      </c>
      <c r="U102" s="24">
        <f>MIN(MAX(0,$E102-$I102),$Q102)</f>
        <v/>
      </c>
      <c r="V102" s="24">
        <f>MAX(0,$Q102-$U102)-$T102</f>
        <v/>
      </c>
      <c r="W102" s="24">
        <f>MAX(0,MAX(0,($C102+$F102)-$M102)-$S102)-MIN(MAX(0,$D$3-(MAX(0,$F102-MAX(0,($M102+$S102)-$C102)))),MAX(0,MAX(0,($C102+$F102)-$M102)-$S102))</f>
        <v/>
      </c>
      <c r="X102" s="24">
        <f>IF(Inputs!$C$39=1,$W102,0)</f>
        <v/>
      </c>
      <c r="Y102" s="24">
        <f>IF(Inputs!$C$39=0,$W102,0)+MAX(0,MAX(0,($D102+$X102)-$N102)-$T102)</f>
        <v/>
      </c>
    </row>
    <row r="103">
      <c r="B103" s="22" t="n">
        <v>98</v>
      </c>
      <c r="C103" s="29">
        <f>IF($B103&lt;=Inputs!$C$6+Inputs!$C$11,Cashflow_Asset!$E101-Cashflow_Asset!$K101,0)</f>
        <v/>
      </c>
      <c r="D103" s="29">
        <f>IF($B103&lt;=Inputs!$C$6+Inputs!$C$11,Cashflow_Asset!$F101+Cashflow_Asset!$G101+Cashflow_Asset!$I101,0)</f>
        <v/>
      </c>
      <c r="E103" s="29">
        <f>IF($B103&lt;=Inputs!$C$6+Inputs!$C$11,Cashflow_Asset!$J101,0)</f>
        <v/>
      </c>
      <c r="F103" s="23">
        <f>$G102</f>
        <v/>
      </c>
      <c r="G103" s="24">
        <f>(MAX(0,$F103-MAX(0,($M103+$S103)-$C103)))+MIN(MAX(0,$D$3-(MAX(0,$F103-MAX(0,($M103+$S103)-$C103)))),MAX(0,MAX(0,($C103+$F103)-$M103)-$S103))</f>
        <v/>
      </c>
      <c r="H103" s="23">
        <f>$J102</f>
        <v/>
      </c>
      <c r="I103" s="24">
        <f>MIN($E103,$H103)</f>
        <v/>
      </c>
      <c r="J103" s="24">
        <f>$H103-$I103</f>
        <v/>
      </c>
      <c r="K103" s="23">
        <f>$P102</f>
        <v/>
      </c>
      <c r="L103" s="24">
        <f>$K103*Inputs!$C$18/12</f>
        <v/>
      </c>
      <c r="M103" s="24">
        <f>MIN(($C103+$F103),$L103)</f>
        <v/>
      </c>
      <c r="N103" s="24">
        <f>MIN(($D103+$X103),MAX(0,$K103-$O103))</f>
        <v/>
      </c>
      <c r="O103" s="24">
        <f>MIN(MAX(0,MAX(0,$E103-$I103)-$U103),$K103)</f>
        <v/>
      </c>
      <c r="P103" s="24">
        <f>MAX(0,$K103-$O103)-$N103</f>
        <v/>
      </c>
      <c r="Q103" s="23">
        <f>$V102</f>
        <v/>
      </c>
      <c r="R103" s="24">
        <f>$Q103*Inputs!$C$19/12</f>
        <v/>
      </c>
      <c r="S103" s="24">
        <f>MIN(MAX(0,($C103+$F103)-$M103),$R103)</f>
        <v/>
      </c>
      <c r="T103" s="24">
        <f>MIN(MAX(0,($D103+$X103)-$N103),MAX(0,$Q103-$U103))</f>
        <v/>
      </c>
      <c r="U103" s="24">
        <f>MIN(MAX(0,$E103-$I103),$Q103)</f>
        <v/>
      </c>
      <c r="V103" s="24">
        <f>MAX(0,$Q103-$U103)-$T103</f>
        <v/>
      </c>
      <c r="W103" s="24">
        <f>MAX(0,MAX(0,($C103+$F103)-$M103)-$S103)-MIN(MAX(0,$D$3-(MAX(0,$F103-MAX(0,($M103+$S103)-$C103)))),MAX(0,MAX(0,($C103+$F103)-$M103)-$S103))</f>
        <v/>
      </c>
      <c r="X103" s="24">
        <f>IF(Inputs!$C$39=1,$W103,0)</f>
        <v/>
      </c>
      <c r="Y103" s="24">
        <f>IF(Inputs!$C$39=0,$W103,0)+MAX(0,MAX(0,($D103+$X103)-$N103)-$T103)</f>
        <v/>
      </c>
    </row>
    <row r="104">
      <c r="B104" s="22" t="n">
        <v>99</v>
      </c>
      <c r="C104" s="29">
        <f>IF($B104&lt;=Inputs!$C$6+Inputs!$C$11,Cashflow_Asset!$E102-Cashflow_Asset!$K102,0)</f>
        <v/>
      </c>
      <c r="D104" s="29">
        <f>IF($B104&lt;=Inputs!$C$6+Inputs!$C$11,Cashflow_Asset!$F102+Cashflow_Asset!$G102+Cashflow_Asset!$I102,0)</f>
        <v/>
      </c>
      <c r="E104" s="29">
        <f>IF($B104&lt;=Inputs!$C$6+Inputs!$C$11,Cashflow_Asset!$J102,0)</f>
        <v/>
      </c>
      <c r="F104" s="23">
        <f>$G103</f>
        <v/>
      </c>
      <c r="G104" s="24">
        <f>(MAX(0,$F104-MAX(0,($M104+$S104)-$C104)))+MIN(MAX(0,$D$3-(MAX(0,$F104-MAX(0,($M104+$S104)-$C104)))),MAX(0,MAX(0,($C104+$F104)-$M104)-$S104))</f>
        <v/>
      </c>
      <c r="H104" s="23">
        <f>$J103</f>
        <v/>
      </c>
      <c r="I104" s="24">
        <f>MIN($E104,$H104)</f>
        <v/>
      </c>
      <c r="J104" s="24">
        <f>$H104-$I104</f>
        <v/>
      </c>
      <c r="K104" s="23">
        <f>$P103</f>
        <v/>
      </c>
      <c r="L104" s="24">
        <f>$K104*Inputs!$C$18/12</f>
        <v/>
      </c>
      <c r="M104" s="24">
        <f>MIN(($C104+$F104),$L104)</f>
        <v/>
      </c>
      <c r="N104" s="24">
        <f>MIN(($D104+$X104),MAX(0,$K104-$O104))</f>
        <v/>
      </c>
      <c r="O104" s="24">
        <f>MIN(MAX(0,MAX(0,$E104-$I104)-$U104),$K104)</f>
        <v/>
      </c>
      <c r="P104" s="24">
        <f>MAX(0,$K104-$O104)-$N104</f>
        <v/>
      </c>
      <c r="Q104" s="23">
        <f>$V103</f>
        <v/>
      </c>
      <c r="R104" s="24">
        <f>$Q104*Inputs!$C$19/12</f>
        <v/>
      </c>
      <c r="S104" s="24">
        <f>MIN(MAX(0,($C104+$F104)-$M104),$R104)</f>
        <v/>
      </c>
      <c r="T104" s="24">
        <f>MIN(MAX(0,($D104+$X104)-$N104),MAX(0,$Q104-$U104))</f>
        <v/>
      </c>
      <c r="U104" s="24">
        <f>MIN(MAX(0,$E104-$I104),$Q104)</f>
        <v/>
      </c>
      <c r="V104" s="24">
        <f>MAX(0,$Q104-$U104)-$T104</f>
        <v/>
      </c>
      <c r="W104" s="24">
        <f>MAX(0,MAX(0,($C104+$F104)-$M104)-$S104)-MIN(MAX(0,$D$3-(MAX(0,$F104-MAX(0,($M104+$S104)-$C104)))),MAX(0,MAX(0,($C104+$F104)-$M104)-$S104))</f>
        <v/>
      </c>
      <c r="X104" s="24">
        <f>IF(Inputs!$C$39=1,$W104,0)</f>
        <v/>
      </c>
      <c r="Y104" s="24">
        <f>IF(Inputs!$C$39=0,$W104,0)+MAX(0,MAX(0,($D104+$X104)-$N104)-$T104)</f>
        <v/>
      </c>
    </row>
    <row r="105">
      <c r="B105" s="22" t="n">
        <v>100</v>
      </c>
      <c r="C105" s="29">
        <f>IF($B105&lt;=Inputs!$C$6+Inputs!$C$11,Cashflow_Asset!$E103-Cashflow_Asset!$K103,0)</f>
        <v/>
      </c>
      <c r="D105" s="29">
        <f>IF($B105&lt;=Inputs!$C$6+Inputs!$C$11,Cashflow_Asset!$F103+Cashflow_Asset!$G103+Cashflow_Asset!$I103,0)</f>
        <v/>
      </c>
      <c r="E105" s="29">
        <f>IF($B105&lt;=Inputs!$C$6+Inputs!$C$11,Cashflow_Asset!$J103,0)</f>
        <v/>
      </c>
      <c r="F105" s="23">
        <f>$G104</f>
        <v/>
      </c>
      <c r="G105" s="24">
        <f>(MAX(0,$F105-MAX(0,($M105+$S105)-$C105)))+MIN(MAX(0,$D$3-(MAX(0,$F105-MAX(0,($M105+$S105)-$C105)))),MAX(0,MAX(0,($C105+$F105)-$M105)-$S105))</f>
        <v/>
      </c>
      <c r="H105" s="23">
        <f>$J104</f>
        <v/>
      </c>
      <c r="I105" s="24">
        <f>MIN($E105,$H105)</f>
        <v/>
      </c>
      <c r="J105" s="24">
        <f>$H105-$I105</f>
        <v/>
      </c>
      <c r="K105" s="23">
        <f>$P104</f>
        <v/>
      </c>
      <c r="L105" s="24">
        <f>$K105*Inputs!$C$18/12</f>
        <v/>
      </c>
      <c r="M105" s="24">
        <f>MIN(($C105+$F105),$L105)</f>
        <v/>
      </c>
      <c r="N105" s="24">
        <f>MIN(($D105+$X105),MAX(0,$K105-$O105))</f>
        <v/>
      </c>
      <c r="O105" s="24">
        <f>MIN(MAX(0,MAX(0,$E105-$I105)-$U105),$K105)</f>
        <v/>
      </c>
      <c r="P105" s="24">
        <f>MAX(0,$K105-$O105)-$N105</f>
        <v/>
      </c>
      <c r="Q105" s="23">
        <f>$V104</f>
        <v/>
      </c>
      <c r="R105" s="24">
        <f>$Q105*Inputs!$C$19/12</f>
        <v/>
      </c>
      <c r="S105" s="24">
        <f>MIN(MAX(0,($C105+$F105)-$M105),$R105)</f>
        <v/>
      </c>
      <c r="T105" s="24">
        <f>MIN(MAX(0,($D105+$X105)-$N105),MAX(0,$Q105-$U105))</f>
        <v/>
      </c>
      <c r="U105" s="24">
        <f>MIN(MAX(0,$E105-$I105),$Q105)</f>
        <v/>
      </c>
      <c r="V105" s="24">
        <f>MAX(0,$Q105-$U105)-$T105</f>
        <v/>
      </c>
      <c r="W105" s="24">
        <f>MAX(0,MAX(0,($C105+$F105)-$M105)-$S105)-MIN(MAX(0,$D$3-(MAX(0,$F105-MAX(0,($M105+$S105)-$C105)))),MAX(0,MAX(0,($C105+$F105)-$M105)-$S105))</f>
        <v/>
      </c>
      <c r="X105" s="24">
        <f>IF(Inputs!$C$39=1,$W105,0)</f>
        <v/>
      </c>
      <c r="Y105" s="24">
        <f>IF(Inputs!$C$39=0,$W105,0)+MAX(0,MAX(0,($D105+$X105)-$N105)-$T105)</f>
        <v/>
      </c>
    </row>
    <row r="106">
      <c r="B106" s="22" t="n">
        <v>101</v>
      </c>
      <c r="C106" s="29">
        <f>IF($B106&lt;=Inputs!$C$6+Inputs!$C$11,Cashflow_Asset!$E104-Cashflow_Asset!$K104,0)</f>
        <v/>
      </c>
      <c r="D106" s="29">
        <f>IF($B106&lt;=Inputs!$C$6+Inputs!$C$11,Cashflow_Asset!$F104+Cashflow_Asset!$G104+Cashflow_Asset!$I104,0)</f>
        <v/>
      </c>
      <c r="E106" s="29">
        <f>IF($B106&lt;=Inputs!$C$6+Inputs!$C$11,Cashflow_Asset!$J104,0)</f>
        <v/>
      </c>
      <c r="F106" s="23">
        <f>$G105</f>
        <v/>
      </c>
      <c r="G106" s="24">
        <f>(MAX(0,$F106-MAX(0,($M106+$S106)-$C106)))+MIN(MAX(0,$D$3-(MAX(0,$F106-MAX(0,($M106+$S106)-$C106)))),MAX(0,MAX(0,($C106+$F106)-$M106)-$S106))</f>
        <v/>
      </c>
      <c r="H106" s="23">
        <f>$J105</f>
        <v/>
      </c>
      <c r="I106" s="24">
        <f>MIN($E106,$H106)</f>
        <v/>
      </c>
      <c r="J106" s="24">
        <f>$H106-$I106</f>
        <v/>
      </c>
      <c r="K106" s="23">
        <f>$P105</f>
        <v/>
      </c>
      <c r="L106" s="24">
        <f>$K106*Inputs!$C$18/12</f>
        <v/>
      </c>
      <c r="M106" s="24">
        <f>MIN(($C106+$F106),$L106)</f>
        <v/>
      </c>
      <c r="N106" s="24">
        <f>MIN(($D106+$X106),MAX(0,$K106-$O106))</f>
        <v/>
      </c>
      <c r="O106" s="24">
        <f>MIN(MAX(0,MAX(0,$E106-$I106)-$U106),$K106)</f>
        <v/>
      </c>
      <c r="P106" s="24">
        <f>MAX(0,$K106-$O106)-$N106</f>
        <v/>
      </c>
      <c r="Q106" s="23">
        <f>$V105</f>
        <v/>
      </c>
      <c r="R106" s="24">
        <f>$Q106*Inputs!$C$19/12</f>
        <v/>
      </c>
      <c r="S106" s="24">
        <f>MIN(MAX(0,($C106+$F106)-$M106),$R106)</f>
        <v/>
      </c>
      <c r="T106" s="24">
        <f>MIN(MAX(0,($D106+$X106)-$N106),MAX(0,$Q106-$U106))</f>
        <v/>
      </c>
      <c r="U106" s="24">
        <f>MIN(MAX(0,$E106-$I106),$Q106)</f>
        <v/>
      </c>
      <c r="V106" s="24">
        <f>MAX(0,$Q106-$U106)-$T106</f>
        <v/>
      </c>
      <c r="W106" s="24">
        <f>MAX(0,MAX(0,($C106+$F106)-$M106)-$S106)-MIN(MAX(0,$D$3-(MAX(0,$F106-MAX(0,($M106+$S106)-$C106)))),MAX(0,MAX(0,($C106+$F106)-$M106)-$S106))</f>
        <v/>
      </c>
      <c r="X106" s="24">
        <f>IF(Inputs!$C$39=1,$W106,0)</f>
        <v/>
      </c>
      <c r="Y106" s="24">
        <f>IF(Inputs!$C$39=0,$W106,0)+MAX(0,MAX(0,($D106+$X106)-$N106)-$T106)</f>
        <v/>
      </c>
    </row>
    <row r="107">
      <c r="B107" s="22" t="n">
        <v>102</v>
      </c>
      <c r="C107" s="29">
        <f>IF($B107&lt;=Inputs!$C$6+Inputs!$C$11,Cashflow_Asset!$E105-Cashflow_Asset!$K105,0)</f>
        <v/>
      </c>
      <c r="D107" s="29">
        <f>IF($B107&lt;=Inputs!$C$6+Inputs!$C$11,Cashflow_Asset!$F105+Cashflow_Asset!$G105+Cashflow_Asset!$I105,0)</f>
        <v/>
      </c>
      <c r="E107" s="29">
        <f>IF($B107&lt;=Inputs!$C$6+Inputs!$C$11,Cashflow_Asset!$J105,0)</f>
        <v/>
      </c>
      <c r="F107" s="23">
        <f>$G106</f>
        <v/>
      </c>
      <c r="G107" s="24">
        <f>(MAX(0,$F107-MAX(0,($M107+$S107)-$C107)))+MIN(MAX(0,$D$3-(MAX(0,$F107-MAX(0,($M107+$S107)-$C107)))),MAX(0,MAX(0,($C107+$F107)-$M107)-$S107))</f>
        <v/>
      </c>
      <c r="H107" s="23">
        <f>$J106</f>
        <v/>
      </c>
      <c r="I107" s="24">
        <f>MIN($E107,$H107)</f>
        <v/>
      </c>
      <c r="J107" s="24">
        <f>$H107-$I107</f>
        <v/>
      </c>
      <c r="K107" s="23">
        <f>$P106</f>
        <v/>
      </c>
      <c r="L107" s="24">
        <f>$K107*Inputs!$C$18/12</f>
        <v/>
      </c>
      <c r="M107" s="24">
        <f>MIN(($C107+$F107),$L107)</f>
        <v/>
      </c>
      <c r="N107" s="24">
        <f>MIN(($D107+$X107),MAX(0,$K107-$O107))</f>
        <v/>
      </c>
      <c r="O107" s="24">
        <f>MIN(MAX(0,MAX(0,$E107-$I107)-$U107),$K107)</f>
        <v/>
      </c>
      <c r="P107" s="24">
        <f>MAX(0,$K107-$O107)-$N107</f>
        <v/>
      </c>
      <c r="Q107" s="23">
        <f>$V106</f>
        <v/>
      </c>
      <c r="R107" s="24">
        <f>$Q107*Inputs!$C$19/12</f>
        <v/>
      </c>
      <c r="S107" s="24">
        <f>MIN(MAX(0,($C107+$F107)-$M107),$R107)</f>
        <v/>
      </c>
      <c r="T107" s="24">
        <f>MIN(MAX(0,($D107+$X107)-$N107),MAX(0,$Q107-$U107))</f>
        <v/>
      </c>
      <c r="U107" s="24">
        <f>MIN(MAX(0,$E107-$I107),$Q107)</f>
        <v/>
      </c>
      <c r="V107" s="24">
        <f>MAX(0,$Q107-$U107)-$T107</f>
        <v/>
      </c>
      <c r="W107" s="24">
        <f>MAX(0,MAX(0,($C107+$F107)-$M107)-$S107)-MIN(MAX(0,$D$3-(MAX(0,$F107-MAX(0,($M107+$S107)-$C107)))),MAX(0,MAX(0,($C107+$F107)-$M107)-$S107))</f>
        <v/>
      </c>
      <c r="X107" s="24">
        <f>IF(Inputs!$C$39=1,$W107,0)</f>
        <v/>
      </c>
      <c r="Y107" s="24">
        <f>IF(Inputs!$C$39=0,$W107,0)+MAX(0,MAX(0,($D107+$X107)-$N107)-$T107)</f>
        <v/>
      </c>
    </row>
    <row r="108">
      <c r="B108" s="22" t="n">
        <v>103</v>
      </c>
      <c r="C108" s="29">
        <f>IF($B108&lt;=Inputs!$C$6+Inputs!$C$11,Cashflow_Asset!$E106-Cashflow_Asset!$K106,0)</f>
        <v/>
      </c>
      <c r="D108" s="29">
        <f>IF($B108&lt;=Inputs!$C$6+Inputs!$C$11,Cashflow_Asset!$F106+Cashflow_Asset!$G106+Cashflow_Asset!$I106,0)</f>
        <v/>
      </c>
      <c r="E108" s="29">
        <f>IF($B108&lt;=Inputs!$C$6+Inputs!$C$11,Cashflow_Asset!$J106,0)</f>
        <v/>
      </c>
      <c r="F108" s="23">
        <f>$G107</f>
        <v/>
      </c>
      <c r="G108" s="24">
        <f>(MAX(0,$F108-MAX(0,($M108+$S108)-$C108)))+MIN(MAX(0,$D$3-(MAX(0,$F108-MAX(0,($M108+$S108)-$C108)))),MAX(0,MAX(0,($C108+$F108)-$M108)-$S108))</f>
        <v/>
      </c>
      <c r="H108" s="23">
        <f>$J107</f>
        <v/>
      </c>
      <c r="I108" s="24">
        <f>MIN($E108,$H108)</f>
        <v/>
      </c>
      <c r="J108" s="24">
        <f>$H108-$I108</f>
        <v/>
      </c>
      <c r="K108" s="23">
        <f>$P107</f>
        <v/>
      </c>
      <c r="L108" s="24">
        <f>$K108*Inputs!$C$18/12</f>
        <v/>
      </c>
      <c r="M108" s="24">
        <f>MIN(($C108+$F108),$L108)</f>
        <v/>
      </c>
      <c r="N108" s="24">
        <f>MIN(($D108+$X108),MAX(0,$K108-$O108))</f>
        <v/>
      </c>
      <c r="O108" s="24">
        <f>MIN(MAX(0,MAX(0,$E108-$I108)-$U108),$K108)</f>
        <v/>
      </c>
      <c r="P108" s="24">
        <f>MAX(0,$K108-$O108)-$N108</f>
        <v/>
      </c>
      <c r="Q108" s="23">
        <f>$V107</f>
        <v/>
      </c>
      <c r="R108" s="24">
        <f>$Q108*Inputs!$C$19/12</f>
        <v/>
      </c>
      <c r="S108" s="24">
        <f>MIN(MAX(0,($C108+$F108)-$M108),$R108)</f>
        <v/>
      </c>
      <c r="T108" s="24">
        <f>MIN(MAX(0,($D108+$X108)-$N108),MAX(0,$Q108-$U108))</f>
        <v/>
      </c>
      <c r="U108" s="24">
        <f>MIN(MAX(0,$E108-$I108),$Q108)</f>
        <v/>
      </c>
      <c r="V108" s="24">
        <f>MAX(0,$Q108-$U108)-$T108</f>
        <v/>
      </c>
      <c r="W108" s="24">
        <f>MAX(0,MAX(0,($C108+$F108)-$M108)-$S108)-MIN(MAX(0,$D$3-(MAX(0,$F108-MAX(0,($M108+$S108)-$C108)))),MAX(0,MAX(0,($C108+$F108)-$M108)-$S108))</f>
        <v/>
      </c>
      <c r="X108" s="24">
        <f>IF(Inputs!$C$39=1,$W108,0)</f>
        <v/>
      </c>
      <c r="Y108" s="24">
        <f>IF(Inputs!$C$39=0,$W108,0)+MAX(0,MAX(0,($D108+$X108)-$N108)-$T108)</f>
        <v/>
      </c>
    </row>
    <row r="109">
      <c r="B109" s="22" t="n">
        <v>104</v>
      </c>
      <c r="C109" s="29">
        <f>IF($B109&lt;=Inputs!$C$6+Inputs!$C$11,Cashflow_Asset!$E107-Cashflow_Asset!$K107,0)</f>
        <v/>
      </c>
      <c r="D109" s="29">
        <f>IF($B109&lt;=Inputs!$C$6+Inputs!$C$11,Cashflow_Asset!$F107+Cashflow_Asset!$G107+Cashflow_Asset!$I107,0)</f>
        <v/>
      </c>
      <c r="E109" s="29">
        <f>IF($B109&lt;=Inputs!$C$6+Inputs!$C$11,Cashflow_Asset!$J107,0)</f>
        <v/>
      </c>
      <c r="F109" s="23">
        <f>$G108</f>
        <v/>
      </c>
      <c r="G109" s="24">
        <f>(MAX(0,$F109-MAX(0,($M109+$S109)-$C109)))+MIN(MAX(0,$D$3-(MAX(0,$F109-MAX(0,($M109+$S109)-$C109)))),MAX(0,MAX(0,($C109+$F109)-$M109)-$S109))</f>
        <v/>
      </c>
      <c r="H109" s="23">
        <f>$J108</f>
        <v/>
      </c>
      <c r="I109" s="24">
        <f>MIN($E109,$H109)</f>
        <v/>
      </c>
      <c r="J109" s="24">
        <f>$H109-$I109</f>
        <v/>
      </c>
      <c r="K109" s="23">
        <f>$P108</f>
        <v/>
      </c>
      <c r="L109" s="24">
        <f>$K109*Inputs!$C$18/12</f>
        <v/>
      </c>
      <c r="M109" s="24">
        <f>MIN(($C109+$F109),$L109)</f>
        <v/>
      </c>
      <c r="N109" s="24">
        <f>MIN(($D109+$X109),MAX(0,$K109-$O109))</f>
        <v/>
      </c>
      <c r="O109" s="24">
        <f>MIN(MAX(0,MAX(0,$E109-$I109)-$U109),$K109)</f>
        <v/>
      </c>
      <c r="P109" s="24">
        <f>MAX(0,$K109-$O109)-$N109</f>
        <v/>
      </c>
      <c r="Q109" s="23">
        <f>$V108</f>
        <v/>
      </c>
      <c r="R109" s="24">
        <f>$Q109*Inputs!$C$19/12</f>
        <v/>
      </c>
      <c r="S109" s="24">
        <f>MIN(MAX(0,($C109+$F109)-$M109),$R109)</f>
        <v/>
      </c>
      <c r="T109" s="24">
        <f>MIN(MAX(0,($D109+$X109)-$N109),MAX(0,$Q109-$U109))</f>
        <v/>
      </c>
      <c r="U109" s="24">
        <f>MIN(MAX(0,$E109-$I109),$Q109)</f>
        <v/>
      </c>
      <c r="V109" s="24">
        <f>MAX(0,$Q109-$U109)-$T109</f>
        <v/>
      </c>
      <c r="W109" s="24">
        <f>MAX(0,MAX(0,($C109+$F109)-$M109)-$S109)-MIN(MAX(0,$D$3-(MAX(0,$F109-MAX(0,($M109+$S109)-$C109)))),MAX(0,MAX(0,($C109+$F109)-$M109)-$S109))</f>
        <v/>
      </c>
      <c r="X109" s="24">
        <f>IF(Inputs!$C$39=1,$W109,0)</f>
        <v/>
      </c>
      <c r="Y109" s="24">
        <f>IF(Inputs!$C$39=0,$W109,0)+MAX(0,MAX(0,($D109+$X109)-$N109)-$T109)</f>
        <v/>
      </c>
    </row>
    <row r="110">
      <c r="B110" s="22" t="n">
        <v>105</v>
      </c>
      <c r="C110" s="29">
        <f>IF($B110&lt;=Inputs!$C$6+Inputs!$C$11,Cashflow_Asset!$E108-Cashflow_Asset!$K108,0)</f>
        <v/>
      </c>
      <c r="D110" s="29">
        <f>IF($B110&lt;=Inputs!$C$6+Inputs!$C$11,Cashflow_Asset!$F108+Cashflow_Asset!$G108+Cashflow_Asset!$I108,0)</f>
        <v/>
      </c>
      <c r="E110" s="29">
        <f>IF($B110&lt;=Inputs!$C$6+Inputs!$C$11,Cashflow_Asset!$J108,0)</f>
        <v/>
      </c>
      <c r="F110" s="23">
        <f>$G109</f>
        <v/>
      </c>
      <c r="G110" s="24">
        <f>(MAX(0,$F110-MAX(0,($M110+$S110)-$C110)))+MIN(MAX(0,$D$3-(MAX(0,$F110-MAX(0,($M110+$S110)-$C110)))),MAX(0,MAX(0,($C110+$F110)-$M110)-$S110))</f>
        <v/>
      </c>
      <c r="H110" s="23">
        <f>$J109</f>
        <v/>
      </c>
      <c r="I110" s="24">
        <f>MIN($E110,$H110)</f>
        <v/>
      </c>
      <c r="J110" s="24">
        <f>$H110-$I110</f>
        <v/>
      </c>
      <c r="K110" s="23">
        <f>$P109</f>
        <v/>
      </c>
      <c r="L110" s="24">
        <f>$K110*Inputs!$C$18/12</f>
        <v/>
      </c>
      <c r="M110" s="24">
        <f>MIN(($C110+$F110),$L110)</f>
        <v/>
      </c>
      <c r="N110" s="24">
        <f>MIN(($D110+$X110),MAX(0,$K110-$O110))</f>
        <v/>
      </c>
      <c r="O110" s="24">
        <f>MIN(MAX(0,MAX(0,$E110-$I110)-$U110),$K110)</f>
        <v/>
      </c>
      <c r="P110" s="24">
        <f>MAX(0,$K110-$O110)-$N110</f>
        <v/>
      </c>
      <c r="Q110" s="23">
        <f>$V109</f>
        <v/>
      </c>
      <c r="R110" s="24">
        <f>$Q110*Inputs!$C$19/12</f>
        <v/>
      </c>
      <c r="S110" s="24">
        <f>MIN(MAX(0,($C110+$F110)-$M110),$R110)</f>
        <v/>
      </c>
      <c r="T110" s="24">
        <f>MIN(MAX(0,($D110+$X110)-$N110),MAX(0,$Q110-$U110))</f>
        <v/>
      </c>
      <c r="U110" s="24">
        <f>MIN(MAX(0,$E110-$I110),$Q110)</f>
        <v/>
      </c>
      <c r="V110" s="24">
        <f>MAX(0,$Q110-$U110)-$T110</f>
        <v/>
      </c>
      <c r="W110" s="24">
        <f>MAX(0,MAX(0,($C110+$F110)-$M110)-$S110)-MIN(MAX(0,$D$3-(MAX(0,$F110-MAX(0,($M110+$S110)-$C110)))),MAX(0,MAX(0,($C110+$F110)-$M110)-$S110))</f>
        <v/>
      </c>
      <c r="X110" s="24">
        <f>IF(Inputs!$C$39=1,$W110,0)</f>
        <v/>
      </c>
      <c r="Y110" s="24">
        <f>IF(Inputs!$C$39=0,$W110,0)+MAX(0,MAX(0,($D110+$X110)-$N110)-$T110)</f>
        <v/>
      </c>
    </row>
    <row r="111">
      <c r="B111" s="22" t="n">
        <v>106</v>
      </c>
      <c r="C111" s="29">
        <f>IF($B111&lt;=Inputs!$C$6+Inputs!$C$11,Cashflow_Asset!$E109-Cashflow_Asset!$K109,0)</f>
        <v/>
      </c>
      <c r="D111" s="29">
        <f>IF($B111&lt;=Inputs!$C$6+Inputs!$C$11,Cashflow_Asset!$F109+Cashflow_Asset!$G109+Cashflow_Asset!$I109,0)</f>
        <v/>
      </c>
      <c r="E111" s="29">
        <f>IF($B111&lt;=Inputs!$C$6+Inputs!$C$11,Cashflow_Asset!$J109,0)</f>
        <v/>
      </c>
      <c r="F111" s="23">
        <f>$G110</f>
        <v/>
      </c>
      <c r="G111" s="24">
        <f>(MAX(0,$F111-MAX(0,($M111+$S111)-$C111)))+MIN(MAX(0,$D$3-(MAX(0,$F111-MAX(0,($M111+$S111)-$C111)))),MAX(0,MAX(0,($C111+$F111)-$M111)-$S111))</f>
        <v/>
      </c>
      <c r="H111" s="23">
        <f>$J110</f>
        <v/>
      </c>
      <c r="I111" s="24">
        <f>MIN($E111,$H111)</f>
        <v/>
      </c>
      <c r="J111" s="24">
        <f>$H111-$I111</f>
        <v/>
      </c>
      <c r="K111" s="23">
        <f>$P110</f>
        <v/>
      </c>
      <c r="L111" s="24">
        <f>$K111*Inputs!$C$18/12</f>
        <v/>
      </c>
      <c r="M111" s="24">
        <f>MIN(($C111+$F111),$L111)</f>
        <v/>
      </c>
      <c r="N111" s="24">
        <f>MIN(($D111+$X111),MAX(0,$K111-$O111))</f>
        <v/>
      </c>
      <c r="O111" s="24">
        <f>MIN(MAX(0,MAX(0,$E111-$I111)-$U111),$K111)</f>
        <v/>
      </c>
      <c r="P111" s="24">
        <f>MAX(0,$K111-$O111)-$N111</f>
        <v/>
      </c>
      <c r="Q111" s="23">
        <f>$V110</f>
        <v/>
      </c>
      <c r="R111" s="24">
        <f>$Q111*Inputs!$C$19/12</f>
        <v/>
      </c>
      <c r="S111" s="24">
        <f>MIN(MAX(0,($C111+$F111)-$M111),$R111)</f>
        <v/>
      </c>
      <c r="T111" s="24">
        <f>MIN(MAX(0,($D111+$X111)-$N111),MAX(0,$Q111-$U111))</f>
        <v/>
      </c>
      <c r="U111" s="24">
        <f>MIN(MAX(0,$E111-$I111),$Q111)</f>
        <v/>
      </c>
      <c r="V111" s="24">
        <f>MAX(0,$Q111-$U111)-$T111</f>
        <v/>
      </c>
      <c r="W111" s="24">
        <f>MAX(0,MAX(0,($C111+$F111)-$M111)-$S111)-MIN(MAX(0,$D$3-(MAX(0,$F111-MAX(0,($M111+$S111)-$C111)))),MAX(0,MAX(0,($C111+$F111)-$M111)-$S111))</f>
        <v/>
      </c>
      <c r="X111" s="24">
        <f>IF(Inputs!$C$39=1,$W111,0)</f>
        <v/>
      </c>
      <c r="Y111" s="24">
        <f>IF(Inputs!$C$39=0,$W111,0)+MAX(0,MAX(0,($D111+$X111)-$N111)-$T111)</f>
        <v/>
      </c>
    </row>
    <row r="112">
      <c r="B112" s="22" t="n">
        <v>107</v>
      </c>
      <c r="C112" s="29">
        <f>IF($B112&lt;=Inputs!$C$6+Inputs!$C$11,Cashflow_Asset!$E110-Cashflow_Asset!$K110,0)</f>
        <v/>
      </c>
      <c r="D112" s="29">
        <f>IF($B112&lt;=Inputs!$C$6+Inputs!$C$11,Cashflow_Asset!$F110+Cashflow_Asset!$G110+Cashflow_Asset!$I110,0)</f>
        <v/>
      </c>
      <c r="E112" s="29">
        <f>IF($B112&lt;=Inputs!$C$6+Inputs!$C$11,Cashflow_Asset!$J110,0)</f>
        <v/>
      </c>
      <c r="F112" s="23">
        <f>$G111</f>
        <v/>
      </c>
      <c r="G112" s="24">
        <f>(MAX(0,$F112-MAX(0,($M112+$S112)-$C112)))+MIN(MAX(0,$D$3-(MAX(0,$F112-MAX(0,($M112+$S112)-$C112)))),MAX(0,MAX(0,($C112+$F112)-$M112)-$S112))</f>
        <v/>
      </c>
      <c r="H112" s="23">
        <f>$J111</f>
        <v/>
      </c>
      <c r="I112" s="24">
        <f>MIN($E112,$H112)</f>
        <v/>
      </c>
      <c r="J112" s="24">
        <f>$H112-$I112</f>
        <v/>
      </c>
      <c r="K112" s="23">
        <f>$P111</f>
        <v/>
      </c>
      <c r="L112" s="24">
        <f>$K112*Inputs!$C$18/12</f>
        <v/>
      </c>
      <c r="M112" s="24">
        <f>MIN(($C112+$F112),$L112)</f>
        <v/>
      </c>
      <c r="N112" s="24">
        <f>MIN(($D112+$X112),MAX(0,$K112-$O112))</f>
        <v/>
      </c>
      <c r="O112" s="24">
        <f>MIN(MAX(0,MAX(0,$E112-$I112)-$U112),$K112)</f>
        <v/>
      </c>
      <c r="P112" s="24">
        <f>MAX(0,$K112-$O112)-$N112</f>
        <v/>
      </c>
      <c r="Q112" s="23">
        <f>$V111</f>
        <v/>
      </c>
      <c r="R112" s="24">
        <f>$Q112*Inputs!$C$19/12</f>
        <v/>
      </c>
      <c r="S112" s="24">
        <f>MIN(MAX(0,($C112+$F112)-$M112),$R112)</f>
        <v/>
      </c>
      <c r="T112" s="24">
        <f>MIN(MAX(0,($D112+$X112)-$N112),MAX(0,$Q112-$U112))</f>
        <v/>
      </c>
      <c r="U112" s="24">
        <f>MIN(MAX(0,$E112-$I112),$Q112)</f>
        <v/>
      </c>
      <c r="V112" s="24">
        <f>MAX(0,$Q112-$U112)-$T112</f>
        <v/>
      </c>
      <c r="W112" s="24">
        <f>MAX(0,MAX(0,($C112+$F112)-$M112)-$S112)-MIN(MAX(0,$D$3-(MAX(0,$F112-MAX(0,($M112+$S112)-$C112)))),MAX(0,MAX(0,($C112+$F112)-$M112)-$S112))</f>
        <v/>
      </c>
      <c r="X112" s="24">
        <f>IF(Inputs!$C$39=1,$W112,0)</f>
        <v/>
      </c>
      <c r="Y112" s="24">
        <f>IF(Inputs!$C$39=0,$W112,0)+MAX(0,MAX(0,($D112+$X112)-$N112)-$T112)</f>
        <v/>
      </c>
    </row>
    <row r="113">
      <c r="B113" s="22" t="n">
        <v>108</v>
      </c>
      <c r="C113" s="29">
        <f>IF($B113&lt;=Inputs!$C$6+Inputs!$C$11,Cashflow_Asset!$E111-Cashflow_Asset!$K111,0)</f>
        <v/>
      </c>
      <c r="D113" s="29">
        <f>IF($B113&lt;=Inputs!$C$6+Inputs!$C$11,Cashflow_Asset!$F111+Cashflow_Asset!$G111+Cashflow_Asset!$I111,0)</f>
        <v/>
      </c>
      <c r="E113" s="29">
        <f>IF($B113&lt;=Inputs!$C$6+Inputs!$C$11,Cashflow_Asset!$J111,0)</f>
        <v/>
      </c>
      <c r="F113" s="23">
        <f>$G112</f>
        <v/>
      </c>
      <c r="G113" s="24">
        <f>(MAX(0,$F113-MAX(0,($M113+$S113)-$C113)))+MIN(MAX(0,$D$3-(MAX(0,$F113-MAX(0,($M113+$S113)-$C113)))),MAX(0,MAX(0,($C113+$F113)-$M113)-$S113))</f>
        <v/>
      </c>
      <c r="H113" s="23">
        <f>$J112</f>
        <v/>
      </c>
      <c r="I113" s="24">
        <f>MIN($E113,$H113)</f>
        <v/>
      </c>
      <c r="J113" s="24">
        <f>$H113-$I113</f>
        <v/>
      </c>
      <c r="K113" s="23">
        <f>$P112</f>
        <v/>
      </c>
      <c r="L113" s="24">
        <f>$K113*Inputs!$C$18/12</f>
        <v/>
      </c>
      <c r="M113" s="24">
        <f>MIN(($C113+$F113),$L113)</f>
        <v/>
      </c>
      <c r="N113" s="24">
        <f>MIN(($D113+$X113),MAX(0,$K113-$O113))</f>
        <v/>
      </c>
      <c r="O113" s="24">
        <f>MIN(MAX(0,MAX(0,$E113-$I113)-$U113),$K113)</f>
        <v/>
      </c>
      <c r="P113" s="24">
        <f>MAX(0,$K113-$O113)-$N113</f>
        <v/>
      </c>
      <c r="Q113" s="23">
        <f>$V112</f>
        <v/>
      </c>
      <c r="R113" s="24">
        <f>$Q113*Inputs!$C$19/12</f>
        <v/>
      </c>
      <c r="S113" s="24">
        <f>MIN(MAX(0,($C113+$F113)-$M113),$R113)</f>
        <v/>
      </c>
      <c r="T113" s="24">
        <f>MIN(MAX(0,($D113+$X113)-$N113),MAX(0,$Q113-$U113))</f>
        <v/>
      </c>
      <c r="U113" s="24">
        <f>MIN(MAX(0,$E113-$I113),$Q113)</f>
        <v/>
      </c>
      <c r="V113" s="24">
        <f>MAX(0,$Q113-$U113)-$T113</f>
        <v/>
      </c>
      <c r="W113" s="24">
        <f>MAX(0,MAX(0,($C113+$F113)-$M113)-$S113)-MIN(MAX(0,$D$3-(MAX(0,$F113-MAX(0,($M113+$S113)-$C113)))),MAX(0,MAX(0,($C113+$F113)-$M113)-$S113))</f>
        <v/>
      </c>
      <c r="X113" s="24">
        <f>IF(Inputs!$C$39=1,$W113,0)</f>
        <v/>
      </c>
      <c r="Y113" s="24">
        <f>IF(Inputs!$C$39=0,$W113,0)+MAX(0,MAX(0,($D113+$X113)-$N113)-$T113)</f>
        <v/>
      </c>
    </row>
    <row r="114">
      <c r="B114" s="22" t="n">
        <v>109</v>
      </c>
      <c r="C114" s="29">
        <f>IF($B114&lt;=Inputs!$C$6+Inputs!$C$11,Cashflow_Asset!$E112-Cashflow_Asset!$K112,0)</f>
        <v/>
      </c>
      <c r="D114" s="29">
        <f>IF($B114&lt;=Inputs!$C$6+Inputs!$C$11,Cashflow_Asset!$F112+Cashflow_Asset!$G112+Cashflow_Asset!$I112,0)</f>
        <v/>
      </c>
      <c r="E114" s="29">
        <f>IF($B114&lt;=Inputs!$C$6+Inputs!$C$11,Cashflow_Asset!$J112,0)</f>
        <v/>
      </c>
      <c r="F114" s="23">
        <f>$G113</f>
        <v/>
      </c>
      <c r="G114" s="24">
        <f>(MAX(0,$F114-MAX(0,($M114+$S114)-$C114)))+MIN(MAX(0,$D$3-(MAX(0,$F114-MAX(0,($M114+$S114)-$C114)))),MAX(0,MAX(0,($C114+$F114)-$M114)-$S114))</f>
        <v/>
      </c>
      <c r="H114" s="23">
        <f>$J113</f>
        <v/>
      </c>
      <c r="I114" s="24">
        <f>MIN($E114,$H114)</f>
        <v/>
      </c>
      <c r="J114" s="24">
        <f>$H114-$I114</f>
        <v/>
      </c>
      <c r="K114" s="23">
        <f>$P113</f>
        <v/>
      </c>
      <c r="L114" s="24">
        <f>$K114*Inputs!$C$18/12</f>
        <v/>
      </c>
      <c r="M114" s="24">
        <f>MIN(($C114+$F114),$L114)</f>
        <v/>
      </c>
      <c r="N114" s="24">
        <f>MIN(($D114+$X114),MAX(0,$K114-$O114))</f>
        <v/>
      </c>
      <c r="O114" s="24">
        <f>MIN(MAX(0,MAX(0,$E114-$I114)-$U114),$K114)</f>
        <v/>
      </c>
      <c r="P114" s="24">
        <f>MAX(0,$K114-$O114)-$N114</f>
        <v/>
      </c>
      <c r="Q114" s="23">
        <f>$V113</f>
        <v/>
      </c>
      <c r="R114" s="24">
        <f>$Q114*Inputs!$C$19/12</f>
        <v/>
      </c>
      <c r="S114" s="24">
        <f>MIN(MAX(0,($C114+$F114)-$M114),$R114)</f>
        <v/>
      </c>
      <c r="T114" s="24">
        <f>MIN(MAX(0,($D114+$X114)-$N114),MAX(0,$Q114-$U114))</f>
        <v/>
      </c>
      <c r="U114" s="24">
        <f>MIN(MAX(0,$E114-$I114),$Q114)</f>
        <v/>
      </c>
      <c r="V114" s="24">
        <f>MAX(0,$Q114-$U114)-$T114</f>
        <v/>
      </c>
      <c r="W114" s="24">
        <f>MAX(0,MAX(0,($C114+$F114)-$M114)-$S114)-MIN(MAX(0,$D$3-(MAX(0,$F114-MAX(0,($M114+$S114)-$C114)))),MAX(0,MAX(0,($C114+$F114)-$M114)-$S114))</f>
        <v/>
      </c>
      <c r="X114" s="24">
        <f>IF(Inputs!$C$39=1,$W114,0)</f>
        <v/>
      </c>
      <c r="Y114" s="24">
        <f>IF(Inputs!$C$39=0,$W114,0)+MAX(0,MAX(0,($D114+$X114)-$N114)-$T114)</f>
        <v/>
      </c>
    </row>
    <row r="115">
      <c r="B115" s="22" t="n">
        <v>110</v>
      </c>
      <c r="C115" s="29">
        <f>IF($B115&lt;=Inputs!$C$6+Inputs!$C$11,Cashflow_Asset!$E113-Cashflow_Asset!$K113,0)</f>
        <v/>
      </c>
      <c r="D115" s="29">
        <f>IF($B115&lt;=Inputs!$C$6+Inputs!$C$11,Cashflow_Asset!$F113+Cashflow_Asset!$G113+Cashflow_Asset!$I113,0)</f>
        <v/>
      </c>
      <c r="E115" s="29">
        <f>IF($B115&lt;=Inputs!$C$6+Inputs!$C$11,Cashflow_Asset!$J113,0)</f>
        <v/>
      </c>
      <c r="F115" s="23">
        <f>$G114</f>
        <v/>
      </c>
      <c r="G115" s="24">
        <f>(MAX(0,$F115-MAX(0,($M115+$S115)-$C115)))+MIN(MAX(0,$D$3-(MAX(0,$F115-MAX(0,($M115+$S115)-$C115)))),MAX(0,MAX(0,($C115+$F115)-$M115)-$S115))</f>
        <v/>
      </c>
      <c r="H115" s="23">
        <f>$J114</f>
        <v/>
      </c>
      <c r="I115" s="24">
        <f>MIN($E115,$H115)</f>
        <v/>
      </c>
      <c r="J115" s="24">
        <f>$H115-$I115</f>
        <v/>
      </c>
      <c r="K115" s="23">
        <f>$P114</f>
        <v/>
      </c>
      <c r="L115" s="24">
        <f>$K115*Inputs!$C$18/12</f>
        <v/>
      </c>
      <c r="M115" s="24">
        <f>MIN(($C115+$F115),$L115)</f>
        <v/>
      </c>
      <c r="N115" s="24">
        <f>MIN(($D115+$X115),MAX(0,$K115-$O115))</f>
        <v/>
      </c>
      <c r="O115" s="24">
        <f>MIN(MAX(0,MAX(0,$E115-$I115)-$U115),$K115)</f>
        <v/>
      </c>
      <c r="P115" s="24">
        <f>MAX(0,$K115-$O115)-$N115</f>
        <v/>
      </c>
      <c r="Q115" s="23">
        <f>$V114</f>
        <v/>
      </c>
      <c r="R115" s="24">
        <f>$Q115*Inputs!$C$19/12</f>
        <v/>
      </c>
      <c r="S115" s="24">
        <f>MIN(MAX(0,($C115+$F115)-$M115),$R115)</f>
        <v/>
      </c>
      <c r="T115" s="24">
        <f>MIN(MAX(0,($D115+$X115)-$N115),MAX(0,$Q115-$U115))</f>
        <v/>
      </c>
      <c r="U115" s="24">
        <f>MIN(MAX(0,$E115-$I115),$Q115)</f>
        <v/>
      </c>
      <c r="V115" s="24">
        <f>MAX(0,$Q115-$U115)-$T115</f>
        <v/>
      </c>
      <c r="W115" s="24">
        <f>MAX(0,MAX(0,($C115+$F115)-$M115)-$S115)-MIN(MAX(0,$D$3-(MAX(0,$F115-MAX(0,($M115+$S115)-$C115)))),MAX(0,MAX(0,($C115+$F115)-$M115)-$S115))</f>
        <v/>
      </c>
      <c r="X115" s="24">
        <f>IF(Inputs!$C$39=1,$W115,0)</f>
        <v/>
      </c>
      <c r="Y115" s="24">
        <f>IF(Inputs!$C$39=0,$W115,0)+MAX(0,MAX(0,($D115+$X115)-$N115)-$T115)</f>
        <v/>
      </c>
    </row>
    <row r="116">
      <c r="B116" s="22" t="n">
        <v>111</v>
      </c>
      <c r="C116" s="29">
        <f>IF($B116&lt;=Inputs!$C$6+Inputs!$C$11,Cashflow_Asset!$E114-Cashflow_Asset!$K114,0)</f>
        <v/>
      </c>
      <c r="D116" s="29">
        <f>IF($B116&lt;=Inputs!$C$6+Inputs!$C$11,Cashflow_Asset!$F114+Cashflow_Asset!$G114+Cashflow_Asset!$I114,0)</f>
        <v/>
      </c>
      <c r="E116" s="29">
        <f>IF($B116&lt;=Inputs!$C$6+Inputs!$C$11,Cashflow_Asset!$J114,0)</f>
        <v/>
      </c>
      <c r="F116" s="23">
        <f>$G115</f>
        <v/>
      </c>
      <c r="G116" s="24">
        <f>(MAX(0,$F116-MAX(0,($M116+$S116)-$C116)))+MIN(MAX(0,$D$3-(MAX(0,$F116-MAX(0,($M116+$S116)-$C116)))),MAX(0,MAX(0,($C116+$F116)-$M116)-$S116))</f>
        <v/>
      </c>
      <c r="H116" s="23">
        <f>$J115</f>
        <v/>
      </c>
      <c r="I116" s="24">
        <f>MIN($E116,$H116)</f>
        <v/>
      </c>
      <c r="J116" s="24">
        <f>$H116-$I116</f>
        <v/>
      </c>
      <c r="K116" s="23">
        <f>$P115</f>
        <v/>
      </c>
      <c r="L116" s="24">
        <f>$K116*Inputs!$C$18/12</f>
        <v/>
      </c>
      <c r="M116" s="24">
        <f>MIN(($C116+$F116),$L116)</f>
        <v/>
      </c>
      <c r="N116" s="24">
        <f>MIN(($D116+$X116),MAX(0,$K116-$O116))</f>
        <v/>
      </c>
      <c r="O116" s="24">
        <f>MIN(MAX(0,MAX(0,$E116-$I116)-$U116),$K116)</f>
        <v/>
      </c>
      <c r="P116" s="24">
        <f>MAX(0,$K116-$O116)-$N116</f>
        <v/>
      </c>
      <c r="Q116" s="23">
        <f>$V115</f>
        <v/>
      </c>
      <c r="R116" s="24">
        <f>$Q116*Inputs!$C$19/12</f>
        <v/>
      </c>
      <c r="S116" s="24">
        <f>MIN(MAX(0,($C116+$F116)-$M116),$R116)</f>
        <v/>
      </c>
      <c r="T116" s="24">
        <f>MIN(MAX(0,($D116+$X116)-$N116),MAX(0,$Q116-$U116))</f>
        <v/>
      </c>
      <c r="U116" s="24">
        <f>MIN(MAX(0,$E116-$I116),$Q116)</f>
        <v/>
      </c>
      <c r="V116" s="24">
        <f>MAX(0,$Q116-$U116)-$T116</f>
        <v/>
      </c>
      <c r="W116" s="24">
        <f>MAX(0,MAX(0,($C116+$F116)-$M116)-$S116)-MIN(MAX(0,$D$3-(MAX(0,$F116-MAX(0,($M116+$S116)-$C116)))),MAX(0,MAX(0,($C116+$F116)-$M116)-$S116))</f>
        <v/>
      </c>
      <c r="X116" s="24">
        <f>IF(Inputs!$C$39=1,$W116,0)</f>
        <v/>
      </c>
      <c r="Y116" s="24">
        <f>IF(Inputs!$C$39=0,$W116,0)+MAX(0,MAX(0,($D116+$X116)-$N116)-$T116)</f>
        <v/>
      </c>
    </row>
    <row r="117">
      <c r="B117" s="22" t="n">
        <v>112</v>
      </c>
      <c r="C117" s="29">
        <f>IF($B117&lt;=Inputs!$C$6+Inputs!$C$11,Cashflow_Asset!$E115-Cashflow_Asset!$K115,0)</f>
        <v/>
      </c>
      <c r="D117" s="29">
        <f>IF($B117&lt;=Inputs!$C$6+Inputs!$C$11,Cashflow_Asset!$F115+Cashflow_Asset!$G115+Cashflow_Asset!$I115,0)</f>
        <v/>
      </c>
      <c r="E117" s="29">
        <f>IF($B117&lt;=Inputs!$C$6+Inputs!$C$11,Cashflow_Asset!$J115,0)</f>
        <v/>
      </c>
      <c r="F117" s="23">
        <f>$G116</f>
        <v/>
      </c>
      <c r="G117" s="24">
        <f>(MAX(0,$F117-MAX(0,($M117+$S117)-$C117)))+MIN(MAX(0,$D$3-(MAX(0,$F117-MAX(0,($M117+$S117)-$C117)))),MAX(0,MAX(0,($C117+$F117)-$M117)-$S117))</f>
        <v/>
      </c>
      <c r="H117" s="23">
        <f>$J116</f>
        <v/>
      </c>
      <c r="I117" s="24">
        <f>MIN($E117,$H117)</f>
        <v/>
      </c>
      <c r="J117" s="24">
        <f>$H117-$I117</f>
        <v/>
      </c>
      <c r="K117" s="23">
        <f>$P116</f>
        <v/>
      </c>
      <c r="L117" s="24">
        <f>$K117*Inputs!$C$18/12</f>
        <v/>
      </c>
      <c r="M117" s="24">
        <f>MIN(($C117+$F117),$L117)</f>
        <v/>
      </c>
      <c r="N117" s="24">
        <f>MIN(($D117+$X117),MAX(0,$K117-$O117))</f>
        <v/>
      </c>
      <c r="O117" s="24">
        <f>MIN(MAX(0,MAX(0,$E117-$I117)-$U117),$K117)</f>
        <v/>
      </c>
      <c r="P117" s="24">
        <f>MAX(0,$K117-$O117)-$N117</f>
        <v/>
      </c>
      <c r="Q117" s="23">
        <f>$V116</f>
        <v/>
      </c>
      <c r="R117" s="24">
        <f>$Q117*Inputs!$C$19/12</f>
        <v/>
      </c>
      <c r="S117" s="24">
        <f>MIN(MAX(0,($C117+$F117)-$M117),$R117)</f>
        <v/>
      </c>
      <c r="T117" s="24">
        <f>MIN(MAX(0,($D117+$X117)-$N117),MAX(0,$Q117-$U117))</f>
        <v/>
      </c>
      <c r="U117" s="24">
        <f>MIN(MAX(0,$E117-$I117),$Q117)</f>
        <v/>
      </c>
      <c r="V117" s="24">
        <f>MAX(0,$Q117-$U117)-$T117</f>
        <v/>
      </c>
      <c r="W117" s="24">
        <f>MAX(0,MAX(0,($C117+$F117)-$M117)-$S117)-MIN(MAX(0,$D$3-(MAX(0,$F117-MAX(0,($M117+$S117)-$C117)))),MAX(0,MAX(0,($C117+$F117)-$M117)-$S117))</f>
        <v/>
      </c>
      <c r="X117" s="24">
        <f>IF(Inputs!$C$39=1,$W117,0)</f>
        <v/>
      </c>
      <c r="Y117" s="24">
        <f>IF(Inputs!$C$39=0,$W117,0)+MAX(0,MAX(0,($D117+$X117)-$N117)-$T117)</f>
        <v/>
      </c>
    </row>
    <row r="118">
      <c r="B118" s="22" t="n">
        <v>113</v>
      </c>
      <c r="C118" s="29">
        <f>IF($B118&lt;=Inputs!$C$6+Inputs!$C$11,Cashflow_Asset!$E116-Cashflow_Asset!$K116,0)</f>
        <v/>
      </c>
      <c r="D118" s="29">
        <f>IF($B118&lt;=Inputs!$C$6+Inputs!$C$11,Cashflow_Asset!$F116+Cashflow_Asset!$G116+Cashflow_Asset!$I116,0)</f>
        <v/>
      </c>
      <c r="E118" s="29">
        <f>IF($B118&lt;=Inputs!$C$6+Inputs!$C$11,Cashflow_Asset!$J116,0)</f>
        <v/>
      </c>
      <c r="F118" s="23">
        <f>$G117</f>
        <v/>
      </c>
      <c r="G118" s="24">
        <f>(MAX(0,$F118-MAX(0,($M118+$S118)-$C118)))+MIN(MAX(0,$D$3-(MAX(0,$F118-MAX(0,($M118+$S118)-$C118)))),MAX(0,MAX(0,($C118+$F118)-$M118)-$S118))</f>
        <v/>
      </c>
      <c r="H118" s="23">
        <f>$J117</f>
        <v/>
      </c>
      <c r="I118" s="24">
        <f>MIN($E118,$H118)</f>
        <v/>
      </c>
      <c r="J118" s="24">
        <f>$H118-$I118</f>
        <v/>
      </c>
      <c r="K118" s="23">
        <f>$P117</f>
        <v/>
      </c>
      <c r="L118" s="24">
        <f>$K118*Inputs!$C$18/12</f>
        <v/>
      </c>
      <c r="M118" s="24">
        <f>MIN(($C118+$F118),$L118)</f>
        <v/>
      </c>
      <c r="N118" s="24">
        <f>MIN(($D118+$X118),MAX(0,$K118-$O118))</f>
        <v/>
      </c>
      <c r="O118" s="24">
        <f>MIN(MAX(0,MAX(0,$E118-$I118)-$U118),$K118)</f>
        <v/>
      </c>
      <c r="P118" s="24">
        <f>MAX(0,$K118-$O118)-$N118</f>
        <v/>
      </c>
      <c r="Q118" s="23">
        <f>$V117</f>
        <v/>
      </c>
      <c r="R118" s="24">
        <f>$Q118*Inputs!$C$19/12</f>
        <v/>
      </c>
      <c r="S118" s="24">
        <f>MIN(MAX(0,($C118+$F118)-$M118),$R118)</f>
        <v/>
      </c>
      <c r="T118" s="24">
        <f>MIN(MAX(0,($D118+$X118)-$N118),MAX(0,$Q118-$U118))</f>
        <v/>
      </c>
      <c r="U118" s="24">
        <f>MIN(MAX(0,$E118-$I118),$Q118)</f>
        <v/>
      </c>
      <c r="V118" s="24">
        <f>MAX(0,$Q118-$U118)-$T118</f>
        <v/>
      </c>
      <c r="W118" s="24">
        <f>MAX(0,MAX(0,($C118+$F118)-$M118)-$S118)-MIN(MAX(0,$D$3-(MAX(0,$F118-MAX(0,($M118+$S118)-$C118)))),MAX(0,MAX(0,($C118+$F118)-$M118)-$S118))</f>
        <v/>
      </c>
      <c r="X118" s="24">
        <f>IF(Inputs!$C$39=1,$W118,0)</f>
        <v/>
      </c>
      <c r="Y118" s="24">
        <f>IF(Inputs!$C$39=0,$W118,0)+MAX(0,MAX(0,($D118+$X118)-$N118)-$T118)</f>
        <v/>
      </c>
    </row>
    <row r="119">
      <c r="B119" s="22" t="n">
        <v>114</v>
      </c>
      <c r="C119" s="29">
        <f>IF($B119&lt;=Inputs!$C$6+Inputs!$C$11,Cashflow_Asset!$E117-Cashflow_Asset!$K117,0)</f>
        <v/>
      </c>
      <c r="D119" s="29">
        <f>IF($B119&lt;=Inputs!$C$6+Inputs!$C$11,Cashflow_Asset!$F117+Cashflow_Asset!$G117+Cashflow_Asset!$I117,0)</f>
        <v/>
      </c>
      <c r="E119" s="29">
        <f>IF($B119&lt;=Inputs!$C$6+Inputs!$C$11,Cashflow_Asset!$J117,0)</f>
        <v/>
      </c>
      <c r="F119" s="23">
        <f>$G118</f>
        <v/>
      </c>
      <c r="G119" s="24">
        <f>(MAX(0,$F119-MAX(0,($M119+$S119)-$C119)))+MIN(MAX(0,$D$3-(MAX(0,$F119-MAX(0,($M119+$S119)-$C119)))),MAX(0,MAX(0,($C119+$F119)-$M119)-$S119))</f>
        <v/>
      </c>
      <c r="H119" s="23">
        <f>$J118</f>
        <v/>
      </c>
      <c r="I119" s="24">
        <f>MIN($E119,$H119)</f>
        <v/>
      </c>
      <c r="J119" s="24">
        <f>$H119-$I119</f>
        <v/>
      </c>
      <c r="K119" s="23">
        <f>$P118</f>
        <v/>
      </c>
      <c r="L119" s="24">
        <f>$K119*Inputs!$C$18/12</f>
        <v/>
      </c>
      <c r="M119" s="24">
        <f>MIN(($C119+$F119),$L119)</f>
        <v/>
      </c>
      <c r="N119" s="24">
        <f>MIN(($D119+$X119),MAX(0,$K119-$O119))</f>
        <v/>
      </c>
      <c r="O119" s="24">
        <f>MIN(MAX(0,MAX(0,$E119-$I119)-$U119),$K119)</f>
        <v/>
      </c>
      <c r="P119" s="24">
        <f>MAX(0,$K119-$O119)-$N119</f>
        <v/>
      </c>
      <c r="Q119" s="23">
        <f>$V118</f>
        <v/>
      </c>
      <c r="R119" s="24">
        <f>$Q119*Inputs!$C$19/12</f>
        <v/>
      </c>
      <c r="S119" s="24">
        <f>MIN(MAX(0,($C119+$F119)-$M119),$R119)</f>
        <v/>
      </c>
      <c r="T119" s="24">
        <f>MIN(MAX(0,($D119+$X119)-$N119),MAX(0,$Q119-$U119))</f>
        <v/>
      </c>
      <c r="U119" s="24">
        <f>MIN(MAX(0,$E119-$I119),$Q119)</f>
        <v/>
      </c>
      <c r="V119" s="24">
        <f>MAX(0,$Q119-$U119)-$T119</f>
        <v/>
      </c>
      <c r="W119" s="24">
        <f>MAX(0,MAX(0,($C119+$F119)-$M119)-$S119)-MIN(MAX(0,$D$3-(MAX(0,$F119-MAX(0,($M119+$S119)-$C119)))),MAX(0,MAX(0,($C119+$F119)-$M119)-$S119))</f>
        <v/>
      </c>
      <c r="X119" s="24">
        <f>IF(Inputs!$C$39=1,$W119,0)</f>
        <v/>
      </c>
      <c r="Y119" s="24">
        <f>IF(Inputs!$C$39=0,$W119,0)+MAX(0,MAX(0,($D119+$X119)-$N119)-$T119)</f>
        <v/>
      </c>
    </row>
    <row r="120">
      <c r="B120" s="22" t="n">
        <v>115</v>
      </c>
      <c r="C120" s="29">
        <f>IF($B120&lt;=Inputs!$C$6+Inputs!$C$11,Cashflow_Asset!$E118-Cashflow_Asset!$K118,0)</f>
        <v/>
      </c>
      <c r="D120" s="29">
        <f>IF($B120&lt;=Inputs!$C$6+Inputs!$C$11,Cashflow_Asset!$F118+Cashflow_Asset!$G118+Cashflow_Asset!$I118,0)</f>
        <v/>
      </c>
      <c r="E120" s="29">
        <f>IF($B120&lt;=Inputs!$C$6+Inputs!$C$11,Cashflow_Asset!$J118,0)</f>
        <v/>
      </c>
      <c r="F120" s="23">
        <f>$G119</f>
        <v/>
      </c>
      <c r="G120" s="24">
        <f>(MAX(0,$F120-MAX(0,($M120+$S120)-$C120)))+MIN(MAX(0,$D$3-(MAX(0,$F120-MAX(0,($M120+$S120)-$C120)))),MAX(0,MAX(0,($C120+$F120)-$M120)-$S120))</f>
        <v/>
      </c>
      <c r="H120" s="23">
        <f>$J119</f>
        <v/>
      </c>
      <c r="I120" s="24">
        <f>MIN($E120,$H120)</f>
        <v/>
      </c>
      <c r="J120" s="24">
        <f>$H120-$I120</f>
        <v/>
      </c>
      <c r="K120" s="23">
        <f>$P119</f>
        <v/>
      </c>
      <c r="L120" s="24">
        <f>$K120*Inputs!$C$18/12</f>
        <v/>
      </c>
      <c r="M120" s="24">
        <f>MIN(($C120+$F120),$L120)</f>
        <v/>
      </c>
      <c r="N120" s="24">
        <f>MIN(($D120+$X120),MAX(0,$K120-$O120))</f>
        <v/>
      </c>
      <c r="O120" s="24">
        <f>MIN(MAX(0,MAX(0,$E120-$I120)-$U120),$K120)</f>
        <v/>
      </c>
      <c r="P120" s="24">
        <f>MAX(0,$K120-$O120)-$N120</f>
        <v/>
      </c>
      <c r="Q120" s="23">
        <f>$V119</f>
        <v/>
      </c>
      <c r="R120" s="24">
        <f>$Q120*Inputs!$C$19/12</f>
        <v/>
      </c>
      <c r="S120" s="24">
        <f>MIN(MAX(0,($C120+$F120)-$M120),$R120)</f>
        <v/>
      </c>
      <c r="T120" s="24">
        <f>MIN(MAX(0,($D120+$X120)-$N120),MAX(0,$Q120-$U120))</f>
        <v/>
      </c>
      <c r="U120" s="24">
        <f>MIN(MAX(0,$E120-$I120),$Q120)</f>
        <v/>
      </c>
      <c r="V120" s="24">
        <f>MAX(0,$Q120-$U120)-$T120</f>
        <v/>
      </c>
      <c r="W120" s="24">
        <f>MAX(0,MAX(0,($C120+$F120)-$M120)-$S120)-MIN(MAX(0,$D$3-(MAX(0,$F120-MAX(0,($M120+$S120)-$C120)))),MAX(0,MAX(0,($C120+$F120)-$M120)-$S120))</f>
        <v/>
      </c>
      <c r="X120" s="24">
        <f>IF(Inputs!$C$39=1,$W120,0)</f>
        <v/>
      </c>
      <c r="Y120" s="24">
        <f>IF(Inputs!$C$39=0,$W120,0)+MAX(0,MAX(0,($D120+$X120)-$N120)-$T120)</f>
        <v/>
      </c>
    </row>
    <row r="121">
      <c r="B121" s="22" t="n">
        <v>116</v>
      </c>
      <c r="C121" s="29">
        <f>IF($B121&lt;=Inputs!$C$6+Inputs!$C$11,Cashflow_Asset!$E119-Cashflow_Asset!$K119,0)</f>
        <v/>
      </c>
      <c r="D121" s="29">
        <f>IF($B121&lt;=Inputs!$C$6+Inputs!$C$11,Cashflow_Asset!$F119+Cashflow_Asset!$G119+Cashflow_Asset!$I119,0)</f>
        <v/>
      </c>
      <c r="E121" s="29">
        <f>IF($B121&lt;=Inputs!$C$6+Inputs!$C$11,Cashflow_Asset!$J119,0)</f>
        <v/>
      </c>
      <c r="F121" s="23">
        <f>$G120</f>
        <v/>
      </c>
      <c r="G121" s="24">
        <f>(MAX(0,$F121-MAX(0,($M121+$S121)-$C121)))+MIN(MAX(0,$D$3-(MAX(0,$F121-MAX(0,($M121+$S121)-$C121)))),MAX(0,MAX(0,($C121+$F121)-$M121)-$S121))</f>
        <v/>
      </c>
      <c r="H121" s="23">
        <f>$J120</f>
        <v/>
      </c>
      <c r="I121" s="24">
        <f>MIN($E121,$H121)</f>
        <v/>
      </c>
      <c r="J121" s="24">
        <f>$H121-$I121</f>
        <v/>
      </c>
      <c r="K121" s="23">
        <f>$P120</f>
        <v/>
      </c>
      <c r="L121" s="24">
        <f>$K121*Inputs!$C$18/12</f>
        <v/>
      </c>
      <c r="M121" s="24">
        <f>MIN(($C121+$F121),$L121)</f>
        <v/>
      </c>
      <c r="N121" s="24">
        <f>MIN(($D121+$X121),MAX(0,$K121-$O121))</f>
        <v/>
      </c>
      <c r="O121" s="24">
        <f>MIN(MAX(0,MAX(0,$E121-$I121)-$U121),$K121)</f>
        <v/>
      </c>
      <c r="P121" s="24">
        <f>MAX(0,$K121-$O121)-$N121</f>
        <v/>
      </c>
      <c r="Q121" s="23">
        <f>$V120</f>
        <v/>
      </c>
      <c r="R121" s="24">
        <f>$Q121*Inputs!$C$19/12</f>
        <v/>
      </c>
      <c r="S121" s="24">
        <f>MIN(MAX(0,($C121+$F121)-$M121),$R121)</f>
        <v/>
      </c>
      <c r="T121" s="24">
        <f>MIN(MAX(0,($D121+$X121)-$N121),MAX(0,$Q121-$U121))</f>
        <v/>
      </c>
      <c r="U121" s="24">
        <f>MIN(MAX(0,$E121-$I121),$Q121)</f>
        <v/>
      </c>
      <c r="V121" s="24">
        <f>MAX(0,$Q121-$U121)-$T121</f>
        <v/>
      </c>
      <c r="W121" s="24">
        <f>MAX(0,MAX(0,($C121+$F121)-$M121)-$S121)-MIN(MAX(0,$D$3-(MAX(0,$F121-MAX(0,($M121+$S121)-$C121)))),MAX(0,MAX(0,($C121+$F121)-$M121)-$S121))</f>
        <v/>
      </c>
      <c r="X121" s="24">
        <f>IF(Inputs!$C$39=1,$W121,0)</f>
        <v/>
      </c>
      <c r="Y121" s="24">
        <f>IF(Inputs!$C$39=0,$W121,0)+MAX(0,MAX(0,($D121+$X121)-$N121)-$T121)</f>
        <v/>
      </c>
    </row>
    <row r="122">
      <c r="B122" s="22" t="n">
        <v>117</v>
      </c>
      <c r="C122" s="29">
        <f>IF($B122&lt;=Inputs!$C$6+Inputs!$C$11,Cashflow_Asset!$E120-Cashflow_Asset!$K120,0)</f>
        <v/>
      </c>
      <c r="D122" s="29">
        <f>IF($B122&lt;=Inputs!$C$6+Inputs!$C$11,Cashflow_Asset!$F120+Cashflow_Asset!$G120+Cashflow_Asset!$I120,0)</f>
        <v/>
      </c>
      <c r="E122" s="29">
        <f>IF($B122&lt;=Inputs!$C$6+Inputs!$C$11,Cashflow_Asset!$J120,0)</f>
        <v/>
      </c>
      <c r="F122" s="23">
        <f>$G121</f>
        <v/>
      </c>
      <c r="G122" s="24">
        <f>(MAX(0,$F122-MAX(0,($M122+$S122)-$C122)))+MIN(MAX(0,$D$3-(MAX(0,$F122-MAX(0,($M122+$S122)-$C122)))),MAX(0,MAX(0,($C122+$F122)-$M122)-$S122))</f>
        <v/>
      </c>
      <c r="H122" s="23">
        <f>$J121</f>
        <v/>
      </c>
      <c r="I122" s="24">
        <f>MIN($E122,$H122)</f>
        <v/>
      </c>
      <c r="J122" s="24">
        <f>$H122-$I122</f>
        <v/>
      </c>
      <c r="K122" s="23">
        <f>$P121</f>
        <v/>
      </c>
      <c r="L122" s="24">
        <f>$K122*Inputs!$C$18/12</f>
        <v/>
      </c>
      <c r="M122" s="24">
        <f>MIN(($C122+$F122),$L122)</f>
        <v/>
      </c>
      <c r="N122" s="24">
        <f>MIN(($D122+$X122),MAX(0,$K122-$O122))</f>
        <v/>
      </c>
      <c r="O122" s="24">
        <f>MIN(MAX(0,MAX(0,$E122-$I122)-$U122),$K122)</f>
        <v/>
      </c>
      <c r="P122" s="24">
        <f>MAX(0,$K122-$O122)-$N122</f>
        <v/>
      </c>
      <c r="Q122" s="23">
        <f>$V121</f>
        <v/>
      </c>
      <c r="R122" s="24">
        <f>$Q122*Inputs!$C$19/12</f>
        <v/>
      </c>
      <c r="S122" s="24">
        <f>MIN(MAX(0,($C122+$F122)-$M122),$R122)</f>
        <v/>
      </c>
      <c r="T122" s="24">
        <f>MIN(MAX(0,($D122+$X122)-$N122),MAX(0,$Q122-$U122))</f>
        <v/>
      </c>
      <c r="U122" s="24">
        <f>MIN(MAX(0,$E122-$I122),$Q122)</f>
        <v/>
      </c>
      <c r="V122" s="24">
        <f>MAX(0,$Q122-$U122)-$T122</f>
        <v/>
      </c>
      <c r="W122" s="24">
        <f>MAX(0,MAX(0,($C122+$F122)-$M122)-$S122)-MIN(MAX(0,$D$3-(MAX(0,$F122-MAX(0,($M122+$S122)-$C122)))),MAX(0,MAX(0,($C122+$F122)-$M122)-$S122))</f>
        <v/>
      </c>
      <c r="X122" s="24">
        <f>IF(Inputs!$C$39=1,$W122,0)</f>
        <v/>
      </c>
      <c r="Y122" s="24">
        <f>IF(Inputs!$C$39=0,$W122,0)+MAX(0,MAX(0,($D122+$X122)-$N122)-$T122)</f>
        <v/>
      </c>
    </row>
    <row r="123">
      <c r="B123" s="22" t="n">
        <v>118</v>
      </c>
      <c r="C123" s="29">
        <f>IF($B123&lt;=Inputs!$C$6+Inputs!$C$11,Cashflow_Asset!$E121-Cashflow_Asset!$K121,0)</f>
        <v/>
      </c>
      <c r="D123" s="29">
        <f>IF($B123&lt;=Inputs!$C$6+Inputs!$C$11,Cashflow_Asset!$F121+Cashflow_Asset!$G121+Cashflow_Asset!$I121,0)</f>
        <v/>
      </c>
      <c r="E123" s="29">
        <f>IF($B123&lt;=Inputs!$C$6+Inputs!$C$11,Cashflow_Asset!$J121,0)</f>
        <v/>
      </c>
      <c r="F123" s="23">
        <f>$G122</f>
        <v/>
      </c>
      <c r="G123" s="24">
        <f>(MAX(0,$F123-MAX(0,($M123+$S123)-$C123)))+MIN(MAX(0,$D$3-(MAX(0,$F123-MAX(0,($M123+$S123)-$C123)))),MAX(0,MAX(0,($C123+$F123)-$M123)-$S123))</f>
        <v/>
      </c>
      <c r="H123" s="23">
        <f>$J122</f>
        <v/>
      </c>
      <c r="I123" s="24">
        <f>MIN($E123,$H123)</f>
        <v/>
      </c>
      <c r="J123" s="24">
        <f>$H123-$I123</f>
        <v/>
      </c>
      <c r="K123" s="23">
        <f>$P122</f>
        <v/>
      </c>
      <c r="L123" s="24">
        <f>$K123*Inputs!$C$18/12</f>
        <v/>
      </c>
      <c r="M123" s="24">
        <f>MIN(($C123+$F123),$L123)</f>
        <v/>
      </c>
      <c r="N123" s="24">
        <f>MIN(($D123+$X123),MAX(0,$K123-$O123))</f>
        <v/>
      </c>
      <c r="O123" s="24">
        <f>MIN(MAX(0,MAX(0,$E123-$I123)-$U123),$K123)</f>
        <v/>
      </c>
      <c r="P123" s="24">
        <f>MAX(0,$K123-$O123)-$N123</f>
        <v/>
      </c>
      <c r="Q123" s="23">
        <f>$V122</f>
        <v/>
      </c>
      <c r="R123" s="24">
        <f>$Q123*Inputs!$C$19/12</f>
        <v/>
      </c>
      <c r="S123" s="24">
        <f>MIN(MAX(0,($C123+$F123)-$M123),$R123)</f>
        <v/>
      </c>
      <c r="T123" s="24">
        <f>MIN(MAX(0,($D123+$X123)-$N123),MAX(0,$Q123-$U123))</f>
        <v/>
      </c>
      <c r="U123" s="24">
        <f>MIN(MAX(0,$E123-$I123),$Q123)</f>
        <v/>
      </c>
      <c r="V123" s="24">
        <f>MAX(0,$Q123-$U123)-$T123</f>
        <v/>
      </c>
      <c r="W123" s="24">
        <f>MAX(0,MAX(0,($C123+$F123)-$M123)-$S123)-MIN(MAX(0,$D$3-(MAX(0,$F123-MAX(0,($M123+$S123)-$C123)))),MAX(0,MAX(0,($C123+$F123)-$M123)-$S123))</f>
        <v/>
      </c>
      <c r="X123" s="24">
        <f>IF(Inputs!$C$39=1,$W123,0)</f>
        <v/>
      </c>
      <c r="Y123" s="24">
        <f>IF(Inputs!$C$39=0,$W123,0)+MAX(0,MAX(0,($D123+$X123)-$N123)-$T123)</f>
        <v/>
      </c>
    </row>
    <row r="124">
      <c r="B124" s="22" t="n">
        <v>119</v>
      </c>
      <c r="C124" s="29">
        <f>IF($B124&lt;=Inputs!$C$6+Inputs!$C$11,Cashflow_Asset!$E122-Cashflow_Asset!$K122,0)</f>
        <v/>
      </c>
      <c r="D124" s="29">
        <f>IF($B124&lt;=Inputs!$C$6+Inputs!$C$11,Cashflow_Asset!$F122+Cashflow_Asset!$G122+Cashflow_Asset!$I122,0)</f>
        <v/>
      </c>
      <c r="E124" s="29">
        <f>IF($B124&lt;=Inputs!$C$6+Inputs!$C$11,Cashflow_Asset!$J122,0)</f>
        <v/>
      </c>
      <c r="F124" s="23">
        <f>$G123</f>
        <v/>
      </c>
      <c r="G124" s="24">
        <f>(MAX(0,$F124-MAX(0,($M124+$S124)-$C124)))+MIN(MAX(0,$D$3-(MAX(0,$F124-MAX(0,($M124+$S124)-$C124)))),MAX(0,MAX(0,($C124+$F124)-$M124)-$S124))</f>
        <v/>
      </c>
      <c r="H124" s="23">
        <f>$J123</f>
        <v/>
      </c>
      <c r="I124" s="24">
        <f>MIN($E124,$H124)</f>
        <v/>
      </c>
      <c r="J124" s="24">
        <f>$H124-$I124</f>
        <v/>
      </c>
      <c r="K124" s="23">
        <f>$P123</f>
        <v/>
      </c>
      <c r="L124" s="24">
        <f>$K124*Inputs!$C$18/12</f>
        <v/>
      </c>
      <c r="M124" s="24">
        <f>MIN(($C124+$F124),$L124)</f>
        <v/>
      </c>
      <c r="N124" s="24">
        <f>MIN(($D124+$X124),MAX(0,$K124-$O124))</f>
        <v/>
      </c>
      <c r="O124" s="24">
        <f>MIN(MAX(0,MAX(0,$E124-$I124)-$U124),$K124)</f>
        <v/>
      </c>
      <c r="P124" s="24">
        <f>MAX(0,$K124-$O124)-$N124</f>
        <v/>
      </c>
      <c r="Q124" s="23">
        <f>$V123</f>
        <v/>
      </c>
      <c r="R124" s="24">
        <f>$Q124*Inputs!$C$19/12</f>
        <v/>
      </c>
      <c r="S124" s="24">
        <f>MIN(MAX(0,($C124+$F124)-$M124),$R124)</f>
        <v/>
      </c>
      <c r="T124" s="24">
        <f>MIN(MAX(0,($D124+$X124)-$N124),MAX(0,$Q124-$U124))</f>
        <v/>
      </c>
      <c r="U124" s="24">
        <f>MIN(MAX(0,$E124-$I124),$Q124)</f>
        <v/>
      </c>
      <c r="V124" s="24">
        <f>MAX(0,$Q124-$U124)-$T124</f>
        <v/>
      </c>
      <c r="W124" s="24">
        <f>MAX(0,MAX(0,($C124+$F124)-$M124)-$S124)-MIN(MAX(0,$D$3-(MAX(0,$F124-MAX(0,($M124+$S124)-$C124)))),MAX(0,MAX(0,($C124+$F124)-$M124)-$S124))</f>
        <v/>
      </c>
      <c r="X124" s="24">
        <f>IF(Inputs!$C$39=1,$W124,0)</f>
        <v/>
      </c>
      <c r="Y124" s="24">
        <f>IF(Inputs!$C$39=0,$W124,0)+MAX(0,MAX(0,($D124+$X124)-$N124)-$T124)</f>
        <v/>
      </c>
    </row>
    <row r="125">
      <c r="B125" s="22" t="n">
        <v>120</v>
      </c>
      <c r="C125" s="29">
        <f>IF($B125&lt;=Inputs!$C$6+Inputs!$C$11,Cashflow_Asset!$E123-Cashflow_Asset!$K123,0)</f>
        <v/>
      </c>
      <c r="D125" s="29">
        <f>IF($B125&lt;=Inputs!$C$6+Inputs!$C$11,Cashflow_Asset!$F123+Cashflow_Asset!$G123+Cashflow_Asset!$I123,0)</f>
        <v/>
      </c>
      <c r="E125" s="29">
        <f>IF($B125&lt;=Inputs!$C$6+Inputs!$C$11,Cashflow_Asset!$J123,0)</f>
        <v/>
      </c>
      <c r="F125" s="23">
        <f>$G124</f>
        <v/>
      </c>
      <c r="G125" s="24">
        <f>(MAX(0,$F125-MAX(0,($M125+$S125)-$C125)))+MIN(MAX(0,$D$3-(MAX(0,$F125-MAX(0,($M125+$S125)-$C125)))),MAX(0,MAX(0,($C125+$F125)-$M125)-$S125))</f>
        <v/>
      </c>
      <c r="H125" s="23">
        <f>$J124</f>
        <v/>
      </c>
      <c r="I125" s="24">
        <f>MIN($E125,$H125)</f>
        <v/>
      </c>
      <c r="J125" s="24">
        <f>$H125-$I125</f>
        <v/>
      </c>
      <c r="K125" s="23">
        <f>$P124</f>
        <v/>
      </c>
      <c r="L125" s="24">
        <f>$K125*Inputs!$C$18/12</f>
        <v/>
      </c>
      <c r="M125" s="24">
        <f>MIN(($C125+$F125),$L125)</f>
        <v/>
      </c>
      <c r="N125" s="24">
        <f>MIN(($D125+$X125),MAX(0,$K125-$O125))</f>
        <v/>
      </c>
      <c r="O125" s="24">
        <f>MIN(MAX(0,MAX(0,$E125-$I125)-$U125),$K125)</f>
        <v/>
      </c>
      <c r="P125" s="24">
        <f>MAX(0,$K125-$O125)-$N125</f>
        <v/>
      </c>
      <c r="Q125" s="23">
        <f>$V124</f>
        <v/>
      </c>
      <c r="R125" s="24">
        <f>$Q125*Inputs!$C$19/12</f>
        <v/>
      </c>
      <c r="S125" s="24">
        <f>MIN(MAX(0,($C125+$F125)-$M125),$R125)</f>
        <v/>
      </c>
      <c r="T125" s="24">
        <f>MIN(MAX(0,($D125+$X125)-$N125),MAX(0,$Q125-$U125))</f>
        <v/>
      </c>
      <c r="U125" s="24">
        <f>MIN(MAX(0,$E125-$I125),$Q125)</f>
        <v/>
      </c>
      <c r="V125" s="24">
        <f>MAX(0,$Q125-$U125)-$T125</f>
        <v/>
      </c>
      <c r="W125" s="24">
        <f>MAX(0,MAX(0,($C125+$F125)-$M125)-$S125)-MIN(MAX(0,$D$3-(MAX(0,$F125-MAX(0,($M125+$S125)-$C125)))),MAX(0,MAX(0,($C125+$F125)-$M125)-$S125))</f>
        <v/>
      </c>
      <c r="X125" s="24">
        <f>IF(Inputs!$C$39=1,$W125,0)</f>
        <v/>
      </c>
      <c r="Y125" s="24">
        <f>IF(Inputs!$C$39=0,$W125,0)+MAX(0,MAX(0,($D125+$X125)-$N125)-$T125)</f>
        <v/>
      </c>
    </row>
    <row r="126">
      <c r="B126" s="22" t="n">
        <v>121</v>
      </c>
      <c r="C126" s="29">
        <f>IF($B126&lt;=Inputs!$C$6+Inputs!$C$11,Cashflow_Asset!$E124-Cashflow_Asset!$K124,0)</f>
        <v/>
      </c>
      <c r="D126" s="29">
        <f>IF($B126&lt;=Inputs!$C$6+Inputs!$C$11,Cashflow_Asset!$F124+Cashflow_Asset!$G124+Cashflow_Asset!$I124,0)</f>
        <v/>
      </c>
      <c r="E126" s="29">
        <f>IF($B126&lt;=Inputs!$C$6+Inputs!$C$11,Cashflow_Asset!$J124,0)</f>
        <v/>
      </c>
      <c r="F126" s="23">
        <f>$G125</f>
        <v/>
      </c>
      <c r="G126" s="24">
        <f>(MAX(0,$F126-MAX(0,($M126+$S126)-$C126)))+MIN(MAX(0,$D$3-(MAX(0,$F126-MAX(0,($M126+$S126)-$C126)))),MAX(0,MAX(0,($C126+$F126)-$M126)-$S126))</f>
        <v/>
      </c>
      <c r="H126" s="23">
        <f>$J125</f>
        <v/>
      </c>
      <c r="I126" s="24">
        <f>MIN($E126,$H126)</f>
        <v/>
      </c>
      <c r="J126" s="24">
        <f>$H126-$I126</f>
        <v/>
      </c>
      <c r="K126" s="23">
        <f>$P125</f>
        <v/>
      </c>
      <c r="L126" s="24">
        <f>$K126*Inputs!$C$18/12</f>
        <v/>
      </c>
      <c r="M126" s="24">
        <f>MIN(($C126+$F126),$L126)</f>
        <v/>
      </c>
      <c r="N126" s="24">
        <f>MIN(($D126+$X126),MAX(0,$K126-$O126))</f>
        <v/>
      </c>
      <c r="O126" s="24">
        <f>MIN(MAX(0,MAX(0,$E126-$I126)-$U126),$K126)</f>
        <v/>
      </c>
      <c r="P126" s="24">
        <f>MAX(0,$K126-$O126)-$N126</f>
        <v/>
      </c>
      <c r="Q126" s="23">
        <f>$V125</f>
        <v/>
      </c>
      <c r="R126" s="24">
        <f>$Q126*Inputs!$C$19/12</f>
        <v/>
      </c>
      <c r="S126" s="24">
        <f>MIN(MAX(0,($C126+$F126)-$M126),$R126)</f>
        <v/>
      </c>
      <c r="T126" s="24">
        <f>MIN(MAX(0,($D126+$X126)-$N126),MAX(0,$Q126-$U126))</f>
        <v/>
      </c>
      <c r="U126" s="24">
        <f>MIN(MAX(0,$E126-$I126),$Q126)</f>
        <v/>
      </c>
      <c r="V126" s="24">
        <f>MAX(0,$Q126-$U126)-$T126</f>
        <v/>
      </c>
      <c r="W126" s="24">
        <f>MAX(0,MAX(0,($C126+$F126)-$M126)-$S126)-MIN(MAX(0,$D$3-(MAX(0,$F126-MAX(0,($M126+$S126)-$C126)))),MAX(0,MAX(0,($C126+$F126)-$M126)-$S126))</f>
        <v/>
      </c>
      <c r="X126" s="24">
        <f>IF(Inputs!$C$39=1,$W126,0)</f>
        <v/>
      </c>
      <c r="Y126" s="24">
        <f>IF(Inputs!$C$39=0,$W126,0)+MAX(0,MAX(0,($D126+$X126)-$N126)-$T126)</f>
        <v/>
      </c>
    </row>
    <row r="127">
      <c r="B127" s="22" t="n">
        <v>122</v>
      </c>
      <c r="C127" s="29">
        <f>IF($B127&lt;=Inputs!$C$6+Inputs!$C$11,Cashflow_Asset!$E125-Cashflow_Asset!$K125,0)</f>
        <v/>
      </c>
      <c r="D127" s="29">
        <f>IF($B127&lt;=Inputs!$C$6+Inputs!$C$11,Cashflow_Asset!$F125+Cashflow_Asset!$G125+Cashflow_Asset!$I125,0)</f>
        <v/>
      </c>
      <c r="E127" s="29">
        <f>IF($B127&lt;=Inputs!$C$6+Inputs!$C$11,Cashflow_Asset!$J125,0)</f>
        <v/>
      </c>
      <c r="F127" s="23">
        <f>$G126</f>
        <v/>
      </c>
      <c r="G127" s="24">
        <f>(MAX(0,$F127-MAX(0,($M127+$S127)-$C127)))+MIN(MAX(0,$D$3-(MAX(0,$F127-MAX(0,($M127+$S127)-$C127)))),MAX(0,MAX(0,($C127+$F127)-$M127)-$S127))</f>
        <v/>
      </c>
      <c r="H127" s="23">
        <f>$J126</f>
        <v/>
      </c>
      <c r="I127" s="24">
        <f>MIN($E127,$H127)</f>
        <v/>
      </c>
      <c r="J127" s="24">
        <f>$H127-$I127</f>
        <v/>
      </c>
      <c r="K127" s="23">
        <f>$P126</f>
        <v/>
      </c>
      <c r="L127" s="24">
        <f>$K127*Inputs!$C$18/12</f>
        <v/>
      </c>
      <c r="M127" s="24">
        <f>MIN(($C127+$F127),$L127)</f>
        <v/>
      </c>
      <c r="N127" s="24">
        <f>MIN(($D127+$X127),MAX(0,$K127-$O127))</f>
        <v/>
      </c>
      <c r="O127" s="24">
        <f>MIN(MAX(0,MAX(0,$E127-$I127)-$U127),$K127)</f>
        <v/>
      </c>
      <c r="P127" s="24">
        <f>MAX(0,$K127-$O127)-$N127</f>
        <v/>
      </c>
      <c r="Q127" s="23">
        <f>$V126</f>
        <v/>
      </c>
      <c r="R127" s="24">
        <f>$Q127*Inputs!$C$19/12</f>
        <v/>
      </c>
      <c r="S127" s="24">
        <f>MIN(MAX(0,($C127+$F127)-$M127),$R127)</f>
        <v/>
      </c>
      <c r="T127" s="24">
        <f>MIN(MAX(0,($D127+$X127)-$N127),MAX(0,$Q127-$U127))</f>
        <v/>
      </c>
      <c r="U127" s="24">
        <f>MIN(MAX(0,$E127-$I127),$Q127)</f>
        <v/>
      </c>
      <c r="V127" s="24">
        <f>MAX(0,$Q127-$U127)-$T127</f>
        <v/>
      </c>
      <c r="W127" s="24">
        <f>MAX(0,MAX(0,($C127+$F127)-$M127)-$S127)-MIN(MAX(0,$D$3-(MAX(0,$F127-MAX(0,($M127+$S127)-$C127)))),MAX(0,MAX(0,($C127+$F127)-$M127)-$S127))</f>
        <v/>
      </c>
      <c r="X127" s="24">
        <f>IF(Inputs!$C$39=1,$W127,0)</f>
        <v/>
      </c>
      <c r="Y127" s="24">
        <f>IF(Inputs!$C$39=0,$W127,0)+MAX(0,MAX(0,($D127+$X127)-$N127)-$T127)</f>
        <v/>
      </c>
    </row>
    <row r="128">
      <c r="B128" s="22" t="n">
        <v>123</v>
      </c>
      <c r="C128" s="29">
        <f>IF($B128&lt;=Inputs!$C$6+Inputs!$C$11,Cashflow_Asset!$E126-Cashflow_Asset!$K126,0)</f>
        <v/>
      </c>
      <c r="D128" s="29">
        <f>IF($B128&lt;=Inputs!$C$6+Inputs!$C$11,Cashflow_Asset!$F126+Cashflow_Asset!$G126+Cashflow_Asset!$I126,0)</f>
        <v/>
      </c>
      <c r="E128" s="29">
        <f>IF($B128&lt;=Inputs!$C$6+Inputs!$C$11,Cashflow_Asset!$J126,0)</f>
        <v/>
      </c>
      <c r="F128" s="23">
        <f>$G127</f>
        <v/>
      </c>
      <c r="G128" s="24">
        <f>(MAX(0,$F128-MAX(0,($M128+$S128)-$C128)))+MIN(MAX(0,$D$3-(MAX(0,$F128-MAX(0,($M128+$S128)-$C128)))),MAX(0,MAX(0,($C128+$F128)-$M128)-$S128))</f>
        <v/>
      </c>
      <c r="H128" s="23">
        <f>$J127</f>
        <v/>
      </c>
      <c r="I128" s="24">
        <f>MIN($E128,$H128)</f>
        <v/>
      </c>
      <c r="J128" s="24">
        <f>$H128-$I128</f>
        <v/>
      </c>
      <c r="K128" s="23">
        <f>$P127</f>
        <v/>
      </c>
      <c r="L128" s="24">
        <f>$K128*Inputs!$C$18/12</f>
        <v/>
      </c>
      <c r="M128" s="24">
        <f>MIN(($C128+$F128),$L128)</f>
        <v/>
      </c>
      <c r="N128" s="24">
        <f>MIN(($D128+$X128),MAX(0,$K128-$O128))</f>
        <v/>
      </c>
      <c r="O128" s="24">
        <f>MIN(MAX(0,MAX(0,$E128-$I128)-$U128),$K128)</f>
        <v/>
      </c>
      <c r="P128" s="24">
        <f>MAX(0,$K128-$O128)-$N128</f>
        <v/>
      </c>
      <c r="Q128" s="23">
        <f>$V127</f>
        <v/>
      </c>
      <c r="R128" s="24">
        <f>$Q128*Inputs!$C$19/12</f>
        <v/>
      </c>
      <c r="S128" s="24">
        <f>MIN(MAX(0,($C128+$F128)-$M128),$R128)</f>
        <v/>
      </c>
      <c r="T128" s="24">
        <f>MIN(MAX(0,($D128+$X128)-$N128),MAX(0,$Q128-$U128))</f>
        <v/>
      </c>
      <c r="U128" s="24">
        <f>MIN(MAX(0,$E128-$I128),$Q128)</f>
        <v/>
      </c>
      <c r="V128" s="24">
        <f>MAX(0,$Q128-$U128)-$T128</f>
        <v/>
      </c>
      <c r="W128" s="24">
        <f>MAX(0,MAX(0,($C128+$F128)-$M128)-$S128)-MIN(MAX(0,$D$3-(MAX(0,$F128-MAX(0,($M128+$S128)-$C128)))),MAX(0,MAX(0,($C128+$F128)-$M128)-$S128))</f>
        <v/>
      </c>
      <c r="X128" s="24">
        <f>IF(Inputs!$C$39=1,$W128,0)</f>
        <v/>
      </c>
      <c r="Y128" s="24">
        <f>IF(Inputs!$C$39=0,$W128,0)+MAX(0,MAX(0,($D128+$X128)-$N128)-$T128)</f>
        <v/>
      </c>
    </row>
    <row r="129">
      <c r="B129" s="22" t="n">
        <v>124</v>
      </c>
      <c r="C129" s="29">
        <f>IF($B129&lt;=Inputs!$C$6+Inputs!$C$11,Cashflow_Asset!$E127-Cashflow_Asset!$K127,0)</f>
        <v/>
      </c>
      <c r="D129" s="29">
        <f>IF($B129&lt;=Inputs!$C$6+Inputs!$C$11,Cashflow_Asset!$F127+Cashflow_Asset!$G127+Cashflow_Asset!$I127,0)</f>
        <v/>
      </c>
      <c r="E129" s="29">
        <f>IF($B129&lt;=Inputs!$C$6+Inputs!$C$11,Cashflow_Asset!$J127,0)</f>
        <v/>
      </c>
      <c r="F129" s="23">
        <f>$G128</f>
        <v/>
      </c>
      <c r="G129" s="24">
        <f>(MAX(0,$F129-MAX(0,($M129+$S129)-$C129)))+MIN(MAX(0,$D$3-(MAX(0,$F129-MAX(0,($M129+$S129)-$C129)))),MAX(0,MAX(0,($C129+$F129)-$M129)-$S129))</f>
        <v/>
      </c>
      <c r="H129" s="23">
        <f>$J128</f>
        <v/>
      </c>
      <c r="I129" s="24">
        <f>MIN($E129,$H129)</f>
        <v/>
      </c>
      <c r="J129" s="24">
        <f>$H129-$I129</f>
        <v/>
      </c>
      <c r="K129" s="23">
        <f>$P128</f>
        <v/>
      </c>
      <c r="L129" s="24">
        <f>$K129*Inputs!$C$18/12</f>
        <v/>
      </c>
      <c r="M129" s="24">
        <f>MIN(($C129+$F129),$L129)</f>
        <v/>
      </c>
      <c r="N129" s="24">
        <f>MIN(($D129+$X129),MAX(0,$K129-$O129))</f>
        <v/>
      </c>
      <c r="O129" s="24">
        <f>MIN(MAX(0,MAX(0,$E129-$I129)-$U129),$K129)</f>
        <v/>
      </c>
      <c r="P129" s="24">
        <f>MAX(0,$K129-$O129)-$N129</f>
        <v/>
      </c>
      <c r="Q129" s="23">
        <f>$V128</f>
        <v/>
      </c>
      <c r="R129" s="24">
        <f>$Q129*Inputs!$C$19/12</f>
        <v/>
      </c>
      <c r="S129" s="24">
        <f>MIN(MAX(0,($C129+$F129)-$M129),$R129)</f>
        <v/>
      </c>
      <c r="T129" s="24">
        <f>MIN(MAX(0,($D129+$X129)-$N129),MAX(0,$Q129-$U129))</f>
        <v/>
      </c>
      <c r="U129" s="24">
        <f>MIN(MAX(0,$E129-$I129),$Q129)</f>
        <v/>
      </c>
      <c r="V129" s="24">
        <f>MAX(0,$Q129-$U129)-$T129</f>
        <v/>
      </c>
      <c r="W129" s="24">
        <f>MAX(0,MAX(0,($C129+$F129)-$M129)-$S129)-MIN(MAX(0,$D$3-(MAX(0,$F129-MAX(0,($M129+$S129)-$C129)))),MAX(0,MAX(0,($C129+$F129)-$M129)-$S129))</f>
        <v/>
      </c>
      <c r="X129" s="24">
        <f>IF(Inputs!$C$39=1,$W129,0)</f>
        <v/>
      </c>
      <c r="Y129" s="24">
        <f>IF(Inputs!$C$39=0,$W129,0)+MAX(0,MAX(0,($D129+$X129)-$N129)-$T129)</f>
        <v/>
      </c>
    </row>
    <row r="130">
      <c r="B130" s="22" t="n">
        <v>125</v>
      </c>
      <c r="C130" s="29">
        <f>IF($B130&lt;=Inputs!$C$6+Inputs!$C$11,Cashflow_Asset!$E128-Cashflow_Asset!$K128,0)</f>
        <v/>
      </c>
      <c r="D130" s="29">
        <f>IF($B130&lt;=Inputs!$C$6+Inputs!$C$11,Cashflow_Asset!$F128+Cashflow_Asset!$G128+Cashflow_Asset!$I128,0)</f>
        <v/>
      </c>
      <c r="E130" s="29">
        <f>IF($B130&lt;=Inputs!$C$6+Inputs!$C$11,Cashflow_Asset!$J128,0)</f>
        <v/>
      </c>
      <c r="F130" s="23">
        <f>$G129</f>
        <v/>
      </c>
      <c r="G130" s="24">
        <f>(MAX(0,$F130-MAX(0,($M130+$S130)-$C130)))+MIN(MAX(0,$D$3-(MAX(0,$F130-MAX(0,($M130+$S130)-$C130)))),MAX(0,MAX(0,($C130+$F130)-$M130)-$S130))</f>
        <v/>
      </c>
      <c r="H130" s="23">
        <f>$J129</f>
        <v/>
      </c>
      <c r="I130" s="24">
        <f>MIN($E130,$H130)</f>
        <v/>
      </c>
      <c r="J130" s="24">
        <f>$H130-$I130</f>
        <v/>
      </c>
      <c r="K130" s="23">
        <f>$P129</f>
        <v/>
      </c>
      <c r="L130" s="24">
        <f>$K130*Inputs!$C$18/12</f>
        <v/>
      </c>
      <c r="M130" s="24">
        <f>MIN(($C130+$F130),$L130)</f>
        <v/>
      </c>
      <c r="N130" s="24">
        <f>MIN(($D130+$X130),MAX(0,$K130-$O130))</f>
        <v/>
      </c>
      <c r="O130" s="24">
        <f>MIN(MAX(0,MAX(0,$E130-$I130)-$U130),$K130)</f>
        <v/>
      </c>
      <c r="P130" s="24">
        <f>MAX(0,$K130-$O130)-$N130</f>
        <v/>
      </c>
      <c r="Q130" s="23">
        <f>$V129</f>
        <v/>
      </c>
      <c r="R130" s="24">
        <f>$Q130*Inputs!$C$19/12</f>
        <v/>
      </c>
      <c r="S130" s="24">
        <f>MIN(MAX(0,($C130+$F130)-$M130),$R130)</f>
        <v/>
      </c>
      <c r="T130" s="24">
        <f>MIN(MAX(0,($D130+$X130)-$N130),MAX(0,$Q130-$U130))</f>
        <v/>
      </c>
      <c r="U130" s="24">
        <f>MIN(MAX(0,$E130-$I130),$Q130)</f>
        <v/>
      </c>
      <c r="V130" s="24">
        <f>MAX(0,$Q130-$U130)-$T130</f>
        <v/>
      </c>
      <c r="W130" s="24">
        <f>MAX(0,MAX(0,($C130+$F130)-$M130)-$S130)-MIN(MAX(0,$D$3-(MAX(0,$F130-MAX(0,($M130+$S130)-$C130)))),MAX(0,MAX(0,($C130+$F130)-$M130)-$S130))</f>
        <v/>
      </c>
      <c r="X130" s="24">
        <f>IF(Inputs!$C$39=1,$W130,0)</f>
        <v/>
      </c>
      <c r="Y130" s="24">
        <f>IF(Inputs!$C$39=0,$W130,0)+MAX(0,MAX(0,($D130+$X130)-$N130)-$T130)</f>
        <v/>
      </c>
    </row>
    <row r="131">
      <c r="B131" s="22" t="n">
        <v>126</v>
      </c>
      <c r="C131" s="29">
        <f>IF($B131&lt;=Inputs!$C$6+Inputs!$C$11,Cashflow_Asset!$E129-Cashflow_Asset!$K129,0)</f>
        <v/>
      </c>
      <c r="D131" s="29">
        <f>IF($B131&lt;=Inputs!$C$6+Inputs!$C$11,Cashflow_Asset!$F129+Cashflow_Asset!$G129+Cashflow_Asset!$I129,0)</f>
        <v/>
      </c>
      <c r="E131" s="29">
        <f>IF($B131&lt;=Inputs!$C$6+Inputs!$C$11,Cashflow_Asset!$J129,0)</f>
        <v/>
      </c>
      <c r="F131" s="23">
        <f>$G130</f>
        <v/>
      </c>
      <c r="G131" s="24">
        <f>(MAX(0,$F131-MAX(0,($M131+$S131)-$C131)))+MIN(MAX(0,$D$3-(MAX(0,$F131-MAX(0,($M131+$S131)-$C131)))),MAX(0,MAX(0,($C131+$F131)-$M131)-$S131))</f>
        <v/>
      </c>
      <c r="H131" s="23">
        <f>$J130</f>
        <v/>
      </c>
      <c r="I131" s="24">
        <f>MIN($E131,$H131)</f>
        <v/>
      </c>
      <c r="J131" s="24">
        <f>$H131-$I131</f>
        <v/>
      </c>
      <c r="K131" s="23">
        <f>$P130</f>
        <v/>
      </c>
      <c r="L131" s="24">
        <f>$K131*Inputs!$C$18/12</f>
        <v/>
      </c>
      <c r="M131" s="24">
        <f>MIN(($C131+$F131),$L131)</f>
        <v/>
      </c>
      <c r="N131" s="24">
        <f>MIN(($D131+$X131),MAX(0,$K131-$O131))</f>
        <v/>
      </c>
      <c r="O131" s="24">
        <f>MIN(MAX(0,MAX(0,$E131-$I131)-$U131),$K131)</f>
        <v/>
      </c>
      <c r="P131" s="24">
        <f>MAX(0,$K131-$O131)-$N131</f>
        <v/>
      </c>
      <c r="Q131" s="23">
        <f>$V130</f>
        <v/>
      </c>
      <c r="R131" s="24">
        <f>$Q131*Inputs!$C$19/12</f>
        <v/>
      </c>
      <c r="S131" s="24">
        <f>MIN(MAX(0,($C131+$F131)-$M131),$R131)</f>
        <v/>
      </c>
      <c r="T131" s="24">
        <f>MIN(MAX(0,($D131+$X131)-$N131),MAX(0,$Q131-$U131))</f>
        <v/>
      </c>
      <c r="U131" s="24">
        <f>MIN(MAX(0,$E131-$I131),$Q131)</f>
        <v/>
      </c>
      <c r="V131" s="24">
        <f>MAX(0,$Q131-$U131)-$T131</f>
        <v/>
      </c>
      <c r="W131" s="24">
        <f>MAX(0,MAX(0,($C131+$F131)-$M131)-$S131)-MIN(MAX(0,$D$3-(MAX(0,$F131-MAX(0,($M131+$S131)-$C131)))),MAX(0,MAX(0,($C131+$F131)-$M131)-$S131))</f>
        <v/>
      </c>
      <c r="X131" s="24">
        <f>IF(Inputs!$C$39=1,$W131,0)</f>
        <v/>
      </c>
      <c r="Y131" s="24">
        <f>IF(Inputs!$C$39=0,$W131,0)+MAX(0,MAX(0,($D131+$X131)-$N131)-$T131)</f>
        <v/>
      </c>
    </row>
    <row r="132">
      <c r="B132" s="22" t="n">
        <v>127</v>
      </c>
      <c r="C132" s="29">
        <f>IF($B132&lt;=Inputs!$C$6+Inputs!$C$11,Cashflow_Asset!$E130-Cashflow_Asset!$K130,0)</f>
        <v/>
      </c>
      <c r="D132" s="29">
        <f>IF($B132&lt;=Inputs!$C$6+Inputs!$C$11,Cashflow_Asset!$F130+Cashflow_Asset!$G130+Cashflow_Asset!$I130,0)</f>
        <v/>
      </c>
      <c r="E132" s="29">
        <f>IF($B132&lt;=Inputs!$C$6+Inputs!$C$11,Cashflow_Asset!$J130,0)</f>
        <v/>
      </c>
      <c r="F132" s="23">
        <f>$G131</f>
        <v/>
      </c>
      <c r="G132" s="24">
        <f>(MAX(0,$F132-MAX(0,($M132+$S132)-$C132)))+MIN(MAX(0,$D$3-(MAX(0,$F132-MAX(0,($M132+$S132)-$C132)))),MAX(0,MAX(0,($C132+$F132)-$M132)-$S132))</f>
        <v/>
      </c>
      <c r="H132" s="23">
        <f>$J131</f>
        <v/>
      </c>
      <c r="I132" s="24">
        <f>MIN($E132,$H132)</f>
        <v/>
      </c>
      <c r="J132" s="24">
        <f>$H132-$I132</f>
        <v/>
      </c>
      <c r="K132" s="23">
        <f>$P131</f>
        <v/>
      </c>
      <c r="L132" s="24">
        <f>$K132*Inputs!$C$18/12</f>
        <v/>
      </c>
      <c r="M132" s="24">
        <f>MIN(($C132+$F132),$L132)</f>
        <v/>
      </c>
      <c r="N132" s="24">
        <f>MIN(($D132+$X132),MAX(0,$K132-$O132))</f>
        <v/>
      </c>
      <c r="O132" s="24">
        <f>MIN(MAX(0,MAX(0,$E132-$I132)-$U132),$K132)</f>
        <v/>
      </c>
      <c r="P132" s="24">
        <f>MAX(0,$K132-$O132)-$N132</f>
        <v/>
      </c>
      <c r="Q132" s="23">
        <f>$V131</f>
        <v/>
      </c>
      <c r="R132" s="24">
        <f>$Q132*Inputs!$C$19/12</f>
        <v/>
      </c>
      <c r="S132" s="24">
        <f>MIN(MAX(0,($C132+$F132)-$M132),$R132)</f>
        <v/>
      </c>
      <c r="T132" s="24">
        <f>MIN(MAX(0,($D132+$X132)-$N132),MAX(0,$Q132-$U132))</f>
        <v/>
      </c>
      <c r="U132" s="24">
        <f>MIN(MAX(0,$E132-$I132),$Q132)</f>
        <v/>
      </c>
      <c r="V132" s="24">
        <f>MAX(0,$Q132-$U132)-$T132</f>
        <v/>
      </c>
      <c r="W132" s="24">
        <f>MAX(0,MAX(0,($C132+$F132)-$M132)-$S132)-MIN(MAX(0,$D$3-(MAX(0,$F132-MAX(0,($M132+$S132)-$C132)))),MAX(0,MAX(0,($C132+$F132)-$M132)-$S132))</f>
        <v/>
      </c>
      <c r="X132" s="24">
        <f>IF(Inputs!$C$39=1,$W132,0)</f>
        <v/>
      </c>
      <c r="Y132" s="24">
        <f>IF(Inputs!$C$39=0,$W132,0)+MAX(0,MAX(0,($D132+$X132)-$N132)-$T132)</f>
        <v/>
      </c>
    </row>
    <row r="133">
      <c r="B133" s="22" t="n">
        <v>128</v>
      </c>
      <c r="C133" s="29">
        <f>IF($B133&lt;=Inputs!$C$6+Inputs!$C$11,Cashflow_Asset!$E131-Cashflow_Asset!$K131,0)</f>
        <v/>
      </c>
      <c r="D133" s="29">
        <f>IF($B133&lt;=Inputs!$C$6+Inputs!$C$11,Cashflow_Asset!$F131+Cashflow_Asset!$G131+Cashflow_Asset!$I131,0)</f>
        <v/>
      </c>
      <c r="E133" s="29">
        <f>IF($B133&lt;=Inputs!$C$6+Inputs!$C$11,Cashflow_Asset!$J131,0)</f>
        <v/>
      </c>
      <c r="F133" s="23">
        <f>$G132</f>
        <v/>
      </c>
      <c r="G133" s="24">
        <f>(MAX(0,$F133-MAX(0,($M133+$S133)-$C133)))+MIN(MAX(0,$D$3-(MAX(0,$F133-MAX(0,($M133+$S133)-$C133)))),MAX(0,MAX(0,($C133+$F133)-$M133)-$S133))</f>
        <v/>
      </c>
      <c r="H133" s="23">
        <f>$J132</f>
        <v/>
      </c>
      <c r="I133" s="24">
        <f>MIN($E133,$H133)</f>
        <v/>
      </c>
      <c r="J133" s="24">
        <f>$H133-$I133</f>
        <v/>
      </c>
      <c r="K133" s="23">
        <f>$P132</f>
        <v/>
      </c>
      <c r="L133" s="24">
        <f>$K133*Inputs!$C$18/12</f>
        <v/>
      </c>
      <c r="M133" s="24">
        <f>MIN(($C133+$F133),$L133)</f>
        <v/>
      </c>
      <c r="N133" s="24">
        <f>MIN(($D133+$X133),MAX(0,$K133-$O133))</f>
        <v/>
      </c>
      <c r="O133" s="24">
        <f>MIN(MAX(0,MAX(0,$E133-$I133)-$U133),$K133)</f>
        <v/>
      </c>
      <c r="P133" s="24">
        <f>MAX(0,$K133-$O133)-$N133</f>
        <v/>
      </c>
      <c r="Q133" s="23">
        <f>$V132</f>
        <v/>
      </c>
      <c r="R133" s="24">
        <f>$Q133*Inputs!$C$19/12</f>
        <v/>
      </c>
      <c r="S133" s="24">
        <f>MIN(MAX(0,($C133+$F133)-$M133),$R133)</f>
        <v/>
      </c>
      <c r="T133" s="24">
        <f>MIN(MAX(0,($D133+$X133)-$N133),MAX(0,$Q133-$U133))</f>
        <v/>
      </c>
      <c r="U133" s="24">
        <f>MIN(MAX(0,$E133-$I133),$Q133)</f>
        <v/>
      </c>
      <c r="V133" s="24">
        <f>MAX(0,$Q133-$U133)-$T133</f>
        <v/>
      </c>
      <c r="W133" s="24">
        <f>MAX(0,MAX(0,($C133+$F133)-$M133)-$S133)-MIN(MAX(0,$D$3-(MAX(0,$F133-MAX(0,($M133+$S133)-$C133)))),MAX(0,MAX(0,($C133+$F133)-$M133)-$S133))</f>
        <v/>
      </c>
      <c r="X133" s="24">
        <f>IF(Inputs!$C$39=1,$W133,0)</f>
        <v/>
      </c>
      <c r="Y133" s="24">
        <f>IF(Inputs!$C$39=0,$W133,0)+MAX(0,MAX(0,($D133+$X133)-$N133)-$T133)</f>
        <v/>
      </c>
    </row>
    <row r="134">
      <c r="B134" s="22" t="n">
        <v>129</v>
      </c>
      <c r="C134" s="29">
        <f>IF($B134&lt;=Inputs!$C$6+Inputs!$C$11,Cashflow_Asset!$E132-Cashflow_Asset!$K132,0)</f>
        <v/>
      </c>
      <c r="D134" s="29">
        <f>IF($B134&lt;=Inputs!$C$6+Inputs!$C$11,Cashflow_Asset!$F132+Cashflow_Asset!$G132+Cashflow_Asset!$I132,0)</f>
        <v/>
      </c>
      <c r="E134" s="29">
        <f>IF($B134&lt;=Inputs!$C$6+Inputs!$C$11,Cashflow_Asset!$J132,0)</f>
        <v/>
      </c>
      <c r="F134" s="23">
        <f>$G133</f>
        <v/>
      </c>
      <c r="G134" s="24">
        <f>(MAX(0,$F134-MAX(0,($M134+$S134)-$C134)))+MIN(MAX(0,$D$3-(MAX(0,$F134-MAX(0,($M134+$S134)-$C134)))),MAX(0,MAX(0,($C134+$F134)-$M134)-$S134))</f>
        <v/>
      </c>
      <c r="H134" s="23">
        <f>$J133</f>
        <v/>
      </c>
      <c r="I134" s="24">
        <f>MIN($E134,$H134)</f>
        <v/>
      </c>
      <c r="J134" s="24">
        <f>$H134-$I134</f>
        <v/>
      </c>
      <c r="K134" s="23">
        <f>$P133</f>
        <v/>
      </c>
      <c r="L134" s="24">
        <f>$K134*Inputs!$C$18/12</f>
        <v/>
      </c>
      <c r="M134" s="24">
        <f>MIN(($C134+$F134),$L134)</f>
        <v/>
      </c>
      <c r="N134" s="24">
        <f>MIN(($D134+$X134),MAX(0,$K134-$O134))</f>
        <v/>
      </c>
      <c r="O134" s="24">
        <f>MIN(MAX(0,MAX(0,$E134-$I134)-$U134),$K134)</f>
        <v/>
      </c>
      <c r="P134" s="24">
        <f>MAX(0,$K134-$O134)-$N134</f>
        <v/>
      </c>
      <c r="Q134" s="23">
        <f>$V133</f>
        <v/>
      </c>
      <c r="R134" s="24">
        <f>$Q134*Inputs!$C$19/12</f>
        <v/>
      </c>
      <c r="S134" s="24">
        <f>MIN(MAX(0,($C134+$F134)-$M134),$R134)</f>
        <v/>
      </c>
      <c r="T134" s="24">
        <f>MIN(MAX(0,($D134+$X134)-$N134),MAX(0,$Q134-$U134))</f>
        <v/>
      </c>
      <c r="U134" s="24">
        <f>MIN(MAX(0,$E134-$I134),$Q134)</f>
        <v/>
      </c>
      <c r="V134" s="24">
        <f>MAX(0,$Q134-$U134)-$T134</f>
        <v/>
      </c>
      <c r="W134" s="24">
        <f>MAX(0,MAX(0,($C134+$F134)-$M134)-$S134)-MIN(MAX(0,$D$3-(MAX(0,$F134-MAX(0,($M134+$S134)-$C134)))),MAX(0,MAX(0,($C134+$F134)-$M134)-$S134))</f>
        <v/>
      </c>
      <c r="X134" s="24">
        <f>IF(Inputs!$C$39=1,$W134,0)</f>
        <v/>
      </c>
      <c r="Y134" s="24">
        <f>IF(Inputs!$C$39=0,$W134,0)+MAX(0,MAX(0,($D134+$X134)-$N134)-$T134)</f>
        <v/>
      </c>
    </row>
    <row r="135">
      <c r="B135" s="22" t="n">
        <v>130</v>
      </c>
      <c r="C135" s="29">
        <f>IF($B135&lt;=Inputs!$C$6+Inputs!$C$11,Cashflow_Asset!$E133-Cashflow_Asset!$K133,0)</f>
        <v/>
      </c>
      <c r="D135" s="29">
        <f>IF($B135&lt;=Inputs!$C$6+Inputs!$C$11,Cashflow_Asset!$F133+Cashflow_Asset!$G133+Cashflow_Asset!$I133,0)</f>
        <v/>
      </c>
      <c r="E135" s="29">
        <f>IF($B135&lt;=Inputs!$C$6+Inputs!$C$11,Cashflow_Asset!$J133,0)</f>
        <v/>
      </c>
      <c r="F135" s="23">
        <f>$G134</f>
        <v/>
      </c>
      <c r="G135" s="24">
        <f>(MAX(0,$F135-MAX(0,($M135+$S135)-$C135)))+MIN(MAX(0,$D$3-(MAX(0,$F135-MAX(0,($M135+$S135)-$C135)))),MAX(0,MAX(0,($C135+$F135)-$M135)-$S135))</f>
        <v/>
      </c>
      <c r="H135" s="23">
        <f>$J134</f>
        <v/>
      </c>
      <c r="I135" s="24">
        <f>MIN($E135,$H135)</f>
        <v/>
      </c>
      <c r="J135" s="24">
        <f>$H135-$I135</f>
        <v/>
      </c>
      <c r="K135" s="23">
        <f>$P134</f>
        <v/>
      </c>
      <c r="L135" s="24">
        <f>$K135*Inputs!$C$18/12</f>
        <v/>
      </c>
      <c r="M135" s="24">
        <f>MIN(($C135+$F135),$L135)</f>
        <v/>
      </c>
      <c r="N135" s="24">
        <f>MIN(($D135+$X135),MAX(0,$K135-$O135))</f>
        <v/>
      </c>
      <c r="O135" s="24">
        <f>MIN(MAX(0,MAX(0,$E135-$I135)-$U135),$K135)</f>
        <v/>
      </c>
      <c r="P135" s="24">
        <f>MAX(0,$K135-$O135)-$N135</f>
        <v/>
      </c>
      <c r="Q135" s="23">
        <f>$V134</f>
        <v/>
      </c>
      <c r="R135" s="24">
        <f>$Q135*Inputs!$C$19/12</f>
        <v/>
      </c>
      <c r="S135" s="24">
        <f>MIN(MAX(0,($C135+$F135)-$M135),$R135)</f>
        <v/>
      </c>
      <c r="T135" s="24">
        <f>MIN(MAX(0,($D135+$X135)-$N135),MAX(0,$Q135-$U135))</f>
        <v/>
      </c>
      <c r="U135" s="24">
        <f>MIN(MAX(0,$E135-$I135),$Q135)</f>
        <v/>
      </c>
      <c r="V135" s="24">
        <f>MAX(0,$Q135-$U135)-$T135</f>
        <v/>
      </c>
      <c r="W135" s="24">
        <f>MAX(0,MAX(0,($C135+$F135)-$M135)-$S135)-MIN(MAX(0,$D$3-(MAX(0,$F135-MAX(0,($M135+$S135)-$C135)))),MAX(0,MAX(0,($C135+$F135)-$M135)-$S135))</f>
        <v/>
      </c>
      <c r="X135" s="24">
        <f>IF(Inputs!$C$39=1,$W135,0)</f>
        <v/>
      </c>
      <c r="Y135" s="24">
        <f>IF(Inputs!$C$39=0,$W135,0)+MAX(0,MAX(0,($D135+$X135)-$N135)-$T135)</f>
        <v/>
      </c>
    </row>
    <row r="136">
      <c r="B136" s="22" t="n">
        <v>131</v>
      </c>
      <c r="C136" s="29">
        <f>IF($B136&lt;=Inputs!$C$6+Inputs!$C$11,Cashflow_Asset!$E134-Cashflow_Asset!$K134,0)</f>
        <v/>
      </c>
      <c r="D136" s="29">
        <f>IF($B136&lt;=Inputs!$C$6+Inputs!$C$11,Cashflow_Asset!$F134+Cashflow_Asset!$G134+Cashflow_Asset!$I134,0)</f>
        <v/>
      </c>
      <c r="E136" s="29">
        <f>IF($B136&lt;=Inputs!$C$6+Inputs!$C$11,Cashflow_Asset!$J134,0)</f>
        <v/>
      </c>
      <c r="F136" s="23">
        <f>$G135</f>
        <v/>
      </c>
      <c r="G136" s="24">
        <f>(MAX(0,$F136-MAX(0,($M136+$S136)-$C136)))+MIN(MAX(0,$D$3-(MAX(0,$F136-MAX(0,($M136+$S136)-$C136)))),MAX(0,MAX(0,($C136+$F136)-$M136)-$S136))</f>
        <v/>
      </c>
      <c r="H136" s="23">
        <f>$J135</f>
        <v/>
      </c>
      <c r="I136" s="24">
        <f>MIN($E136,$H136)</f>
        <v/>
      </c>
      <c r="J136" s="24">
        <f>$H136-$I136</f>
        <v/>
      </c>
      <c r="K136" s="23">
        <f>$P135</f>
        <v/>
      </c>
      <c r="L136" s="24">
        <f>$K136*Inputs!$C$18/12</f>
        <v/>
      </c>
      <c r="M136" s="24">
        <f>MIN(($C136+$F136),$L136)</f>
        <v/>
      </c>
      <c r="N136" s="24">
        <f>MIN(($D136+$X136),MAX(0,$K136-$O136))</f>
        <v/>
      </c>
      <c r="O136" s="24">
        <f>MIN(MAX(0,MAX(0,$E136-$I136)-$U136),$K136)</f>
        <v/>
      </c>
      <c r="P136" s="24">
        <f>MAX(0,$K136-$O136)-$N136</f>
        <v/>
      </c>
      <c r="Q136" s="23">
        <f>$V135</f>
        <v/>
      </c>
      <c r="R136" s="24">
        <f>$Q136*Inputs!$C$19/12</f>
        <v/>
      </c>
      <c r="S136" s="24">
        <f>MIN(MAX(0,($C136+$F136)-$M136),$R136)</f>
        <v/>
      </c>
      <c r="T136" s="24">
        <f>MIN(MAX(0,($D136+$X136)-$N136),MAX(0,$Q136-$U136))</f>
        <v/>
      </c>
      <c r="U136" s="24">
        <f>MIN(MAX(0,$E136-$I136),$Q136)</f>
        <v/>
      </c>
      <c r="V136" s="24">
        <f>MAX(0,$Q136-$U136)-$T136</f>
        <v/>
      </c>
      <c r="W136" s="24">
        <f>MAX(0,MAX(0,($C136+$F136)-$M136)-$S136)-MIN(MAX(0,$D$3-(MAX(0,$F136-MAX(0,($M136+$S136)-$C136)))),MAX(0,MAX(0,($C136+$F136)-$M136)-$S136))</f>
        <v/>
      </c>
      <c r="X136" s="24">
        <f>IF(Inputs!$C$39=1,$W136,0)</f>
        <v/>
      </c>
      <c r="Y136" s="24">
        <f>IF(Inputs!$C$39=0,$W136,0)+MAX(0,MAX(0,($D136+$X136)-$N136)-$T136)</f>
        <v/>
      </c>
    </row>
    <row r="137">
      <c r="B137" s="22" t="n">
        <v>132</v>
      </c>
      <c r="C137" s="29">
        <f>IF($B137&lt;=Inputs!$C$6+Inputs!$C$11,Cashflow_Asset!$E135-Cashflow_Asset!$K135,0)</f>
        <v/>
      </c>
      <c r="D137" s="29">
        <f>IF($B137&lt;=Inputs!$C$6+Inputs!$C$11,Cashflow_Asset!$F135+Cashflow_Asset!$G135+Cashflow_Asset!$I135,0)</f>
        <v/>
      </c>
      <c r="E137" s="29">
        <f>IF($B137&lt;=Inputs!$C$6+Inputs!$C$11,Cashflow_Asset!$J135,0)</f>
        <v/>
      </c>
      <c r="F137" s="23">
        <f>$G136</f>
        <v/>
      </c>
      <c r="G137" s="24">
        <f>(MAX(0,$F137-MAX(0,($M137+$S137)-$C137)))+MIN(MAX(0,$D$3-(MAX(0,$F137-MAX(0,($M137+$S137)-$C137)))),MAX(0,MAX(0,($C137+$F137)-$M137)-$S137))</f>
        <v/>
      </c>
      <c r="H137" s="23">
        <f>$J136</f>
        <v/>
      </c>
      <c r="I137" s="24">
        <f>MIN($E137,$H137)</f>
        <v/>
      </c>
      <c r="J137" s="24">
        <f>$H137-$I137</f>
        <v/>
      </c>
      <c r="K137" s="23">
        <f>$P136</f>
        <v/>
      </c>
      <c r="L137" s="24">
        <f>$K137*Inputs!$C$18/12</f>
        <v/>
      </c>
      <c r="M137" s="24">
        <f>MIN(($C137+$F137),$L137)</f>
        <v/>
      </c>
      <c r="N137" s="24">
        <f>MIN(($D137+$X137),MAX(0,$K137-$O137))</f>
        <v/>
      </c>
      <c r="O137" s="24">
        <f>MIN(MAX(0,MAX(0,$E137-$I137)-$U137),$K137)</f>
        <v/>
      </c>
      <c r="P137" s="24">
        <f>MAX(0,$K137-$O137)-$N137</f>
        <v/>
      </c>
      <c r="Q137" s="23">
        <f>$V136</f>
        <v/>
      </c>
      <c r="R137" s="24">
        <f>$Q137*Inputs!$C$19/12</f>
        <v/>
      </c>
      <c r="S137" s="24">
        <f>MIN(MAX(0,($C137+$F137)-$M137),$R137)</f>
        <v/>
      </c>
      <c r="T137" s="24">
        <f>MIN(MAX(0,($D137+$X137)-$N137),MAX(0,$Q137-$U137))</f>
        <v/>
      </c>
      <c r="U137" s="24">
        <f>MIN(MAX(0,$E137-$I137),$Q137)</f>
        <v/>
      </c>
      <c r="V137" s="24">
        <f>MAX(0,$Q137-$U137)-$T137</f>
        <v/>
      </c>
      <c r="W137" s="24">
        <f>MAX(0,MAX(0,($C137+$F137)-$M137)-$S137)-MIN(MAX(0,$D$3-(MAX(0,$F137-MAX(0,($M137+$S137)-$C137)))),MAX(0,MAX(0,($C137+$F137)-$M137)-$S137))</f>
        <v/>
      </c>
      <c r="X137" s="24">
        <f>IF(Inputs!$C$39=1,$W137,0)</f>
        <v/>
      </c>
      <c r="Y137" s="24">
        <f>IF(Inputs!$C$39=0,$W137,0)+MAX(0,MAX(0,($D137+$X137)-$N137)-$T137)</f>
        <v/>
      </c>
    </row>
    <row r="138">
      <c r="B138" s="22" t="n">
        <v>133</v>
      </c>
      <c r="C138" s="29">
        <f>IF($B138&lt;=Inputs!$C$6+Inputs!$C$11,Cashflow_Asset!$E136-Cashflow_Asset!$K136,0)</f>
        <v/>
      </c>
      <c r="D138" s="29">
        <f>IF($B138&lt;=Inputs!$C$6+Inputs!$C$11,Cashflow_Asset!$F136+Cashflow_Asset!$G136+Cashflow_Asset!$I136,0)</f>
        <v/>
      </c>
      <c r="E138" s="29">
        <f>IF($B138&lt;=Inputs!$C$6+Inputs!$C$11,Cashflow_Asset!$J136,0)</f>
        <v/>
      </c>
      <c r="F138" s="23">
        <f>$G137</f>
        <v/>
      </c>
      <c r="G138" s="24">
        <f>(MAX(0,$F138-MAX(0,($M138+$S138)-$C138)))+MIN(MAX(0,$D$3-(MAX(0,$F138-MAX(0,($M138+$S138)-$C138)))),MAX(0,MAX(0,($C138+$F138)-$M138)-$S138))</f>
        <v/>
      </c>
      <c r="H138" s="23">
        <f>$J137</f>
        <v/>
      </c>
      <c r="I138" s="24">
        <f>MIN($E138,$H138)</f>
        <v/>
      </c>
      <c r="J138" s="24">
        <f>$H138-$I138</f>
        <v/>
      </c>
      <c r="K138" s="23">
        <f>$P137</f>
        <v/>
      </c>
      <c r="L138" s="24">
        <f>$K138*Inputs!$C$18/12</f>
        <v/>
      </c>
      <c r="M138" s="24">
        <f>MIN(($C138+$F138),$L138)</f>
        <v/>
      </c>
      <c r="N138" s="24">
        <f>MIN(($D138+$X138),MAX(0,$K138-$O138))</f>
        <v/>
      </c>
      <c r="O138" s="24">
        <f>MIN(MAX(0,MAX(0,$E138-$I138)-$U138),$K138)</f>
        <v/>
      </c>
      <c r="P138" s="24">
        <f>MAX(0,$K138-$O138)-$N138</f>
        <v/>
      </c>
      <c r="Q138" s="23">
        <f>$V137</f>
        <v/>
      </c>
      <c r="R138" s="24">
        <f>$Q138*Inputs!$C$19/12</f>
        <v/>
      </c>
      <c r="S138" s="24">
        <f>MIN(MAX(0,($C138+$F138)-$M138),$R138)</f>
        <v/>
      </c>
      <c r="T138" s="24">
        <f>MIN(MAX(0,($D138+$X138)-$N138),MAX(0,$Q138-$U138))</f>
        <v/>
      </c>
      <c r="U138" s="24">
        <f>MIN(MAX(0,$E138-$I138),$Q138)</f>
        <v/>
      </c>
      <c r="V138" s="24">
        <f>MAX(0,$Q138-$U138)-$T138</f>
        <v/>
      </c>
      <c r="W138" s="24">
        <f>MAX(0,MAX(0,($C138+$F138)-$M138)-$S138)-MIN(MAX(0,$D$3-(MAX(0,$F138-MAX(0,($M138+$S138)-$C138)))),MAX(0,MAX(0,($C138+$F138)-$M138)-$S138))</f>
        <v/>
      </c>
      <c r="X138" s="24">
        <f>IF(Inputs!$C$39=1,$W138,0)</f>
        <v/>
      </c>
      <c r="Y138" s="24">
        <f>IF(Inputs!$C$39=0,$W138,0)+MAX(0,MAX(0,($D138+$X138)-$N138)-$T138)</f>
        <v/>
      </c>
    </row>
    <row r="139">
      <c r="B139" s="22" t="n">
        <v>134</v>
      </c>
      <c r="C139" s="29">
        <f>IF($B139&lt;=Inputs!$C$6+Inputs!$C$11,Cashflow_Asset!$E137-Cashflow_Asset!$K137,0)</f>
        <v/>
      </c>
      <c r="D139" s="29">
        <f>IF($B139&lt;=Inputs!$C$6+Inputs!$C$11,Cashflow_Asset!$F137+Cashflow_Asset!$G137+Cashflow_Asset!$I137,0)</f>
        <v/>
      </c>
      <c r="E139" s="29">
        <f>IF($B139&lt;=Inputs!$C$6+Inputs!$C$11,Cashflow_Asset!$J137,0)</f>
        <v/>
      </c>
      <c r="F139" s="23">
        <f>$G138</f>
        <v/>
      </c>
      <c r="G139" s="24">
        <f>(MAX(0,$F139-MAX(0,($M139+$S139)-$C139)))+MIN(MAX(0,$D$3-(MAX(0,$F139-MAX(0,($M139+$S139)-$C139)))),MAX(0,MAX(0,($C139+$F139)-$M139)-$S139))</f>
        <v/>
      </c>
      <c r="H139" s="23">
        <f>$J138</f>
        <v/>
      </c>
      <c r="I139" s="24">
        <f>MIN($E139,$H139)</f>
        <v/>
      </c>
      <c r="J139" s="24">
        <f>$H139-$I139</f>
        <v/>
      </c>
      <c r="K139" s="23">
        <f>$P138</f>
        <v/>
      </c>
      <c r="L139" s="24">
        <f>$K139*Inputs!$C$18/12</f>
        <v/>
      </c>
      <c r="M139" s="24">
        <f>MIN(($C139+$F139),$L139)</f>
        <v/>
      </c>
      <c r="N139" s="24">
        <f>MIN(($D139+$X139),MAX(0,$K139-$O139))</f>
        <v/>
      </c>
      <c r="O139" s="24">
        <f>MIN(MAX(0,MAX(0,$E139-$I139)-$U139),$K139)</f>
        <v/>
      </c>
      <c r="P139" s="24">
        <f>MAX(0,$K139-$O139)-$N139</f>
        <v/>
      </c>
      <c r="Q139" s="23">
        <f>$V138</f>
        <v/>
      </c>
      <c r="R139" s="24">
        <f>$Q139*Inputs!$C$19/12</f>
        <v/>
      </c>
      <c r="S139" s="24">
        <f>MIN(MAX(0,($C139+$F139)-$M139),$R139)</f>
        <v/>
      </c>
      <c r="T139" s="24">
        <f>MIN(MAX(0,($D139+$X139)-$N139),MAX(0,$Q139-$U139))</f>
        <v/>
      </c>
      <c r="U139" s="24">
        <f>MIN(MAX(0,$E139-$I139),$Q139)</f>
        <v/>
      </c>
      <c r="V139" s="24">
        <f>MAX(0,$Q139-$U139)-$T139</f>
        <v/>
      </c>
      <c r="W139" s="24">
        <f>MAX(0,MAX(0,($C139+$F139)-$M139)-$S139)-MIN(MAX(0,$D$3-(MAX(0,$F139-MAX(0,($M139+$S139)-$C139)))),MAX(0,MAX(0,($C139+$F139)-$M139)-$S139))</f>
        <v/>
      </c>
      <c r="X139" s="24">
        <f>IF(Inputs!$C$39=1,$W139,0)</f>
        <v/>
      </c>
      <c r="Y139" s="24">
        <f>IF(Inputs!$C$39=0,$W139,0)+MAX(0,MAX(0,($D139+$X139)-$N139)-$T139)</f>
        <v/>
      </c>
    </row>
    <row r="140">
      <c r="B140" s="22" t="n">
        <v>135</v>
      </c>
      <c r="C140" s="29">
        <f>IF($B140&lt;=Inputs!$C$6+Inputs!$C$11,Cashflow_Asset!$E138-Cashflow_Asset!$K138,0)</f>
        <v/>
      </c>
      <c r="D140" s="29">
        <f>IF($B140&lt;=Inputs!$C$6+Inputs!$C$11,Cashflow_Asset!$F138+Cashflow_Asset!$G138+Cashflow_Asset!$I138,0)</f>
        <v/>
      </c>
      <c r="E140" s="29">
        <f>IF($B140&lt;=Inputs!$C$6+Inputs!$C$11,Cashflow_Asset!$J138,0)</f>
        <v/>
      </c>
      <c r="F140" s="23">
        <f>$G139</f>
        <v/>
      </c>
      <c r="G140" s="24">
        <f>(MAX(0,$F140-MAX(0,($M140+$S140)-$C140)))+MIN(MAX(0,$D$3-(MAX(0,$F140-MAX(0,($M140+$S140)-$C140)))),MAX(0,MAX(0,($C140+$F140)-$M140)-$S140))</f>
        <v/>
      </c>
      <c r="H140" s="23">
        <f>$J139</f>
        <v/>
      </c>
      <c r="I140" s="24">
        <f>MIN($E140,$H140)</f>
        <v/>
      </c>
      <c r="J140" s="24">
        <f>$H140-$I140</f>
        <v/>
      </c>
      <c r="K140" s="23">
        <f>$P139</f>
        <v/>
      </c>
      <c r="L140" s="24">
        <f>$K140*Inputs!$C$18/12</f>
        <v/>
      </c>
      <c r="M140" s="24">
        <f>MIN(($C140+$F140),$L140)</f>
        <v/>
      </c>
      <c r="N140" s="24">
        <f>MIN(($D140+$X140),MAX(0,$K140-$O140))</f>
        <v/>
      </c>
      <c r="O140" s="24">
        <f>MIN(MAX(0,MAX(0,$E140-$I140)-$U140),$K140)</f>
        <v/>
      </c>
      <c r="P140" s="24">
        <f>MAX(0,$K140-$O140)-$N140</f>
        <v/>
      </c>
      <c r="Q140" s="23">
        <f>$V139</f>
        <v/>
      </c>
      <c r="R140" s="24">
        <f>$Q140*Inputs!$C$19/12</f>
        <v/>
      </c>
      <c r="S140" s="24">
        <f>MIN(MAX(0,($C140+$F140)-$M140),$R140)</f>
        <v/>
      </c>
      <c r="T140" s="24">
        <f>MIN(MAX(0,($D140+$X140)-$N140),MAX(0,$Q140-$U140))</f>
        <v/>
      </c>
      <c r="U140" s="24">
        <f>MIN(MAX(0,$E140-$I140),$Q140)</f>
        <v/>
      </c>
      <c r="V140" s="24">
        <f>MAX(0,$Q140-$U140)-$T140</f>
        <v/>
      </c>
      <c r="W140" s="24">
        <f>MAX(0,MAX(0,($C140+$F140)-$M140)-$S140)-MIN(MAX(0,$D$3-(MAX(0,$F140-MAX(0,($M140+$S140)-$C140)))),MAX(0,MAX(0,($C140+$F140)-$M140)-$S140))</f>
        <v/>
      </c>
      <c r="X140" s="24">
        <f>IF(Inputs!$C$39=1,$W140,0)</f>
        <v/>
      </c>
      <c r="Y140" s="24">
        <f>IF(Inputs!$C$39=0,$W140,0)+MAX(0,MAX(0,($D140+$X140)-$N140)-$T140)</f>
        <v/>
      </c>
    </row>
    <row r="141">
      <c r="B141" s="22" t="n">
        <v>136</v>
      </c>
      <c r="C141" s="29">
        <f>IF($B141&lt;=Inputs!$C$6+Inputs!$C$11,Cashflow_Asset!$E139-Cashflow_Asset!$K139,0)</f>
        <v/>
      </c>
      <c r="D141" s="29">
        <f>IF($B141&lt;=Inputs!$C$6+Inputs!$C$11,Cashflow_Asset!$F139+Cashflow_Asset!$G139+Cashflow_Asset!$I139,0)</f>
        <v/>
      </c>
      <c r="E141" s="29">
        <f>IF($B141&lt;=Inputs!$C$6+Inputs!$C$11,Cashflow_Asset!$J139,0)</f>
        <v/>
      </c>
      <c r="F141" s="23">
        <f>$G140</f>
        <v/>
      </c>
      <c r="G141" s="24">
        <f>(MAX(0,$F141-MAX(0,($M141+$S141)-$C141)))+MIN(MAX(0,$D$3-(MAX(0,$F141-MAX(0,($M141+$S141)-$C141)))),MAX(0,MAX(0,($C141+$F141)-$M141)-$S141))</f>
        <v/>
      </c>
      <c r="H141" s="23">
        <f>$J140</f>
        <v/>
      </c>
      <c r="I141" s="24">
        <f>MIN($E141,$H141)</f>
        <v/>
      </c>
      <c r="J141" s="24">
        <f>$H141-$I141</f>
        <v/>
      </c>
      <c r="K141" s="23">
        <f>$P140</f>
        <v/>
      </c>
      <c r="L141" s="24">
        <f>$K141*Inputs!$C$18/12</f>
        <v/>
      </c>
      <c r="M141" s="24">
        <f>MIN(($C141+$F141),$L141)</f>
        <v/>
      </c>
      <c r="N141" s="24">
        <f>MIN(($D141+$X141),MAX(0,$K141-$O141))</f>
        <v/>
      </c>
      <c r="O141" s="24">
        <f>MIN(MAX(0,MAX(0,$E141-$I141)-$U141),$K141)</f>
        <v/>
      </c>
      <c r="P141" s="24">
        <f>MAX(0,$K141-$O141)-$N141</f>
        <v/>
      </c>
      <c r="Q141" s="23">
        <f>$V140</f>
        <v/>
      </c>
      <c r="R141" s="24">
        <f>$Q141*Inputs!$C$19/12</f>
        <v/>
      </c>
      <c r="S141" s="24">
        <f>MIN(MAX(0,($C141+$F141)-$M141),$R141)</f>
        <v/>
      </c>
      <c r="T141" s="24">
        <f>MIN(MAX(0,($D141+$X141)-$N141),MAX(0,$Q141-$U141))</f>
        <v/>
      </c>
      <c r="U141" s="24">
        <f>MIN(MAX(0,$E141-$I141),$Q141)</f>
        <v/>
      </c>
      <c r="V141" s="24">
        <f>MAX(0,$Q141-$U141)-$T141</f>
        <v/>
      </c>
      <c r="W141" s="24">
        <f>MAX(0,MAX(0,($C141+$F141)-$M141)-$S141)-MIN(MAX(0,$D$3-(MAX(0,$F141-MAX(0,($M141+$S141)-$C141)))),MAX(0,MAX(0,($C141+$F141)-$M141)-$S141))</f>
        <v/>
      </c>
      <c r="X141" s="24">
        <f>IF(Inputs!$C$39=1,$W141,0)</f>
        <v/>
      </c>
      <c r="Y141" s="24">
        <f>IF(Inputs!$C$39=0,$W141,0)+MAX(0,MAX(0,($D141+$X141)-$N141)-$T141)</f>
        <v/>
      </c>
    </row>
    <row r="142">
      <c r="B142" s="22" t="n">
        <v>137</v>
      </c>
      <c r="C142" s="29">
        <f>IF($B142&lt;=Inputs!$C$6+Inputs!$C$11,Cashflow_Asset!$E140-Cashflow_Asset!$K140,0)</f>
        <v/>
      </c>
      <c r="D142" s="29">
        <f>IF($B142&lt;=Inputs!$C$6+Inputs!$C$11,Cashflow_Asset!$F140+Cashflow_Asset!$G140+Cashflow_Asset!$I140,0)</f>
        <v/>
      </c>
      <c r="E142" s="29">
        <f>IF($B142&lt;=Inputs!$C$6+Inputs!$C$11,Cashflow_Asset!$J140,0)</f>
        <v/>
      </c>
      <c r="F142" s="23">
        <f>$G141</f>
        <v/>
      </c>
      <c r="G142" s="24">
        <f>(MAX(0,$F142-MAX(0,($M142+$S142)-$C142)))+MIN(MAX(0,$D$3-(MAX(0,$F142-MAX(0,($M142+$S142)-$C142)))),MAX(0,MAX(0,($C142+$F142)-$M142)-$S142))</f>
        <v/>
      </c>
      <c r="H142" s="23">
        <f>$J141</f>
        <v/>
      </c>
      <c r="I142" s="24">
        <f>MIN($E142,$H142)</f>
        <v/>
      </c>
      <c r="J142" s="24">
        <f>$H142-$I142</f>
        <v/>
      </c>
      <c r="K142" s="23">
        <f>$P141</f>
        <v/>
      </c>
      <c r="L142" s="24">
        <f>$K142*Inputs!$C$18/12</f>
        <v/>
      </c>
      <c r="M142" s="24">
        <f>MIN(($C142+$F142),$L142)</f>
        <v/>
      </c>
      <c r="N142" s="24">
        <f>MIN(($D142+$X142),MAX(0,$K142-$O142))</f>
        <v/>
      </c>
      <c r="O142" s="24">
        <f>MIN(MAX(0,MAX(0,$E142-$I142)-$U142),$K142)</f>
        <v/>
      </c>
      <c r="P142" s="24">
        <f>MAX(0,$K142-$O142)-$N142</f>
        <v/>
      </c>
      <c r="Q142" s="23">
        <f>$V141</f>
        <v/>
      </c>
      <c r="R142" s="24">
        <f>$Q142*Inputs!$C$19/12</f>
        <v/>
      </c>
      <c r="S142" s="24">
        <f>MIN(MAX(0,($C142+$F142)-$M142),$R142)</f>
        <v/>
      </c>
      <c r="T142" s="24">
        <f>MIN(MAX(0,($D142+$X142)-$N142),MAX(0,$Q142-$U142))</f>
        <v/>
      </c>
      <c r="U142" s="24">
        <f>MIN(MAX(0,$E142-$I142),$Q142)</f>
        <v/>
      </c>
      <c r="V142" s="24">
        <f>MAX(0,$Q142-$U142)-$T142</f>
        <v/>
      </c>
      <c r="W142" s="24">
        <f>MAX(0,MAX(0,($C142+$F142)-$M142)-$S142)-MIN(MAX(0,$D$3-(MAX(0,$F142-MAX(0,($M142+$S142)-$C142)))),MAX(0,MAX(0,($C142+$F142)-$M142)-$S142))</f>
        <v/>
      </c>
      <c r="X142" s="24">
        <f>IF(Inputs!$C$39=1,$W142,0)</f>
        <v/>
      </c>
      <c r="Y142" s="24">
        <f>IF(Inputs!$C$39=0,$W142,0)+MAX(0,MAX(0,($D142+$X142)-$N142)-$T142)</f>
        <v/>
      </c>
    </row>
    <row r="143">
      <c r="B143" s="22" t="n">
        <v>138</v>
      </c>
      <c r="C143" s="29">
        <f>IF($B143&lt;=Inputs!$C$6+Inputs!$C$11,Cashflow_Asset!$E141-Cashflow_Asset!$K141,0)</f>
        <v/>
      </c>
      <c r="D143" s="29">
        <f>IF($B143&lt;=Inputs!$C$6+Inputs!$C$11,Cashflow_Asset!$F141+Cashflow_Asset!$G141+Cashflow_Asset!$I141,0)</f>
        <v/>
      </c>
      <c r="E143" s="29">
        <f>IF($B143&lt;=Inputs!$C$6+Inputs!$C$11,Cashflow_Asset!$J141,0)</f>
        <v/>
      </c>
      <c r="F143" s="23">
        <f>$G142</f>
        <v/>
      </c>
      <c r="G143" s="24">
        <f>(MAX(0,$F143-MAX(0,($M143+$S143)-$C143)))+MIN(MAX(0,$D$3-(MAX(0,$F143-MAX(0,($M143+$S143)-$C143)))),MAX(0,MAX(0,($C143+$F143)-$M143)-$S143))</f>
        <v/>
      </c>
      <c r="H143" s="23">
        <f>$J142</f>
        <v/>
      </c>
      <c r="I143" s="24">
        <f>MIN($E143,$H143)</f>
        <v/>
      </c>
      <c r="J143" s="24">
        <f>$H143-$I143</f>
        <v/>
      </c>
      <c r="K143" s="23">
        <f>$P142</f>
        <v/>
      </c>
      <c r="L143" s="24">
        <f>$K143*Inputs!$C$18/12</f>
        <v/>
      </c>
      <c r="M143" s="24">
        <f>MIN(($C143+$F143),$L143)</f>
        <v/>
      </c>
      <c r="N143" s="24">
        <f>MIN(($D143+$X143),MAX(0,$K143-$O143))</f>
        <v/>
      </c>
      <c r="O143" s="24">
        <f>MIN(MAX(0,MAX(0,$E143-$I143)-$U143),$K143)</f>
        <v/>
      </c>
      <c r="P143" s="24">
        <f>MAX(0,$K143-$O143)-$N143</f>
        <v/>
      </c>
      <c r="Q143" s="23">
        <f>$V142</f>
        <v/>
      </c>
      <c r="R143" s="24">
        <f>$Q143*Inputs!$C$19/12</f>
        <v/>
      </c>
      <c r="S143" s="24">
        <f>MIN(MAX(0,($C143+$F143)-$M143),$R143)</f>
        <v/>
      </c>
      <c r="T143" s="24">
        <f>MIN(MAX(0,($D143+$X143)-$N143),MAX(0,$Q143-$U143))</f>
        <v/>
      </c>
      <c r="U143" s="24">
        <f>MIN(MAX(0,$E143-$I143),$Q143)</f>
        <v/>
      </c>
      <c r="V143" s="24">
        <f>MAX(0,$Q143-$U143)-$T143</f>
        <v/>
      </c>
      <c r="W143" s="24">
        <f>MAX(0,MAX(0,($C143+$F143)-$M143)-$S143)-MIN(MAX(0,$D$3-(MAX(0,$F143-MAX(0,($M143+$S143)-$C143)))),MAX(0,MAX(0,($C143+$F143)-$M143)-$S143))</f>
        <v/>
      </c>
      <c r="X143" s="24">
        <f>IF(Inputs!$C$39=1,$W143,0)</f>
        <v/>
      </c>
      <c r="Y143" s="24">
        <f>IF(Inputs!$C$39=0,$W143,0)+MAX(0,MAX(0,($D143+$X143)-$N143)-$T143)</f>
        <v/>
      </c>
    </row>
    <row r="144">
      <c r="B144" s="22" t="n">
        <v>139</v>
      </c>
      <c r="C144" s="29">
        <f>IF($B144&lt;=Inputs!$C$6+Inputs!$C$11,Cashflow_Asset!$E142-Cashflow_Asset!$K142,0)</f>
        <v/>
      </c>
      <c r="D144" s="29">
        <f>IF($B144&lt;=Inputs!$C$6+Inputs!$C$11,Cashflow_Asset!$F142+Cashflow_Asset!$G142+Cashflow_Asset!$I142,0)</f>
        <v/>
      </c>
      <c r="E144" s="29">
        <f>IF($B144&lt;=Inputs!$C$6+Inputs!$C$11,Cashflow_Asset!$J142,0)</f>
        <v/>
      </c>
      <c r="F144" s="23">
        <f>$G143</f>
        <v/>
      </c>
      <c r="G144" s="24">
        <f>(MAX(0,$F144-MAX(0,($M144+$S144)-$C144)))+MIN(MAX(0,$D$3-(MAX(0,$F144-MAX(0,($M144+$S144)-$C144)))),MAX(0,MAX(0,($C144+$F144)-$M144)-$S144))</f>
        <v/>
      </c>
      <c r="H144" s="23">
        <f>$J143</f>
        <v/>
      </c>
      <c r="I144" s="24">
        <f>MIN($E144,$H144)</f>
        <v/>
      </c>
      <c r="J144" s="24">
        <f>$H144-$I144</f>
        <v/>
      </c>
      <c r="K144" s="23">
        <f>$P143</f>
        <v/>
      </c>
      <c r="L144" s="24">
        <f>$K144*Inputs!$C$18/12</f>
        <v/>
      </c>
      <c r="M144" s="24">
        <f>MIN(($C144+$F144),$L144)</f>
        <v/>
      </c>
      <c r="N144" s="24">
        <f>MIN(($D144+$X144),MAX(0,$K144-$O144))</f>
        <v/>
      </c>
      <c r="O144" s="24">
        <f>MIN(MAX(0,MAX(0,$E144-$I144)-$U144),$K144)</f>
        <v/>
      </c>
      <c r="P144" s="24">
        <f>MAX(0,$K144-$O144)-$N144</f>
        <v/>
      </c>
      <c r="Q144" s="23">
        <f>$V143</f>
        <v/>
      </c>
      <c r="R144" s="24">
        <f>$Q144*Inputs!$C$19/12</f>
        <v/>
      </c>
      <c r="S144" s="24">
        <f>MIN(MAX(0,($C144+$F144)-$M144),$R144)</f>
        <v/>
      </c>
      <c r="T144" s="24">
        <f>MIN(MAX(0,($D144+$X144)-$N144),MAX(0,$Q144-$U144))</f>
        <v/>
      </c>
      <c r="U144" s="24">
        <f>MIN(MAX(0,$E144-$I144),$Q144)</f>
        <v/>
      </c>
      <c r="V144" s="24">
        <f>MAX(0,$Q144-$U144)-$T144</f>
        <v/>
      </c>
      <c r="W144" s="24">
        <f>MAX(0,MAX(0,($C144+$F144)-$M144)-$S144)-MIN(MAX(0,$D$3-(MAX(0,$F144-MAX(0,($M144+$S144)-$C144)))),MAX(0,MAX(0,($C144+$F144)-$M144)-$S144))</f>
        <v/>
      </c>
      <c r="X144" s="24">
        <f>IF(Inputs!$C$39=1,$W144,0)</f>
        <v/>
      </c>
      <c r="Y144" s="24">
        <f>IF(Inputs!$C$39=0,$W144,0)+MAX(0,MAX(0,($D144+$X144)-$N144)-$T144)</f>
        <v/>
      </c>
    </row>
    <row r="145">
      <c r="B145" s="22" t="n">
        <v>140</v>
      </c>
      <c r="C145" s="29">
        <f>IF($B145&lt;=Inputs!$C$6+Inputs!$C$11,Cashflow_Asset!$E143-Cashflow_Asset!$K143,0)</f>
        <v/>
      </c>
      <c r="D145" s="29">
        <f>IF($B145&lt;=Inputs!$C$6+Inputs!$C$11,Cashflow_Asset!$F143+Cashflow_Asset!$G143+Cashflow_Asset!$I143,0)</f>
        <v/>
      </c>
      <c r="E145" s="29">
        <f>IF($B145&lt;=Inputs!$C$6+Inputs!$C$11,Cashflow_Asset!$J143,0)</f>
        <v/>
      </c>
      <c r="F145" s="23">
        <f>$G144</f>
        <v/>
      </c>
      <c r="G145" s="24">
        <f>(MAX(0,$F145-MAX(0,($M145+$S145)-$C145)))+MIN(MAX(0,$D$3-(MAX(0,$F145-MAX(0,($M145+$S145)-$C145)))),MAX(0,MAX(0,($C145+$F145)-$M145)-$S145))</f>
        <v/>
      </c>
      <c r="H145" s="23">
        <f>$J144</f>
        <v/>
      </c>
      <c r="I145" s="24">
        <f>MIN($E145,$H145)</f>
        <v/>
      </c>
      <c r="J145" s="24">
        <f>$H145-$I145</f>
        <v/>
      </c>
      <c r="K145" s="23">
        <f>$P144</f>
        <v/>
      </c>
      <c r="L145" s="24">
        <f>$K145*Inputs!$C$18/12</f>
        <v/>
      </c>
      <c r="M145" s="24">
        <f>MIN(($C145+$F145),$L145)</f>
        <v/>
      </c>
      <c r="N145" s="24">
        <f>MIN(($D145+$X145),MAX(0,$K145-$O145))</f>
        <v/>
      </c>
      <c r="O145" s="24">
        <f>MIN(MAX(0,MAX(0,$E145-$I145)-$U145),$K145)</f>
        <v/>
      </c>
      <c r="P145" s="24">
        <f>MAX(0,$K145-$O145)-$N145</f>
        <v/>
      </c>
      <c r="Q145" s="23">
        <f>$V144</f>
        <v/>
      </c>
      <c r="R145" s="24">
        <f>$Q145*Inputs!$C$19/12</f>
        <v/>
      </c>
      <c r="S145" s="24">
        <f>MIN(MAX(0,($C145+$F145)-$M145),$R145)</f>
        <v/>
      </c>
      <c r="T145" s="24">
        <f>MIN(MAX(0,($D145+$X145)-$N145),MAX(0,$Q145-$U145))</f>
        <v/>
      </c>
      <c r="U145" s="24">
        <f>MIN(MAX(0,$E145-$I145),$Q145)</f>
        <v/>
      </c>
      <c r="V145" s="24">
        <f>MAX(0,$Q145-$U145)-$T145</f>
        <v/>
      </c>
      <c r="W145" s="24">
        <f>MAX(0,MAX(0,($C145+$F145)-$M145)-$S145)-MIN(MAX(0,$D$3-(MAX(0,$F145-MAX(0,($M145+$S145)-$C145)))),MAX(0,MAX(0,($C145+$F145)-$M145)-$S145))</f>
        <v/>
      </c>
      <c r="X145" s="24">
        <f>IF(Inputs!$C$39=1,$W145,0)</f>
        <v/>
      </c>
      <c r="Y145" s="24">
        <f>IF(Inputs!$C$39=0,$W145,0)+MAX(0,MAX(0,($D145+$X145)-$N145)-$T145)</f>
        <v/>
      </c>
    </row>
    <row r="146">
      <c r="B146" s="22" t="n">
        <v>141</v>
      </c>
      <c r="C146" s="29">
        <f>IF($B146&lt;=Inputs!$C$6+Inputs!$C$11,Cashflow_Asset!$E144-Cashflow_Asset!$K144,0)</f>
        <v/>
      </c>
      <c r="D146" s="29">
        <f>IF($B146&lt;=Inputs!$C$6+Inputs!$C$11,Cashflow_Asset!$F144+Cashflow_Asset!$G144+Cashflow_Asset!$I144,0)</f>
        <v/>
      </c>
      <c r="E146" s="29">
        <f>IF($B146&lt;=Inputs!$C$6+Inputs!$C$11,Cashflow_Asset!$J144,0)</f>
        <v/>
      </c>
      <c r="F146" s="23">
        <f>$G145</f>
        <v/>
      </c>
      <c r="G146" s="24">
        <f>(MAX(0,$F146-MAX(0,($M146+$S146)-$C146)))+MIN(MAX(0,$D$3-(MAX(0,$F146-MAX(0,($M146+$S146)-$C146)))),MAX(0,MAX(0,($C146+$F146)-$M146)-$S146))</f>
        <v/>
      </c>
      <c r="H146" s="23">
        <f>$J145</f>
        <v/>
      </c>
      <c r="I146" s="24">
        <f>MIN($E146,$H146)</f>
        <v/>
      </c>
      <c r="J146" s="24">
        <f>$H146-$I146</f>
        <v/>
      </c>
      <c r="K146" s="23">
        <f>$P145</f>
        <v/>
      </c>
      <c r="L146" s="24">
        <f>$K146*Inputs!$C$18/12</f>
        <v/>
      </c>
      <c r="M146" s="24">
        <f>MIN(($C146+$F146),$L146)</f>
        <v/>
      </c>
      <c r="N146" s="24">
        <f>MIN(($D146+$X146),MAX(0,$K146-$O146))</f>
        <v/>
      </c>
      <c r="O146" s="24">
        <f>MIN(MAX(0,MAX(0,$E146-$I146)-$U146),$K146)</f>
        <v/>
      </c>
      <c r="P146" s="24">
        <f>MAX(0,$K146-$O146)-$N146</f>
        <v/>
      </c>
      <c r="Q146" s="23">
        <f>$V145</f>
        <v/>
      </c>
      <c r="R146" s="24">
        <f>$Q146*Inputs!$C$19/12</f>
        <v/>
      </c>
      <c r="S146" s="24">
        <f>MIN(MAX(0,($C146+$F146)-$M146),$R146)</f>
        <v/>
      </c>
      <c r="T146" s="24">
        <f>MIN(MAX(0,($D146+$X146)-$N146),MAX(0,$Q146-$U146))</f>
        <v/>
      </c>
      <c r="U146" s="24">
        <f>MIN(MAX(0,$E146-$I146),$Q146)</f>
        <v/>
      </c>
      <c r="V146" s="24">
        <f>MAX(0,$Q146-$U146)-$T146</f>
        <v/>
      </c>
      <c r="W146" s="24">
        <f>MAX(0,MAX(0,($C146+$F146)-$M146)-$S146)-MIN(MAX(0,$D$3-(MAX(0,$F146-MAX(0,($M146+$S146)-$C146)))),MAX(0,MAX(0,($C146+$F146)-$M146)-$S146))</f>
        <v/>
      </c>
      <c r="X146" s="24">
        <f>IF(Inputs!$C$39=1,$W146,0)</f>
        <v/>
      </c>
      <c r="Y146" s="24">
        <f>IF(Inputs!$C$39=0,$W146,0)+MAX(0,MAX(0,($D146+$X146)-$N146)-$T146)</f>
        <v/>
      </c>
    </row>
    <row r="147">
      <c r="B147" s="22" t="n">
        <v>142</v>
      </c>
      <c r="C147" s="29">
        <f>IF($B147&lt;=Inputs!$C$6+Inputs!$C$11,Cashflow_Asset!$E145-Cashflow_Asset!$K145,0)</f>
        <v/>
      </c>
      <c r="D147" s="29">
        <f>IF($B147&lt;=Inputs!$C$6+Inputs!$C$11,Cashflow_Asset!$F145+Cashflow_Asset!$G145+Cashflow_Asset!$I145,0)</f>
        <v/>
      </c>
      <c r="E147" s="29">
        <f>IF($B147&lt;=Inputs!$C$6+Inputs!$C$11,Cashflow_Asset!$J145,0)</f>
        <v/>
      </c>
      <c r="F147" s="23">
        <f>$G146</f>
        <v/>
      </c>
      <c r="G147" s="24">
        <f>(MAX(0,$F147-MAX(0,($M147+$S147)-$C147)))+MIN(MAX(0,$D$3-(MAX(0,$F147-MAX(0,($M147+$S147)-$C147)))),MAX(0,MAX(0,($C147+$F147)-$M147)-$S147))</f>
        <v/>
      </c>
      <c r="H147" s="23">
        <f>$J146</f>
        <v/>
      </c>
      <c r="I147" s="24">
        <f>MIN($E147,$H147)</f>
        <v/>
      </c>
      <c r="J147" s="24">
        <f>$H147-$I147</f>
        <v/>
      </c>
      <c r="K147" s="23">
        <f>$P146</f>
        <v/>
      </c>
      <c r="L147" s="24">
        <f>$K147*Inputs!$C$18/12</f>
        <v/>
      </c>
      <c r="M147" s="24">
        <f>MIN(($C147+$F147),$L147)</f>
        <v/>
      </c>
      <c r="N147" s="24">
        <f>MIN(($D147+$X147),MAX(0,$K147-$O147))</f>
        <v/>
      </c>
      <c r="O147" s="24">
        <f>MIN(MAX(0,MAX(0,$E147-$I147)-$U147),$K147)</f>
        <v/>
      </c>
      <c r="P147" s="24">
        <f>MAX(0,$K147-$O147)-$N147</f>
        <v/>
      </c>
      <c r="Q147" s="23">
        <f>$V146</f>
        <v/>
      </c>
      <c r="R147" s="24">
        <f>$Q147*Inputs!$C$19/12</f>
        <v/>
      </c>
      <c r="S147" s="24">
        <f>MIN(MAX(0,($C147+$F147)-$M147),$R147)</f>
        <v/>
      </c>
      <c r="T147" s="24">
        <f>MIN(MAX(0,($D147+$X147)-$N147),MAX(0,$Q147-$U147))</f>
        <v/>
      </c>
      <c r="U147" s="24">
        <f>MIN(MAX(0,$E147-$I147),$Q147)</f>
        <v/>
      </c>
      <c r="V147" s="24">
        <f>MAX(0,$Q147-$U147)-$T147</f>
        <v/>
      </c>
      <c r="W147" s="24">
        <f>MAX(0,MAX(0,($C147+$F147)-$M147)-$S147)-MIN(MAX(0,$D$3-(MAX(0,$F147-MAX(0,($M147+$S147)-$C147)))),MAX(0,MAX(0,($C147+$F147)-$M147)-$S147))</f>
        <v/>
      </c>
      <c r="X147" s="24">
        <f>IF(Inputs!$C$39=1,$W147,0)</f>
        <v/>
      </c>
      <c r="Y147" s="24">
        <f>IF(Inputs!$C$39=0,$W147,0)+MAX(0,MAX(0,($D147+$X147)-$N147)-$T147)</f>
        <v/>
      </c>
    </row>
    <row r="148">
      <c r="B148" s="22" t="n">
        <v>143</v>
      </c>
      <c r="C148" s="29">
        <f>IF($B148&lt;=Inputs!$C$6+Inputs!$C$11,Cashflow_Asset!$E146-Cashflow_Asset!$K146,0)</f>
        <v/>
      </c>
      <c r="D148" s="29">
        <f>IF($B148&lt;=Inputs!$C$6+Inputs!$C$11,Cashflow_Asset!$F146+Cashflow_Asset!$G146+Cashflow_Asset!$I146,0)</f>
        <v/>
      </c>
      <c r="E148" s="29">
        <f>IF($B148&lt;=Inputs!$C$6+Inputs!$C$11,Cashflow_Asset!$J146,0)</f>
        <v/>
      </c>
      <c r="F148" s="23">
        <f>$G147</f>
        <v/>
      </c>
      <c r="G148" s="24">
        <f>(MAX(0,$F148-MAX(0,($M148+$S148)-$C148)))+MIN(MAX(0,$D$3-(MAX(0,$F148-MAX(0,($M148+$S148)-$C148)))),MAX(0,MAX(0,($C148+$F148)-$M148)-$S148))</f>
        <v/>
      </c>
      <c r="H148" s="23">
        <f>$J147</f>
        <v/>
      </c>
      <c r="I148" s="24">
        <f>MIN($E148,$H148)</f>
        <v/>
      </c>
      <c r="J148" s="24">
        <f>$H148-$I148</f>
        <v/>
      </c>
      <c r="K148" s="23">
        <f>$P147</f>
        <v/>
      </c>
      <c r="L148" s="24">
        <f>$K148*Inputs!$C$18/12</f>
        <v/>
      </c>
      <c r="M148" s="24">
        <f>MIN(($C148+$F148),$L148)</f>
        <v/>
      </c>
      <c r="N148" s="24">
        <f>MIN(($D148+$X148),MAX(0,$K148-$O148))</f>
        <v/>
      </c>
      <c r="O148" s="24">
        <f>MIN(MAX(0,MAX(0,$E148-$I148)-$U148),$K148)</f>
        <v/>
      </c>
      <c r="P148" s="24">
        <f>MAX(0,$K148-$O148)-$N148</f>
        <v/>
      </c>
      <c r="Q148" s="23">
        <f>$V147</f>
        <v/>
      </c>
      <c r="R148" s="24">
        <f>$Q148*Inputs!$C$19/12</f>
        <v/>
      </c>
      <c r="S148" s="24">
        <f>MIN(MAX(0,($C148+$F148)-$M148),$R148)</f>
        <v/>
      </c>
      <c r="T148" s="24">
        <f>MIN(MAX(0,($D148+$X148)-$N148),MAX(0,$Q148-$U148))</f>
        <v/>
      </c>
      <c r="U148" s="24">
        <f>MIN(MAX(0,$E148-$I148),$Q148)</f>
        <v/>
      </c>
      <c r="V148" s="24">
        <f>MAX(0,$Q148-$U148)-$T148</f>
        <v/>
      </c>
      <c r="W148" s="24">
        <f>MAX(0,MAX(0,($C148+$F148)-$M148)-$S148)-MIN(MAX(0,$D$3-(MAX(0,$F148-MAX(0,($M148+$S148)-$C148)))),MAX(0,MAX(0,($C148+$F148)-$M148)-$S148))</f>
        <v/>
      </c>
      <c r="X148" s="24">
        <f>IF(Inputs!$C$39=1,$W148,0)</f>
        <v/>
      </c>
      <c r="Y148" s="24">
        <f>IF(Inputs!$C$39=0,$W148,0)+MAX(0,MAX(0,($D148+$X148)-$N148)-$T148)</f>
        <v/>
      </c>
    </row>
    <row r="149">
      <c r="B149" s="22" t="n">
        <v>144</v>
      </c>
      <c r="C149" s="29">
        <f>IF($B149&lt;=Inputs!$C$6+Inputs!$C$11,Cashflow_Asset!$E147-Cashflow_Asset!$K147,0)</f>
        <v/>
      </c>
      <c r="D149" s="29">
        <f>IF($B149&lt;=Inputs!$C$6+Inputs!$C$11,Cashflow_Asset!$F147+Cashflow_Asset!$G147+Cashflow_Asset!$I147,0)</f>
        <v/>
      </c>
      <c r="E149" s="29">
        <f>IF($B149&lt;=Inputs!$C$6+Inputs!$C$11,Cashflow_Asset!$J147,0)</f>
        <v/>
      </c>
      <c r="F149" s="23">
        <f>$G148</f>
        <v/>
      </c>
      <c r="G149" s="24">
        <f>(MAX(0,$F149-MAX(0,($M149+$S149)-$C149)))+MIN(MAX(0,$D$3-(MAX(0,$F149-MAX(0,($M149+$S149)-$C149)))),MAX(0,MAX(0,($C149+$F149)-$M149)-$S149))</f>
        <v/>
      </c>
      <c r="H149" s="23">
        <f>$J148</f>
        <v/>
      </c>
      <c r="I149" s="24">
        <f>MIN($E149,$H149)</f>
        <v/>
      </c>
      <c r="J149" s="24">
        <f>$H149-$I149</f>
        <v/>
      </c>
      <c r="K149" s="23">
        <f>$P148</f>
        <v/>
      </c>
      <c r="L149" s="24">
        <f>$K149*Inputs!$C$18/12</f>
        <v/>
      </c>
      <c r="M149" s="24">
        <f>MIN(($C149+$F149),$L149)</f>
        <v/>
      </c>
      <c r="N149" s="24">
        <f>MIN(($D149+$X149),MAX(0,$K149-$O149))</f>
        <v/>
      </c>
      <c r="O149" s="24">
        <f>MIN(MAX(0,MAX(0,$E149-$I149)-$U149),$K149)</f>
        <v/>
      </c>
      <c r="P149" s="24">
        <f>MAX(0,$K149-$O149)-$N149</f>
        <v/>
      </c>
      <c r="Q149" s="23">
        <f>$V148</f>
        <v/>
      </c>
      <c r="R149" s="24">
        <f>$Q149*Inputs!$C$19/12</f>
        <v/>
      </c>
      <c r="S149" s="24">
        <f>MIN(MAX(0,($C149+$F149)-$M149),$R149)</f>
        <v/>
      </c>
      <c r="T149" s="24">
        <f>MIN(MAX(0,($D149+$X149)-$N149),MAX(0,$Q149-$U149))</f>
        <v/>
      </c>
      <c r="U149" s="24">
        <f>MIN(MAX(0,$E149-$I149),$Q149)</f>
        <v/>
      </c>
      <c r="V149" s="24">
        <f>MAX(0,$Q149-$U149)-$T149</f>
        <v/>
      </c>
      <c r="W149" s="24">
        <f>MAX(0,MAX(0,($C149+$F149)-$M149)-$S149)-MIN(MAX(0,$D$3-(MAX(0,$F149-MAX(0,($M149+$S149)-$C149)))),MAX(0,MAX(0,($C149+$F149)-$M149)-$S149))</f>
        <v/>
      </c>
      <c r="X149" s="24">
        <f>IF(Inputs!$C$39=1,$W149,0)</f>
        <v/>
      </c>
      <c r="Y149" s="24">
        <f>IF(Inputs!$C$39=0,$W149,0)+MAX(0,MAX(0,($D149+$X149)-$N149)-$T149)</f>
        <v/>
      </c>
    </row>
    <row r="150">
      <c r="B150" s="22" t="n">
        <v>145</v>
      </c>
      <c r="C150" s="29">
        <f>IF($B150&lt;=Inputs!$C$6+Inputs!$C$11,Cashflow_Asset!$E148-Cashflow_Asset!$K148,0)</f>
        <v/>
      </c>
      <c r="D150" s="29">
        <f>IF($B150&lt;=Inputs!$C$6+Inputs!$C$11,Cashflow_Asset!$F148+Cashflow_Asset!$G148+Cashflow_Asset!$I148,0)</f>
        <v/>
      </c>
      <c r="E150" s="29">
        <f>IF($B150&lt;=Inputs!$C$6+Inputs!$C$11,Cashflow_Asset!$J148,0)</f>
        <v/>
      </c>
      <c r="F150" s="23">
        <f>$G149</f>
        <v/>
      </c>
      <c r="G150" s="24">
        <f>(MAX(0,$F150-MAX(0,($M150+$S150)-$C150)))+MIN(MAX(0,$D$3-(MAX(0,$F150-MAX(0,($M150+$S150)-$C150)))),MAX(0,MAX(0,($C150+$F150)-$M150)-$S150))</f>
        <v/>
      </c>
      <c r="H150" s="23">
        <f>$J149</f>
        <v/>
      </c>
      <c r="I150" s="24">
        <f>MIN($E150,$H150)</f>
        <v/>
      </c>
      <c r="J150" s="24">
        <f>$H150-$I150</f>
        <v/>
      </c>
      <c r="K150" s="23">
        <f>$P149</f>
        <v/>
      </c>
      <c r="L150" s="24">
        <f>$K150*Inputs!$C$18/12</f>
        <v/>
      </c>
      <c r="M150" s="24">
        <f>MIN(($C150+$F150),$L150)</f>
        <v/>
      </c>
      <c r="N150" s="24">
        <f>MIN(($D150+$X150),MAX(0,$K150-$O150))</f>
        <v/>
      </c>
      <c r="O150" s="24">
        <f>MIN(MAX(0,MAX(0,$E150-$I150)-$U150),$K150)</f>
        <v/>
      </c>
      <c r="P150" s="24">
        <f>MAX(0,$K150-$O150)-$N150</f>
        <v/>
      </c>
      <c r="Q150" s="23">
        <f>$V149</f>
        <v/>
      </c>
      <c r="R150" s="24">
        <f>$Q150*Inputs!$C$19/12</f>
        <v/>
      </c>
      <c r="S150" s="24">
        <f>MIN(MAX(0,($C150+$F150)-$M150),$R150)</f>
        <v/>
      </c>
      <c r="T150" s="24">
        <f>MIN(MAX(0,($D150+$X150)-$N150),MAX(0,$Q150-$U150))</f>
        <v/>
      </c>
      <c r="U150" s="24">
        <f>MIN(MAX(0,$E150-$I150),$Q150)</f>
        <v/>
      </c>
      <c r="V150" s="24">
        <f>MAX(0,$Q150-$U150)-$T150</f>
        <v/>
      </c>
      <c r="W150" s="24">
        <f>MAX(0,MAX(0,($C150+$F150)-$M150)-$S150)-MIN(MAX(0,$D$3-(MAX(0,$F150-MAX(0,($M150+$S150)-$C150)))),MAX(0,MAX(0,($C150+$F150)-$M150)-$S150))</f>
        <v/>
      </c>
      <c r="X150" s="24">
        <f>IF(Inputs!$C$39=1,$W150,0)</f>
        <v/>
      </c>
      <c r="Y150" s="24">
        <f>IF(Inputs!$C$39=0,$W150,0)+MAX(0,MAX(0,($D150+$X150)-$N150)-$T150)</f>
        <v/>
      </c>
    </row>
    <row r="151">
      <c r="B151" s="22" t="n">
        <v>146</v>
      </c>
      <c r="C151" s="29">
        <f>IF($B151&lt;=Inputs!$C$6+Inputs!$C$11,Cashflow_Asset!$E149-Cashflow_Asset!$K149,0)</f>
        <v/>
      </c>
      <c r="D151" s="29">
        <f>IF($B151&lt;=Inputs!$C$6+Inputs!$C$11,Cashflow_Asset!$F149+Cashflow_Asset!$G149+Cashflow_Asset!$I149,0)</f>
        <v/>
      </c>
      <c r="E151" s="29">
        <f>IF($B151&lt;=Inputs!$C$6+Inputs!$C$11,Cashflow_Asset!$J149,0)</f>
        <v/>
      </c>
      <c r="F151" s="23">
        <f>$G150</f>
        <v/>
      </c>
      <c r="G151" s="24">
        <f>(MAX(0,$F151-MAX(0,($M151+$S151)-$C151)))+MIN(MAX(0,$D$3-(MAX(0,$F151-MAX(0,($M151+$S151)-$C151)))),MAX(0,MAX(0,($C151+$F151)-$M151)-$S151))</f>
        <v/>
      </c>
      <c r="H151" s="23">
        <f>$J150</f>
        <v/>
      </c>
      <c r="I151" s="24">
        <f>MIN($E151,$H151)</f>
        <v/>
      </c>
      <c r="J151" s="24">
        <f>$H151-$I151</f>
        <v/>
      </c>
      <c r="K151" s="23">
        <f>$P150</f>
        <v/>
      </c>
      <c r="L151" s="24">
        <f>$K151*Inputs!$C$18/12</f>
        <v/>
      </c>
      <c r="M151" s="24">
        <f>MIN(($C151+$F151),$L151)</f>
        <v/>
      </c>
      <c r="N151" s="24">
        <f>MIN(($D151+$X151),MAX(0,$K151-$O151))</f>
        <v/>
      </c>
      <c r="O151" s="24">
        <f>MIN(MAX(0,MAX(0,$E151-$I151)-$U151),$K151)</f>
        <v/>
      </c>
      <c r="P151" s="24">
        <f>MAX(0,$K151-$O151)-$N151</f>
        <v/>
      </c>
      <c r="Q151" s="23">
        <f>$V150</f>
        <v/>
      </c>
      <c r="R151" s="24">
        <f>$Q151*Inputs!$C$19/12</f>
        <v/>
      </c>
      <c r="S151" s="24">
        <f>MIN(MAX(0,($C151+$F151)-$M151),$R151)</f>
        <v/>
      </c>
      <c r="T151" s="24">
        <f>MIN(MAX(0,($D151+$X151)-$N151),MAX(0,$Q151-$U151))</f>
        <v/>
      </c>
      <c r="U151" s="24">
        <f>MIN(MAX(0,$E151-$I151),$Q151)</f>
        <v/>
      </c>
      <c r="V151" s="24">
        <f>MAX(0,$Q151-$U151)-$T151</f>
        <v/>
      </c>
      <c r="W151" s="24">
        <f>MAX(0,MAX(0,($C151+$F151)-$M151)-$S151)-MIN(MAX(0,$D$3-(MAX(0,$F151-MAX(0,($M151+$S151)-$C151)))),MAX(0,MAX(0,($C151+$F151)-$M151)-$S151))</f>
        <v/>
      </c>
      <c r="X151" s="24">
        <f>IF(Inputs!$C$39=1,$W151,0)</f>
        <v/>
      </c>
      <c r="Y151" s="24">
        <f>IF(Inputs!$C$39=0,$W151,0)+MAX(0,MAX(0,($D151+$X151)-$N151)-$T151)</f>
        <v/>
      </c>
    </row>
    <row r="152">
      <c r="B152" s="22" t="n">
        <v>147</v>
      </c>
      <c r="C152" s="29">
        <f>IF($B152&lt;=Inputs!$C$6+Inputs!$C$11,Cashflow_Asset!$E150-Cashflow_Asset!$K150,0)</f>
        <v/>
      </c>
      <c r="D152" s="29">
        <f>IF($B152&lt;=Inputs!$C$6+Inputs!$C$11,Cashflow_Asset!$F150+Cashflow_Asset!$G150+Cashflow_Asset!$I150,0)</f>
        <v/>
      </c>
      <c r="E152" s="29">
        <f>IF($B152&lt;=Inputs!$C$6+Inputs!$C$11,Cashflow_Asset!$J150,0)</f>
        <v/>
      </c>
      <c r="F152" s="23">
        <f>$G151</f>
        <v/>
      </c>
      <c r="G152" s="24">
        <f>(MAX(0,$F152-MAX(0,($M152+$S152)-$C152)))+MIN(MAX(0,$D$3-(MAX(0,$F152-MAX(0,($M152+$S152)-$C152)))),MAX(0,MAX(0,($C152+$F152)-$M152)-$S152))</f>
        <v/>
      </c>
      <c r="H152" s="23">
        <f>$J151</f>
        <v/>
      </c>
      <c r="I152" s="24">
        <f>MIN($E152,$H152)</f>
        <v/>
      </c>
      <c r="J152" s="24">
        <f>$H152-$I152</f>
        <v/>
      </c>
      <c r="K152" s="23">
        <f>$P151</f>
        <v/>
      </c>
      <c r="L152" s="24">
        <f>$K152*Inputs!$C$18/12</f>
        <v/>
      </c>
      <c r="M152" s="24">
        <f>MIN(($C152+$F152),$L152)</f>
        <v/>
      </c>
      <c r="N152" s="24">
        <f>MIN(($D152+$X152),MAX(0,$K152-$O152))</f>
        <v/>
      </c>
      <c r="O152" s="24">
        <f>MIN(MAX(0,MAX(0,$E152-$I152)-$U152),$K152)</f>
        <v/>
      </c>
      <c r="P152" s="24">
        <f>MAX(0,$K152-$O152)-$N152</f>
        <v/>
      </c>
      <c r="Q152" s="23">
        <f>$V151</f>
        <v/>
      </c>
      <c r="R152" s="24">
        <f>$Q152*Inputs!$C$19/12</f>
        <v/>
      </c>
      <c r="S152" s="24">
        <f>MIN(MAX(0,($C152+$F152)-$M152),$R152)</f>
        <v/>
      </c>
      <c r="T152" s="24">
        <f>MIN(MAX(0,($D152+$X152)-$N152),MAX(0,$Q152-$U152))</f>
        <v/>
      </c>
      <c r="U152" s="24">
        <f>MIN(MAX(0,$E152-$I152),$Q152)</f>
        <v/>
      </c>
      <c r="V152" s="24">
        <f>MAX(0,$Q152-$U152)-$T152</f>
        <v/>
      </c>
      <c r="W152" s="24">
        <f>MAX(0,MAX(0,($C152+$F152)-$M152)-$S152)-MIN(MAX(0,$D$3-(MAX(0,$F152-MAX(0,($M152+$S152)-$C152)))),MAX(0,MAX(0,($C152+$F152)-$M152)-$S152))</f>
        <v/>
      </c>
      <c r="X152" s="24">
        <f>IF(Inputs!$C$39=1,$W152,0)</f>
        <v/>
      </c>
      <c r="Y152" s="24">
        <f>IF(Inputs!$C$39=0,$W152,0)+MAX(0,MAX(0,($D152+$X152)-$N152)-$T152)</f>
        <v/>
      </c>
    </row>
    <row r="153">
      <c r="B153" s="22" t="n">
        <v>148</v>
      </c>
      <c r="C153" s="29">
        <f>IF($B153&lt;=Inputs!$C$6+Inputs!$C$11,Cashflow_Asset!$E151-Cashflow_Asset!$K151,0)</f>
        <v/>
      </c>
      <c r="D153" s="29">
        <f>IF($B153&lt;=Inputs!$C$6+Inputs!$C$11,Cashflow_Asset!$F151+Cashflow_Asset!$G151+Cashflow_Asset!$I151,0)</f>
        <v/>
      </c>
      <c r="E153" s="29">
        <f>IF($B153&lt;=Inputs!$C$6+Inputs!$C$11,Cashflow_Asset!$J151,0)</f>
        <v/>
      </c>
      <c r="F153" s="23">
        <f>$G152</f>
        <v/>
      </c>
      <c r="G153" s="24">
        <f>(MAX(0,$F153-MAX(0,($M153+$S153)-$C153)))+MIN(MAX(0,$D$3-(MAX(0,$F153-MAX(0,($M153+$S153)-$C153)))),MAX(0,MAX(0,($C153+$F153)-$M153)-$S153))</f>
        <v/>
      </c>
      <c r="H153" s="23">
        <f>$J152</f>
        <v/>
      </c>
      <c r="I153" s="24">
        <f>MIN($E153,$H153)</f>
        <v/>
      </c>
      <c r="J153" s="24">
        <f>$H153-$I153</f>
        <v/>
      </c>
      <c r="K153" s="23">
        <f>$P152</f>
        <v/>
      </c>
      <c r="L153" s="24">
        <f>$K153*Inputs!$C$18/12</f>
        <v/>
      </c>
      <c r="M153" s="24">
        <f>MIN(($C153+$F153),$L153)</f>
        <v/>
      </c>
      <c r="N153" s="24">
        <f>MIN(($D153+$X153),MAX(0,$K153-$O153))</f>
        <v/>
      </c>
      <c r="O153" s="24">
        <f>MIN(MAX(0,MAX(0,$E153-$I153)-$U153),$K153)</f>
        <v/>
      </c>
      <c r="P153" s="24">
        <f>MAX(0,$K153-$O153)-$N153</f>
        <v/>
      </c>
      <c r="Q153" s="23">
        <f>$V152</f>
        <v/>
      </c>
      <c r="R153" s="24">
        <f>$Q153*Inputs!$C$19/12</f>
        <v/>
      </c>
      <c r="S153" s="24">
        <f>MIN(MAX(0,($C153+$F153)-$M153),$R153)</f>
        <v/>
      </c>
      <c r="T153" s="24">
        <f>MIN(MAX(0,($D153+$X153)-$N153),MAX(0,$Q153-$U153))</f>
        <v/>
      </c>
      <c r="U153" s="24">
        <f>MIN(MAX(0,$E153-$I153),$Q153)</f>
        <v/>
      </c>
      <c r="V153" s="24">
        <f>MAX(0,$Q153-$U153)-$T153</f>
        <v/>
      </c>
      <c r="W153" s="24">
        <f>MAX(0,MAX(0,($C153+$F153)-$M153)-$S153)-MIN(MAX(0,$D$3-(MAX(0,$F153-MAX(0,($M153+$S153)-$C153)))),MAX(0,MAX(0,($C153+$F153)-$M153)-$S153))</f>
        <v/>
      </c>
      <c r="X153" s="24">
        <f>IF(Inputs!$C$39=1,$W153,0)</f>
        <v/>
      </c>
      <c r="Y153" s="24">
        <f>IF(Inputs!$C$39=0,$W153,0)+MAX(0,MAX(0,($D153+$X153)-$N153)-$T153)</f>
        <v/>
      </c>
    </row>
    <row r="154">
      <c r="B154" s="22" t="n">
        <v>149</v>
      </c>
      <c r="C154" s="29">
        <f>IF($B154&lt;=Inputs!$C$6+Inputs!$C$11,Cashflow_Asset!$E152-Cashflow_Asset!$K152,0)</f>
        <v/>
      </c>
      <c r="D154" s="29">
        <f>IF($B154&lt;=Inputs!$C$6+Inputs!$C$11,Cashflow_Asset!$F152+Cashflow_Asset!$G152+Cashflow_Asset!$I152,0)</f>
        <v/>
      </c>
      <c r="E154" s="29">
        <f>IF($B154&lt;=Inputs!$C$6+Inputs!$C$11,Cashflow_Asset!$J152,0)</f>
        <v/>
      </c>
      <c r="F154" s="23">
        <f>$G153</f>
        <v/>
      </c>
      <c r="G154" s="24">
        <f>(MAX(0,$F154-MAX(0,($M154+$S154)-$C154)))+MIN(MAX(0,$D$3-(MAX(0,$F154-MAX(0,($M154+$S154)-$C154)))),MAX(0,MAX(0,($C154+$F154)-$M154)-$S154))</f>
        <v/>
      </c>
      <c r="H154" s="23">
        <f>$J153</f>
        <v/>
      </c>
      <c r="I154" s="24">
        <f>MIN($E154,$H154)</f>
        <v/>
      </c>
      <c r="J154" s="24">
        <f>$H154-$I154</f>
        <v/>
      </c>
      <c r="K154" s="23">
        <f>$P153</f>
        <v/>
      </c>
      <c r="L154" s="24">
        <f>$K154*Inputs!$C$18/12</f>
        <v/>
      </c>
      <c r="M154" s="24">
        <f>MIN(($C154+$F154),$L154)</f>
        <v/>
      </c>
      <c r="N154" s="24">
        <f>MIN(($D154+$X154),MAX(0,$K154-$O154))</f>
        <v/>
      </c>
      <c r="O154" s="24">
        <f>MIN(MAX(0,MAX(0,$E154-$I154)-$U154),$K154)</f>
        <v/>
      </c>
      <c r="P154" s="24">
        <f>MAX(0,$K154-$O154)-$N154</f>
        <v/>
      </c>
      <c r="Q154" s="23">
        <f>$V153</f>
        <v/>
      </c>
      <c r="R154" s="24">
        <f>$Q154*Inputs!$C$19/12</f>
        <v/>
      </c>
      <c r="S154" s="24">
        <f>MIN(MAX(0,($C154+$F154)-$M154),$R154)</f>
        <v/>
      </c>
      <c r="T154" s="24">
        <f>MIN(MAX(0,($D154+$X154)-$N154),MAX(0,$Q154-$U154))</f>
        <v/>
      </c>
      <c r="U154" s="24">
        <f>MIN(MAX(0,$E154-$I154),$Q154)</f>
        <v/>
      </c>
      <c r="V154" s="24">
        <f>MAX(0,$Q154-$U154)-$T154</f>
        <v/>
      </c>
      <c r="W154" s="24">
        <f>MAX(0,MAX(0,($C154+$F154)-$M154)-$S154)-MIN(MAX(0,$D$3-(MAX(0,$F154-MAX(0,($M154+$S154)-$C154)))),MAX(0,MAX(0,($C154+$F154)-$M154)-$S154))</f>
        <v/>
      </c>
      <c r="X154" s="24">
        <f>IF(Inputs!$C$39=1,$W154,0)</f>
        <v/>
      </c>
      <c r="Y154" s="24">
        <f>IF(Inputs!$C$39=0,$W154,0)+MAX(0,MAX(0,($D154+$X154)-$N154)-$T154)</f>
        <v/>
      </c>
    </row>
    <row r="155">
      <c r="B155" s="22" t="n">
        <v>150</v>
      </c>
      <c r="C155" s="29">
        <f>IF($B155&lt;=Inputs!$C$6+Inputs!$C$11,Cashflow_Asset!$E153-Cashflow_Asset!$K153,0)</f>
        <v/>
      </c>
      <c r="D155" s="29">
        <f>IF($B155&lt;=Inputs!$C$6+Inputs!$C$11,Cashflow_Asset!$F153+Cashflow_Asset!$G153+Cashflow_Asset!$I153,0)</f>
        <v/>
      </c>
      <c r="E155" s="29">
        <f>IF($B155&lt;=Inputs!$C$6+Inputs!$C$11,Cashflow_Asset!$J153,0)</f>
        <v/>
      </c>
      <c r="F155" s="23">
        <f>$G154</f>
        <v/>
      </c>
      <c r="G155" s="24">
        <f>(MAX(0,$F155-MAX(0,($M155+$S155)-$C155)))+MIN(MAX(0,$D$3-(MAX(0,$F155-MAX(0,($M155+$S155)-$C155)))),MAX(0,MAX(0,($C155+$F155)-$M155)-$S155))</f>
        <v/>
      </c>
      <c r="H155" s="23">
        <f>$J154</f>
        <v/>
      </c>
      <c r="I155" s="24">
        <f>MIN($E155,$H155)</f>
        <v/>
      </c>
      <c r="J155" s="24">
        <f>$H155-$I155</f>
        <v/>
      </c>
      <c r="K155" s="23">
        <f>$P154</f>
        <v/>
      </c>
      <c r="L155" s="24">
        <f>$K155*Inputs!$C$18/12</f>
        <v/>
      </c>
      <c r="M155" s="24">
        <f>MIN(($C155+$F155),$L155)</f>
        <v/>
      </c>
      <c r="N155" s="24">
        <f>MIN(($D155+$X155),MAX(0,$K155-$O155))</f>
        <v/>
      </c>
      <c r="O155" s="24">
        <f>MIN(MAX(0,MAX(0,$E155-$I155)-$U155),$K155)</f>
        <v/>
      </c>
      <c r="P155" s="24">
        <f>MAX(0,$K155-$O155)-$N155</f>
        <v/>
      </c>
      <c r="Q155" s="23">
        <f>$V154</f>
        <v/>
      </c>
      <c r="R155" s="24">
        <f>$Q155*Inputs!$C$19/12</f>
        <v/>
      </c>
      <c r="S155" s="24">
        <f>MIN(MAX(0,($C155+$F155)-$M155),$R155)</f>
        <v/>
      </c>
      <c r="T155" s="24">
        <f>MIN(MAX(0,($D155+$X155)-$N155),MAX(0,$Q155-$U155))</f>
        <v/>
      </c>
      <c r="U155" s="24">
        <f>MIN(MAX(0,$E155-$I155),$Q155)</f>
        <v/>
      </c>
      <c r="V155" s="24">
        <f>MAX(0,$Q155-$U155)-$T155</f>
        <v/>
      </c>
      <c r="W155" s="24">
        <f>MAX(0,MAX(0,($C155+$F155)-$M155)-$S155)-MIN(MAX(0,$D$3-(MAX(0,$F155-MAX(0,($M155+$S155)-$C155)))),MAX(0,MAX(0,($C155+$F155)-$M155)-$S155))</f>
        <v/>
      </c>
      <c r="X155" s="24">
        <f>IF(Inputs!$C$39=1,$W155,0)</f>
        <v/>
      </c>
      <c r="Y155" s="24">
        <f>IF(Inputs!$C$39=0,$W155,0)+MAX(0,MAX(0,($D155+$X155)-$N155)-$T155)</f>
        <v/>
      </c>
    </row>
    <row r="156">
      <c r="B156" s="22" t="n">
        <v>151</v>
      </c>
      <c r="C156" s="29">
        <f>IF($B156&lt;=Inputs!$C$6+Inputs!$C$11,Cashflow_Asset!$E154-Cashflow_Asset!$K154,0)</f>
        <v/>
      </c>
      <c r="D156" s="29">
        <f>IF($B156&lt;=Inputs!$C$6+Inputs!$C$11,Cashflow_Asset!$F154+Cashflow_Asset!$G154+Cashflow_Asset!$I154,0)</f>
        <v/>
      </c>
      <c r="E156" s="29">
        <f>IF($B156&lt;=Inputs!$C$6+Inputs!$C$11,Cashflow_Asset!$J154,0)</f>
        <v/>
      </c>
      <c r="F156" s="23">
        <f>$G155</f>
        <v/>
      </c>
      <c r="G156" s="24">
        <f>(MAX(0,$F156-MAX(0,($M156+$S156)-$C156)))+MIN(MAX(0,$D$3-(MAX(0,$F156-MAX(0,($M156+$S156)-$C156)))),MAX(0,MAX(0,($C156+$F156)-$M156)-$S156))</f>
        <v/>
      </c>
      <c r="H156" s="23">
        <f>$J155</f>
        <v/>
      </c>
      <c r="I156" s="24">
        <f>MIN($E156,$H156)</f>
        <v/>
      </c>
      <c r="J156" s="24">
        <f>$H156-$I156</f>
        <v/>
      </c>
      <c r="K156" s="23">
        <f>$P155</f>
        <v/>
      </c>
      <c r="L156" s="24">
        <f>$K156*Inputs!$C$18/12</f>
        <v/>
      </c>
      <c r="M156" s="24">
        <f>MIN(($C156+$F156),$L156)</f>
        <v/>
      </c>
      <c r="N156" s="24">
        <f>MIN(($D156+$X156),MAX(0,$K156-$O156))</f>
        <v/>
      </c>
      <c r="O156" s="24">
        <f>MIN(MAX(0,MAX(0,$E156-$I156)-$U156),$K156)</f>
        <v/>
      </c>
      <c r="P156" s="24">
        <f>MAX(0,$K156-$O156)-$N156</f>
        <v/>
      </c>
      <c r="Q156" s="23">
        <f>$V155</f>
        <v/>
      </c>
      <c r="R156" s="24">
        <f>$Q156*Inputs!$C$19/12</f>
        <v/>
      </c>
      <c r="S156" s="24">
        <f>MIN(MAX(0,($C156+$F156)-$M156),$R156)</f>
        <v/>
      </c>
      <c r="T156" s="24">
        <f>MIN(MAX(0,($D156+$X156)-$N156),MAX(0,$Q156-$U156))</f>
        <v/>
      </c>
      <c r="U156" s="24">
        <f>MIN(MAX(0,$E156-$I156),$Q156)</f>
        <v/>
      </c>
      <c r="V156" s="24">
        <f>MAX(0,$Q156-$U156)-$T156</f>
        <v/>
      </c>
      <c r="W156" s="24">
        <f>MAX(0,MAX(0,($C156+$F156)-$M156)-$S156)-MIN(MAX(0,$D$3-(MAX(0,$F156-MAX(0,($M156+$S156)-$C156)))),MAX(0,MAX(0,($C156+$F156)-$M156)-$S156))</f>
        <v/>
      </c>
      <c r="X156" s="24">
        <f>IF(Inputs!$C$39=1,$W156,0)</f>
        <v/>
      </c>
      <c r="Y156" s="24">
        <f>IF(Inputs!$C$39=0,$W156,0)+MAX(0,MAX(0,($D156+$X156)-$N156)-$T156)</f>
        <v/>
      </c>
    </row>
    <row r="157">
      <c r="B157" s="22" t="n">
        <v>152</v>
      </c>
      <c r="C157" s="29">
        <f>IF($B157&lt;=Inputs!$C$6+Inputs!$C$11,Cashflow_Asset!$E155-Cashflow_Asset!$K155,0)</f>
        <v/>
      </c>
      <c r="D157" s="29">
        <f>IF($B157&lt;=Inputs!$C$6+Inputs!$C$11,Cashflow_Asset!$F155+Cashflow_Asset!$G155+Cashflow_Asset!$I155,0)</f>
        <v/>
      </c>
      <c r="E157" s="29">
        <f>IF($B157&lt;=Inputs!$C$6+Inputs!$C$11,Cashflow_Asset!$J155,0)</f>
        <v/>
      </c>
      <c r="F157" s="23">
        <f>$G156</f>
        <v/>
      </c>
      <c r="G157" s="24">
        <f>(MAX(0,$F157-MAX(0,($M157+$S157)-$C157)))+MIN(MAX(0,$D$3-(MAX(0,$F157-MAX(0,($M157+$S157)-$C157)))),MAX(0,MAX(0,($C157+$F157)-$M157)-$S157))</f>
        <v/>
      </c>
      <c r="H157" s="23">
        <f>$J156</f>
        <v/>
      </c>
      <c r="I157" s="24">
        <f>MIN($E157,$H157)</f>
        <v/>
      </c>
      <c r="J157" s="24">
        <f>$H157-$I157</f>
        <v/>
      </c>
      <c r="K157" s="23">
        <f>$P156</f>
        <v/>
      </c>
      <c r="L157" s="24">
        <f>$K157*Inputs!$C$18/12</f>
        <v/>
      </c>
      <c r="M157" s="24">
        <f>MIN(($C157+$F157),$L157)</f>
        <v/>
      </c>
      <c r="N157" s="24">
        <f>MIN(($D157+$X157),MAX(0,$K157-$O157))</f>
        <v/>
      </c>
      <c r="O157" s="24">
        <f>MIN(MAX(0,MAX(0,$E157-$I157)-$U157),$K157)</f>
        <v/>
      </c>
      <c r="P157" s="24">
        <f>MAX(0,$K157-$O157)-$N157</f>
        <v/>
      </c>
      <c r="Q157" s="23">
        <f>$V156</f>
        <v/>
      </c>
      <c r="R157" s="24">
        <f>$Q157*Inputs!$C$19/12</f>
        <v/>
      </c>
      <c r="S157" s="24">
        <f>MIN(MAX(0,($C157+$F157)-$M157),$R157)</f>
        <v/>
      </c>
      <c r="T157" s="24">
        <f>MIN(MAX(0,($D157+$X157)-$N157),MAX(0,$Q157-$U157))</f>
        <v/>
      </c>
      <c r="U157" s="24">
        <f>MIN(MAX(0,$E157-$I157),$Q157)</f>
        <v/>
      </c>
      <c r="V157" s="24">
        <f>MAX(0,$Q157-$U157)-$T157</f>
        <v/>
      </c>
      <c r="W157" s="24">
        <f>MAX(0,MAX(0,($C157+$F157)-$M157)-$S157)-MIN(MAX(0,$D$3-(MAX(0,$F157-MAX(0,($M157+$S157)-$C157)))),MAX(0,MAX(0,($C157+$F157)-$M157)-$S157))</f>
        <v/>
      </c>
      <c r="X157" s="24">
        <f>IF(Inputs!$C$39=1,$W157,0)</f>
        <v/>
      </c>
      <c r="Y157" s="24">
        <f>IF(Inputs!$C$39=0,$W157,0)+MAX(0,MAX(0,($D157+$X157)-$N157)-$T157)</f>
        <v/>
      </c>
    </row>
    <row r="158">
      <c r="B158" s="22" t="n">
        <v>153</v>
      </c>
      <c r="C158" s="29">
        <f>IF($B158&lt;=Inputs!$C$6+Inputs!$C$11,Cashflow_Asset!$E156-Cashflow_Asset!$K156,0)</f>
        <v/>
      </c>
      <c r="D158" s="29">
        <f>IF($B158&lt;=Inputs!$C$6+Inputs!$C$11,Cashflow_Asset!$F156+Cashflow_Asset!$G156+Cashflow_Asset!$I156,0)</f>
        <v/>
      </c>
      <c r="E158" s="29">
        <f>IF($B158&lt;=Inputs!$C$6+Inputs!$C$11,Cashflow_Asset!$J156,0)</f>
        <v/>
      </c>
      <c r="F158" s="23">
        <f>$G157</f>
        <v/>
      </c>
      <c r="G158" s="24">
        <f>(MAX(0,$F158-MAX(0,($M158+$S158)-$C158)))+MIN(MAX(0,$D$3-(MAX(0,$F158-MAX(0,($M158+$S158)-$C158)))),MAX(0,MAX(0,($C158+$F158)-$M158)-$S158))</f>
        <v/>
      </c>
      <c r="H158" s="23">
        <f>$J157</f>
        <v/>
      </c>
      <c r="I158" s="24">
        <f>MIN($E158,$H158)</f>
        <v/>
      </c>
      <c r="J158" s="24">
        <f>$H158-$I158</f>
        <v/>
      </c>
      <c r="K158" s="23">
        <f>$P157</f>
        <v/>
      </c>
      <c r="L158" s="24">
        <f>$K158*Inputs!$C$18/12</f>
        <v/>
      </c>
      <c r="M158" s="24">
        <f>MIN(($C158+$F158),$L158)</f>
        <v/>
      </c>
      <c r="N158" s="24">
        <f>MIN(($D158+$X158),MAX(0,$K158-$O158))</f>
        <v/>
      </c>
      <c r="O158" s="24">
        <f>MIN(MAX(0,MAX(0,$E158-$I158)-$U158),$K158)</f>
        <v/>
      </c>
      <c r="P158" s="24">
        <f>MAX(0,$K158-$O158)-$N158</f>
        <v/>
      </c>
      <c r="Q158" s="23">
        <f>$V157</f>
        <v/>
      </c>
      <c r="R158" s="24">
        <f>$Q158*Inputs!$C$19/12</f>
        <v/>
      </c>
      <c r="S158" s="24">
        <f>MIN(MAX(0,($C158+$F158)-$M158),$R158)</f>
        <v/>
      </c>
      <c r="T158" s="24">
        <f>MIN(MAX(0,($D158+$X158)-$N158),MAX(0,$Q158-$U158))</f>
        <v/>
      </c>
      <c r="U158" s="24">
        <f>MIN(MAX(0,$E158-$I158),$Q158)</f>
        <v/>
      </c>
      <c r="V158" s="24">
        <f>MAX(0,$Q158-$U158)-$T158</f>
        <v/>
      </c>
      <c r="W158" s="24">
        <f>MAX(0,MAX(0,($C158+$F158)-$M158)-$S158)-MIN(MAX(0,$D$3-(MAX(0,$F158-MAX(0,($M158+$S158)-$C158)))),MAX(0,MAX(0,($C158+$F158)-$M158)-$S158))</f>
        <v/>
      </c>
      <c r="X158" s="24">
        <f>IF(Inputs!$C$39=1,$W158,0)</f>
        <v/>
      </c>
      <c r="Y158" s="24">
        <f>IF(Inputs!$C$39=0,$W158,0)+MAX(0,MAX(0,($D158+$X158)-$N158)-$T158)</f>
        <v/>
      </c>
    </row>
    <row r="159">
      <c r="B159" s="22" t="n">
        <v>154</v>
      </c>
      <c r="C159" s="29">
        <f>IF($B159&lt;=Inputs!$C$6+Inputs!$C$11,Cashflow_Asset!$E157-Cashflow_Asset!$K157,0)</f>
        <v/>
      </c>
      <c r="D159" s="29">
        <f>IF($B159&lt;=Inputs!$C$6+Inputs!$C$11,Cashflow_Asset!$F157+Cashflow_Asset!$G157+Cashflow_Asset!$I157,0)</f>
        <v/>
      </c>
      <c r="E159" s="29">
        <f>IF($B159&lt;=Inputs!$C$6+Inputs!$C$11,Cashflow_Asset!$J157,0)</f>
        <v/>
      </c>
      <c r="F159" s="23">
        <f>$G158</f>
        <v/>
      </c>
      <c r="G159" s="24">
        <f>(MAX(0,$F159-MAX(0,($M159+$S159)-$C159)))+MIN(MAX(0,$D$3-(MAX(0,$F159-MAX(0,($M159+$S159)-$C159)))),MAX(0,MAX(0,($C159+$F159)-$M159)-$S159))</f>
        <v/>
      </c>
      <c r="H159" s="23">
        <f>$J158</f>
        <v/>
      </c>
      <c r="I159" s="24">
        <f>MIN($E159,$H159)</f>
        <v/>
      </c>
      <c r="J159" s="24">
        <f>$H159-$I159</f>
        <v/>
      </c>
      <c r="K159" s="23">
        <f>$P158</f>
        <v/>
      </c>
      <c r="L159" s="24">
        <f>$K159*Inputs!$C$18/12</f>
        <v/>
      </c>
      <c r="M159" s="24">
        <f>MIN(($C159+$F159),$L159)</f>
        <v/>
      </c>
      <c r="N159" s="24">
        <f>MIN(($D159+$X159),MAX(0,$K159-$O159))</f>
        <v/>
      </c>
      <c r="O159" s="24">
        <f>MIN(MAX(0,MAX(0,$E159-$I159)-$U159),$K159)</f>
        <v/>
      </c>
      <c r="P159" s="24">
        <f>MAX(0,$K159-$O159)-$N159</f>
        <v/>
      </c>
      <c r="Q159" s="23">
        <f>$V158</f>
        <v/>
      </c>
      <c r="R159" s="24">
        <f>$Q159*Inputs!$C$19/12</f>
        <v/>
      </c>
      <c r="S159" s="24">
        <f>MIN(MAX(0,($C159+$F159)-$M159),$R159)</f>
        <v/>
      </c>
      <c r="T159" s="24">
        <f>MIN(MAX(0,($D159+$X159)-$N159),MAX(0,$Q159-$U159))</f>
        <v/>
      </c>
      <c r="U159" s="24">
        <f>MIN(MAX(0,$E159-$I159),$Q159)</f>
        <v/>
      </c>
      <c r="V159" s="24">
        <f>MAX(0,$Q159-$U159)-$T159</f>
        <v/>
      </c>
      <c r="W159" s="24">
        <f>MAX(0,MAX(0,($C159+$F159)-$M159)-$S159)-MIN(MAX(0,$D$3-(MAX(0,$F159-MAX(0,($M159+$S159)-$C159)))),MAX(0,MAX(0,($C159+$F159)-$M159)-$S159))</f>
        <v/>
      </c>
      <c r="X159" s="24">
        <f>IF(Inputs!$C$39=1,$W159,0)</f>
        <v/>
      </c>
      <c r="Y159" s="24">
        <f>IF(Inputs!$C$39=0,$W159,0)+MAX(0,MAX(0,($D159+$X159)-$N159)-$T159)</f>
        <v/>
      </c>
    </row>
    <row r="160">
      <c r="B160" s="22" t="n">
        <v>155</v>
      </c>
      <c r="C160" s="29">
        <f>IF($B160&lt;=Inputs!$C$6+Inputs!$C$11,Cashflow_Asset!$E158-Cashflow_Asset!$K158,0)</f>
        <v/>
      </c>
      <c r="D160" s="29">
        <f>IF($B160&lt;=Inputs!$C$6+Inputs!$C$11,Cashflow_Asset!$F158+Cashflow_Asset!$G158+Cashflow_Asset!$I158,0)</f>
        <v/>
      </c>
      <c r="E160" s="29">
        <f>IF($B160&lt;=Inputs!$C$6+Inputs!$C$11,Cashflow_Asset!$J158,0)</f>
        <v/>
      </c>
      <c r="F160" s="23">
        <f>$G159</f>
        <v/>
      </c>
      <c r="G160" s="24">
        <f>(MAX(0,$F160-MAX(0,($M160+$S160)-$C160)))+MIN(MAX(0,$D$3-(MAX(0,$F160-MAX(0,($M160+$S160)-$C160)))),MAX(0,MAX(0,($C160+$F160)-$M160)-$S160))</f>
        <v/>
      </c>
      <c r="H160" s="23">
        <f>$J159</f>
        <v/>
      </c>
      <c r="I160" s="24">
        <f>MIN($E160,$H160)</f>
        <v/>
      </c>
      <c r="J160" s="24">
        <f>$H160-$I160</f>
        <v/>
      </c>
      <c r="K160" s="23">
        <f>$P159</f>
        <v/>
      </c>
      <c r="L160" s="24">
        <f>$K160*Inputs!$C$18/12</f>
        <v/>
      </c>
      <c r="M160" s="24">
        <f>MIN(($C160+$F160),$L160)</f>
        <v/>
      </c>
      <c r="N160" s="24">
        <f>MIN(($D160+$X160),MAX(0,$K160-$O160))</f>
        <v/>
      </c>
      <c r="O160" s="24">
        <f>MIN(MAX(0,MAX(0,$E160-$I160)-$U160),$K160)</f>
        <v/>
      </c>
      <c r="P160" s="24">
        <f>MAX(0,$K160-$O160)-$N160</f>
        <v/>
      </c>
      <c r="Q160" s="23">
        <f>$V159</f>
        <v/>
      </c>
      <c r="R160" s="24">
        <f>$Q160*Inputs!$C$19/12</f>
        <v/>
      </c>
      <c r="S160" s="24">
        <f>MIN(MAX(0,($C160+$F160)-$M160),$R160)</f>
        <v/>
      </c>
      <c r="T160" s="24">
        <f>MIN(MAX(0,($D160+$X160)-$N160),MAX(0,$Q160-$U160))</f>
        <v/>
      </c>
      <c r="U160" s="24">
        <f>MIN(MAX(0,$E160-$I160),$Q160)</f>
        <v/>
      </c>
      <c r="V160" s="24">
        <f>MAX(0,$Q160-$U160)-$T160</f>
        <v/>
      </c>
      <c r="W160" s="24">
        <f>MAX(0,MAX(0,($C160+$F160)-$M160)-$S160)-MIN(MAX(0,$D$3-(MAX(0,$F160-MAX(0,($M160+$S160)-$C160)))),MAX(0,MAX(0,($C160+$F160)-$M160)-$S160))</f>
        <v/>
      </c>
      <c r="X160" s="24">
        <f>IF(Inputs!$C$39=1,$W160,0)</f>
        <v/>
      </c>
      <c r="Y160" s="24">
        <f>IF(Inputs!$C$39=0,$W160,0)+MAX(0,MAX(0,($D160+$X160)-$N160)-$T160)</f>
        <v/>
      </c>
    </row>
    <row r="161">
      <c r="B161" s="22" t="n">
        <v>156</v>
      </c>
      <c r="C161" s="29">
        <f>IF($B161&lt;=Inputs!$C$6+Inputs!$C$11,Cashflow_Asset!$E159-Cashflow_Asset!$K159,0)</f>
        <v/>
      </c>
      <c r="D161" s="29">
        <f>IF($B161&lt;=Inputs!$C$6+Inputs!$C$11,Cashflow_Asset!$F159+Cashflow_Asset!$G159+Cashflow_Asset!$I159,0)</f>
        <v/>
      </c>
      <c r="E161" s="29">
        <f>IF($B161&lt;=Inputs!$C$6+Inputs!$C$11,Cashflow_Asset!$J159,0)</f>
        <v/>
      </c>
      <c r="F161" s="23">
        <f>$G160</f>
        <v/>
      </c>
      <c r="G161" s="24">
        <f>(MAX(0,$F161-MAX(0,($M161+$S161)-$C161)))+MIN(MAX(0,$D$3-(MAX(0,$F161-MAX(0,($M161+$S161)-$C161)))),MAX(0,MAX(0,($C161+$F161)-$M161)-$S161))</f>
        <v/>
      </c>
      <c r="H161" s="23">
        <f>$J160</f>
        <v/>
      </c>
      <c r="I161" s="24">
        <f>MIN($E161,$H161)</f>
        <v/>
      </c>
      <c r="J161" s="24">
        <f>$H161-$I161</f>
        <v/>
      </c>
      <c r="K161" s="23">
        <f>$P160</f>
        <v/>
      </c>
      <c r="L161" s="24">
        <f>$K161*Inputs!$C$18/12</f>
        <v/>
      </c>
      <c r="M161" s="24">
        <f>MIN(($C161+$F161),$L161)</f>
        <v/>
      </c>
      <c r="N161" s="24">
        <f>MIN(($D161+$X161),MAX(0,$K161-$O161))</f>
        <v/>
      </c>
      <c r="O161" s="24">
        <f>MIN(MAX(0,MAX(0,$E161-$I161)-$U161),$K161)</f>
        <v/>
      </c>
      <c r="P161" s="24">
        <f>MAX(0,$K161-$O161)-$N161</f>
        <v/>
      </c>
      <c r="Q161" s="23">
        <f>$V160</f>
        <v/>
      </c>
      <c r="R161" s="24">
        <f>$Q161*Inputs!$C$19/12</f>
        <v/>
      </c>
      <c r="S161" s="24">
        <f>MIN(MAX(0,($C161+$F161)-$M161),$R161)</f>
        <v/>
      </c>
      <c r="T161" s="24">
        <f>MIN(MAX(0,($D161+$X161)-$N161),MAX(0,$Q161-$U161))</f>
        <v/>
      </c>
      <c r="U161" s="24">
        <f>MIN(MAX(0,$E161-$I161),$Q161)</f>
        <v/>
      </c>
      <c r="V161" s="24">
        <f>MAX(0,$Q161-$U161)-$T161</f>
        <v/>
      </c>
      <c r="W161" s="24">
        <f>MAX(0,MAX(0,($C161+$F161)-$M161)-$S161)-MIN(MAX(0,$D$3-(MAX(0,$F161-MAX(0,($M161+$S161)-$C161)))),MAX(0,MAX(0,($C161+$F161)-$M161)-$S161))</f>
        <v/>
      </c>
      <c r="X161" s="24">
        <f>IF(Inputs!$C$39=1,$W161,0)</f>
        <v/>
      </c>
      <c r="Y161" s="24">
        <f>IF(Inputs!$C$39=0,$W161,0)+MAX(0,MAX(0,($D161+$X161)-$N161)-$T161)</f>
        <v/>
      </c>
    </row>
    <row r="162">
      <c r="B162" s="22" t="n">
        <v>157</v>
      </c>
      <c r="C162" s="29">
        <f>IF($B162&lt;=Inputs!$C$6+Inputs!$C$11,Cashflow_Asset!$E160-Cashflow_Asset!$K160,0)</f>
        <v/>
      </c>
      <c r="D162" s="29">
        <f>IF($B162&lt;=Inputs!$C$6+Inputs!$C$11,Cashflow_Asset!$F160+Cashflow_Asset!$G160+Cashflow_Asset!$I160,0)</f>
        <v/>
      </c>
      <c r="E162" s="29">
        <f>IF($B162&lt;=Inputs!$C$6+Inputs!$C$11,Cashflow_Asset!$J160,0)</f>
        <v/>
      </c>
      <c r="F162" s="23">
        <f>$G161</f>
        <v/>
      </c>
      <c r="G162" s="24">
        <f>(MAX(0,$F162-MAX(0,($M162+$S162)-$C162)))+MIN(MAX(0,$D$3-(MAX(0,$F162-MAX(0,($M162+$S162)-$C162)))),MAX(0,MAX(0,($C162+$F162)-$M162)-$S162))</f>
        <v/>
      </c>
      <c r="H162" s="23">
        <f>$J161</f>
        <v/>
      </c>
      <c r="I162" s="24">
        <f>MIN($E162,$H162)</f>
        <v/>
      </c>
      <c r="J162" s="24">
        <f>$H162-$I162</f>
        <v/>
      </c>
      <c r="K162" s="23">
        <f>$P161</f>
        <v/>
      </c>
      <c r="L162" s="24">
        <f>$K162*Inputs!$C$18/12</f>
        <v/>
      </c>
      <c r="M162" s="24">
        <f>MIN(($C162+$F162),$L162)</f>
        <v/>
      </c>
      <c r="N162" s="24">
        <f>MIN(($D162+$X162),MAX(0,$K162-$O162))</f>
        <v/>
      </c>
      <c r="O162" s="24">
        <f>MIN(MAX(0,MAX(0,$E162-$I162)-$U162),$K162)</f>
        <v/>
      </c>
      <c r="P162" s="24">
        <f>MAX(0,$K162-$O162)-$N162</f>
        <v/>
      </c>
      <c r="Q162" s="23">
        <f>$V161</f>
        <v/>
      </c>
      <c r="R162" s="24">
        <f>$Q162*Inputs!$C$19/12</f>
        <v/>
      </c>
      <c r="S162" s="24">
        <f>MIN(MAX(0,($C162+$F162)-$M162),$R162)</f>
        <v/>
      </c>
      <c r="T162" s="24">
        <f>MIN(MAX(0,($D162+$X162)-$N162),MAX(0,$Q162-$U162))</f>
        <v/>
      </c>
      <c r="U162" s="24">
        <f>MIN(MAX(0,$E162-$I162),$Q162)</f>
        <v/>
      </c>
      <c r="V162" s="24">
        <f>MAX(0,$Q162-$U162)-$T162</f>
        <v/>
      </c>
      <c r="W162" s="24">
        <f>MAX(0,MAX(0,($C162+$F162)-$M162)-$S162)-MIN(MAX(0,$D$3-(MAX(0,$F162-MAX(0,($M162+$S162)-$C162)))),MAX(0,MAX(0,($C162+$F162)-$M162)-$S162))</f>
        <v/>
      </c>
      <c r="X162" s="24">
        <f>IF(Inputs!$C$39=1,$W162,0)</f>
        <v/>
      </c>
      <c r="Y162" s="24">
        <f>IF(Inputs!$C$39=0,$W162,0)+MAX(0,MAX(0,($D162+$X162)-$N162)-$T162)</f>
        <v/>
      </c>
    </row>
    <row r="163">
      <c r="B163" s="22" t="n">
        <v>158</v>
      </c>
      <c r="C163" s="29">
        <f>IF($B163&lt;=Inputs!$C$6+Inputs!$C$11,Cashflow_Asset!$E161-Cashflow_Asset!$K161,0)</f>
        <v/>
      </c>
      <c r="D163" s="29">
        <f>IF($B163&lt;=Inputs!$C$6+Inputs!$C$11,Cashflow_Asset!$F161+Cashflow_Asset!$G161+Cashflow_Asset!$I161,0)</f>
        <v/>
      </c>
      <c r="E163" s="29">
        <f>IF($B163&lt;=Inputs!$C$6+Inputs!$C$11,Cashflow_Asset!$J161,0)</f>
        <v/>
      </c>
      <c r="F163" s="23">
        <f>$G162</f>
        <v/>
      </c>
      <c r="G163" s="24">
        <f>(MAX(0,$F163-MAX(0,($M163+$S163)-$C163)))+MIN(MAX(0,$D$3-(MAX(0,$F163-MAX(0,($M163+$S163)-$C163)))),MAX(0,MAX(0,($C163+$F163)-$M163)-$S163))</f>
        <v/>
      </c>
      <c r="H163" s="23">
        <f>$J162</f>
        <v/>
      </c>
      <c r="I163" s="24">
        <f>MIN($E163,$H163)</f>
        <v/>
      </c>
      <c r="J163" s="24">
        <f>$H163-$I163</f>
        <v/>
      </c>
      <c r="K163" s="23">
        <f>$P162</f>
        <v/>
      </c>
      <c r="L163" s="24">
        <f>$K163*Inputs!$C$18/12</f>
        <v/>
      </c>
      <c r="M163" s="24">
        <f>MIN(($C163+$F163),$L163)</f>
        <v/>
      </c>
      <c r="N163" s="24">
        <f>MIN(($D163+$X163),MAX(0,$K163-$O163))</f>
        <v/>
      </c>
      <c r="O163" s="24">
        <f>MIN(MAX(0,MAX(0,$E163-$I163)-$U163),$K163)</f>
        <v/>
      </c>
      <c r="P163" s="24">
        <f>MAX(0,$K163-$O163)-$N163</f>
        <v/>
      </c>
      <c r="Q163" s="23">
        <f>$V162</f>
        <v/>
      </c>
      <c r="R163" s="24">
        <f>$Q163*Inputs!$C$19/12</f>
        <v/>
      </c>
      <c r="S163" s="24">
        <f>MIN(MAX(0,($C163+$F163)-$M163),$R163)</f>
        <v/>
      </c>
      <c r="T163" s="24">
        <f>MIN(MAX(0,($D163+$X163)-$N163),MAX(0,$Q163-$U163))</f>
        <v/>
      </c>
      <c r="U163" s="24">
        <f>MIN(MAX(0,$E163-$I163),$Q163)</f>
        <v/>
      </c>
      <c r="V163" s="24">
        <f>MAX(0,$Q163-$U163)-$T163</f>
        <v/>
      </c>
      <c r="W163" s="24">
        <f>MAX(0,MAX(0,($C163+$F163)-$M163)-$S163)-MIN(MAX(0,$D$3-(MAX(0,$F163-MAX(0,($M163+$S163)-$C163)))),MAX(0,MAX(0,($C163+$F163)-$M163)-$S163))</f>
        <v/>
      </c>
      <c r="X163" s="24">
        <f>IF(Inputs!$C$39=1,$W163,0)</f>
        <v/>
      </c>
      <c r="Y163" s="24">
        <f>IF(Inputs!$C$39=0,$W163,0)+MAX(0,MAX(0,($D163+$X163)-$N163)-$T163)</f>
        <v/>
      </c>
    </row>
    <row r="164">
      <c r="B164" s="22" t="n">
        <v>159</v>
      </c>
      <c r="C164" s="29">
        <f>IF($B164&lt;=Inputs!$C$6+Inputs!$C$11,Cashflow_Asset!$E162-Cashflow_Asset!$K162,0)</f>
        <v/>
      </c>
      <c r="D164" s="29">
        <f>IF($B164&lt;=Inputs!$C$6+Inputs!$C$11,Cashflow_Asset!$F162+Cashflow_Asset!$G162+Cashflow_Asset!$I162,0)</f>
        <v/>
      </c>
      <c r="E164" s="29">
        <f>IF($B164&lt;=Inputs!$C$6+Inputs!$C$11,Cashflow_Asset!$J162,0)</f>
        <v/>
      </c>
      <c r="F164" s="23">
        <f>$G163</f>
        <v/>
      </c>
      <c r="G164" s="24">
        <f>(MAX(0,$F164-MAX(0,($M164+$S164)-$C164)))+MIN(MAX(0,$D$3-(MAX(0,$F164-MAX(0,($M164+$S164)-$C164)))),MAX(0,MAX(0,($C164+$F164)-$M164)-$S164))</f>
        <v/>
      </c>
      <c r="H164" s="23">
        <f>$J163</f>
        <v/>
      </c>
      <c r="I164" s="24">
        <f>MIN($E164,$H164)</f>
        <v/>
      </c>
      <c r="J164" s="24">
        <f>$H164-$I164</f>
        <v/>
      </c>
      <c r="K164" s="23">
        <f>$P163</f>
        <v/>
      </c>
      <c r="L164" s="24">
        <f>$K164*Inputs!$C$18/12</f>
        <v/>
      </c>
      <c r="M164" s="24">
        <f>MIN(($C164+$F164),$L164)</f>
        <v/>
      </c>
      <c r="N164" s="24">
        <f>MIN(($D164+$X164),MAX(0,$K164-$O164))</f>
        <v/>
      </c>
      <c r="O164" s="24">
        <f>MIN(MAX(0,MAX(0,$E164-$I164)-$U164),$K164)</f>
        <v/>
      </c>
      <c r="P164" s="24">
        <f>MAX(0,$K164-$O164)-$N164</f>
        <v/>
      </c>
      <c r="Q164" s="23">
        <f>$V163</f>
        <v/>
      </c>
      <c r="R164" s="24">
        <f>$Q164*Inputs!$C$19/12</f>
        <v/>
      </c>
      <c r="S164" s="24">
        <f>MIN(MAX(0,($C164+$F164)-$M164),$R164)</f>
        <v/>
      </c>
      <c r="T164" s="24">
        <f>MIN(MAX(0,($D164+$X164)-$N164),MAX(0,$Q164-$U164))</f>
        <v/>
      </c>
      <c r="U164" s="24">
        <f>MIN(MAX(0,$E164-$I164),$Q164)</f>
        <v/>
      </c>
      <c r="V164" s="24">
        <f>MAX(0,$Q164-$U164)-$T164</f>
        <v/>
      </c>
      <c r="W164" s="24">
        <f>MAX(0,MAX(0,($C164+$F164)-$M164)-$S164)-MIN(MAX(0,$D$3-(MAX(0,$F164-MAX(0,($M164+$S164)-$C164)))),MAX(0,MAX(0,($C164+$F164)-$M164)-$S164))</f>
        <v/>
      </c>
      <c r="X164" s="24">
        <f>IF(Inputs!$C$39=1,$W164,0)</f>
        <v/>
      </c>
      <c r="Y164" s="24">
        <f>IF(Inputs!$C$39=0,$W164,0)+MAX(0,MAX(0,($D164+$X164)-$N164)-$T164)</f>
        <v/>
      </c>
    </row>
    <row r="165">
      <c r="B165" s="22" t="n">
        <v>160</v>
      </c>
      <c r="C165" s="29">
        <f>IF($B165&lt;=Inputs!$C$6+Inputs!$C$11,Cashflow_Asset!$E163-Cashflow_Asset!$K163,0)</f>
        <v/>
      </c>
      <c r="D165" s="29">
        <f>IF($B165&lt;=Inputs!$C$6+Inputs!$C$11,Cashflow_Asset!$F163+Cashflow_Asset!$G163+Cashflow_Asset!$I163,0)</f>
        <v/>
      </c>
      <c r="E165" s="29">
        <f>IF($B165&lt;=Inputs!$C$6+Inputs!$C$11,Cashflow_Asset!$J163,0)</f>
        <v/>
      </c>
      <c r="F165" s="23">
        <f>$G164</f>
        <v/>
      </c>
      <c r="G165" s="24">
        <f>(MAX(0,$F165-MAX(0,($M165+$S165)-$C165)))+MIN(MAX(0,$D$3-(MAX(0,$F165-MAX(0,($M165+$S165)-$C165)))),MAX(0,MAX(0,($C165+$F165)-$M165)-$S165))</f>
        <v/>
      </c>
      <c r="H165" s="23">
        <f>$J164</f>
        <v/>
      </c>
      <c r="I165" s="24">
        <f>MIN($E165,$H165)</f>
        <v/>
      </c>
      <c r="J165" s="24">
        <f>$H165-$I165</f>
        <v/>
      </c>
      <c r="K165" s="23">
        <f>$P164</f>
        <v/>
      </c>
      <c r="L165" s="24">
        <f>$K165*Inputs!$C$18/12</f>
        <v/>
      </c>
      <c r="M165" s="24">
        <f>MIN(($C165+$F165),$L165)</f>
        <v/>
      </c>
      <c r="N165" s="24">
        <f>MIN(($D165+$X165),MAX(0,$K165-$O165))</f>
        <v/>
      </c>
      <c r="O165" s="24">
        <f>MIN(MAX(0,MAX(0,$E165-$I165)-$U165),$K165)</f>
        <v/>
      </c>
      <c r="P165" s="24">
        <f>MAX(0,$K165-$O165)-$N165</f>
        <v/>
      </c>
      <c r="Q165" s="23">
        <f>$V164</f>
        <v/>
      </c>
      <c r="R165" s="24">
        <f>$Q165*Inputs!$C$19/12</f>
        <v/>
      </c>
      <c r="S165" s="24">
        <f>MIN(MAX(0,($C165+$F165)-$M165),$R165)</f>
        <v/>
      </c>
      <c r="T165" s="24">
        <f>MIN(MAX(0,($D165+$X165)-$N165),MAX(0,$Q165-$U165))</f>
        <v/>
      </c>
      <c r="U165" s="24">
        <f>MIN(MAX(0,$E165-$I165),$Q165)</f>
        <v/>
      </c>
      <c r="V165" s="24">
        <f>MAX(0,$Q165-$U165)-$T165</f>
        <v/>
      </c>
      <c r="W165" s="24">
        <f>MAX(0,MAX(0,($C165+$F165)-$M165)-$S165)-MIN(MAX(0,$D$3-(MAX(0,$F165-MAX(0,($M165+$S165)-$C165)))),MAX(0,MAX(0,($C165+$F165)-$M165)-$S165))</f>
        <v/>
      </c>
      <c r="X165" s="24">
        <f>IF(Inputs!$C$39=1,$W165,0)</f>
        <v/>
      </c>
      <c r="Y165" s="24">
        <f>IF(Inputs!$C$39=0,$W165,0)+MAX(0,MAX(0,($D165+$X165)-$N165)-$T165)</f>
        <v/>
      </c>
    </row>
    <row r="166">
      <c r="B166" s="22" t="n">
        <v>161</v>
      </c>
      <c r="C166" s="29">
        <f>IF($B166&lt;=Inputs!$C$6+Inputs!$C$11,Cashflow_Asset!$E164-Cashflow_Asset!$K164,0)</f>
        <v/>
      </c>
      <c r="D166" s="29">
        <f>IF($B166&lt;=Inputs!$C$6+Inputs!$C$11,Cashflow_Asset!$F164+Cashflow_Asset!$G164+Cashflow_Asset!$I164,0)</f>
        <v/>
      </c>
      <c r="E166" s="29">
        <f>IF($B166&lt;=Inputs!$C$6+Inputs!$C$11,Cashflow_Asset!$J164,0)</f>
        <v/>
      </c>
      <c r="F166" s="23">
        <f>$G165</f>
        <v/>
      </c>
      <c r="G166" s="24">
        <f>(MAX(0,$F166-MAX(0,($M166+$S166)-$C166)))+MIN(MAX(0,$D$3-(MAX(0,$F166-MAX(0,($M166+$S166)-$C166)))),MAX(0,MAX(0,($C166+$F166)-$M166)-$S166))</f>
        <v/>
      </c>
      <c r="H166" s="23">
        <f>$J165</f>
        <v/>
      </c>
      <c r="I166" s="24">
        <f>MIN($E166,$H166)</f>
        <v/>
      </c>
      <c r="J166" s="24">
        <f>$H166-$I166</f>
        <v/>
      </c>
      <c r="K166" s="23">
        <f>$P165</f>
        <v/>
      </c>
      <c r="L166" s="24">
        <f>$K166*Inputs!$C$18/12</f>
        <v/>
      </c>
      <c r="M166" s="24">
        <f>MIN(($C166+$F166),$L166)</f>
        <v/>
      </c>
      <c r="N166" s="24">
        <f>MIN(($D166+$X166),MAX(0,$K166-$O166))</f>
        <v/>
      </c>
      <c r="O166" s="24">
        <f>MIN(MAX(0,MAX(0,$E166-$I166)-$U166),$K166)</f>
        <v/>
      </c>
      <c r="P166" s="24">
        <f>MAX(0,$K166-$O166)-$N166</f>
        <v/>
      </c>
      <c r="Q166" s="23">
        <f>$V165</f>
        <v/>
      </c>
      <c r="R166" s="24">
        <f>$Q166*Inputs!$C$19/12</f>
        <v/>
      </c>
      <c r="S166" s="24">
        <f>MIN(MAX(0,($C166+$F166)-$M166),$R166)</f>
        <v/>
      </c>
      <c r="T166" s="24">
        <f>MIN(MAX(0,($D166+$X166)-$N166),MAX(0,$Q166-$U166))</f>
        <v/>
      </c>
      <c r="U166" s="24">
        <f>MIN(MAX(0,$E166-$I166),$Q166)</f>
        <v/>
      </c>
      <c r="V166" s="24">
        <f>MAX(0,$Q166-$U166)-$T166</f>
        <v/>
      </c>
      <c r="W166" s="24">
        <f>MAX(0,MAX(0,($C166+$F166)-$M166)-$S166)-MIN(MAX(0,$D$3-(MAX(0,$F166-MAX(0,($M166+$S166)-$C166)))),MAX(0,MAX(0,($C166+$F166)-$M166)-$S166))</f>
        <v/>
      </c>
      <c r="X166" s="24">
        <f>IF(Inputs!$C$39=1,$W166,0)</f>
        <v/>
      </c>
      <c r="Y166" s="24">
        <f>IF(Inputs!$C$39=0,$W166,0)+MAX(0,MAX(0,($D166+$X166)-$N166)-$T166)</f>
        <v/>
      </c>
    </row>
    <row r="167">
      <c r="B167" s="22" t="n">
        <v>162</v>
      </c>
      <c r="C167" s="29">
        <f>IF($B167&lt;=Inputs!$C$6+Inputs!$C$11,Cashflow_Asset!$E165-Cashflow_Asset!$K165,0)</f>
        <v/>
      </c>
      <c r="D167" s="29">
        <f>IF($B167&lt;=Inputs!$C$6+Inputs!$C$11,Cashflow_Asset!$F165+Cashflow_Asset!$G165+Cashflow_Asset!$I165,0)</f>
        <v/>
      </c>
      <c r="E167" s="29">
        <f>IF($B167&lt;=Inputs!$C$6+Inputs!$C$11,Cashflow_Asset!$J165,0)</f>
        <v/>
      </c>
      <c r="F167" s="23">
        <f>$G166</f>
        <v/>
      </c>
      <c r="G167" s="24">
        <f>(MAX(0,$F167-MAX(0,($M167+$S167)-$C167)))+MIN(MAX(0,$D$3-(MAX(0,$F167-MAX(0,($M167+$S167)-$C167)))),MAX(0,MAX(0,($C167+$F167)-$M167)-$S167))</f>
        <v/>
      </c>
      <c r="H167" s="23">
        <f>$J166</f>
        <v/>
      </c>
      <c r="I167" s="24">
        <f>MIN($E167,$H167)</f>
        <v/>
      </c>
      <c r="J167" s="24">
        <f>$H167-$I167</f>
        <v/>
      </c>
      <c r="K167" s="23">
        <f>$P166</f>
        <v/>
      </c>
      <c r="L167" s="24">
        <f>$K167*Inputs!$C$18/12</f>
        <v/>
      </c>
      <c r="M167" s="24">
        <f>MIN(($C167+$F167),$L167)</f>
        <v/>
      </c>
      <c r="N167" s="24">
        <f>MIN(($D167+$X167),MAX(0,$K167-$O167))</f>
        <v/>
      </c>
      <c r="O167" s="24">
        <f>MIN(MAX(0,MAX(0,$E167-$I167)-$U167),$K167)</f>
        <v/>
      </c>
      <c r="P167" s="24">
        <f>MAX(0,$K167-$O167)-$N167</f>
        <v/>
      </c>
      <c r="Q167" s="23">
        <f>$V166</f>
        <v/>
      </c>
      <c r="R167" s="24">
        <f>$Q167*Inputs!$C$19/12</f>
        <v/>
      </c>
      <c r="S167" s="24">
        <f>MIN(MAX(0,($C167+$F167)-$M167),$R167)</f>
        <v/>
      </c>
      <c r="T167" s="24">
        <f>MIN(MAX(0,($D167+$X167)-$N167),MAX(0,$Q167-$U167))</f>
        <v/>
      </c>
      <c r="U167" s="24">
        <f>MIN(MAX(0,$E167-$I167),$Q167)</f>
        <v/>
      </c>
      <c r="V167" s="24">
        <f>MAX(0,$Q167-$U167)-$T167</f>
        <v/>
      </c>
      <c r="W167" s="24">
        <f>MAX(0,MAX(0,($C167+$F167)-$M167)-$S167)-MIN(MAX(0,$D$3-(MAX(0,$F167-MAX(0,($M167+$S167)-$C167)))),MAX(0,MAX(0,($C167+$F167)-$M167)-$S167))</f>
        <v/>
      </c>
      <c r="X167" s="24">
        <f>IF(Inputs!$C$39=1,$W167,0)</f>
        <v/>
      </c>
      <c r="Y167" s="24">
        <f>IF(Inputs!$C$39=0,$W167,0)+MAX(0,MAX(0,($D167+$X167)-$N167)-$T167)</f>
        <v/>
      </c>
    </row>
    <row r="168">
      <c r="B168" s="22" t="n">
        <v>163</v>
      </c>
      <c r="C168" s="29">
        <f>IF($B168&lt;=Inputs!$C$6+Inputs!$C$11,Cashflow_Asset!$E166-Cashflow_Asset!$K166,0)</f>
        <v/>
      </c>
      <c r="D168" s="29">
        <f>IF($B168&lt;=Inputs!$C$6+Inputs!$C$11,Cashflow_Asset!$F166+Cashflow_Asset!$G166+Cashflow_Asset!$I166,0)</f>
        <v/>
      </c>
      <c r="E168" s="29">
        <f>IF($B168&lt;=Inputs!$C$6+Inputs!$C$11,Cashflow_Asset!$J166,0)</f>
        <v/>
      </c>
      <c r="F168" s="23">
        <f>$G167</f>
        <v/>
      </c>
      <c r="G168" s="24">
        <f>(MAX(0,$F168-MAX(0,($M168+$S168)-$C168)))+MIN(MAX(0,$D$3-(MAX(0,$F168-MAX(0,($M168+$S168)-$C168)))),MAX(0,MAX(0,($C168+$F168)-$M168)-$S168))</f>
        <v/>
      </c>
      <c r="H168" s="23">
        <f>$J167</f>
        <v/>
      </c>
      <c r="I168" s="24">
        <f>MIN($E168,$H168)</f>
        <v/>
      </c>
      <c r="J168" s="24">
        <f>$H168-$I168</f>
        <v/>
      </c>
      <c r="K168" s="23">
        <f>$P167</f>
        <v/>
      </c>
      <c r="L168" s="24">
        <f>$K168*Inputs!$C$18/12</f>
        <v/>
      </c>
      <c r="M168" s="24">
        <f>MIN(($C168+$F168),$L168)</f>
        <v/>
      </c>
      <c r="N168" s="24">
        <f>MIN(($D168+$X168),MAX(0,$K168-$O168))</f>
        <v/>
      </c>
      <c r="O168" s="24">
        <f>MIN(MAX(0,MAX(0,$E168-$I168)-$U168),$K168)</f>
        <v/>
      </c>
      <c r="P168" s="24">
        <f>MAX(0,$K168-$O168)-$N168</f>
        <v/>
      </c>
      <c r="Q168" s="23">
        <f>$V167</f>
        <v/>
      </c>
      <c r="R168" s="24">
        <f>$Q168*Inputs!$C$19/12</f>
        <v/>
      </c>
      <c r="S168" s="24">
        <f>MIN(MAX(0,($C168+$F168)-$M168),$R168)</f>
        <v/>
      </c>
      <c r="T168" s="24">
        <f>MIN(MAX(0,($D168+$X168)-$N168),MAX(0,$Q168-$U168))</f>
        <v/>
      </c>
      <c r="U168" s="24">
        <f>MIN(MAX(0,$E168-$I168),$Q168)</f>
        <v/>
      </c>
      <c r="V168" s="24">
        <f>MAX(0,$Q168-$U168)-$T168</f>
        <v/>
      </c>
      <c r="W168" s="24">
        <f>MAX(0,MAX(0,($C168+$F168)-$M168)-$S168)-MIN(MAX(0,$D$3-(MAX(0,$F168-MAX(0,($M168+$S168)-$C168)))),MAX(0,MAX(0,($C168+$F168)-$M168)-$S168))</f>
        <v/>
      </c>
      <c r="X168" s="24">
        <f>IF(Inputs!$C$39=1,$W168,0)</f>
        <v/>
      </c>
      <c r="Y168" s="24">
        <f>IF(Inputs!$C$39=0,$W168,0)+MAX(0,MAX(0,($D168+$X168)-$N168)-$T168)</f>
        <v/>
      </c>
    </row>
    <row r="169">
      <c r="B169" s="22" t="n">
        <v>164</v>
      </c>
      <c r="C169" s="29">
        <f>IF($B169&lt;=Inputs!$C$6+Inputs!$C$11,Cashflow_Asset!$E167-Cashflow_Asset!$K167,0)</f>
        <v/>
      </c>
      <c r="D169" s="29">
        <f>IF($B169&lt;=Inputs!$C$6+Inputs!$C$11,Cashflow_Asset!$F167+Cashflow_Asset!$G167+Cashflow_Asset!$I167,0)</f>
        <v/>
      </c>
      <c r="E169" s="29">
        <f>IF($B169&lt;=Inputs!$C$6+Inputs!$C$11,Cashflow_Asset!$J167,0)</f>
        <v/>
      </c>
      <c r="F169" s="23">
        <f>$G168</f>
        <v/>
      </c>
      <c r="G169" s="24">
        <f>(MAX(0,$F169-MAX(0,($M169+$S169)-$C169)))+MIN(MAX(0,$D$3-(MAX(0,$F169-MAX(0,($M169+$S169)-$C169)))),MAX(0,MAX(0,($C169+$F169)-$M169)-$S169))</f>
        <v/>
      </c>
      <c r="H169" s="23">
        <f>$J168</f>
        <v/>
      </c>
      <c r="I169" s="24">
        <f>MIN($E169,$H169)</f>
        <v/>
      </c>
      <c r="J169" s="24">
        <f>$H169-$I169</f>
        <v/>
      </c>
      <c r="K169" s="23">
        <f>$P168</f>
        <v/>
      </c>
      <c r="L169" s="24">
        <f>$K169*Inputs!$C$18/12</f>
        <v/>
      </c>
      <c r="M169" s="24">
        <f>MIN(($C169+$F169),$L169)</f>
        <v/>
      </c>
      <c r="N169" s="24">
        <f>MIN(($D169+$X169),MAX(0,$K169-$O169))</f>
        <v/>
      </c>
      <c r="O169" s="24">
        <f>MIN(MAX(0,MAX(0,$E169-$I169)-$U169),$K169)</f>
        <v/>
      </c>
      <c r="P169" s="24">
        <f>MAX(0,$K169-$O169)-$N169</f>
        <v/>
      </c>
      <c r="Q169" s="23">
        <f>$V168</f>
        <v/>
      </c>
      <c r="R169" s="24">
        <f>$Q169*Inputs!$C$19/12</f>
        <v/>
      </c>
      <c r="S169" s="24">
        <f>MIN(MAX(0,($C169+$F169)-$M169),$R169)</f>
        <v/>
      </c>
      <c r="T169" s="24">
        <f>MIN(MAX(0,($D169+$X169)-$N169),MAX(0,$Q169-$U169))</f>
        <v/>
      </c>
      <c r="U169" s="24">
        <f>MIN(MAX(0,$E169-$I169),$Q169)</f>
        <v/>
      </c>
      <c r="V169" s="24">
        <f>MAX(0,$Q169-$U169)-$T169</f>
        <v/>
      </c>
      <c r="W169" s="24">
        <f>MAX(0,MAX(0,($C169+$F169)-$M169)-$S169)-MIN(MAX(0,$D$3-(MAX(0,$F169-MAX(0,($M169+$S169)-$C169)))),MAX(0,MAX(0,($C169+$F169)-$M169)-$S169))</f>
        <v/>
      </c>
      <c r="X169" s="24">
        <f>IF(Inputs!$C$39=1,$W169,0)</f>
        <v/>
      </c>
      <c r="Y169" s="24">
        <f>IF(Inputs!$C$39=0,$W169,0)+MAX(0,MAX(0,($D169+$X169)-$N169)-$T169)</f>
        <v/>
      </c>
    </row>
    <row r="170">
      <c r="B170" s="22" t="n">
        <v>165</v>
      </c>
      <c r="C170" s="29">
        <f>IF($B170&lt;=Inputs!$C$6+Inputs!$C$11,Cashflow_Asset!$E168-Cashflow_Asset!$K168,0)</f>
        <v/>
      </c>
      <c r="D170" s="29">
        <f>IF($B170&lt;=Inputs!$C$6+Inputs!$C$11,Cashflow_Asset!$F168+Cashflow_Asset!$G168+Cashflow_Asset!$I168,0)</f>
        <v/>
      </c>
      <c r="E170" s="29">
        <f>IF($B170&lt;=Inputs!$C$6+Inputs!$C$11,Cashflow_Asset!$J168,0)</f>
        <v/>
      </c>
      <c r="F170" s="23">
        <f>$G169</f>
        <v/>
      </c>
      <c r="G170" s="24">
        <f>(MAX(0,$F170-MAX(0,($M170+$S170)-$C170)))+MIN(MAX(0,$D$3-(MAX(0,$F170-MAX(0,($M170+$S170)-$C170)))),MAX(0,MAX(0,($C170+$F170)-$M170)-$S170))</f>
        <v/>
      </c>
      <c r="H170" s="23">
        <f>$J169</f>
        <v/>
      </c>
      <c r="I170" s="24">
        <f>MIN($E170,$H170)</f>
        <v/>
      </c>
      <c r="J170" s="24">
        <f>$H170-$I170</f>
        <v/>
      </c>
      <c r="K170" s="23">
        <f>$P169</f>
        <v/>
      </c>
      <c r="L170" s="24">
        <f>$K170*Inputs!$C$18/12</f>
        <v/>
      </c>
      <c r="M170" s="24">
        <f>MIN(($C170+$F170),$L170)</f>
        <v/>
      </c>
      <c r="N170" s="24">
        <f>MIN(($D170+$X170),MAX(0,$K170-$O170))</f>
        <v/>
      </c>
      <c r="O170" s="24">
        <f>MIN(MAX(0,MAX(0,$E170-$I170)-$U170),$K170)</f>
        <v/>
      </c>
      <c r="P170" s="24">
        <f>MAX(0,$K170-$O170)-$N170</f>
        <v/>
      </c>
      <c r="Q170" s="23">
        <f>$V169</f>
        <v/>
      </c>
      <c r="R170" s="24">
        <f>$Q170*Inputs!$C$19/12</f>
        <v/>
      </c>
      <c r="S170" s="24">
        <f>MIN(MAX(0,($C170+$F170)-$M170),$R170)</f>
        <v/>
      </c>
      <c r="T170" s="24">
        <f>MIN(MAX(0,($D170+$X170)-$N170),MAX(0,$Q170-$U170))</f>
        <v/>
      </c>
      <c r="U170" s="24">
        <f>MIN(MAX(0,$E170-$I170),$Q170)</f>
        <v/>
      </c>
      <c r="V170" s="24">
        <f>MAX(0,$Q170-$U170)-$T170</f>
        <v/>
      </c>
      <c r="W170" s="24">
        <f>MAX(0,MAX(0,($C170+$F170)-$M170)-$S170)-MIN(MAX(0,$D$3-(MAX(0,$F170-MAX(0,($M170+$S170)-$C170)))),MAX(0,MAX(0,($C170+$F170)-$M170)-$S170))</f>
        <v/>
      </c>
      <c r="X170" s="24">
        <f>IF(Inputs!$C$39=1,$W170,0)</f>
        <v/>
      </c>
      <c r="Y170" s="24">
        <f>IF(Inputs!$C$39=0,$W170,0)+MAX(0,MAX(0,($D170+$X170)-$N170)-$T170)</f>
        <v/>
      </c>
    </row>
    <row r="171">
      <c r="B171" s="22" t="n">
        <v>166</v>
      </c>
      <c r="C171" s="29">
        <f>IF($B171&lt;=Inputs!$C$6+Inputs!$C$11,Cashflow_Asset!$E169-Cashflow_Asset!$K169,0)</f>
        <v/>
      </c>
      <c r="D171" s="29">
        <f>IF($B171&lt;=Inputs!$C$6+Inputs!$C$11,Cashflow_Asset!$F169+Cashflow_Asset!$G169+Cashflow_Asset!$I169,0)</f>
        <v/>
      </c>
      <c r="E171" s="29">
        <f>IF($B171&lt;=Inputs!$C$6+Inputs!$C$11,Cashflow_Asset!$J169,0)</f>
        <v/>
      </c>
      <c r="F171" s="23">
        <f>$G170</f>
        <v/>
      </c>
      <c r="G171" s="24">
        <f>(MAX(0,$F171-MAX(0,($M171+$S171)-$C171)))+MIN(MAX(0,$D$3-(MAX(0,$F171-MAX(0,($M171+$S171)-$C171)))),MAX(0,MAX(0,($C171+$F171)-$M171)-$S171))</f>
        <v/>
      </c>
      <c r="H171" s="23">
        <f>$J170</f>
        <v/>
      </c>
      <c r="I171" s="24">
        <f>MIN($E171,$H171)</f>
        <v/>
      </c>
      <c r="J171" s="24">
        <f>$H171-$I171</f>
        <v/>
      </c>
      <c r="K171" s="23">
        <f>$P170</f>
        <v/>
      </c>
      <c r="L171" s="24">
        <f>$K171*Inputs!$C$18/12</f>
        <v/>
      </c>
      <c r="M171" s="24">
        <f>MIN(($C171+$F171),$L171)</f>
        <v/>
      </c>
      <c r="N171" s="24">
        <f>MIN(($D171+$X171),MAX(0,$K171-$O171))</f>
        <v/>
      </c>
      <c r="O171" s="24">
        <f>MIN(MAX(0,MAX(0,$E171-$I171)-$U171),$K171)</f>
        <v/>
      </c>
      <c r="P171" s="24">
        <f>MAX(0,$K171-$O171)-$N171</f>
        <v/>
      </c>
      <c r="Q171" s="23">
        <f>$V170</f>
        <v/>
      </c>
      <c r="R171" s="24">
        <f>$Q171*Inputs!$C$19/12</f>
        <v/>
      </c>
      <c r="S171" s="24">
        <f>MIN(MAX(0,($C171+$F171)-$M171),$R171)</f>
        <v/>
      </c>
      <c r="T171" s="24">
        <f>MIN(MAX(0,($D171+$X171)-$N171),MAX(0,$Q171-$U171))</f>
        <v/>
      </c>
      <c r="U171" s="24">
        <f>MIN(MAX(0,$E171-$I171),$Q171)</f>
        <v/>
      </c>
      <c r="V171" s="24">
        <f>MAX(0,$Q171-$U171)-$T171</f>
        <v/>
      </c>
      <c r="W171" s="24">
        <f>MAX(0,MAX(0,($C171+$F171)-$M171)-$S171)-MIN(MAX(0,$D$3-(MAX(0,$F171-MAX(0,($M171+$S171)-$C171)))),MAX(0,MAX(0,($C171+$F171)-$M171)-$S171))</f>
        <v/>
      </c>
      <c r="X171" s="24">
        <f>IF(Inputs!$C$39=1,$W171,0)</f>
        <v/>
      </c>
      <c r="Y171" s="24">
        <f>IF(Inputs!$C$39=0,$W171,0)+MAX(0,MAX(0,($D171+$X171)-$N171)-$T171)</f>
        <v/>
      </c>
    </row>
    <row r="172">
      <c r="B172" s="22" t="n">
        <v>167</v>
      </c>
      <c r="C172" s="29">
        <f>IF($B172&lt;=Inputs!$C$6+Inputs!$C$11,Cashflow_Asset!$E170-Cashflow_Asset!$K170,0)</f>
        <v/>
      </c>
      <c r="D172" s="29">
        <f>IF($B172&lt;=Inputs!$C$6+Inputs!$C$11,Cashflow_Asset!$F170+Cashflow_Asset!$G170+Cashflow_Asset!$I170,0)</f>
        <v/>
      </c>
      <c r="E172" s="29">
        <f>IF($B172&lt;=Inputs!$C$6+Inputs!$C$11,Cashflow_Asset!$J170,0)</f>
        <v/>
      </c>
      <c r="F172" s="23">
        <f>$G171</f>
        <v/>
      </c>
      <c r="G172" s="24">
        <f>(MAX(0,$F172-MAX(0,($M172+$S172)-$C172)))+MIN(MAX(0,$D$3-(MAX(0,$F172-MAX(0,($M172+$S172)-$C172)))),MAX(0,MAX(0,($C172+$F172)-$M172)-$S172))</f>
        <v/>
      </c>
      <c r="H172" s="23">
        <f>$J171</f>
        <v/>
      </c>
      <c r="I172" s="24">
        <f>MIN($E172,$H172)</f>
        <v/>
      </c>
      <c r="J172" s="24">
        <f>$H172-$I172</f>
        <v/>
      </c>
      <c r="K172" s="23">
        <f>$P171</f>
        <v/>
      </c>
      <c r="L172" s="24">
        <f>$K172*Inputs!$C$18/12</f>
        <v/>
      </c>
      <c r="M172" s="24">
        <f>MIN(($C172+$F172),$L172)</f>
        <v/>
      </c>
      <c r="N172" s="24">
        <f>MIN(($D172+$X172),MAX(0,$K172-$O172))</f>
        <v/>
      </c>
      <c r="O172" s="24">
        <f>MIN(MAX(0,MAX(0,$E172-$I172)-$U172),$K172)</f>
        <v/>
      </c>
      <c r="P172" s="24">
        <f>MAX(0,$K172-$O172)-$N172</f>
        <v/>
      </c>
      <c r="Q172" s="23">
        <f>$V171</f>
        <v/>
      </c>
      <c r="R172" s="24">
        <f>$Q172*Inputs!$C$19/12</f>
        <v/>
      </c>
      <c r="S172" s="24">
        <f>MIN(MAX(0,($C172+$F172)-$M172),$R172)</f>
        <v/>
      </c>
      <c r="T172" s="24">
        <f>MIN(MAX(0,($D172+$X172)-$N172),MAX(0,$Q172-$U172))</f>
        <v/>
      </c>
      <c r="U172" s="24">
        <f>MIN(MAX(0,$E172-$I172),$Q172)</f>
        <v/>
      </c>
      <c r="V172" s="24">
        <f>MAX(0,$Q172-$U172)-$T172</f>
        <v/>
      </c>
      <c r="W172" s="24">
        <f>MAX(0,MAX(0,($C172+$F172)-$M172)-$S172)-MIN(MAX(0,$D$3-(MAX(0,$F172-MAX(0,($M172+$S172)-$C172)))),MAX(0,MAX(0,($C172+$F172)-$M172)-$S172))</f>
        <v/>
      </c>
      <c r="X172" s="24">
        <f>IF(Inputs!$C$39=1,$W172,0)</f>
        <v/>
      </c>
      <c r="Y172" s="24">
        <f>IF(Inputs!$C$39=0,$W172,0)+MAX(0,MAX(0,($D172+$X172)-$N172)-$T172)</f>
        <v/>
      </c>
    </row>
    <row r="173">
      <c r="B173" s="22" t="n">
        <v>168</v>
      </c>
      <c r="C173" s="29">
        <f>IF($B173&lt;=Inputs!$C$6+Inputs!$C$11,Cashflow_Asset!$E171-Cashflow_Asset!$K171,0)</f>
        <v/>
      </c>
      <c r="D173" s="29">
        <f>IF($B173&lt;=Inputs!$C$6+Inputs!$C$11,Cashflow_Asset!$F171+Cashflow_Asset!$G171+Cashflow_Asset!$I171,0)</f>
        <v/>
      </c>
      <c r="E173" s="29">
        <f>IF($B173&lt;=Inputs!$C$6+Inputs!$C$11,Cashflow_Asset!$J171,0)</f>
        <v/>
      </c>
      <c r="F173" s="23">
        <f>$G172</f>
        <v/>
      </c>
      <c r="G173" s="24">
        <f>(MAX(0,$F173-MAX(0,($M173+$S173)-$C173)))+MIN(MAX(0,$D$3-(MAX(0,$F173-MAX(0,($M173+$S173)-$C173)))),MAX(0,MAX(0,($C173+$F173)-$M173)-$S173))</f>
        <v/>
      </c>
      <c r="H173" s="23">
        <f>$J172</f>
        <v/>
      </c>
      <c r="I173" s="24">
        <f>MIN($E173,$H173)</f>
        <v/>
      </c>
      <c r="J173" s="24">
        <f>$H173-$I173</f>
        <v/>
      </c>
      <c r="K173" s="23">
        <f>$P172</f>
        <v/>
      </c>
      <c r="L173" s="24">
        <f>$K173*Inputs!$C$18/12</f>
        <v/>
      </c>
      <c r="M173" s="24">
        <f>MIN(($C173+$F173),$L173)</f>
        <v/>
      </c>
      <c r="N173" s="24">
        <f>MIN(($D173+$X173),MAX(0,$K173-$O173))</f>
        <v/>
      </c>
      <c r="O173" s="24">
        <f>MIN(MAX(0,MAX(0,$E173-$I173)-$U173),$K173)</f>
        <v/>
      </c>
      <c r="P173" s="24">
        <f>MAX(0,$K173-$O173)-$N173</f>
        <v/>
      </c>
      <c r="Q173" s="23">
        <f>$V172</f>
        <v/>
      </c>
      <c r="R173" s="24">
        <f>$Q173*Inputs!$C$19/12</f>
        <v/>
      </c>
      <c r="S173" s="24">
        <f>MIN(MAX(0,($C173+$F173)-$M173),$R173)</f>
        <v/>
      </c>
      <c r="T173" s="24">
        <f>MIN(MAX(0,($D173+$X173)-$N173),MAX(0,$Q173-$U173))</f>
        <v/>
      </c>
      <c r="U173" s="24">
        <f>MIN(MAX(0,$E173-$I173),$Q173)</f>
        <v/>
      </c>
      <c r="V173" s="24">
        <f>MAX(0,$Q173-$U173)-$T173</f>
        <v/>
      </c>
      <c r="W173" s="24">
        <f>MAX(0,MAX(0,($C173+$F173)-$M173)-$S173)-MIN(MAX(0,$D$3-(MAX(0,$F173-MAX(0,($M173+$S173)-$C173)))),MAX(0,MAX(0,($C173+$F173)-$M173)-$S173))</f>
        <v/>
      </c>
      <c r="X173" s="24">
        <f>IF(Inputs!$C$39=1,$W173,0)</f>
        <v/>
      </c>
      <c r="Y173" s="24">
        <f>IF(Inputs!$C$39=0,$W173,0)+MAX(0,MAX(0,($D173+$X173)-$N173)-$T173)</f>
        <v/>
      </c>
    </row>
    <row r="174">
      <c r="B174" s="22" t="n">
        <v>169</v>
      </c>
      <c r="C174" s="29">
        <f>IF($B174&lt;=Inputs!$C$6+Inputs!$C$11,Cashflow_Asset!$E172-Cashflow_Asset!$K172,0)</f>
        <v/>
      </c>
      <c r="D174" s="29">
        <f>IF($B174&lt;=Inputs!$C$6+Inputs!$C$11,Cashflow_Asset!$F172+Cashflow_Asset!$G172+Cashflow_Asset!$I172,0)</f>
        <v/>
      </c>
      <c r="E174" s="29">
        <f>IF($B174&lt;=Inputs!$C$6+Inputs!$C$11,Cashflow_Asset!$J172,0)</f>
        <v/>
      </c>
      <c r="F174" s="23">
        <f>$G173</f>
        <v/>
      </c>
      <c r="G174" s="24">
        <f>(MAX(0,$F174-MAX(0,($M174+$S174)-$C174)))+MIN(MAX(0,$D$3-(MAX(0,$F174-MAX(0,($M174+$S174)-$C174)))),MAX(0,MAX(0,($C174+$F174)-$M174)-$S174))</f>
        <v/>
      </c>
      <c r="H174" s="23">
        <f>$J173</f>
        <v/>
      </c>
      <c r="I174" s="24">
        <f>MIN($E174,$H174)</f>
        <v/>
      </c>
      <c r="J174" s="24">
        <f>$H174-$I174</f>
        <v/>
      </c>
      <c r="K174" s="23">
        <f>$P173</f>
        <v/>
      </c>
      <c r="L174" s="24">
        <f>$K174*Inputs!$C$18/12</f>
        <v/>
      </c>
      <c r="M174" s="24">
        <f>MIN(($C174+$F174),$L174)</f>
        <v/>
      </c>
      <c r="N174" s="24">
        <f>MIN(($D174+$X174),MAX(0,$K174-$O174))</f>
        <v/>
      </c>
      <c r="O174" s="24">
        <f>MIN(MAX(0,MAX(0,$E174-$I174)-$U174),$K174)</f>
        <v/>
      </c>
      <c r="P174" s="24">
        <f>MAX(0,$K174-$O174)-$N174</f>
        <v/>
      </c>
      <c r="Q174" s="23">
        <f>$V173</f>
        <v/>
      </c>
      <c r="R174" s="24">
        <f>$Q174*Inputs!$C$19/12</f>
        <v/>
      </c>
      <c r="S174" s="24">
        <f>MIN(MAX(0,($C174+$F174)-$M174),$R174)</f>
        <v/>
      </c>
      <c r="T174" s="24">
        <f>MIN(MAX(0,($D174+$X174)-$N174),MAX(0,$Q174-$U174))</f>
        <v/>
      </c>
      <c r="U174" s="24">
        <f>MIN(MAX(0,$E174-$I174),$Q174)</f>
        <v/>
      </c>
      <c r="V174" s="24">
        <f>MAX(0,$Q174-$U174)-$T174</f>
        <v/>
      </c>
      <c r="W174" s="24">
        <f>MAX(0,MAX(0,($C174+$F174)-$M174)-$S174)-MIN(MAX(0,$D$3-(MAX(0,$F174-MAX(0,($M174+$S174)-$C174)))),MAX(0,MAX(0,($C174+$F174)-$M174)-$S174))</f>
        <v/>
      </c>
      <c r="X174" s="24">
        <f>IF(Inputs!$C$39=1,$W174,0)</f>
        <v/>
      </c>
      <c r="Y174" s="24">
        <f>IF(Inputs!$C$39=0,$W174,0)+MAX(0,MAX(0,($D174+$X174)-$N174)-$T174)</f>
        <v/>
      </c>
    </row>
    <row r="175">
      <c r="B175" s="22" t="n">
        <v>170</v>
      </c>
      <c r="C175" s="29">
        <f>IF($B175&lt;=Inputs!$C$6+Inputs!$C$11,Cashflow_Asset!$E173-Cashflow_Asset!$K173,0)</f>
        <v/>
      </c>
      <c r="D175" s="29">
        <f>IF($B175&lt;=Inputs!$C$6+Inputs!$C$11,Cashflow_Asset!$F173+Cashflow_Asset!$G173+Cashflow_Asset!$I173,0)</f>
        <v/>
      </c>
      <c r="E175" s="29">
        <f>IF($B175&lt;=Inputs!$C$6+Inputs!$C$11,Cashflow_Asset!$J173,0)</f>
        <v/>
      </c>
      <c r="F175" s="23">
        <f>$G174</f>
        <v/>
      </c>
      <c r="G175" s="24">
        <f>(MAX(0,$F175-MAX(0,($M175+$S175)-$C175)))+MIN(MAX(0,$D$3-(MAX(0,$F175-MAX(0,($M175+$S175)-$C175)))),MAX(0,MAX(0,($C175+$F175)-$M175)-$S175))</f>
        <v/>
      </c>
      <c r="H175" s="23">
        <f>$J174</f>
        <v/>
      </c>
      <c r="I175" s="24">
        <f>MIN($E175,$H175)</f>
        <v/>
      </c>
      <c r="J175" s="24">
        <f>$H175-$I175</f>
        <v/>
      </c>
      <c r="K175" s="23">
        <f>$P174</f>
        <v/>
      </c>
      <c r="L175" s="24">
        <f>$K175*Inputs!$C$18/12</f>
        <v/>
      </c>
      <c r="M175" s="24">
        <f>MIN(($C175+$F175),$L175)</f>
        <v/>
      </c>
      <c r="N175" s="24">
        <f>MIN(($D175+$X175),MAX(0,$K175-$O175))</f>
        <v/>
      </c>
      <c r="O175" s="24">
        <f>MIN(MAX(0,MAX(0,$E175-$I175)-$U175),$K175)</f>
        <v/>
      </c>
      <c r="P175" s="24">
        <f>MAX(0,$K175-$O175)-$N175</f>
        <v/>
      </c>
      <c r="Q175" s="23">
        <f>$V174</f>
        <v/>
      </c>
      <c r="R175" s="24">
        <f>$Q175*Inputs!$C$19/12</f>
        <v/>
      </c>
      <c r="S175" s="24">
        <f>MIN(MAX(0,($C175+$F175)-$M175),$R175)</f>
        <v/>
      </c>
      <c r="T175" s="24">
        <f>MIN(MAX(0,($D175+$X175)-$N175),MAX(0,$Q175-$U175))</f>
        <v/>
      </c>
      <c r="U175" s="24">
        <f>MIN(MAX(0,$E175-$I175),$Q175)</f>
        <v/>
      </c>
      <c r="V175" s="24">
        <f>MAX(0,$Q175-$U175)-$T175</f>
        <v/>
      </c>
      <c r="W175" s="24">
        <f>MAX(0,MAX(0,($C175+$F175)-$M175)-$S175)-MIN(MAX(0,$D$3-(MAX(0,$F175-MAX(0,($M175+$S175)-$C175)))),MAX(0,MAX(0,($C175+$F175)-$M175)-$S175))</f>
        <v/>
      </c>
      <c r="X175" s="24">
        <f>IF(Inputs!$C$39=1,$W175,0)</f>
        <v/>
      </c>
      <c r="Y175" s="24">
        <f>IF(Inputs!$C$39=0,$W175,0)+MAX(0,MAX(0,($D175+$X175)-$N175)-$T175)</f>
        <v/>
      </c>
    </row>
    <row r="176">
      <c r="B176" s="22" t="n">
        <v>171</v>
      </c>
      <c r="C176" s="29">
        <f>IF($B176&lt;=Inputs!$C$6+Inputs!$C$11,Cashflow_Asset!$E174-Cashflow_Asset!$K174,0)</f>
        <v/>
      </c>
      <c r="D176" s="29">
        <f>IF($B176&lt;=Inputs!$C$6+Inputs!$C$11,Cashflow_Asset!$F174+Cashflow_Asset!$G174+Cashflow_Asset!$I174,0)</f>
        <v/>
      </c>
      <c r="E176" s="29">
        <f>IF($B176&lt;=Inputs!$C$6+Inputs!$C$11,Cashflow_Asset!$J174,0)</f>
        <v/>
      </c>
      <c r="F176" s="23">
        <f>$G175</f>
        <v/>
      </c>
      <c r="G176" s="24">
        <f>(MAX(0,$F176-MAX(0,($M176+$S176)-$C176)))+MIN(MAX(0,$D$3-(MAX(0,$F176-MAX(0,($M176+$S176)-$C176)))),MAX(0,MAX(0,($C176+$F176)-$M176)-$S176))</f>
        <v/>
      </c>
      <c r="H176" s="23">
        <f>$J175</f>
        <v/>
      </c>
      <c r="I176" s="24">
        <f>MIN($E176,$H176)</f>
        <v/>
      </c>
      <c r="J176" s="24">
        <f>$H176-$I176</f>
        <v/>
      </c>
      <c r="K176" s="23">
        <f>$P175</f>
        <v/>
      </c>
      <c r="L176" s="24">
        <f>$K176*Inputs!$C$18/12</f>
        <v/>
      </c>
      <c r="M176" s="24">
        <f>MIN(($C176+$F176),$L176)</f>
        <v/>
      </c>
      <c r="N176" s="24">
        <f>MIN(($D176+$X176),MAX(0,$K176-$O176))</f>
        <v/>
      </c>
      <c r="O176" s="24">
        <f>MIN(MAX(0,MAX(0,$E176-$I176)-$U176),$K176)</f>
        <v/>
      </c>
      <c r="P176" s="24">
        <f>MAX(0,$K176-$O176)-$N176</f>
        <v/>
      </c>
      <c r="Q176" s="23">
        <f>$V175</f>
        <v/>
      </c>
      <c r="R176" s="24">
        <f>$Q176*Inputs!$C$19/12</f>
        <v/>
      </c>
      <c r="S176" s="24">
        <f>MIN(MAX(0,($C176+$F176)-$M176),$R176)</f>
        <v/>
      </c>
      <c r="T176" s="24">
        <f>MIN(MAX(0,($D176+$X176)-$N176),MAX(0,$Q176-$U176))</f>
        <v/>
      </c>
      <c r="U176" s="24">
        <f>MIN(MAX(0,$E176-$I176),$Q176)</f>
        <v/>
      </c>
      <c r="V176" s="24">
        <f>MAX(0,$Q176-$U176)-$T176</f>
        <v/>
      </c>
      <c r="W176" s="24">
        <f>MAX(0,MAX(0,($C176+$F176)-$M176)-$S176)-MIN(MAX(0,$D$3-(MAX(0,$F176-MAX(0,($M176+$S176)-$C176)))),MAX(0,MAX(0,($C176+$F176)-$M176)-$S176))</f>
        <v/>
      </c>
      <c r="X176" s="24">
        <f>IF(Inputs!$C$39=1,$W176,0)</f>
        <v/>
      </c>
      <c r="Y176" s="24">
        <f>IF(Inputs!$C$39=0,$W176,0)+MAX(0,MAX(0,($D176+$X176)-$N176)-$T176)</f>
        <v/>
      </c>
    </row>
    <row r="177">
      <c r="B177" s="22" t="n">
        <v>172</v>
      </c>
      <c r="C177" s="29">
        <f>IF($B177&lt;=Inputs!$C$6+Inputs!$C$11,Cashflow_Asset!$E175-Cashflow_Asset!$K175,0)</f>
        <v/>
      </c>
      <c r="D177" s="29">
        <f>IF($B177&lt;=Inputs!$C$6+Inputs!$C$11,Cashflow_Asset!$F175+Cashflow_Asset!$G175+Cashflow_Asset!$I175,0)</f>
        <v/>
      </c>
      <c r="E177" s="29">
        <f>IF($B177&lt;=Inputs!$C$6+Inputs!$C$11,Cashflow_Asset!$J175,0)</f>
        <v/>
      </c>
      <c r="F177" s="23">
        <f>$G176</f>
        <v/>
      </c>
      <c r="G177" s="24">
        <f>(MAX(0,$F177-MAX(0,($M177+$S177)-$C177)))+MIN(MAX(0,$D$3-(MAX(0,$F177-MAX(0,($M177+$S177)-$C177)))),MAX(0,MAX(0,($C177+$F177)-$M177)-$S177))</f>
        <v/>
      </c>
      <c r="H177" s="23">
        <f>$J176</f>
        <v/>
      </c>
      <c r="I177" s="24">
        <f>MIN($E177,$H177)</f>
        <v/>
      </c>
      <c r="J177" s="24">
        <f>$H177-$I177</f>
        <v/>
      </c>
      <c r="K177" s="23">
        <f>$P176</f>
        <v/>
      </c>
      <c r="L177" s="24">
        <f>$K177*Inputs!$C$18/12</f>
        <v/>
      </c>
      <c r="M177" s="24">
        <f>MIN(($C177+$F177),$L177)</f>
        <v/>
      </c>
      <c r="N177" s="24">
        <f>MIN(($D177+$X177),MAX(0,$K177-$O177))</f>
        <v/>
      </c>
      <c r="O177" s="24">
        <f>MIN(MAX(0,MAX(0,$E177-$I177)-$U177),$K177)</f>
        <v/>
      </c>
      <c r="P177" s="24">
        <f>MAX(0,$K177-$O177)-$N177</f>
        <v/>
      </c>
      <c r="Q177" s="23">
        <f>$V176</f>
        <v/>
      </c>
      <c r="R177" s="24">
        <f>$Q177*Inputs!$C$19/12</f>
        <v/>
      </c>
      <c r="S177" s="24">
        <f>MIN(MAX(0,($C177+$F177)-$M177),$R177)</f>
        <v/>
      </c>
      <c r="T177" s="24">
        <f>MIN(MAX(0,($D177+$X177)-$N177),MAX(0,$Q177-$U177))</f>
        <v/>
      </c>
      <c r="U177" s="24">
        <f>MIN(MAX(0,$E177-$I177),$Q177)</f>
        <v/>
      </c>
      <c r="V177" s="24">
        <f>MAX(0,$Q177-$U177)-$T177</f>
        <v/>
      </c>
      <c r="W177" s="24">
        <f>MAX(0,MAX(0,($C177+$F177)-$M177)-$S177)-MIN(MAX(0,$D$3-(MAX(0,$F177-MAX(0,($M177+$S177)-$C177)))),MAX(0,MAX(0,($C177+$F177)-$M177)-$S177))</f>
        <v/>
      </c>
      <c r="X177" s="24">
        <f>IF(Inputs!$C$39=1,$W177,0)</f>
        <v/>
      </c>
      <c r="Y177" s="24">
        <f>IF(Inputs!$C$39=0,$W177,0)+MAX(0,MAX(0,($D177+$X177)-$N177)-$T177)</f>
        <v/>
      </c>
    </row>
    <row r="178">
      <c r="B178" s="22" t="n">
        <v>173</v>
      </c>
      <c r="C178" s="29">
        <f>IF($B178&lt;=Inputs!$C$6+Inputs!$C$11,Cashflow_Asset!$E176-Cashflow_Asset!$K176,0)</f>
        <v/>
      </c>
      <c r="D178" s="29">
        <f>IF($B178&lt;=Inputs!$C$6+Inputs!$C$11,Cashflow_Asset!$F176+Cashflow_Asset!$G176+Cashflow_Asset!$I176,0)</f>
        <v/>
      </c>
      <c r="E178" s="29">
        <f>IF($B178&lt;=Inputs!$C$6+Inputs!$C$11,Cashflow_Asset!$J176,0)</f>
        <v/>
      </c>
      <c r="F178" s="23">
        <f>$G177</f>
        <v/>
      </c>
      <c r="G178" s="24">
        <f>(MAX(0,$F178-MAX(0,($M178+$S178)-$C178)))+MIN(MAX(0,$D$3-(MAX(0,$F178-MAX(0,($M178+$S178)-$C178)))),MAX(0,MAX(0,($C178+$F178)-$M178)-$S178))</f>
        <v/>
      </c>
      <c r="H178" s="23">
        <f>$J177</f>
        <v/>
      </c>
      <c r="I178" s="24">
        <f>MIN($E178,$H178)</f>
        <v/>
      </c>
      <c r="J178" s="24">
        <f>$H178-$I178</f>
        <v/>
      </c>
      <c r="K178" s="23">
        <f>$P177</f>
        <v/>
      </c>
      <c r="L178" s="24">
        <f>$K178*Inputs!$C$18/12</f>
        <v/>
      </c>
      <c r="M178" s="24">
        <f>MIN(($C178+$F178),$L178)</f>
        <v/>
      </c>
      <c r="N178" s="24">
        <f>MIN(($D178+$X178),MAX(0,$K178-$O178))</f>
        <v/>
      </c>
      <c r="O178" s="24">
        <f>MIN(MAX(0,MAX(0,$E178-$I178)-$U178),$K178)</f>
        <v/>
      </c>
      <c r="P178" s="24">
        <f>MAX(0,$K178-$O178)-$N178</f>
        <v/>
      </c>
      <c r="Q178" s="23">
        <f>$V177</f>
        <v/>
      </c>
      <c r="R178" s="24">
        <f>$Q178*Inputs!$C$19/12</f>
        <v/>
      </c>
      <c r="S178" s="24">
        <f>MIN(MAX(0,($C178+$F178)-$M178),$R178)</f>
        <v/>
      </c>
      <c r="T178" s="24">
        <f>MIN(MAX(0,($D178+$X178)-$N178),MAX(0,$Q178-$U178))</f>
        <v/>
      </c>
      <c r="U178" s="24">
        <f>MIN(MAX(0,$E178-$I178),$Q178)</f>
        <v/>
      </c>
      <c r="V178" s="24">
        <f>MAX(0,$Q178-$U178)-$T178</f>
        <v/>
      </c>
      <c r="W178" s="24">
        <f>MAX(0,MAX(0,($C178+$F178)-$M178)-$S178)-MIN(MAX(0,$D$3-(MAX(0,$F178-MAX(0,($M178+$S178)-$C178)))),MAX(0,MAX(0,($C178+$F178)-$M178)-$S178))</f>
        <v/>
      </c>
      <c r="X178" s="24">
        <f>IF(Inputs!$C$39=1,$W178,0)</f>
        <v/>
      </c>
      <c r="Y178" s="24">
        <f>IF(Inputs!$C$39=0,$W178,0)+MAX(0,MAX(0,($D178+$X178)-$N178)-$T178)</f>
        <v/>
      </c>
    </row>
    <row r="179">
      <c r="B179" s="22" t="n">
        <v>174</v>
      </c>
      <c r="C179" s="29">
        <f>IF($B179&lt;=Inputs!$C$6+Inputs!$C$11,Cashflow_Asset!$E177-Cashflow_Asset!$K177,0)</f>
        <v/>
      </c>
      <c r="D179" s="29">
        <f>IF($B179&lt;=Inputs!$C$6+Inputs!$C$11,Cashflow_Asset!$F177+Cashflow_Asset!$G177+Cashflow_Asset!$I177,0)</f>
        <v/>
      </c>
      <c r="E179" s="29">
        <f>IF($B179&lt;=Inputs!$C$6+Inputs!$C$11,Cashflow_Asset!$J177,0)</f>
        <v/>
      </c>
      <c r="F179" s="23">
        <f>$G178</f>
        <v/>
      </c>
      <c r="G179" s="24">
        <f>(MAX(0,$F179-MAX(0,($M179+$S179)-$C179)))+MIN(MAX(0,$D$3-(MAX(0,$F179-MAX(0,($M179+$S179)-$C179)))),MAX(0,MAX(0,($C179+$F179)-$M179)-$S179))</f>
        <v/>
      </c>
      <c r="H179" s="23">
        <f>$J178</f>
        <v/>
      </c>
      <c r="I179" s="24">
        <f>MIN($E179,$H179)</f>
        <v/>
      </c>
      <c r="J179" s="24">
        <f>$H179-$I179</f>
        <v/>
      </c>
      <c r="K179" s="23">
        <f>$P178</f>
        <v/>
      </c>
      <c r="L179" s="24">
        <f>$K179*Inputs!$C$18/12</f>
        <v/>
      </c>
      <c r="M179" s="24">
        <f>MIN(($C179+$F179),$L179)</f>
        <v/>
      </c>
      <c r="N179" s="24">
        <f>MIN(($D179+$X179),MAX(0,$K179-$O179))</f>
        <v/>
      </c>
      <c r="O179" s="24">
        <f>MIN(MAX(0,MAX(0,$E179-$I179)-$U179),$K179)</f>
        <v/>
      </c>
      <c r="P179" s="24">
        <f>MAX(0,$K179-$O179)-$N179</f>
        <v/>
      </c>
      <c r="Q179" s="23">
        <f>$V178</f>
        <v/>
      </c>
      <c r="R179" s="24">
        <f>$Q179*Inputs!$C$19/12</f>
        <v/>
      </c>
      <c r="S179" s="24">
        <f>MIN(MAX(0,($C179+$F179)-$M179),$R179)</f>
        <v/>
      </c>
      <c r="T179" s="24">
        <f>MIN(MAX(0,($D179+$X179)-$N179),MAX(0,$Q179-$U179))</f>
        <v/>
      </c>
      <c r="U179" s="24">
        <f>MIN(MAX(0,$E179-$I179),$Q179)</f>
        <v/>
      </c>
      <c r="V179" s="24">
        <f>MAX(0,$Q179-$U179)-$T179</f>
        <v/>
      </c>
      <c r="W179" s="24">
        <f>MAX(0,MAX(0,($C179+$F179)-$M179)-$S179)-MIN(MAX(0,$D$3-(MAX(0,$F179-MAX(0,($M179+$S179)-$C179)))),MAX(0,MAX(0,($C179+$F179)-$M179)-$S179))</f>
        <v/>
      </c>
      <c r="X179" s="24">
        <f>IF(Inputs!$C$39=1,$W179,0)</f>
        <v/>
      </c>
      <c r="Y179" s="24">
        <f>IF(Inputs!$C$39=0,$W179,0)+MAX(0,MAX(0,($D179+$X179)-$N179)-$T179)</f>
        <v/>
      </c>
    </row>
    <row r="180">
      <c r="B180" s="22" t="n">
        <v>175</v>
      </c>
      <c r="C180" s="29">
        <f>IF($B180&lt;=Inputs!$C$6+Inputs!$C$11,Cashflow_Asset!$E178-Cashflow_Asset!$K178,0)</f>
        <v/>
      </c>
      <c r="D180" s="29">
        <f>IF($B180&lt;=Inputs!$C$6+Inputs!$C$11,Cashflow_Asset!$F178+Cashflow_Asset!$G178+Cashflow_Asset!$I178,0)</f>
        <v/>
      </c>
      <c r="E180" s="29">
        <f>IF($B180&lt;=Inputs!$C$6+Inputs!$C$11,Cashflow_Asset!$J178,0)</f>
        <v/>
      </c>
      <c r="F180" s="23">
        <f>$G179</f>
        <v/>
      </c>
      <c r="G180" s="24">
        <f>(MAX(0,$F180-MAX(0,($M180+$S180)-$C180)))+MIN(MAX(0,$D$3-(MAX(0,$F180-MAX(0,($M180+$S180)-$C180)))),MAX(0,MAX(0,($C180+$F180)-$M180)-$S180))</f>
        <v/>
      </c>
      <c r="H180" s="23">
        <f>$J179</f>
        <v/>
      </c>
      <c r="I180" s="24">
        <f>MIN($E180,$H180)</f>
        <v/>
      </c>
      <c r="J180" s="24">
        <f>$H180-$I180</f>
        <v/>
      </c>
      <c r="K180" s="23">
        <f>$P179</f>
        <v/>
      </c>
      <c r="L180" s="24">
        <f>$K180*Inputs!$C$18/12</f>
        <v/>
      </c>
      <c r="M180" s="24">
        <f>MIN(($C180+$F180),$L180)</f>
        <v/>
      </c>
      <c r="N180" s="24">
        <f>MIN(($D180+$X180),MAX(0,$K180-$O180))</f>
        <v/>
      </c>
      <c r="O180" s="24">
        <f>MIN(MAX(0,MAX(0,$E180-$I180)-$U180),$K180)</f>
        <v/>
      </c>
      <c r="P180" s="24">
        <f>MAX(0,$K180-$O180)-$N180</f>
        <v/>
      </c>
      <c r="Q180" s="23">
        <f>$V179</f>
        <v/>
      </c>
      <c r="R180" s="24">
        <f>$Q180*Inputs!$C$19/12</f>
        <v/>
      </c>
      <c r="S180" s="24">
        <f>MIN(MAX(0,($C180+$F180)-$M180),$R180)</f>
        <v/>
      </c>
      <c r="T180" s="24">
        <f>MIN(MAX(0,($D180+$X180)-$N180),MAX(0,$Q180-$U180))</f>
        <v/>
      </c>
      <c r="U180" s="24">
        <f>MIN(MAX(0,$E180-$I180),$Q180)</f>
        <v/>
      </c>
      <c r="V180" s="24">
        <f>MAX(0,$Q180-$U180)-$T180</f>
        <v/>
      </c>
      <c r="W180" s="24">
        <f>MAX(0,MAX(0,($C180+$F180)-$M180)-$S180)-MIN(MAX(0,$D$3-(MAX(0,$F180-MAX(0,($M180+$S180)-$C180)))),MAX(0,MAX(0,($C180+$F180)-$M180)-$S180))</f>
        <v/>
      </c>
      <c r="X180" s="24">
        <f>IF(Inputs!$C$39=1,$W180,0)</f>
        <v/>
      </c>
      <c r="Y180" s="24">
        <f>IF(Inputs!$C$39=0,$W180,0)+MAX(0,MAX(0,($D180+$X180)-$N180)-$T180)</f>
        <v/>
      </c>
    </row>
    <row r="181">
      <c r="B181" s="22" t="n">
        <v>176</v>
      </c>
      <c r="C181" s="29">
        <f>IF($B181&lt;=Inputs!$C$6+Inputs!$C$11,Cashflow_Asset!$E179-Cashflow_Asset!$K179,0)</f>
        <v/>
      </c>
      <c r="D181" s="29">
        <f>IF($B181&lt;=Inputs!$C$6+Inputs!$C$11,Cashflow_Asset!$F179+Cashflow_Asset!$G179+Cashflow_Asset!$I179,0)</f>
        <v/>
      </c>
      <c r="E181" s="29">
        <f>IF($B181&lt;=Inputs!$C$6+Inputs!$C$11,Cashflow_Asset!$J179,0)</f>
        <v/>
      </c>
      <c r="F181" s="23">
        <f>$G180</f>
        <v/>
      </c>
      <c r="G181" s="24">
        <f>(MAX(0,$F181-MAX(0,($M181+$S181)-$C181)))+MIN(MAX(0,$D$3-(MAX(0,$F181-MAX(0,($M181+$S181)-$C181)))),MAX(0,MAX(0,($C181+$F181)-$M181)-$S181))</f>
        <v/>
      </c>
      <c r="H181" s="23">
        <f>$J180</f>
        <v/>
      </c>
      <c r="I181" s="24">
        <f>MIN($E181,$H181)</f>
        <v/>
      </c>
      <c r="J181" s="24">
        <f>$H181-$I181</f>
        <v/>
      </c>
      <c r="K181" s="23">
        <f>$P180</f>
        <v/>
      </c>
      <c r="L181" s="24">
        <f>$K181*Inputs!$C$18/12</f>
        <v/>
      </c>
      <c r="M181" s="24">
        <f>MIN(($C181+$F181),$L181)</f>
        <v/>
      </c>
      <c r="N181" s="24">
        <f>MIN(($D181+$X181),MAX(0,$K181-$O181))</f>
        <v/>
      </c>
      <c r="O181" s="24">
        <f>MIN(MAX(0,MAX(0,$E181-$I181)-$U181),$K181)</f>
        <v/>
      </c>
      <c r="P181" s="24">
        <f>MAX(0,$K181-$O181)-$N181</f>
        <v/>
      </c>
      <c r="Q181" s="23">
        <f>$V180</f>
        <v/>
      </c>
      <c r="R181" s="24">
        <f>$Q181*Inputs!$C$19/12</f>
        <v/>
      </c>
      <c r="S181" s="24">
        <f>MIN(MAX(0,($C181+$F181)-$M181),$R181)</f>
        <v/>
      </c>
      <c r="T181" s="24">
        <f>MIN(MAX(0,($D181+$X181)-$N181),MAX(0,$Q181-$U181))</f>
        <v/>
      </c>
      <c r="U181" s="24">
        <f>MIN(MAX(0,$E181-$I181),$Q181)</f>
        <v/>
      </c>
      <c r="V181" s="24">
        <f>MAX(0,$Q181-$U181)-$T181</f>
        <v/>
      </c>
      <c r="W181" s="24">
        <f>MAX(0,MAX(0,($C181+$F181)-$M181)-$S181)-MIN(MAX(0,$D$3-(MAX(0,$F181-MAX(0,($M181+$S181)-$C181)))),MAX(0,MAX(0,($C181+$F181)-$M181)-$S181))</f>
        <v/>
      </c>
      <c r="X181" s="24">
        <f>IF(Inputs!$C$39=1,$W181,0)</f>
        <v/>
      </c>
      <c r="Y181" s="24">
        <f>IF(Inputs!$C$39=0,$W181,0)+MAX(0,MAX(0,($D181+$X181)-$N181)-$T181)</f>
        <v/>
      </c>
    </row>
    <row r="182">
      <c r="B182" s="22" t="n">
        <v>177</v>
      </c>
      <c r="C182" s="29">
        <f>IF($B182&lt;=Inputs!$C$6+Inputs!$C$11,Cashflow_Asset!$E180-Cashflow_Asset!$K180,0)</f>
        <v/>
      </c>
      <c r="D182" s="29">
        <f>IF($B182&lt;=Inputs!$C$6+Inputs!$C$11,Cashflow_Asset!$F180+Cashflow_Asset!$G180+Cashflow_Asset!$I180,0)</f>
        <v/>
      </c>
      <c r="E182" s="29">
        <f>IF($B182&lt;=Inputs!$C$6+Inputs!$C$11,Cashflow_Asset!$J180,0)</f>
        <v/>
      </c>
      <c r="F182" s="23">
        <f>$G181</f>
        <v/>
      </c>
      <c r="G182" s="24">
        <f>(MAX(0,$F182-MAX(0,($M182+$S182)-$C182)))+MIN(MAX(0,$D$3-(MAX(0,$F182-MAX(0,($M182+$S182)-$C182)))),MAX(0,MAX(0,($C182+$F182)-$M182)-$S182))</f>
        <v/>
      </c>
      <c r="H182" s="23">
        <f>$J181</f>
        <v/>
      </c>
      <c r="I182" s="24">
        <f>MIN($E182,$H182)</f>
        <v/>
      </c>
      <c r="J182" s="24">
        <f>$H182-$I182</f>
        <v/>
      </c>
      <c r="K182" s="23">
        <f>$P181</f>
        <v/>
      </c>
      <c r="L182" s="24">
        <f>$K182*Inputs!$C$18/12</f>
        <v/>
      </c>
      <c r="M182" s="24">
        <f>MIN(($C182+$F182),$L182)</f>
        <v/>
      </c>
      <c r="N182" s="24">
        <f>MIN(($D182+$X182),MAX(0,$K182-$O182))</f>
        <v/>
      </c>
      <c r="O182" s="24">
        <f>MIN(MAX(0,MAX(0,$E182-$I182)-$U182),$K182)</f>
        <v/>
      </c>
      <c r="P182" s="24">
        <f>MAX(0,$K182-$O182)-$N182</f>
        <v/>
      </c>
      <c r="Q182" s="23">
        <f>$V181</f>
        <v/>
      </c>
      <c r="R182" s="24">
        <f>$Q182*Inputs!$C$19/12</f>
        <v/>
      </c>
      <c r="S182" s="24">
        <f>MIN(MAX(0,($C182+$F182)-$M182),$R182)</f>
        <v/>
      </c>
      <c r="T182" s="24">
        <f>MIN(MAX(0,($D182+$X182)-$N182),MAX(0,$Q182-$U182))</f>
        <v/>
      </c>
      <c r="U182" s="24">
        <f>MIN(MAX(0,$E182-$I182),$Q182)</f>
        <v/>
      </c>
      <c r="V182" s="24">
        <f>MAX(0,$Q182-$U182)-$T182</f>
        <v/>
      </c>
      <c r="W182" s="24">
        <f>MAX(0,MAX(0,($C182+$F182)-$M182)-$S182)-MIN(MAX(0,$D$3-(MAX(0,$F182-MAX(0,($M182+$S182)-$C182)))),MAX(0,MAX(0,($C182+$F182)-$M182)-$S182))</f>
        <v/>
      </c>
      <c r="X182" s="24">
        <f>IF(Inputs!$C$39=1,$W182,0)</f>
        <v/>
      </c>
      <c r="Y182" s="24">
        <f>IF(Inputs!$C$39=0,$W182,0)+MAX(0,MAX(0,($D182+$X182)-$N182)-$T182)</f>
        <v/>
      </c>
    </row>
    <row r="183">
      <c r="B183" s="22" t="n">
        <v>178</v>
      </c>
      <c r="C183" s="29">
        <f>IF($B183&lt;=Inputs!$C$6+Inputs!$C$11,Cashflow_Asset!$E181-Cashflow_Asset!$K181,0)</f>
        <v/>
      </c>
      <c r="D183" s="29">
        <f>IF($B183&lt;=Inputs!$C$6+Inputs!$C$11,Cashflow_Asset!$F181+Cashflow_Asset!$G181+Cashflow_Asset!$I181,0)</f>
        <v/>
      </c>
      <c r="E183" s="29">
        <f>IF($B183&lt;=Inputs!$C$6+Inputs!$C$11,Cashflow_Asset!$J181,0)</f>
        <v/>
      </c>
      <c r="F183" s="23">
        <f>$G182</f>
        <v/>
      </c>
      <c r="G183" s="24">
        <f>(MAX(0,$F183-MAX(0,($M183+$S183)-$C183)))+MIN(MAX(0,$D$3-(MAX(0,$F183-MAX(0,($M183+$S183)-$C183)))),MAX(0,MAX(0,($C183+$F183)-$M183)-$S183))</f>
        <v/>
      </c>
      <c r="H183" s="23">
        <f>$J182</f>
        <v/>
      </c>
      <c r="I183" s="24">
        <f>MIN($E183,$H183)</f>
        <v/>
      </c>
      <c r="J183" s="24">
        <f>$H183-$I183</f>
        <v/>
      </c>
      <c r="K183" s="23">
        <f>$P182</f>
        <v/>
      </c>
      <c r="L183" s="24">
        <f>$K183*Inputs!$C$18/12</f>
        <v/>
      </c>
      <c r="M183" s="24">
        <f>MIN(($C183+$F183),$L183)</f>
        <v/>
      </c>
      <c r="N183" s="24">
        <f>MIN(($D183+$X183),MAX(0,$K183-$O183))</f>
        <v/>
      </c>
      <c r="O183" s="24">
        <f>MIN(MAX(0,MAX(0,$E183-$I183)-$U183),$K183)</f>
        <v/>
      </c>
      <c r="P183" s="24">
        <f>MAX(0,$K183-$O183)-$N183</f>
        <v/>
      </c>
      <c r="Q183" s="23">
        <f>$V182</f>
        <v/>
      </c>
      <c r="R183" s="24">
        <f>$Q183*Inputs!$C$19/12</f>
        <v/>
      </c>
      <c r="S183" s="24">
        <f>MIN(MAX(0,($C183+$F183)-$M183),$R183)</f>
        <v/>
      </c>
      <c r="T183" s="24">
        <f>MIN(MAX(0,($D183+$X183)-$N183),MAX(0,$Q183-$U183))</f>
        <v/>
      </c>
      <c r="U183" s="24">
        <f>MIN(MAX(0,$E183-$I183),$Q183)</f>
        <v/>
      </c>
      <c r="V183" s="24">
        <f>MAX(0,$Q183-$U183)-$T183</f>
        <v/>
      </c>
      <c r="W183" s="24">
        <f>MAX(0,MAX(0,($C183+$F183)-$M183)-$S183)-MIN(MAX(0,$D$3-(MAX(0,$F183-MAX(0,($M183+$S183)-$C183)))),MAX(0,MAX(0,($C183+$F183)-$M183)-$S183))</f>
        <v/>
      </c>
      <c r="X183" s="24">
        <f>IF(Inputs!$C$39=1,$W183,0)</f>
        <v/>
      </c>
      <c r="Y183" s="24">
        <f>IF(Inputs!$C$39=0,$W183,0)+MAX(0,MAX(0,($D183+$X183)-$N183)-$T183)</f>
        <v/>
      </c>
    </row>
    <row r="184">
      <c r="B184" s="22" t="n">
        <v>179</v>
      </c>
      <c r="C184" s="29">
        <f>IF($B184&lt;=Inputs!$C$6+Inputs!$C$11,Cashflow_Asset!$E182-Cashflow_Asset!$K182,0)</f>
        <v/>
      </c>
      <c r="D184" s="29">
        <f>IF($B184&lt;=Inputs!$C$6+Inputs!$C$11,Cashflow_Asset!$F182+Cashflow_Asset!$G182+Cashflow_Asset!$I182,0)</f>
        <v/>
      </c>
      <c r="E184" s="29">
        <f>IF($B184&lt;=Inputs!$C$6+Inputs!$C$11,Cashflow_Asset!$J182,0)</f>
        <v/>
      </c>
      <c r="F184" s="23">
        <f>$G183</f>
        <v/>
      </c>
      <c r="G184" s="24">
        <f>(MAX(0,$F184-MAX(0,($M184+$S184)-$C184)))+MIN(MAX(0,$D$3-(MAX(0,$F184-MAX(0,($M184+$S184)-$C184)))),MAX(0,MAX(0,($C184+$F184)-$M184)-$S184))</f>
        <v/>
      </c>
      <c r="H184" s="23">
        <f>$J183</f>
        <v/>
      </c>
      <c r="I184" s="24">
        <f>MIN($E184,$H184)</f>
        <v/>
      </c>
      <c r="J184" s="24">
        <f>$H184-$I184</f>
        <v/>
      </c>
      <c r="K184" s="23">
        <f>$P183</f>
        <v/>
      </c>
      <c r="L184" s="24">
        <f>$K184*Inputs!$C$18/12</f>
        <v/>
      </c>
      <c r="M184" s="24">
        <f>MIN(($C184+$F184),$L184)</f>
        <v/>
      </c>
      <c r="N184" s="24">
        <f>MIN(($D184+$X184),MAX(0,$K184-$O184))</f>
        <v/>
      </c>
      <c r="O184" s="24">
        <f>MIN(MAX(0,MAX(0,$E184-$I184)-$U184),$K184)</f>
        <v/>
      </c>
      <c r="P184" s="24">
        <f>MAX(0,$K184-$O184)-$N184</f>
        <v/>
      </c>
      <c r="Q184" s="23">
        <f>$V183</f>
        <v/>
      </c>
      <c r="R184" s="24">
        <f>$Q184*Inputs!$C$19/12</f>
        <v/>
      </c>
      <c r="S184" s="24">
        <f>MIN(MAX(0,($C184+$F184)-$M184),$R184)</f>
        <v/>
      </c>
      <c r="T184" s="24">
        <f>MIN(MAX(0,($D184+$X184)-$N184),MAX(0,$Q184-$U184))</f>
        <v/>
      </c>
      <c r="U184" s="24">
        <f>MIN(MAX(0,$E184-$I184),$Q184)</f>
        <v/>
      </c>
      <c r="V184" s="24">
        <f>MAX(0,$Q184-$U184)-$T184</f>
        <v/>
      </c>
      <c r="W184" s="24">
        <f>MAX(0,MAX(0,($C184+$F184)-$M184)-$S184)-MIN(MAX(0,$D$3-(MAX(0,$F184-MAX(0,($M184+$S184)-$C184)))),MAX(0,MAX(0,($C184+$F184)-$M184)-$S184))</f>
        <v/>
      </c>
      <c r="X184" s="24">
        <f>IF(Inputs!$C$39=1,$W184,0)</f>
        <v/>
      </c>
      <c r="Y184" s="24">
        <f>IF(Inputs!$C$39=0,$W184,0)+MAX(0,MAX(0,($D184+$X184)-$N184)-$T184)</f>
        <v/>
      </c>
    </row>
    <row r="185">
      <c r="B185" s="22" t="n">
        <v>180</v>
      </c>
      <c r="C185" s="29">
        <f>IF($B185&lt;=Inputs!$C$6+Inputs!$C$11,Cashflow_Asset!$E183-Cashflow_Asset!$K183,0)</f>
        <v/>
      </c>
      <c r="D185" s="29">
        <f>IF($B185&lt;=Inputs!$C$6+Inputs!$C$11,Cashflow_Asset!$F183+Cashflow_Asset!$G183+Cashflow_Asset!$I183,0)</f>
        <v/>
      </c>
      <c r="E185" s="29">
        <f>IF($B185&lt;=Inputs!$C$6+Inputs!$C$11,Cashflow_Asset!$J183,0)</f>
        <v/>
      </c>
      <c r="F185" s="23">
        <f>$G184</f>
        <v/>
      </c>
      <c r="G185" s="24">
        <f>(MAX(0,$F185-MAX(0,($M185+$S185)-$C185)))+MIN(MAX(0,$D$3-(MAX(0,$F185-MAX(0,($M185+$S185)-$C185)))),MAX(0,MAX(0,($C185+$F185)-$M185)-$S185))</f>
        <v/>
      </c>
      <c r="H185" s="23">
        <f>$J184</f>
        <v/>
      </c>
      <c r="I185" s="24">
        <f>MIN($E185,$H185)</f>
        <v/>
      </c>
      <c r="J185" s="24">
        <f>$H185-$I185</f>
        <v/>
      </c>
      <c r="K185" s="23">
        <f>$P184</f>
        <v/>
      </c>
      <c r="L185" s="24">
        <f>$K185*Inputs!$C$18/12</f>
        <v/>
      </c>
      <c r="M185" s="24">
        <f>MIN(($C185+$F185),$L185)</f>
        <v/>
      </c>
      <c r="N185" s="24">
        <f>MIN(($D185+$X185),MAX(0,$K185-$O185))</f>
        <v/>
      </c>
      <c r="O185" s="24">
        <f>MIN(MAX(0,MAX(0,$E185-$I185)-$U185),$K185)</f>
        <v/>
      </c>
      <c r="P185" s="24">
        <f>MAX(0,$K185-$O185)-$N185</f>
        <v/>
      </c>
      <c r="Q185" s="23">
        <f>$V184</f>
        <v/>
      </c>
      <c r="R185" s="24">
        <f>$Q185*Inputs!$C$19/12</f>
        <v/>
      </c>
      <c r="S185" s="24">
        <f>MIN(MAX(0,($C185+$F185)-$M185),$R185)</f>
        <v/>
      </c>
      <c r="T185" s="24">
        <f>MIN(MAX(0,($D185+$X185)-$N185),MAX(0,$Q185-$U185))</f>
        <v/>
      </c>
      <c r="U185" s="24">
        <f>MIN(MAX(0,$E185-$I185),$Q185)</f>
        <v/>
      </c>
      <c r="V185" s="24">
        <f>MAX(0,$Q185-$U185)-$T185</f>
        <v/>
      </c>
      <c r="W185" s="24">
        <f>MAX(0,MAX(0,($C185+$F185)-$M185)-$S185)-MIN(MAX(0,$D$3-(MAX(0,$F185-MAX(0,($M185+$S185)-$C185)))),MAX(0,MAX(0,($C185+$F185)-$M185)-$S185))</f>
        <v/>
      </c>
      <c r="X185" s="24">
        <f>IF(Inputs!$C$39=1,$W185,0)</f>
        <v/>
      </c>
      <c r="Y185" s="24">
        <f>IF(Inputs!$C$39=0,$W185,0)+MAX(0,MAX(0,($D185+$X185)-$N185)-$T185)</f>
        <v/>
      </c>
    </row>
    <row r="186">
      <c r="B186" s="22" t="n">
        <v>181</v>
      </c>
      <c r="C186" s="29">
        <f>IF($B186&lt;=Inputs!$C$6+Inputs!$C$11,Cashflow_Asset!$E184-Cashflow_Asset!$K184,0)</f>
        <v/>
      </c>
      <c r="D186" s="29">
        <f>IF($B186&lt;=Inputs!$C$6+Inputs!$C$11,Cashflow_Asset!$F184+Cashflow_Asset!$G184+Cashflow_Asset!$I184,0)</f>
        <v/>
      </c>
      <c r="E186" s="29">
        <f>IF($B186&lt;=Inputs!$C$6+Inputs!$C$11,Cashflow_Asset!$J184,0)</f>
        <v/>
      </c>
      <c r="F186" s="23">
        <f>$G185</f>
        <v/>
      </c>
      <c r="G186" s="24">
        <f>(MAX(0,$F186-MAX(0,($M186+$S186)-$C186)))+MIN(MAX(0,$D$3-(MAX(0,$F186-MAX(0,($M186+$S186)-$C186)))),MAX(0,MAX(0,($C186+$F186)-$M186)-$S186))</f>
        <v/>
      </c>
      <c r="H186" s="23">
        <f>$J185</f>
        <v/>
      </c>
      <c r="I186" s="24">
        <f>MIN($E186,$H186)</f>
        <v/>
      </c>
      <c r="J186" s="24">
        <f>$H186-$I186</f>
        <v/>
      </c>
      <c r="K186" s="23">
        <f>$P185</f>
        <v/>
      </c>
      <c r="L186" s="24">
        <f>$K186*Inputs!$C$18/12</f>
        <v/>
      </c>
      <c r="M186" s="24">
        <f>MIN(($C186+$F186),$L186)</f>
        <v/>
      </c>
      <c r="N186" s="24">
        <f>MIN(($D186+$X186),MAX(0,$K186-$O186))</f>
        <v/>
      </c>
      <c r="O186" s="24">
        <f>MIN(MAX(0,MAX(0,$E186-$I186)-$U186),$K186)</f>
        <v/>
      </c>
      <c r="P186" s="24">
        <f>MAX(0,$K186-$O186)-$N186</f>
        <v/>
      </c>
      <c r="Q186" s="23">
        <f>$V185</f>
        <v/>
      </c>
      <c r="R186" s="24">
        <f>$Q186*Inputs!$C$19/12</f>
        <v/>
      </c>
      <c r="S186" s="24">
        <f>MIN(MAX(0,($C186+$F186)-$M186),$R186)</f>
        <v/>
      </c>
      <c r="T186" s="24">
        <f>MIN(MAX(0,($D186+$X186)-$N186),MAX(0,$Q186-$U186))</f>
        <v/>
      </c>
      <c r="U186" s="24">
        <f>MIN(MAX(0,$E186-$I186),$Q186)</f>
        <v/>
      </c>
      <c r="V186" s="24">
        <f>MAX(0,$Q186-$U186)-$T186</f>
        <v/>
      </c>
      <c r="W186" s="24">
        <f>MAX(0,MAX(0,($C186+$F186)-$M186)-$S186)-MIN(MAX(0,$D$3-(MAX(0,$F186-MAX(0,($M186+$S186)-$C186)))),MAX(0,MAX(0,($C186+$F186)-$M186)-$S186))</f>
        <v/>
      </c>
      <c r="X186" s="24">
        <f>IF(Inputs!$C$39=1,$W186,0)</f>
        <v/>
      </c>
      <c r="Y186" s="24">
        <f>IF(Inputs!$C$39=0,$W186,0)+MAX(0,MAX(0,($D186+$X186)-$N186)-$T186)</f>
        <v/>
      </c>
    </row>
    <row r="187">
      <c r="B187" s="22" t="n">
        <v>182</v>
      </c>
      <c r="C187" s="29">
        <f>IF($B187&lt;=Inputs!$C$6+Inputs!$C$11,Cashflow_Asset!$E185-Cashflow_Asset!$K185,0)</f>
        <v/>
      </c>
      <c r="D187" s="29">
        <f>IF($B187&lt;=Inputs!$C$6+Inputs!$C$11,Cashflow_Asset!$F185+Cashflow_Asset!$G185+Cashflow_Asset!$I185,0)</f>
        <v/>
      </c>
      <c r="E187" s="29">
        <f>IF($B187&lt;=Inputs!$C$6+Inputs!$C$11,Cashflow_Asset!$J185,0)</f>
        <v/>
      </c>
      <c r="F187" s="23">
        <f>$G186</f>
        <v/>
      </c>
      <c r="G187" s="24">
        <f>(MAX(0,$F187-MAX(0,($M187+$S187)-$C187)))+MIN(MAX(0,$D$3-(MAX(0,$F187-MAX(0,($M187+$S187)-$C187)))),MAX(0,MAX(0,($C187+$F187)-$M187)-$S187))</f>
        <v/>
      </c>
      <c r="H187" s="23">
        <f>$J186</f>
        <v/>
      </c>
      <c r="I187" s="24">
        <f>MIN($E187,$H187)</f>
        <v/>
      </c>
      <c r="J187" s="24">
        <f>$H187-$I187</f>
        <v/>
      </c>
      <c r="K187" s="23">
        <f>$P186</f>
        <v/>
      </c>
      <c r="L187" s="24">
        <f>$K187*Inputs!$C$18/12</f>
        <v/>
      </c>
      <c r="M187" s="24">
        <f>MIN(($C187+$F187),$L187)</f>
        <v/>
      </c>
      <c r="N187" s="24">
        <f>MIN(($D187+$X187),MAX(0,$K187-$O187))</f>
        <v/>
      </c>
      <c r="O187" s="24">
        <f>MIN(MAX(0,MAX(0,$E187-$I187)-$U187),$K187)</f>
        <v/>
      </c>
      <c r="P187" s="24">
        <f>MAX(0,$K187-$O187)-$N187</f>
        <v/>
      </c>
      <c r="Q187" s="23">
        <f>$V186</f>
        <v/>
      </c>
      <c r="R187" s="24">
        <f>$Q187*Inputs!$C$19/12</f>
        <v/>
      </c>
      <c r="S187" s="24">
        <f>MIN(MAX(0,($C187+$F187)-$M187),$R187)</f>
        <v/>
      </c>
      <c r="T187" s="24">
        <f>MIN(MAX(0,($D187+$X187)-$N187),MAX(0,$Q187-$U187))</f>
        <v/>
      </c>
      <c r="U187" s="24">
        <f>MIN(MAX(0,$E187-$I187),$Q187)</f>
        <v/>
      </c>
      <c r="V187" s="24">
        <f>MAX(0,$Q187-$U187)-$T187</f>
        <v/>
      </c>
      <c r="W187" s="24">
        <f>MAX(0,MAX(0,($C187+$F187)-$M187)-$S187)-MIN(MAX(0,$D$3-(MAX(0,$F187-MAX(0,($M187+$S187)-$C187)))),MAX(0,MAX(0,($C187+$F187)-$M187)-$S187))</f>
        <v/>
      </c>
      <c r="X187" s="24">
        <f>IF(Inputs!$C$39=1,$W187,0)</f>
        <v/>
      </c>
      <c r="Y187" s="24">
        <f>IF(Inputs!$C$39=0,$W187,0)+MAX(0,MAX(0,($D187+$X187)-$N187)-$T187)</f>
        <v/>
      </c>
    </row>
    <row r="188">
      <c r="B188" s="22" t="n">
        <v>183</v>
      </c>
      <c r="C188" s="29">
        <f>IF($B188&lt;=Inputs!$C$6+Inputs!$C$11,Cashflow_Asset!$E186-Cashflow_Asset!$K186,0)</f>
        <v/>
      </c>
      <c r="D188" s="29">
        <f>IF($B188&lt;=Inputs!$C$6+Inputs!$C$11,Cashflow_Asset!$F186+Cashflow_Asset!$G186+Cashflow_Asset!$I186,0)</f>
        <v/>
      </c>
      <c r="E188" s="29">
        <f>IF($B188&lt;=Inputs!$C$6+Inputs!$C$11,Cashflow_Asset!$J186,0)</f>
        <v/>
      </c>
      <c r="F188" s="23">
        <f>$G187</f>
        <v/>
      </c>
      <c r="G188" s="24">
        <f>(MAX(0,$F188-MAX(0,($M188+$S188)-$C188)))+MIN(MAX(0,$D$3-(MAX(0,$F188-MAX(0,($M188+$S188)-$C188)))),MAX(0,MAX(0,($C188+$F188)-$M188)-$S188))</f>
        <v/>
      </c>
      <c r="H188" s="23">
        <f>$J187</f>
        <v/>
      </c>
      <c r="I188" s="24">
        <f>MIN($E188,$H188)</f>
        <v/>
      </c>
      <c r="J188" s="24">
        <f>$H188-$I188</f>
        <v/>
      </c>
      <c r="K188" s="23">
        <f>$P187</f>
        <v/>
      </c>
      <c r="L188" s="24">
        <f>$K188*Inputs!$C$18/12</f>
        <v/>
      </c>
      <c r="M188" s="24">
        <f>MIN(($C188+$F188),$L188)</f>
        <v/>
      </c>
      <c r="N188" s="24">
        <f>MIN(($D188+$X188),MAX(0,$K188-$O188))</f>
        <v/>
      </c>
      <c r="O188" s="24">
        <f>MIN(MAX(0,MAX(0,$E188-$I188)-$U188),$K188)</f>
        <v/>
      </c>
      <c r="P188" s="24">
        <f>MAX(0,$K188-$O188)-$N188</f>
        <v/>
      </c>
      <c r="Q188" s="23">
        <f>$V187</f>
        <v/>
      </c>
      <c r="R188" s="24">
        <f>$Q188*Inputs!$C$19/12</f>
        <v/>
      </c>
      <c r="S188" s="24">
        <f>MIN(MAX(0,($C188+$F188)-$M188),$R188)</f>
        <v/>
      </c>
      <c r="T188" s="24">
        <f>MIN(MAX(0,($D188+$X188)-$N188),MAX(0,$Q188-$U188))</f>
        <v/>
      </c>
      <c r="U188" s="24">
        <f>MIN(MAX(0,$E188-$I188),$Q188)</f>
        <v/>
      </c>
      <c r="V188" s="24">
        <f>MAX(0,$Q188-$U188)-$T188</f>
        <v/>
      </c>
      <c r="W188" s="24">
        <f>MAX(0,MAX(0,($C188+$F188)-$M188)-$S188)-MIN(MAX(0,$D$3-(MAX(0,$F188-MAX(0,($M188+$S188)-$C188)))),MAX(0,MAX(0,($C188+$F188)-$M188)-$S188))</f>
        <v/>
      </c>
      <c r="X188" s="24">
        <f>IF(Inputs!$C$39=1,$W188,0)</f>
        <v/>
      </c>
      <c r="Y188" s="24">
        <f>IF(Inputs!$C$39=0,$W188,0)+MAX(0,MAX(0,($D188+$X188)-$N188)-$T188)</f>
        <v/>
      </c>
    </row>
    <row r="189">
      <c r="B189" s="22" t="n">
        <v>184</v>
      </c>
      <c r="C189" s="29">
        <f>IF($B189&lt;=Inputs!$C$6+Inputs!$C$11,Cashflow_Asset!$E187-Cashflow_Asset!$K187,0)</f>
        <v/>
      </c>
      <c r="D189" s="29">
        <f>IF($B189&lt;=Inputs!$C$6+Inputs!$C$11,Cashflow_Asset!$F187+Cashflow_Asset!$G187+Cashflow_Asset!$I187,0)</f>
        <v/>
      </c>
      <c r="E189" s="29">
        <f>IF($B189&lt;=Inputs!$C$6+Inputs!$C$11,Cashflow_Asset!$J187,0)</f>
        <v/>
      </c>
      <c r="F189" s="23">
        <f>$G188</f>
        <v/>
      </c>
      <c r="G189" s="24">
        <f>(MAX(0,$F189-MAX(0,($M189+$S189)-$C189)))+MIN(MAX(0,$D$3-(MAX(0,$F189-MAX(0,($M189+$S189)-$C189)))),MAX(0,MAX(0,($C189+$F189)-$M189)-$S189))</f>
        <v/>
      </c>
      <c r="H189" s="23">
        <f>$J188</f>
        <v/>
      </c>
      <c r="I189" s="24">
        <f>MIN($E189,$H189)</f>
        <v/>
      </c>
      <c r="J189" s="24">
        <f>$H189-$I189</f>
        <v/>
      </c>
      <c r="K189" s="23">
        <f>$P188</f>
        <v/>
      </c>
      <c r="L189" s="24">
        <f>$K189*Inputs!$C$18/12</f>
        <v/>
      </c>
      <c r="M189" s="24">
        <f>MIN(($C189+$F189),$L189)</f>
        <v/>
      </c>
      <c r="N189" s="24">
        <f>MIN(($D189+$X189),MAX(0,$K189-$O189))</f>
        <v/>
      </c>
      <c r="O189" s="24">
        <f>MIN(MAX(0,MAX(0,$E189-$I189)-$U189),$K189)</f>
        <v/>
      </c>
      <c r="P189" s="24">
        <f>MAX(0,$K189-$O189)-$N189</f>
        <v/>
      </c>
      <c r="Q189" s="23">
        <f>$V188</f>
        <v/>
      </c>
      <c r="R189" s="24">
        <f>$Q189*Inputs!$C$19/12</f>
        <v/>
      </c>
      <c r="S189" s="24">
        <f>MIN(MAX(0,($C189+$F189)-$M189),$R189)</f>
        <v/>
      </c>
      <c r="T189" s="24">
        <f>MIN(MAX(0,($D189+$X189)-$N189),MAX(0,$Q189-$U189))</f>
        <v/>
      </c>
      <c r="U189" s="24">
        <f>MIN(MAX(0,$E189-$I189),$Q189)</f>
        <v/>
      </c>
      <c r="V189" s="24">
        <f>MAX(0,$Q189-$U189)-$T189</f>
        <v/>
      </c>
      <c r="W189" s="24">
        <f>MAX(0,MAX(0,($C189+$F189)-$M189)-$S189)-MIN(MAX(0,$D$3-(MAX(0,$F189-MAX(0,($M189+$S189)-$C189)))),MAX(0,MAX(0,($C189+$F189)-$M189)-$S189))</f>
        <v/>
      </c>
      <c r="X189" s="24">
        <f>IF(Inputs!$C$39=1,$W189,0)</f>
        <v/>
      </c>
      <c r="Y189" s="24">
        <f>IF(Inputs!$C$39=0,$W189,0)+MAX(0,MAX(0,($D189+$X189)-$N189)-$T189)</f>
        <v/>
      </c>
    </row>
    <row r="190">
      <c r="B190" s="22" t="n">
        <v>185</v>
      </c>
      <c r="C190" s="29">
        <f>IF($B190&lt;=Inputs!$C$6+Inputs!$C$11,Cashflow_Asset!$E188-Cashflow_Asset!$K188,0)</f>
        <v/>
      </c>
      <c r="D190" s="29">
        <f>IF($B190&lt;=Inputs!$C$6+Inputs!$C$11,Cashflow_Asset!$F188+Cashflow_Asset!$G188+Cashflow_Asset!$I188,0)</f>
        <v/>
      </c>
      <c r="E190" s="29">
        <f>IF($B190&lt;=Inputs!$C$6+Inputs!$C$11,Cashflow_Asset!$J188,0)</f>
        <v/>
      </c>
      <c r="F190" s="23">
        <f>$G189</f>
        <v/>
      </c>
      <c r="G190" s="24">
        <f>(MAX(0,$F190-MAX(0,($M190+$S190)-$C190)))+MIN(MAX(0,$D$3-(MAX(0,$F190-MAX(0,($M190+$S190)-$C190)))),MAX(0,MAX(0,($C190+$F190)-$M190)-$S190))</f>
        <v/>
      </c>
      <c r="H190" s="23">
        <f>$J189</f>
        <v/>
      </c>
      <c r="I190" s="24">
        <f>MIN($E190,$H190)</f>
        <v/>
      </c>
      <c r="J190" s="24">
        <f>$H190-$I190</f>
        <v/>
      </c>
      <c r="K190" s="23">
        <f>$P189</f>
        <v/>
      </c>
      <c r="L190" s="24">
        <f>$K190*Inputs!$C$18/12</f>
        <v/>
      </c>
      <c r="M190" s="24">
        <f>MIN(($C190+$F190),$L190)</f>
        <v/>
      </c>
      <c r="N190" s="24">
        <f>MIN(($D190+$X190),MAX(0,$K190-$O190))</f>
        <v/>
      </c>
      <c r="O190" s="24">
        <f>MIN(MAX(0,MAX(0,$E190-$I190)-$U190),$K190)</f>
        <v/>
      </c>
      <c r="P190" s="24">
        <f>MAX(0,$K190-$O190)-$N190</f>
        <v/>
      </c>
      <c r="Q190" s="23">
        <f>$V189</f>
        <v/>
      </c>
      <c r="R190" s="24">
        <f>$Q190*Inputs!$C$19/12</f>
        <v/>
      </c>
      <c r="S190" s="24">
        <f>MIN(MAX(0,($C190+$F190)-$M190),$R190)</f>
        <v/>
      </c>
      <c r="T190" s="24">
        <f>MIN(MAX(0,($D190+$X190)-$N190),MAX(0,$Q190-$U190))</f>
        <v/>
      </c>
      <c r="U190" s="24">
        <f>MIN(MAX(0,$E190-$I190),$Q190)</f>
        <v/>
      </c>
      <c r="V190" s="24">
        <f>MAX(0,$Q190-$U190)-$T190</f>
        <v/>
      </c>
      <c r="W190" s="24">
        <f>MAX(0,MAX(0,($C190+$F190)-$M190)-$S190)-MIN(MAX(0,$D$3-(MAX(0,$F190-MAX(0,($M190+$S190)-$C190)))),MAX(0,MAX(0,($C190+$F190)-$M190)-$S190))</f>
        <v/>
      </c>
      <c r="X190" s="24">
        <f>IF(Inputs!$C$39=1,$W190,0)</f>
        <v/>
      </c>
      <c r="Y190" s="24">
        <f>IF(Inputs!$C$39=0,$W190,0)+MAX(0,MAX(0,($D190+$X190)-$N190)-$T190)</f>
        <v/>
      </c>
    </row>
    <row r="191">
      <c r="B191" s="22" t="n">
        <v>186</v>
      </c>
      <c r="C191" s="29">
        <f>IF($B191&lt;=Inputs!$C$6+Inputs!$C$11,Cashflow_Asset!$E189-Cashflow_Asset!$K189,0)</f>
        <v/>
      </c>
      <c r="D191" s="29">
        <f>IF($B191&lt;=Inputs!$C$6+Inputs!$C$11,Cashflow_Asset!$F189+Cashflow_Asset!$G189+Cashflow_Asset!$I189,0)</f>
        <v/>
      </c>
      <c r="E191" s="29">
        <f>IF($B191&lt;=Inputs!$C$6+Inputs!$C$11,Cashflow_Asset!$J189,0)</f>
        <v/>
      </c>
      <c r="F191" s="23">
        <f>$G190</f>
        <v/>
      </c>
      <c r="G191" s="24">
        <f>(MAX(0,$F191-MAX(0,($M191+$S191)-$C191)))+MIN(MAX(0,$D$3-(MAX(0,$F191-MAX(0,($M191+$S191)-$C191)))),MAX(0,MAX(0,($C191+$F191)-$M191)-$S191))</f>
        <v/>
      </c>
      <c r="H191" s="23">
        <f>$J190</f>
        <v/>
      </c>
      <c r="I191" s="24">
        <f>MIN($E191,$H191)</f>
        <v/>
      </c>
      <c r="J191" s="24">
        <f>$H191-$I191</f>
        <v/>
      </c>
      <c r="K191" s="23">
        <f>$P190</f>
        <v/>
      </c>
      <c r="L191" s="24">
        <f>$K191*Inputs!$C$18/12</f>
        <v/>
      </c>
      <c r="M191" s="24">
        <f>MIN(($C191+$F191),$L191)</f>
        <v/>
      </c>
      <c r="N191" s="24">
        <f>MIN(($D191+$X191),MAX(0,$K191-$O191))</f>
        <v/>
      </c>
      <c r="O191" s="24">
        <f>MIN(MAX(0,MAX(0,$E191-$I191)-$U191),$K191)</f>
        <v/>
      </c>
      <c r="P191" s="24">
        <f>MAX(0,$K191-$O191)-$N191</f>
        <v/>
      </c>
      <c r="Q191" s="23">
        <f>$V190</f>
        <v/>
      </c>
      <c r="R191" s="24">
        <f>$Q191*Inputs!$C$19/12</f>
        <v/>
      </c>
      <c r="S191" s="24">
        <f>MIN(MAX(0,($C191+$F191)-$M191),$R191)</f>
        <v/>
      </c>
      <c r="T191" s="24">
        <f>MIN(MAX(0,($D191+$X191)-$N191),MAX(0,$Q191-$U191))</f>
        <v/>
      </c>
      <c r="U191" s="24">
        <f>MIN(MAX(0,$E191-$I191),$Q191)</f>
        <v/>
      </c>
      <c r="V191" s="24">
        <f>MAX(0,$Q191-$U191)-$T191</f>
        <v/>
      </c>
      <c r="W191" s="24">
        <f>MAX(0,MAX(0,($C191+$F191)-$M191)-$S191)-MIN(MAX(0,$D$3-(MAX(0,$F191-MAX(0,($M191+$S191)-$C191)))),MAX(0,MAX(0,($C191+$F191)-$M191)-$S191))</f>
        <v/>
      </c>
      <c r="X191" s="24">
        <f>IF(Inputs!$C$39=1,$W191,0)</f>
        <v/>
      </c>
      <c r="Y191" s="24">
        <f>IF(Inputs!$C$39=0,$W191,0)+MAX(0,MAX(0,($D191+$X191)-$N191)-$T191)</f>
        <v/>
      </c>
    </row>
    <row r="192">
      <c r="B192" s="22" t="n">
        <v>187</v>
      </c>
      <c r="C192" s="29">
        <f>IF($B192&lt;=Inputs!$C$6+Inputs!$C$11,Cashflow_Asset!$E190-Cashflow_Asset!$K190,0)</f>
        <v/>
      </c>
      <c r="D192" s="29">
        <f>IF($B192&lt;=Inputs!$C$6+Inputs!$C$11,Cashflow_Asset!$F190+Cashflow_Asset!$G190+Cashflow_Asset!$I190,0)</f>
        <v/>
      </c>
      <c r="E192" s="29">
        <f>IF($B192&lt;=Inputs!$C$6+Inputs!$C$11,Cashflow_Asset!$J190,0)</f>
        <v/>
      </c>
      <c r="F192" s="23">
        <f>$G191</f>
        <v/>
      </c>
      <c r="G192" s="24">
        <f>(MAX(0,$F192-MAX(0,($M192+$S192)-$C192)))+MIN(MAX(0,$D$3-(MAX(0,$F192-MAX(0,($M192+$S192)-$C192)))),MAX(0,MAX(0,($C192+$F192)-$M192)-$S192))</f>
        <v/>
      </c>
      <c r="H192" s="23">
        <f>$J191</f>
        <v/>
      </c>
      <c r="I192" s="24">
        <f>MIN($E192,$H192)</f>
        <v/>
      </c>
      <c r="J192" s="24">
        <f>$H192-$I192</f>
        <v/>
      </c>
      <c r="K192" s="23">
        <f>$P191</f>
        <v/>
      </c>
      <c r="L192" s="24">
        <f>$K192*Inputs!$C$18/12</f>
        <v/>
      </c>
      <c r="M192" s="24">
        <f>MIN(($C192+$F192),$L192)</f>
        <v/>
      </c>
      <c r="N192" s="24">
        <f>MIN(($D192+$X192),MAX(0,$K192-$O192))</f>
        <v/>
      </c>
      <c r="O192" s="24">
        <f>MIN(MAX(0,MAX(0,$E192-$I192)-$U192),$K192)</f>
        <v/>
      </c>
      <c r="P192" s="24">
        <f>MAX(0,$K192-$O192)-$N192</f>
        <v/>
      </c>
      <c r="Q192" s="23">
        <f>$V191</f>
        <v/>
      </c>
      <c r="R192" s="24">
        <f>$Q192*Inputs!$C$19/12</f>
        <v/>
      </c>
      <c r="S192" s="24">
        <f>MIN(MAX(0,($C192+$F192)-$M192),$R192)</f>
        <v/>
      </c>
      <c r="T192" s="24">
        <f>MIN(MAX(0,($D192+$X192)-$N192),MAX(0,$Q192-$U192))</f>
        <v/>
      </c>
      <c r="U192" s="24">
        <f>MIN(MAX(0,$E192-$I192),$Q192)</f>
        <v/>
      </c>
      <c r="V192" s="24">
        <f>MAX(0,$Q192-$U192)-$T192</f>
        <v/>
      </c>
      <c r="W192" s="24">
        <f>MAX(0,MAX(0,($C192+$F192)-$M192)-$S192)-MIN(MAX(0,$D$3-(MAX(0,$F192-MAX(0,($M192+$S192)-$C192)))),MAX(0,MAX(0,($C192+$F192)-$M192)-$S192))</f>
        <v/>
      </c>
      <c r="X192" s="24">
        <f>IF(Inputs!$C$39=1,$W192,0)</f>
        <v/>
      </c>
      <c r="Y192" s="24">
        <f>IF(Inputs!$C$39=0,$W192,0)+MAX(0,MAX(0,($D192+$X192)-$N192)-$T192)</f>
        <v/>
      </c>
    </row>
    <row r="193">
      <c r="B193" s="22" t="n">
        <v>188</v>
      </c>
      <c r="C193" s="29">
        <f>IF($B193&lt;=Inputs!$C$6+Inputs!$C$11,Cashflow_Asset!$E191-Cashflow_Asset!$K191,0)</f>
        <v/>
      </c>
      <c r="D193" s="29">
        <f>IF($B193&lt;=Inputs!$C$6+Inputs!$C$11,Cashflow_Asset!$F191+Cashflow_Asset!$G191+Cashflow_Asset!$I191,0)</f>
        <v/>
      </c>
      <c r="E193" s="29">
        <f>IF($B193&lt;=Inputs!$C$6+Inputs!$C$11,Cashflow_Asset!$J191,0)</f>
        <v/>
      </c>
      <c r="F193" s="23">
        <f>$G192</f>
        <v/>
      </c>
      <c r="G193" s="24">
        <f>(MAX(0,$F193-MAX(0,($M193+$S193)-$C193)))+MIN(MAX(0,$D$3-(MAX(0,$F193-MAX(0,($M193+$S193)-$C193)))),MAX(0,MAX(0,($C193+$F193)-$M193)-$S193))</f>
        <v/>
      </c>
      <c r="H193" s="23">
        <f>$J192</f>
        <v/>
      </c>
      <c r="I193" s="24">
        <f>MIN($E193,$H193)</f>
        <v/>
      </c>
      <c r="J193" s="24">
        <f>$H193-$I193</f>
        <v/>
      </c>
      <c r="K193" s="23">
        <f>$P192</f>
        <v/>
      </c>
      <c r="L193" s="24">
        <f>$K193*Inputs!$C$18/12</f>
        <v/>
      </c>
      <c r="M193" s="24">
        <f>MIN(($C193+$F193),$L193)</f>
        <v/>
      </c>
      <c r="N193" s="24">
        <f>MIN(($D193+$X193),MAX(0,$K193-$O193))</f>
        <v/>
      </c>
      <c r="O193" s="24">
        <f>MIN(MAX(0,MAX(0,$E193-$I193)-$U193),$K193)</f>
        <v/>
      </c>
      <c r="P193" s="24">
        <f>MAX(0,$K193-$O193)-$N193</f>
        <v/>
      </c>
      <c r="Q193" s="23">
        <f>$V192</f>
        <v/>
      </c>
      <c r="R193" s="24">
        <f>$Q193*Inputs!$C$19/12</f>
        <v/>
      </c>
      <c r="S193" s="24">
        <f>MIN(MAX(0,($C193+$F193)-$M193),$R193)</f>
        <v/>
      </c>
      <c r="T193" s="24">
        <f>MIN(MAX(0,($D193+$X193)-$N193),MAX(0,$Q193-$U193))</f>
        <v/>
      </c>
      <c r="U193" s="24">
        <f>MIN(MAX(0,$E193-$I193),$Q193)</f>
        <v/>
      </c>
      <c r="V193" s="24">
        <f>MAX(0,$Q193-$U193)-$T193</f>
        <v/>
      </c>
      <c r="W193" s="24">
        <f>MAX(0,MAX(0,($C193+$F193)-$M193)-$S193)-MIN(MAX(0,$D$3-(MAX(0,$F193-MAX(0,($M193+$S193)-$C193)))),MAX(0,MAX(0,($C193+$F193)-$M193)-$S193))</f>
        <v/>
      </c>
      <c r="X193" s="24">
        <f>IF(Inputs!$C$39=1,$W193,0)</f>
        <v/>
      </c>
      <c r="Y193" s="24">
        <f>IF(Inputs!$C$39=0,$W193,0)+MAX(0,MAX(0,($D193+$X193)-$N193)-$T193)</f>
        <v/>
      </c>
    </row>
    <row r="194">
      <c r="B194" s="22" t="n">
        <v>189</v>
      </c>
      <c r="C194" s="29">
        <f>IF($B194&lt;=Inputs!$C$6+Inputs!$C$11,Cashflow_Asset!$E192-Cashflow_Asset!$K192,0)</f>
        <v/>
      </c>
      <c r="D194" s="29">
        <f>IF($B194&lt;=Inputs!$C$6+Inputs!$C$11,Cashflow_Asset!$F192+Cashflow_Asset!$G192+Cashflow_Asset!$I192,0)</f>
        <v/>
      </c>
      <c r="E194" s="29">
        <f>IF($B194&lt;=Inputs!$C$6+Inputs!$C$11,Cashflow_Asset!$J192,0)</f>
        <v/>
      </c>
      <c r="F194" s="23">
        <f>$G193</f>
        <v/>
      </c>
      <c r="G194" s="24">
        <f>(MAX(0,$F194-MAX(0,($M194+$S194)-$C194)))+MIN(MAX(0,$D$3-(MAX(0,$F194-MAX(0,($M194+$S194)-$C194)))),MAX(0,MAX(0,($C194+$F194)-$M194)-$S194))</f>
        <v/>
      </c>
      <c r="H194" s="23">
        <f>$J193</f>
        <v/>
      </c>
      <c r="I194" s="24">
        <f>MIN($E194,$H194)</f>
        <v/>
      </c>
      <c r="J194" s="24">
        <f>$H194-$I194</f>
        <v/>
      </c>
      <c r="K194" s="23">
        <f>$P193</f>
        <v/>
      </c>
      <c r="L194" s="24">
        <f>$K194*Inputs!$C$18/12</f>
        <v/>
      </c>
      <c r="M194" s="24">
        <f>MIN(($C194+$F194),$L194)</f>
        <v/>
      </c>
      <c r="N194" s="24">
        <f>MIN(($D194+$X194),MAX(0,$K194-$O194))</f>
        <v/>
      </c>
      <c r="O194" s="24">
        <f>MIN(MAX(0,MAX(0,$E194-$I194)-$U194),$K194)</f>
        <v/>
      </c>
      <c r="P194" s="24">
        <f>MAX(0,$K194-$O194)-$N194</f>
        <v/>
      </c>
      <c r="Q194" s="23">
        <f>$V193</f>
        <v/>
      </c>
      <c r="R194" s="24">
        <f>$Q194*Inputs!$C$19/12</f>
        <v/>
      </c>
      <c r="S194" s="24">
        <f>MIN(MAX(0,($C194+$F194)-$M194),$R194)</f>
        <v/>
      </c>
      <c r="T194" s="24">
        <f>MIN(MAX(0,($D194+$X194)-$N194),MAX(0,$Q194-$U194))</f>
        <v/>
      </c>
      <c r="U194" s="24">
        <f>MIN(MAX(0,$E194-$I194),$Q194)</f>
        <v/>
      </c>
      <c r="V194" s="24">
        <f>MAX(0,$Q194-$U194)-$T194</f>
        <v/>
      </c>
      <c r="W194" s="24">
        <f>MAX(0,MAX(0,($C194+$F194)-$M194)-$S194)-MIN(MAX(0,$D$3-(MAX(0,$F194-MAX(0,($M194+$S194)-$C194)))),MAX(0,MAX(0,($C194+$F194)-$M194)-$S194))</f>
        <v/>
      </c>
      <c r="X194" s="24">
        <f>IF(Inputs!$C$39=1,$W194,0)</f>
        <v/>
      </c>
      <c r="Y194" s="24">
        <f>IF(Inputs!$C$39=0,$W194,0)+MAX(0,MAX(0,($D194+$X194)-$N194)-$T194)</f>
        <v/>
      </c>
    </row>
    <row r="195">
      <c r="B195" s="22" t="n">
        <v>190</v>
      </c>
      <c r="C195" s="29">
        <f>IF($B195&lt;=Inputs!$C$6+Inputs!$C$11,Cashflow_Asset!$E193-Cashflow_Asset!$K193,0)</f>
        <v/>
      </c>
      <c r="D195" s="29">
        <f>IF($B195&lt;=Inputs!$C$6+Inputs!$C$11,Cashflow_Asset!$F193+Cashflow_Asset!$G193+Cashflow_Asset!$I193,0)</f>
        <v/>
      </c>
      <c r="E195" s="29">
        <f>IF($B195&lt;=Inputs!$C$6+Inputs!$C$11,Cashflow_Asset!$J193,0)</f>
        <v/>
      </c>
      <c r="F195" s="23">
        <f>$G194</f>
        <v/>
      </c>
      <c r="G195" s="24">
        <f>(MAX(0,$F195-MAX(0,($M195+$S195)-$C195)))+MIN(MAX(0,$D$3-(MAX(0,$F195-MAX(0,($M195+$S195)-$C195)))),MAX(0,MAX(0,($C195+$F195)-$M195)-$S195))</f>
        <v/>
      </c>
      <c r="H195" s="23">
        <f>$J194</f>
        <v/>
      </c>
      <c r="I195" s="24">
        <f>MIN($E195,$H195)</f>
        <v/>
      </c>
      <c r="J195" s="24">
        <f>$H195-$I195</f>
        <v/>
      </c>
      <c r="K195" s="23">
        <f>$P194</f>
        <v/>
      </c>
      <c r="L195" s="24">
        <f>$K195*Inputs!$C$18/12</f>
        <v/>
      </c>
      <c r="M195" s="24">
        <f>MIN(($C195+$F195),$L195)</f>
        <v/>
      </c>
      <c r="N195" s="24">
        <f>MIN(($D195+$X195),MAX(0,$K195-$O195))</f>
        <v/>
      </c>
      <c r="O195" s="24">
        <f>MIN(MAX(0,MAX(0,$E195-$I195)-$U195),$K195)</f>
        <v/>
      </c>
      <c r="P195" s="24">
        <f>MAX(0,$K195-$O195)-$N195</f>
        <v/>
      </c>
      <c r="Q195" s="23">
        <f>$V194</f>
        <v/>
      </c>
      <c r="R195" s="24">
        <f>$Q195*Inputs!$C$19/12</f>
        <v/>
      </c>
      <c r="S195" s="24">
        <f>MIN(MAX(0,($C195+$F195)-$M195),$R195)</f>
        <v/>
      </c>
      <c r="T195" s="24">
        <f>MIN(MAX(0,($D195+$X195)-$N195),MAX(0,$Q195-$U195))</f>
        <v/>
      </c>
      <c r="U195" s="24">
        <f>MIN(MAX(0,$E195-$I195),$Q195)</f>
        <v/>
      </c>
      <c r="V195" s="24">
        <f>MAX(0,$Q195-$U195)-$T195</f>
        <v/>
      </c>
      <c r="W195" s="24">
        <f>MAX(0,MAX(0,($C195+$F195)-$M195)-$S195)-MIN(MAX(0,$D$3-(MAX(0,$F195-MAX(0,($M195+$S195)-$C195)))),MAX(0,MAX(0,($C195+$F195)-$M195)-$S195))</f>
        <v/>
      </c>
      <c r="X195" s="24">
        <f>IF(Inputs!$C$39=1,$W195,0)</f>
        <v/>
      </c>
      <c r="Y195" s="24">
        <f>IF(Inputs!$C$39=0,$W195,0)+MAX(0,MAX(0,($D195+$X195)-$N195)-$T195)</f>
        <v/>
      </c>
    </row>
    <row r="196">
      <c r="B196" s="22" t="n">
        <v>191</v>
      </c>
      <c r="C196" s="29">
        <f>IF($B196&lt;=Inputs!$C$6+Inputs!$C$11,Cashflow_Asset!$E194-Cashflow_Asset!$K194,0)</f>
        <v/>
      </c>
      <c r="D196" s="29">
        <f>IF($B196&lt;=Inputs!$C$6+Inputs!$C$11,Cashflow_Asset!$F194+Cashflow_Asset!$G194+Cashflow_Asset!$I194,0)</f>
        <v/>
      </c>
      <c r="E196" s="29">
        <f>IF($B196&lt;=Inputs!$C$6+Inputs!$C$11,Cashflow_Asset!$J194,0)</f>
        <v/>
      </c>
      <c r="F196" s="23">
        <f>$G195</f>
        <v/>
      </c>
      <c r="G196" s="24">
        <f>(MAX(0,$F196-MAX(0,($M196+$S196)-$C196)))+MIN(MAX(0,$D$3-(MAX(0,$F196-MAX(0,($M196+$S196)-$C196)))),MAX(0,MAX(0,($C196+$F196)-$M196)-$S196))</f>
        <v/>
      </c>
      <c r="H196" s="23">
        <f>$J195</f>
        <v/>
      </c>
      <c r="I196" s="24">
        <f>MIN($E196,$H196)</f>
        <v/>
      </c>
      <c r="J196" s="24">
        <f>$H196-$I196</f>
        <v/>
      </c>
      <c r="K196" s="23">
        <f>$P195</f>
        <v/>
      </c>
      <c r="L196" s="24">
        <f>$K196*Inputs!$C$18/12</f>
        <v/>
      </c>
      <c r="M196" s="24">
        <f>MIN(($C196+$F196),$L196)</f>
        <v/>
      </c>
      <c r="N196" s="24">
        <f>MIN(($D196+$X196),MAX(0,$K196-$O196))</f>
        <v/>
      </c>
      <c r="O196" s="24">
        <f>MIN(MAX(0,MAX(0,$E196-$I196)-$U196),$K196)</f>
        <v/>
      </c>
      <c r="P196" s="24">
        <f>MAX(0,$K196-$O196)-$N196</f>
        <v/>
      </c>
      <c r="Q196" s="23">
        <f>$V195</f>
        <v/>
      </c>
      <c r="R196" s="24">
        <f>$Q196*Inputs!$C$19/12</f>
        <v/>
      </c>
      <c r="S196" s="24">
        <f>MIN(MAX(0,($C196+$F196)-$M196),$R196)</f>
        <v/>
      </c>
      <c r="T196" s="24">
        <f>MIN(MAX(0,($D196+$X196)-$N196),MAX(0,$Q196-$U196))</f>
        <v/>
      </c>
      <c r="U196" s="24">
        <f>MIN(MAX(0,$E196-$I196),$Q196)</f>
        <v/>
      </c>
      <c r="V196" s="24">
        <f>MAX(0,$Q196-$U196)-$T196</f>
        <v/>
      </c>
      <c r="W196" s="24">
        <f>MAX(0,MAX(0,($C196+$F196)-$M196)-$S196)-MIN(MAX(0,$D$3-(MAX(0,$F196-MAX(0,($M196+$S196)-$C196)))),MAX(0,MAX(0,($C196+$F196)-$M196)-$S196))</f>
        <v/>
      </c>
      <c r="X196" s="24">
        <f>IF(Inputs!$C$39=1,$W196,0)</f>
        <v/>
      </c>
      <c r="Y196" s="24">
        <f>IF(Inputs!$C$39=0,$W196,0)+MAX(0,MAX(0,($D196+$X196)-$N196)-$T196)</f>
        <v/>
      </c>
    </row>
    <row r="197">
      <c r="B197" s="22" t="n">
        <v>192</v>
      </c>
      <c r="C197" s="29">
        <f>IF($B197&lt;=Inputs!$C$6+Inputs!$C$11,Cashflow_Asset!$E195-Cashflow_Asset!$K195,0)</f>
        <v/>
      </c>
      <c r="D197" s="29">
        <f>IF($B197&lt;=Inputs!$C$6+Inputs!$C$11,Cashflow_Asset!$F195+Cashflow_Asset!$G195+Cashflow_Asset!$I195,0)</f>
        <v/>
      </c>
      <c r="E197" s="29">
        <f>IF($B197&lt;=Inputs!$C$6+Inputs!$C$11,Cashflow_Asset!$J195,0)</f>
        <v/>
      </c>
      <c r="F197" s="23">
        <f>$G196</f>
        <v/>
      </c>
      <c r="G197" s="24">
        <f>(MAX(0,$F197-MAX(0,($M197+$S197)-$C197)))+MIN(MAX(0,$D$3-(MAX(0,$F197-MAX(0,($M197+$S197)-$C197)))),MAX(0,MAX(0,($C197+$F197)-$M197)-$S197))</f>
        <v/>
      </c>
      <c r="H197" s="23">
        <f>$J196</f>
        <v/>
      </c>
      <c r="I197" s="24">
        <f>MIN($E197,$H197)</f>
        <v/>
      </c>
      <c r="J197" s="24">
        <f>$H197-$I197</f>
        <v/>
      </c>
      <c r="K197" s="23">
        <f>$P196</f>
        <v/>
      </c>
      <c r="L197" s="24">
        <f>$K197*Inputs!$C$18/12</f>
        <v/>
      </c>
      <c r="M197" s="24">
        <f>MIN(($C197+$F197),$L197)</f>
        <v/>
      </c>
      <c r="N197" s="24">
        <f>MIN(($D197+$X197),MAX(0,$K197-$O197))</f>
        <v/>
      </c>
      <c r="O197" s="24">
        <f>MIN(MAX(0,MAX(0,$E197-$I197)-$U197),$K197)</f>
        <v/>
      </c>
      <c r="P197" s="24">
        <f>MAX(0,$K197-$O197)-$N197</f>
        <v/>
      </c>
      <c r="Q197" s="23">
        <f>$V196</f>
        <v/>
      </c>
      <c r="R197" s="24">
        <f>$Q197*Inputs!$C$19/12</f>
        <v/>
      </c>
      <c r="S197" s="24">
        <f>MIN(MAX(0,($C197+$F197)-$M197),$R197)</f>
        <v/>
      </c>
      <c r="T197" s="24">
        <f>MIN(MAX(0,($D197+$X197)-$N197),MAX(0,$Q197-$U197))</f>
        <v/>
      </c>
      <c r="U197" s="24">
        <f>MIN(MAX(0,$E197-$I197),$Q197)</f>
        <v/>
      </c>
      <c r="V197" s="24">
        <f>MAX(0,$Q197-$U197)-$T197</f>
        <v/>
      </c>
      <c r="W197" s="24">
        <f>MAX(0,MAX(0,($C197+$F197)-$M197)-$S197)-MIN(MAX(0,$D$3-(MAX(0,$F197-MAX(0,($M197+$S197)-$C197)))),MAX(0,MAX(0,($C197+$F197)-$M197)-$S197))</f>
        <v/>
      </c>
      <c r="X197" s="24">
        <f>IF(Inputs!$C$39=1,$W197,0)</f>
        <v/>
      </c>
      <c r="Y197" s="24">
        <f>IF(Inputs!$C$39=0,$W197,0)+MAX(0,MAX(0,($D197+$X197)-$N197)-$T197)</f>
        <v/>
      </c>
    </row>
    <row r="198">
      <c r="B198" s="22" t="n">
        <v>193</v>
      </c>
      <c r="C198" s="29">
        <f>IF($B198&lt;=Inputs!$C$6+Inputs!$C$11,Cashflow_Asset!$E196-Cashflow_Asset!$K196,0)</f>
        <v/>
      </c>
      <c r="D198" s="29">
        <f>IF($B198&lt;=Inputs!$C$6+Inputs!$C$11,Cashflow_Asset!$F196+Cashflow_Asset!$G196+Cashflow_Asset!$I196,0)</f>
        <v/>
      </c>
      <c r="E198" s="29">
        <f>IF($B198&lt;=Inputs!$C$6+Inputs!$C$11,Cashflow_Asset!$J196,0)</f>
        <v/>
      </c>
      <c r="F198" s="23">
        <f>$G197</f>
        <v/>
      </c>
      <c r="G198" s="24">
        <f>(MAX(0,$F198-MAX(0,($M198+$S198)-$C198)))+MIN(MAX(0,$D$3-(MAX(0,$F198-MAX(0,($M198+$S198)-$C198)))),MAX(0,MAX(0,($C198+$F198)-$M198)-$S198))</f>
        <v/>
      </c>
      <c r="H198" s="23">
        <f>$J197</f>
        <v/>
      </c>
      <c r="I198" s="24">
        <f>MIN($E198,$H198)</f>
        <v/>
      </c>
      <c r="J198" s="24">
        <f>$H198-$I198</f>
        <v/>
      </c>
      <c r="K198" s="23">
        <f>$P197</f>
        <v/>
      </c>
      <c r="L198" s="24">
        <f>$K198*Inputs!$C$18/12</f>
        <v/>
      </c>
      <c r="M198" s="24">
        <f>MIN(($C198+$F198),$L198)</f>
        <v/>
      </c>
      <c r="N198" s="24">
        <f>MIN(($D198+$X198),MAX(0,$K198-$O198))</f>
        <v/>
      </c>
      <c r="O198" s="24">
        <f>MIN(MAX(0,MAX(0,$E198-$I198)-$U198),$K198)</f>
        <v/>
      </c>
      <c r="P198" s="24">
        <f>MAX(0,$K198-$O198)-$N198</f>
        <v/>
      </c>
      <c r="Q198" s="23">
        <f>$V197</f>
        <v/>
      </c>
      <c r="R198" s="24">
        <f>$Q198*Inputs!$C$19/12</f>
        <v/>
      </c>
      <c r="S198" s="24">
        <f>MIN(MAX(0,($C198+$F198)-$M198),$R198)</f>
        <v/>
      </c>
      <c r="T198" s="24">
        <f>MIN(MAX(0,($D198+$X198)-$N198),MAX(0,$Q198-$U198))</f>
        <v/>
      </c>
      <c r="U198" s="24">
        <f>MIN(MAX(0,$E198-$I198),$Q198)</f>
        <v/>
      </c>
      <c r="V198" s="24">
        <f>MAX(0,$Q198-$U198)-$T198</f>
        <v/>
      </c>
      <c r="W198" s="24">
        <f>MAX(0,MAX(0,($C198+$F198)-$M198)-$S198)-MIN(MAX(0,$D$3-(MAX(0,$F198-MAX(0,($M198+$S198)-$C198)))),MAX(0,MAX(0,($C198+$F198)-$M198)-$S198))</f>
        <v/>
      </c>
      <c r="X198" s="24">
        <f>IF(Inputs!$C$39=1,$W198,0)</f>
        <v/>
      </c>
      <c r="Y198" s="24">
        <f>IF(Inputs!$C$39=0,$W198,0)+MAX(0,MAX(0,($D198+$X198)-$N198)-$T198)</f>
        <v/>
      </c>
    </row>
    <row r="199">
      <c r="B199" s="22" t="n">
        <v>194</v>
      </c>
      <c r="C199" s="29">
        <f>IF($B199&lt;=Inputs!$C$6+Inputs!$C$11,Cashflow_Asset!$E197-Cashflow_Asset!$K197,0)</f>
        <v/>
      </c>
      <c r="D199" s="29">
        <f>IF($B199&lt;=Inputs!$C$6+Inputs!$C$11,Cashflow_Asset!$F197+Cashflow_Asset!$G197+Cashflow_Asset!$I197,0)</f>
        <v/>
      </c>
      <c r="E199" s="29">
        <f>IF($B199&lt;=Inputs!$C$6+Inputs!$C$11,Cashflow_Asset!$J197,0)</f>
        <v/>
      </c>
      <c r="F199" s="23">
        <f>$G198</f>
        <v/>
      </c>
      <c r="G199" s="24">
        <f>(MAX(0,$F199-MAX(0,($M199+$S199)-$C199)))+MIN(MAX(0,$D$3-(MAX(0,$F199-MAX(0,($M199+$S199)-$C199)))),MAX(0,MAX(0,($C199+$F199)-$M199)-$S199))</f>
        <v/>
      </c>
      <c r="H199" s="23">
        <f>$J198</f>
        <v/>
      </c>
      <c r="I199" s="24">
        <f>MIN($E199,$H199)</f>
        <v/>
      </c>
      <c r="J199" s="24">
        <f>$H199-$I199</f>
        <v/>
      </c>
      <c r="K199" s="23">
        <f>$P198</f>
        <v/>
      </c>
      <c r="L199" s="24">
        <f>$K199*Inputs!$C$18/12</f>
        <v/>
      </c>
      <c r="M199" s="24">
        <f>MIN(($C199+$F199),$L199)</f>
        <v/>
      </c>
      <c r="N199" s="24">
        <f>MIN(($D199+$X199),MAX(0,$K199-$O199))</f>
        <v/>
      </c>
      <c r="O199" s="24">
        <f>MIN(MAX(0,MAX(0,$E199-$I199)-$U199),$K199)</f>
        <v/>
      </c>
      <c r="P199" s="24">
        <f>MAX(0,$K199-$O199)-$N199</f>
        <v/>
      </c>
      <c r="Q199" s="23">
        <f>$V198</f>
        <v/>
      </c>
      <c r="R199" s="24">
        <f>$Q199*Inputs!$C$19/12</f>
        <v/>
      </c>
      <c r="S199" s="24">
        <f>MIN(MAX(0,($C199+$F199)-$M199),$R199)</f>
        <v/>
      </c>
      <c r="T199" s="24">
        <f>MIN(MAX(0,($D199+$X199)-$N199),MAX(0,$Q199-$U199))</f>
        <v/>
      </c>
      <c r="U199" s="24">
        <f>MIN(MAX(0,$E199-$I199),$Q199)</f>
        <v/>
      </c>
      <c r="V199" s="24">
        <f>MAX(0,$Q199-$U199)-$T199</f>
        <v/>
      </c>
      <c r="W199" s="24">
        <f>MAX(0,MAX(0,($C199+$F199)-$M199)-$S199)-MIN(MAX(0,$D$3-(MAX(0,$F199-MAX(0,($M199+$S199)-$C199)))),MAX(0,MAX(0,($C199+$F199)-$M199)-$S199))</f>
        <v/>
      </c>
      <c r="X199" s="24">
        <f>IF(Inputs!$C$39=1,$W199,0)</f>
        <v/>
      </c>
      <c r="Y199" s="24">
        <f>IF(Inputs!$C$39=0,$W199,0)+MAX(0,MAX(0,($D199+$X199)-$N199)-$T199)</f>
        <v/>
      </c>
    </row>
    <row r="200">
      <c r="B200" s="22" t="n">
        <v>195</v>
      </c>
      <c r="C200" s="29">
        <f>IF($B200&lt;=Inputs!$C$6+Inputs!$C$11,Cashflow_Asset!$E198-Cashflow_Asset!$K198,0)</f>
        <v/>
      </c>
      <c r="D200" s="29">
        <f>IF($B200&lt;=Inputs!$C$6+Inputs!$C$11,Cashflow_Asset!$F198+Cashflow_Asset!$G198+Cashflow_Asset!$I198,0)</f>
        <v/>
      </c>
      <c r="E200" s="29">
        <f>IF($B200&lt;=Inputs!$C$6+Inputs!$C$11,Cashflow_Asset!$J198,0)</f>
        <v/>
      </c>
      <c r="F200" s="23">
        <f>$G199</f>
        <v/>
      </c>
      <c r="G200" s="24">
        <f>(MAX(0,$F200-MAX(0,($M200+$S200)-$C200)))+MIN(MAX(0,$D$3-(MAX(0,$F200-MAX(0,($M200+$S200)-$C200)))),MAX(0,MAX(0,($C200+$F200)-$M200)-$S200))</f>
        <v/>
      </c>
      <c r="H200" s="23">
        <f>$J199</f>
        <v/>
      </c>
      <c r="I200" s="24">
        <f>MIN($E200,$H200)</f>
        <v/>
      </c>
      <c r="J200" s="24">
        <f>$H200-$I200</f>
        <v/>
      </c>
      <c r="K200" s="23">
        <f>$P199</f>
        <v/>
      </c>
      <c r="L200" s="24">
        <f>$K200*Inputs!$C$18/12</f>
        <v/>
      </c>
      <c r="M200" s="24">
        <f>MIN(($C200+$F200),$L200)</f>
        <v/>
      </c>
      <c r="N200" s="24">
        <f>MIN(($D200+$X200),MAX(0,$K200-$O200))</f>
        <v/>
      </c>
      <c r="O200" s="24">
        <f>MIN(MAX(0,MAX(0,$E200-$I200)-$U200),$K200)</f>
        <v/>
      </c>
      <c r="P200" s="24">
        <f>MAX(0,$K200-$O200)-$N200</f>
        <v/>
      </c>
      <c r="Q200" s="23">
        <f>$V199</f>
        <v/>
      </c>
      <c r="R200" s="24">
        <f>$Q200*Inputs!$C$19/12</f>
        <v/>
      </c>
      <c r="S200" s="24">
        <f>MIN(MAX(0,($C200+$F200)-$M200),$R200)</f>
        <v/>
      </c>
      <c r="T200" s="24">
        <f>MIN(MAX(0,($D200+$X200)-$N200),MAX(0,$Q200-$U200))</f>
        <v/>
      </c>
      <c r="U200" s="24">
        <f>MIN(MAX(0,$E200-$I200),$Q200)</f>
        <v/>
      </c>
      <c r="V200" s="24">
        <f>MAX(0,$Q200-$U200)-$T200</f>
        <v/>
      </c>
      <c r="W200" s="24">
        <f>MAX(0,MAX(0,($C200+$F200)-$M200)-$S200)-MIN(MAX(0,$D$3-(MAX(0,$F200-MAX(0,($M200+$S200)-$C200)))),MAX(0,MAX(0,($C200+$F200)-$M200)-$S200))</f>
        <v/>
      </c>
      <c r="X200" s="24">
        <f>IF(Inputs!$C$39=1,$W200,0)</f>
        <v/>
      </c>
      <c r="Y200" s="24">
        <f>IF(Inputs!$C$39=0,$W200,0)+MAX(0,MAX(0,($D200+$X200)-$N200)-$T200)</f>
        <v/>
      </c>
    </row>
    <row r="201">
      <c r="B201" s="22" t="n">
        <v>196</v>
      </c>
      <c r="C201" s="29">
        <f>IF($B201&lt;=Inputs!$C$6+Inputs!$C$11,Cashflow_Asset!$E199-Cashflow_Asset!$K199,0)</f>
        <v/>
      </c>
      <c r="D201" s="29">
        <f>IF($B201&lt;=Inputs!$C$6+Inputs!$C$11,Cashflow_Asset!$F199+Cashflow_Asset!$G199+Cashflow_Asset!$I199,0)</f>
        <v/>
      </c>
      <c r="E201" s="29">
        <f>IF($B201&lt;=Inputs!$C$6+Inputs!$C$11,Cashflow_Asset!$J199,0)</f>
        <v/>
      </c>
      <c r="F201" s="23">
        <f>$G200</f>
        <v/>
      </c>
      <c r="G201" s="24">
        <f>(MAX(0,$F201-MAX(0,($M201+$S201)-$C201)))+MIN(MAX(0,$D$3-(MAX(0,$F201-MAX(0,($M201+$S201)-$C201)))),MAX(0,MAX(0,($C201+$F201)-$M201)-$S201))</f>
        <v/>
      </c>
      <c r="H201" s="23">
        <f>$J200</f>
        <v/>
      </c>
      <c r="I201" s="24">
        <f>MIN($E201,$H201)</f>
        <v/>
      </c>
      <c r="J201" s="24">
        <f>$H201-$I201</f>
        <v/>
      </c>
      <c r="K201" s="23">
        <f>$P200</f>
        <v/>
      </c>
      <c r="L201" s="24">
        <f>$K201*Inputs!$C$18/12</f>
        <v/>
      </c>
      <c r="M201" s="24">
        <f>MIN(($C201+$F201),$L201)</f>
        <v/>
      </c>
      <c r="N201" s="24">
        <f>MIN(($D201+$X201),MAX(0,$K201-$O201))</f>
        <v/>
      </c>
      <c r="O201" s="24">
        <f>MIN(MAX(0,MAX(0,$E201-$I201)-$U201),$K201)</f>
        <v/>
      </c>
      <c r="P201" s="24">
        <f>MAX(0,$K201-$O201)-$N201</f>
        <v/>
      </c>
      <c r="Q201" s="23">
        <f>$V200</f>
        <v/>
      </c>
      <c r="R201" s="24">
        <f>$Q201*Inputs!$C$19/12</f>
        <v/>
      </c>
      <c r="S201" s="24">
        <f>MIN(MAX(0,($C201+$F201)-$M201),$R201)</f>
        <v/>
      </c>
      <c r="T201" s="24">
        <f>MIN(MAX(0,($D201+$X201)-$N201),MAX(0,$Q201-$U201))</f>
        <v/>
      </c>
      <c r="U201" s="24">
        <f>MIN(MAX(0,$E201-$I201),$Q201)</f>
        <v/>
      </c>
      <c r="V201" s="24">
        <f>MAX(0,$Q201-$U201)-$T201</f>
        <v/>
      </c>
      <c r="W201" s="24">
        <f>MAX(0,MAX(0,($C201+$F201)-$M201)-$S201)-MIN(MAX(0,$D$3-(MAX(0,$F201-MAX(0,($M201+$S201)-$C201)))),MAX(0,MAX(0,($C201+$F201)-$M201)-$S201))</f>
        <v/>
      </c>
      <c r="X201" s="24">
        <f>IF(Inputs!$C$39=1,$W201,0)</f>
        <v/>
      </c>
      <c r="Y201" s="24">
        <f>IF(Inputs!$C$39=0,$W201,0)+MAX(0,MAX(0,($D201+$X201)-$N201)-$T201)</f>
        <v/>
      </c>
    </row>
    <row r="202">
      <c r="B202" s="22" t="n">
        <v>197</v>
      </c>
      <c r="C202" s="29">
        <f>IF($B202&lt;=Inputs!$C$6+Inputs!$C$11,Cashflow_Asset!$E200-Cashflow_Asset!$K200,0)</f>
        <v/>
      </c>
      <c r="D202" s="29">
        <f>IF($B202&lt;=Inputs!$C$6+Inputs!$C$11,Cashflow_Asset!$F200+Cashflow_Asset!$G200+Cashflow_Asset!$I200,0)</f>
        <v/>
      </c>
      <c r="E202" s="29">
        <f>IF($B202&lt;=Inputs!$C$6+Inputs!$C$11,Cashflow_Asset!$J200,0)</f>
        <v/>
      </c>
      <c r="F202" s="23">
        <f>$G201</f>
        <v/>
      </c>
      <c r="G202" s="24">
        <f>(MAX(0,$F202-MAX(0,($M202+$S202)-$C202)))+MIN(MAX(0,$D$3-(MAX(0,$F202-MAX(0,($M202+$S202)-$C202)))),MAX(0,MAX(0,($C202+$F202)-$M202)-$S202))</f>
        <v/>
      </c>
      <c r="H202" s="23">
        <f>$J201</f>
        <v/>
      </c>
      <c r="I202" s="24">
        <f>MIN($E202,$H202)</f>
        <v/>
      </c>
      <c r="J202" s="24">
        <f>$H202-$I202</f>
        <v/>
      </c>
      <c r="K202" s="23">
        <f>$P201</f>
        <v/>
      </c>
      <c r="L202" s="24">
        <f>$K202*Inputs!$C$18/12</f>
        <v/>
      </c>
      <c r="M202" s="24">
        <f>MIN(($C202+$F202),$L202)</f>
        <v/>
      </c>
      <c r="N202" s="24">
        <f>MIN(($D202+$X202),MAX(0,$K202-$O202))</f>
        <v/>
      </c>
      <c r="O202" s="24">
        <f>MIN(MAX(0,MAX(0,$E202-$I202)-$U202),$K202)</f>
        <v/>
      </c>
      <c r="P202" s="24">
        <f>MAX(0,$K202-$O202)-$N202</f>
        <v/>
      </c>
      <c r="Q202" s="23">
        <f>$V201</f>
        <v/>
      </c>
      <c r="R202" s="24">
        <f>$Q202*Inputs!$C$19/12</f>
        <v/>
      </c>
      <c r="S202" s="24">
        <f>MIN(MAX(0,($C202+$F202)-$M202),$R202)</f>
        <v/>
      </c>
      <c r="T202" s="24">
        <f>MIN(MAX(0,($D202+$X202)-$N202),MAX(0,$Q202-$U202))</f>
        <v/>
      </c>
      <c r="U202" s="24">
        <f>MIN(MAX(0,$E202-$I202),$Q202)</f>
        <v/>
      </c>
      <c r="V202" s="24">
        <f>MAX(0,$Q202-$U202)-$T202</f>
        <v/>
      </c>
      <c r="W202" s="24">
        <f>MAX(0,MAX(0,($C202+$F202)-$M202)-$S202)-MIN(MAX(0,$D$3-(MAX(0,$F202-MAX(0,($M202+$S202)-$C202)))),MAX(0,MAX(0,($C202+$F202)-$M202)-$S202))</f>
        <v/>
      </c>
      <c r="X202" s="24">
        <f>IF(Inputs!$C$39=1,$W202,0)</f>
        <v/>
      </c>
      <c r="Y202" s="24">
        <f>IF(Inputs!$C$39=0,$W202,0)+MAX(0,MAX(0,($D202+$X202)-$N202)-$T202)</f>
        <v/>
      </c>
    </row>
    <row r="203">
      <c r="B203" s="22" t="n">
        <v>198</v>
      </c>
      <c r="C203" s="29">
        <f>IF($B203&lt;=Inputs!$C$6+Inputs!$C$11,Cashflow_Asset!$E201-Cashflow_Asset!$K201,0)</f>
        <v/>
      </c>
      <c r="D203" s="29">
        <f>IF($B203&lt;=Inputs!$C$6+Inputs!$C$11,Cashflow_Asset!$F201+Cashflow_Asset!$G201+Cashflow_Asset!$I201,0)</f>
        <v/>
      </c>
      <c r="E203" s="29">
        <f>IF($B203&lt;=Inputs!$C$6+Inputs!$C$11,Cashflow_Asset!$J201,0)</f>
        <v/>
      </c>
      <c r="F203" s="23">
        <f>$G202</f>
        <v/>
      </c>
      <c r="G203" s="24">
        <f>(MAX(0,$F203-MAX(0,($M203+$S203)-$C203)))+MIN(MAX(0,$D$3-(MAX(0,$F203-MAX(0,($M203+$S203)-$C203)))),MAX(0,MAX(0,($C203+$F203)-$M203)-$S203))</f>
        <v/>
      </c>
      <c r="H203" s="23">
        <f>$J202</f>
        <v/>
      </c>
      <c r="I203" s="24">
        <f>MIN($E203,$H203)</f>
        <v/>
      </c>
      <c r="J203" s="24">
        <f>$H203-$I203</f>
        <v/>
      </c>
      <c r="K203" s="23">
        <f>$P202</f>
        <v/>
      </c>
      <c r="L203" s="24">
        <f>$K203*Inputs!$C$18/12</f>
        <v/>
      </c>
      <c r="M203" s="24">
        <f>MIN(($C203+$F203),$L203)</f>
        <v/>
      </c>
      <c r="N203" s="24">
        <f>MIN(($D203+$X203),MAX(0,$K203-$O203))</f>
        <v/>
      </c>
      <c r="O203" s="24">
        <f>MIN(MAX(0,MAX(0,$E203-$I203)-$U203),$K203)</f>
        <v/>
      </c>
      <c r="P203" s="24">
        <f>MAX(0,$K203-$O203)-$N203</f>
        <v/>
      </c>
      <c r="Q203" s="23">
        <f>$V202</f>
        <v/>
      </c>
      <c r="R203" s="24">
        <f>$Q203*Inputs!$C$19/12</f>
        <v/>
      </c>
      <c r="S203" s="24">
        <f>MIN(MAX(0,($C203+$F203)-$M203),$R203)</f>
        <v/>
      </c>
      <c r="T203" s="24">
        <f>MIN(MAX(0,($D203+$X203)-$N203),MAX(0,$Q203-$U203))</f>
        <v/>
      </c>
      <c r="U203" s="24">
        <f>MIN(MAX(0,$E203-$I203),$Q203)</f>
        <v/>
      </c>
      <c r="V203" s="24">
        <f>MAX(0,$Q203-$U203)-$T203</f>
        <v/>
      </c>
      <c r="W203" s="24">
        <f>MAX(0,MAX(0,($C203+$F203)-$M203)-$S203)-MIN(MAX(0,$D$3-(MAX(0,$F203-MAX(0,($M203+$S203)-$C203)))),MAX(0,MAX(0,($C203+$F203)-$M203)-$S203))</f>
        <v/>
      </c>
      <c r="X203" s="24">
        <f>IF(Inputs!$C$39=1,$W203,0)</f>
        <v/>
      </c>
      <c r="Y203" s="24">
        <f>IF(Inputs!$C$39=0,$W203,0)+MAX(0,MAX(0,($D203+$X203)-$N203)-$T203)</f>
        <v/>
      </c>
    </row>
    <row r="204">
      <c r="B204" s="22" t="n">
        <v>199</v>
      </c>
      <c r="C204" s="29">
        <f>IF($B204&lt;=Inputs!$C$6+Inputs!$C$11,Cashflow_Asset!$E202-Cashflow_Asset!$K202,0)</f>
        <v/>
      </c>
      <c r="D204" s="29">
        <f>IF($B204&lt;=Inputs!$C$6+Inputs!$C$11,Cashflow_Asset!$F202+Cashflow_Asset!$G202+Cashflow_Asset!$I202,0)</f>
        <v/>
      </c>
      <c r="E204" s="29">
        <f>IF($B204&lt;=Inputs!$C$6+Inputs!$C$11,Cashflow_Asset!$J202,0)</f>
        <v/>
      </c>
      <c r="F204" s="23">
        <f>$G203</f>
        <v/>
      </c>
      <c r="G204" s="24">
        <f>(MAX(0,$F204-MAX(0,($M204+$S204)-$C204)))+MIN(MAX(0,$D$3-(MAX(0,$F204-MAX(0,($M204+$S204)-$C204)))),MAX(0,MAX(0,($C204+$F204)-$M204)-$S204))</f>
        <v/>
      </c>
      <c r="H204" s="23">
        <f>$J203</f>
        <v/>
      </c>
      <c r="I204" s="24">
        <f>MIN($E204,$H204)</f>
        <v/>
      </c>
      <c r="J204" s="24">
        <f>$H204-$I204</f>
        <v/>
      </c>
      <c r="K204" s="23">
        <f>$P203</f>
        <v/>
      </c>
      <c r="L204" s="24">
        <f>$K204*Inputs!$C$18/12</f>
        <v/>
      </c>
      <c r="M204" s="24">
        <f>MIN(($C204+$F204),$L204)</f>
        <v/>
      </c>
      <c r="N204" s="24">
        <f>MIN(($D204+$X204),MAX(0,$K204-$O204))</f>
        <v/>
      </c>
      <c r="O204" s="24">
        <f>MIN(MAX(0,MAX(0,$E204-$I204)-$U204),$K204)</f>
        <v/>
      </c>
      <c r="P204" s="24">
        <f>MAX(0,$K204-$O204)-$N204</f>
        <v/>
      </c>
      <c r="Q204" s="23">
        <f>$V203</f>
        <v/>
      </c>
      <c r="R204" s="24">
        <f>$Q204*Inputs!$C$19/12</f>
        <v/>
      </c>
      <c r="S204" s="24">
        <f>MIN(MAX(0,($C204+$F204)-$M204),$R204)</f>
        <v/>
      </c>
      <c r="T204" s="24">
        <f>MIN(MAX(0,($D204+$X204)-$N204),MAX(0,$Q204-$U204))</f>
        <v/>
      </c>
      <c r="U204" s="24">
        <f>MIN(MAX(0,$E204-$I204),$Q204)</f>
        <v/>
      </c>
      <c r="V204" s="24">
        <f>MAX(0,$Q204-$U204)-$T204</f>
        <v/>
      </c>
      <c r="W204" s="24">
        <f>MAX(0,MAX(0,($C204+$F204)-$M204)-$S204)-MIN(MAX(0,$D$3-(MAX(0,$F204-MAX(0,($M204+$S204)-$C204)))),MAX(0,MAX(0,($C204+$F204)-$M204)-$S204))</f>
        <v/>
      </c>
      <c r="X204" s="24">
        <f>IF(Inputs!$C$39=1,$W204,0)</f>
        <v/>
      </c>
      <c r="Y204" s="24">
        <f>IF(Inputs!$C$39=0,$W204,0)+MAX(0,MAX(0,($D204+$X204)-$N204)-$T204)</f>
        <v/>
      </c>
    </row>
    <row r="205">
      <c r="B205" s="22" t="n">
        <v>200</v>
      </c>
      <c r="C205" s="29">
        <f>IF($B205&lt;=Inputs!$C$6+Inputs!$C$11,Cashflow_Asset!$E203-Cashflow_Asset!$K203,0)</f>
        <v/>
      </c>
      <c r="D205" s="29">
        <f>IF($B205&lt;=Inputs!$C$6+Inputs!$C$11,Cashflow_Asset!$F203+Cashflow_Asset!$G203+Cashflow_Asset!$I203,0)</f>
        <v/>
      </c>
      <c r="E205" s="29">
        <f>IF($B205&lt;=Inputs!$C$6+Inputs!$C$11,Cashflow_Asset!$J203,0)</f>
        <v/>
      </c>
      <c r="F205" s="23">
        <f>$G204</f>
        <v/>
      </c>
      <c r="G205" s="24">
        <f>(MAX(0,$F205-MAX(0,($M205+$S205)-$C205)))+MIN(MAX(0,$D$3-(MAX(0,$F205-MAX(0,($M205+$S205)-$C205)))),MAX(0,MAX(0,($C205+$F205)-$M205)-$S205))</f>
        <v/>
      </c>
      <c r="H205" s="23">
        <f>$J204</f>
        <v/>
      </c>
      <c r="I205" s="24">
        <f>MIN($E205,$H205)</f>
        <v/>
      </c>
      <c r="J205" s="24">
        <f>$H205-$I205</f>
        <v/>
      </c>
      <c r="K205" s="23">
        <f>$P204</f>
        <v/>
      </c>
      <c r="L205" s="24">
        <f>$K205*Inputs!$C$18/12</f>
        <v/>
      </c>
      <c r="M205" s="24">
        <f>MIN(($C205+$F205),$L205)</f>
        <v/>
      </c>
      <c r="N205" s="24">
        <f>MIN(($D205+$X205),MAX(0,$K205-$O205))</f>
        <v/>
      </c>
      <c r="O205" s="24">
        <f>MIN(MAX(0,MAX(0,$E205-$I205)-$U205),$K205)</f>
        <v/>
      </c>
      <c r="P205" s="24">
        <f>MAX(0,$K205-$O205)-$N205</f>
        <v/>
      </c>
      <c r="Q205" s="23">
        <f>$V204</f>
        <v/>
      </c>
      <c r="R205" s="24">
        <f>$Q205*Inputs!$C$19/12</f>
        <v/>
      </c>
      <c r="S205" s="24">
        <f>MIN(MAX(0,($C205+$F205)-$M205),$R205)</f>
        <v/>
      </c>
      <c r="T205" s="24">
        <f>MIN(MAX(0,($D205+$X205)-$N205),MAX(0,$Q205-$U205))</f>
        <v/>
      </c>
      <c r="U205" s="24">
        <f>MIN(MAX(0,$E205-$I205),$Q205)</f>
        <v/>
      </c>
      <c r="V205" s="24">
        <f>MAX(0,$Q205-$U205)-$T205</f>
        <v/>
      </c>
      <c r="W205" s="24">
        <f>MAX(0,MAX(0,($C205+$F205)-$M205)-$S205)-MIN(MAX(0,$D$3-(MAX(0,$F205-MAX(0,($M205+$S205)-$C205)))),MAX(0,MAX(0,($C205+$F205)-$M205)-$S205))</f>
        <v/>
      </c>
      <c r="X205" s="24">
        <f>IF(Inputs!$C$39=1,$W205,0)</f>
        <v/>
      </c>
      <c r="Y205" s="24">
        <f>IF(Inputs!$C$39=0,$W205,0)+MAX(0,MAX(0,($D205+$X205)-$N205)-$T205)</f>
        <v/>
      </c>
    </row>
    <row r="206">
      <c r="B206" s="22" t="n">
        <v>201</v>
      </c>
      <c r="C206" s="29">
        <f>IF($B206&lt;=Inputs!$C$6+Inputs!$C$11,Cashflow_Asset!$E204-Cashflow_Asset!$K204,0)</f>
        <v/>
      </c>
      <c r="D206" s="29">
        <f>IF($B206&lt;=Inputs!$C$6+Inputs!$C$11,Cashflow_Asset!$F204+Cashflow_Asset!$G204+Cashflow_Asset!$I204,0)</f>
        <v/>
      </c>
      <c r="E206" s="29">
        <f>IF($B206&lt;=Inputs!$C$6+Inputs!$C$11,Cashflow_Asset!$J204,0)</f>
        <v/>
      </c>
      <c r="F206" s="23">
        <f>$G205</f>
        <v/>
      </c>
      <c r="G206" s="24">
        <f>(MAX(0,$F206-MAX(0,($M206+$S206)-$C206)))+MIN(MAX(0,$D$3-(MAX(0,$F206-MAX(0,($M206+$S206)-$C206)))),MAX(0,MAX(0,($C206+$F206)-$M206)-$S206))</f>
        <v/>
      </c>
      <c r="H206" s="23">
        <f>$J205</f>
        <v/>
      </c>
      <c r="I206" s="24">
        <f>MIN($E206,$H206)</f>
        <v/>
      </c>
      <c r="J206" s="24">
        <f>$H206-$I206</f>
        <v/>
      </c>
      <c r="K206" s="23">
        <f>$P205</f>
        <v/>
      </c>
      <c r="L206" s="24">
        <f>$K206*Inputs!$C$18/12</f>
        <v/>
      </c>
      <c r="M206" s="24">
        <f>MIN(($C206+$F206),$L206)</f>
        <v/>
      </c>
      <c r="N206" s="24">
        <f>MIN(($D206+$X206),MAX(0,$K206-$O206))</f>
        <v/>
      </c>
      <c r="O206" s="24">
        <f>MIN(MAX(0,MAX(0,$E206-$I206)-$U206),$K206)</f>
        <v/>
      </c>
      <c r="P206" s="24">
        <f>MAX(0,$K206-$O206)-$N206</f>
        <v/>
      </c>
      <c r="Q206" s="23">
        <f>$V205</f>
        <v/>
      </c>
      <c r="R206" s="24">
        <f>$Q206*Inputs!$C$19/12</f>
        <v/>
      </c>
      <c r="S206" s="24">
        <f>MIN(MAX(0,($C206+$F206)-$M206),$R206)</f>
        <v/>
      </c>
      <c r="T206" s="24">
        <f>MIN(MAX(0,($D206+$X206)-$N206),MAX(0,$Q206-$U206))</f>
        <v/>
      </c>
      <c r="U206" s="24">
        <f>MIN(MAX(0,$E206-$I206),$Q206)</f>
        <v/>
      </c>
      <c r="V206" s="24">
        <f>MAX(0,$Q206-$U206)-$T206</f>
        <v/>
      </c>
      <c r="W206" s="24">
        <f>MAX(0,MAX(0,($C206+$F206)-$M206)-$S206)-MIN(MAX(0,$D$3-(MAX(0,$F206-MAX(0,($M206+$S206)-$C206)))),MAX(0,MAX(0,($C206+$F206)-$M206)-$S206))</f>
        <v/>
      </c>
      <c r="X206" s="24">
        <f>IF(Inputs!$C$39=1,$W206,0)</f>
        <v/>
      </c>
      <c r="Y206" s="24">
        <f>IF(Inputs!$C$39=0,$W206,0)+MAX(0,MAX(0,($D206+$X206)-$N206)-$T206)</f>
        <v/>
      </c>
    </row>
    <row r="207">
      <c r="B207" s="22" t="n">
        <v>202</v>
      </c>
      <c r="C207" s="29">
        <f>IF($B207&lt;=Inputs!$C$6+Inputs!$C$11,Cashflow_Asset!$E205-Cashflow_Asset!$K205,0)</f>
        <v/>
      </c>
      <c r="D207" s="29">
        <f>IF($B207&lt;=Inputs!$C$6+Inputs!$C$11,Cashflow_Asset!$F205+Cashflow_Asset!$G205+Cashflow_Asset!$I205,0)</f>
        <v/>
      </c>
      <c r="E207" s="29">
        <f>IF($B207&lt;=Inputs!$C$6+Inputs!$C$11,Cashflow_Asset!$J205,0)</f>
        <v/>
      </c>
      <c r="F207" s="23">
        <f>$G206</f>
        <v/>
      </c>
      <c r="G207" s="24">
        <f>(MAX(0,$F207-MAX(0,($M207+$S207)-$C207)))+MIN(MAX(0,$D$3-(MAX(0,$F207-MAX(0,($M207+$S207)-$C207)))),MAX(0,MAX(0,($C207+$F207)-$M207)-$S207))</f>
        <v/>
      </c>
      <c r="H207" s="23">
        <f>$J206</f>
        <v/>
      </c>
      <c r="I207" s="24">
        <f>MIN($E207,$H207)</f>
        <v/>
      </c>
      <c r="J207" s="24">
        <f>$H207-$I207</f>
        <v/>
      </c>
      <c r="K207" s="23">
        <f>$P206</f>
        <v/>
      </c>
      <c r="L207" s="24">
        <f>$K207*Inputs!$C$18/12</f>
        <v/>
      </c>
      <c r="M207" s="24">
        <f>MIN(($C207+$F207),$L207)</f>
        <v/>
      </c>
      <c r="N207" s="24">
        <f>MIN(($D207+$X207),MAX(0,$K207-$O207))</f>
        <v/>
      </c>
      <c r="O207" s="24">
        <f>MIN(MAX(0,MAX(0,$E207-$I207)-$U207),$K207)</f>
        <v/>
      </c>
      <c r="P207" s="24">
        <f>MAX(0,$K207-$O207)-$N207</f>
        <v/>
      </c>
      <c r="Q207" s="23">
        <f>$V206</f>
        <v/>
      </c>
      <c r="R207" s="24">
        <f>$Q207*Inputs!$C$19/12</f>
        <v/>
      </c>
      <c r="S207" s="24">
        <f>MIN(MAX(0,($C207+$F207)-$M207),$R207)</f>
        <v/>
      </c>
      <c r="T207" s="24">
        <f>MIN(MAX(0,($D207+$X207)-$N207),MAX(0,$Q207-$U207))</f>
        <v/>
      </c>
      <c r="U207" s="24">
        <f>MIN(MAX(0,$E207-$I207),$Q207)</f>
        <v/>
      </c>
      <c r="V207" s="24">
        <f>MAX(0,$Q207-$U207)-$T207</f>
        <v/>
      </c>
      <c r="W207" s="24">
        <f>MAX(0,MAX(0,($C207+$F207)-$M207)-$S207)-MIN(MAX(0,$D$3-(MAX(0,$F207-MAX(0,($M207+$S207)-$C207)))),MAX(0,MAX(0,($C207+$F207)-$M207)-$S207))</f>
        <v/>
      </c>
      <c r="X207" s="24">
        <f>IF(Inputs!$C$39=1,$W207,0)</f>
        <v/>
      </c>
      <c r="Y207" s="24">
        <f>IF(Inputs!$C$39=0,$W207,0)+MAX(0,MAX(0,($D207+$X207)-$N207)-$T207)</f>
        <v/>
      </c>
    </row>
    <row r="208">
      <c r="B208" s="22" t="n">
        <v>203</v>
      </c>
      <c r="C208" s="29">
        <f>IF($B208&lt;=Inputs!$C$6+Inputs!$C$11,Cashflow_Asset!$E206-Cashflow_Asset!$K206,0)</f>
        <v/>
      </c>
      <c r="D208" s="29">
        <f>IF($B208&lt;=Inputs!$C$6+Inputs!$C$11,Cashflow_Asset!$F206+Cashflow_Asset!$G206+Cashflow_Asset!$I206,0)</f>
        <v/>
      </c>
      <c r="E208" s="29">
        <f>IF($B208&lt;=Inputs!$C$6+Inputs!$C$11,Cashflow_Asset!$J206,0)</f>
        <v/>
      </c>
      <c r="F208" s="23">
        <f>$G207</f>
        <v/>
      </c>
      <c r="G208" s="24">
        <f>(MAX(0,$F208-MAX(0,($M208+$S208)-$C208)))+MIN(MAX(0,$D$3-(MAX(0,$F208-MAX(0,($M208+$S208)-$C208)))),MAX(0,MAX(0,($C208+$F208)-$M208)-$S208))</f>
        <v/>
      </c>
      <c r="H208" s="23">
        <f>$J207</f>
        <v/>
      </c>
      <c r="I208" s="24">
        <f>MIN($E208,$H208)</f>
        <v/>
      </c>
      <c r="J208" s="24">
        <f>$H208-$I208</f>
        <v/>
      </c>
      <c r="K208" s="23">
        <f>$P207</f>
        <v/>
      </c>
      <c r="L208" s="24">
        <f>$K208*Inputs!$C$18/12</f>
        <v/>
      </c>
      <c r="M208" s="24">
        <f>MIN(($C208+$F208),$L208)</f>
        <v/>
      </c>
      <c r="N208" s="24">
        <f>MIN(($D208+$X208),MAX(0,$K208-$O208))</f>
        <v/>
      </c>
      <c r="O208" s="24">
        <f>MIN(MAX(0,MAX(0,$E208-$I208)-$U208),$K208)</f>
        <v/>
      </c>
      <c r="P208" s="24">
        <f>MAX(0,$K208-$O208)-$N208</f>
        <v/>
      </c>
      <c r="Q208" s="23">
        <f>$V207</f>
        <v/>
      </c>
      <c r="R208" s="24">
        <f>$Q208*Inputs!$C$19/12</f>
        <v/>
      </c>
      <c r="S208" s="24">
        <f>MIN(MAX(0,($C208+$F208)-$M208),$R208)</f>
        <v/>
      </c>
      <c r="T208" s="24">
        <f>MIN(MAX(0,($D208+$X208)-$N208),MAX(0,$Q208-$U208))</f>
        <v/>
      </c>
      <c r="U208" s="24">
        <f>MIN(MAX(0,$E208-$I208),$Q208)</f>
        <v/>
      </c>
      <c r="V208" s="24">
        <f>MAX(0,$Q208-$U208)-$T208</f>
        <v/>
      </c>
      <c r="W208" s="24">
        <f>MAX(0,MAX(0,($C208+$F208)-$M208)-$S208)-MIN(MAX(0,$D$3-(MAX(0,$F208-MAX(0,($M208+$S208)-$C208)))),MAX(0,MAX(0,($C208+$F208)-$M208)-$S208))</f>
        <v/>
      </c>
      <c r="X208" s="24">
        <f>IF(Inputs!$C$39=1,$W208,0)</f>
        <v/>
      </c>
      <c r="Y208" s="24">
        <f>IF(Inputs!$C$39=0,$W208,0)+MAX(0,MAX(0,($D208+$X208)-$N208)-$T208)</f>
        <v/>
      </c>
    </row>
    <row r="209">
      <c r="B209" s="22" t="n">
        <v>204</v>
      </c>
      <c r="C209" s="29">
        <f>IF($B209&lt;=Inputs!$C$6+Inputs!$C$11,Cashflow_Asset!$E207-Cashflow_Asset!$K207,0)</f>
        <v/>
      </c>
      <c r="D209" s="29">
        <f>IF($B209&lt;=Inputs!$C$6+Inputs!$C$11,Cashflow_Asset!$F207+Cashflow_Asset!$G207+Cashflow_Asset!$I207,0)</f>
        <v/>
      </c>
      <c r="E209" s="29">
        <f>IF($B209&lt;=Inputs!$C$6+Inputs!$C$11,Cashflow_Asset!$J207,0)</f>
        <v/>
      </c>
      <c r="F209" s="23">
        <f>$G208</f>
        <v/>
      </c>
      <c r="G209" s="24">
        <f>(MAX(0,$F209-MAX(0,($M209+$S209)-$C209)))+MIN(MAX(0,$D$3-(MAX(0,$F209-MAX(0,($M209+$S209)-$C209)))),MAX(0,MAX(0,($C209+$F209)-$M209)-$S209))</f>
        <v/>
      </c>
      <c r="H209" s="23">
        <f>$J208</f>
        <v/>
      </c>
      <c r="I209" s="24">
        <f>MIN($E209,$H209)</f>
        <v/>
      </c>
      <c r="J209" s="24">
        <f>$H209-$I209</f>
        <v/>
      </c>
      <c r="K209" s="23">
        <f>$P208</f>
        <v/>
      </c>
      <c r="L209" s="24">
        <f>$K209*Inputs!$C$18/12</f>
        <v/>
      </c>
      <c r="M209" s="24">
        <f>MIN(($C209+$F209),$L209)</f>
        <v/>
      </c>
      <c r="N209" s="24">
        <f>MIN(($D209+$X209),MAX(0,$K209-$O209))</f>
        <v/>
      </c>
      <c r="O209" s="24">
        <f>MIN(MAX(0,MAX(0,$E209-$I209)-$U209),$K209)</f>
        <v/>
      </c>
      <c r="P209" s="24">
        <f>MAX(0,$K209-$O209)-$N209</f>
        <v/>
      </c>
      <c r="Q209" s="23">
        <f>$V208</f>
        <v/>
      </c>
      <c r="R209" s="24">
        <f>$Q209*Inputs!$C$19/12</f>
        <v/>
      </c>
      <c r="S209" s="24">
        <f>MIN(MAX(0,($C209+$F209)-$M209),$R209)</f>
        <v/>
      </c>
      <c r="T209" s="24">
        <f>MIN(MAX(0,($D209+$X209)-$N209),MAX(0,$Q209-$U209))</f>
        <v/>
      </c>
      <c r="U209" s="24">
        <f>MIN(MAX(0,$E209-$I209),$Q209)</f>
        <v/>
      </c>
      <c r="V209" s="24">
        <f>MAX(0,$Q209-$U209)-$T209</f>
        <v/>
      </c>
      <c r="W209" s="24">
        <f>MAX(0,MAX(0,($C209+$F209)-$M209)-$S209)-MIN(MAX(0,$D$3-(MAX(0,$F209-MAX(0,($M209+$S209)-$C209)))),MAX(0,MAX(0,($C209+$F209)-$M209)-$S209))</f>
        <v/>
      </c>
      <c r="X209" s="24">
        <f>IF(Inputs!$C$39=1,$W209,0)</f>
        <v/>
      </c>
      <c r="Y209" s="24">
        <f>IF(Inputs!$C$39=0,$W209,0)+MAX(0,MAX(0,($D209+$X209)-$N209)-$T209)</f>
        <v/>
      </c>
    </row>
    <row r="210">
      <c r="B210" s="22" t="n">
        <v>205</v>
      </c>
      <c r="C210" s="29">
        <f>IF($B210&lt;=Inputs!$C$6+Inputs!$C$11,Cashflow_Asset!$E208-Cashflow_Asset!$K208,0)</f>
        <v/>
      </c>
      <c r="D210" s="29">
        <f>IF($B210&lt;=Inputs!$C$6+Inputs!$C$11,Cashflow_Asset!$F208+Cashflow_Asset!$G208+Cashflow_Asset!$I208,0)</f>
        <v/>
      </c>
      <c r="E210" s="29">
        <f>IF($B210&lt;=Inputs!$C$6+Inputs!$C$11,Cashflow_Asset!$J208,0)</f>
        <v/>
      </c>
      <c r="F210" s="23">
        <f>$G209</f>
        <v/>
      </c>
      <c r="G210" s="24">
        <f>(MAX(0,$F210-MAX(0,($M210+$S210)-$C210)))+MIN(MAX(0,$D$3-(MAX(0,$F210-MAX(0,($M210+$S210)-$C210)))),MAX(0,MAX(0,($C210+$F210)-$M210)-$S210))</f>
        <v/>
      </c>
      <c r="H210" s="23">
        <f>$J209</f>
        <v/>
      </c>
      <c r="I210" s="24">
        <f>MIN($E210,$H210)</f>
        <v/>
      </c>
      <c r="J210" s="24">
        <f>$H210-$I210</f>
        <v/>
      </c>
      <c r="K210" s="23">
        <f>$P209</f>
        <v/>
      </c>
      <c r="L210" s="24">
        <f>$K210*Inputs!$C$18/12</f>
        <v/>
      </c>
      <c r="M210" s="24">
        <f>MIN(($C210+$F210),$L210)</f>
        <v/>
      </c>
      <c r="N210" s="24">
        <f>MIN(($D210+$X210),MAX(0,$K210-$O210))</f>
        <v/>
      </c>
      <c r="O210" s="24">
        <f>MIN(MAX(0,MAX(0,$E210-$I210)-$U210),$K210)</f>
        <v/>
      </c>
      <c r="P210" s="24">
        <f>MAX(0,$K210-$O210)-$N210</f>
        <v/>
      </c>
      <c r="Q210" s="23">
        <f>$V209</f>
        <v/>
      </c>
      <c r="R210" s="24">
        <f>$Q210*Inputs!$C$19/12</f>
        <v/>
      </c>
      <c r="S210" s="24">
        <f>MIN(MAX(0,($C210+$F210)-$M210),$R210)</f>
        <v/>
      </c>
      <c r="T210" s="24">
        <f>MIN(MAX(0,($D210+$X210)-$N210),MAX(0,$Q210-$U210))</f>
        <v/>
      </c>
      <c r="U210" s="24">
        <f>MIN(MAX(0,$E210-$I210),$Q210)</f>
        <v/>
      </c>
      <c r="V210" s="24">
        <f>MAX(0,$Q210-$U210)-$T210</f>
        <v/>
      </c>
      <c r="W210" s="24">
        <f>MAX(0,MAX(0,($C210+$F210)-$M210)-$S210)-MIN(MAX(0,$D$3-(MAX(0,$F210-MAX(0,($M210+$S210)-$C210)))),MAX(0,MAX(0,($C210+$F210)-$M210)-$S210))</f>
        <v/>
      </c>
      <c r="X210" s="24">
        <f>IF(Inputs!$C$39=1,$W210,0)</f>
        <v/>
      </c>
      <c r="Y210" s="24">
        <f>IF(Inputs!$C$39=0,$W210,0)+MAX(0,MAX(0,($D210+$X210)-$N210)-$T210)</f>
        <v/>
      </c>
    </row>
    <row r="211">
      <c r="B211" s="22" t="n">
        <v>206</v>
      </c>
      <c r="C211" s="29">
        <f>IF($B211&lt;=Inputs!$C$6+Inputs!$C$11,Cashflow_Asset!$E209-Cashflow_Asset!$K209,0)</f>
        <v/>
      </c>
      <c r="D211" s="29">
        <f>IF($B211&lt;=Inputs!$C$6+Inputs!$C$11,Cashflow_Asset!$F209+Cashflow_Asset!$G209+Cashflow_Asset!$I209,0)</f>
        <v/>
      </c>
      <c r="E211" s="29">
        <f>IF($B211&lt;=Inputs!$C$6+Inputs!$C$11,Cashflow_Asset!$J209,0)</f>
        <v/>
      </c>
      <c r="F211" s="23">
        <f>$G210</f>
        <v/>
      </c>
      <c r="G211" s="24">
        <f>(MAX(0,$F211-MAX(0,($M211+$S211)-$C211)))+MIN(MAX(0,$D$3-(MAX(0,$F211-MAX(0,($M211+$S211)-$C211)))),MAX(0,MAX(0,($C211+$F211)-$M211)-$S211))</f>
        <v/>
      </c>
      <c r="H211" s="23">
        <f>$J210</f>
        <v/>
      </c>
      <c r="I211" s="24">
        <f>MIN($E211,$H211)</f>
        <v/>
      </c>
      <c r="J211" s="24">
        <f>$H211-$I211</f>
        <v/>
      </c>
      <c r="K211" s="23">
        <f>$P210</f>
        <v/>
      </c>
      <c r="L211" s="24">
        <f>$K211*Inputs!$C$18/12</f>
        <v/>
      </c>
      <c r="M211" s="24">
        <f>MIN(($C211+$F211),$L211)</f>
        <v/>
      </c>
      <c r="N211" s="24">
        <f>MIN(($D211+$X211),MAX(0,$K211-$O211))</f>
        <v/>
      </c>
      <c r="O211" s="24">
        <f>MIN(MAX(0,MAX(0,$E211-$I211)-$U211),$K211)</f>
        <v/>
      </c>
      <c r="P211" s="24">
        <f>MAX(0,$K211-$O211)-$N211</f>
        <v/>
      </c>
      <c r="Q211" s="23">
        <f>$V210</f>
        <v/>
      </c>
      <c r="R211" s="24">
        <f>$Q211*Inputs!$C$19/12</f>
        <v/>
      </c>
      <c r="S211" s="24">
        <f>MIN(MAX(0,($C211+$F211)-$M211),$R211)</f>
        <v/>
      </c>
      <c r="T211" s="24">
        <f>MIN(MAX(0,($D211+$X211)-$N211),MAX(0,$Q211-$U211))</f>
        <v/>
      </c>
      <c r="U211" s="24">
        <f>MIN(MAX(0,$E211-$I211),$Q211)</f>
        <v/>
      </c>
      <c r="V211" s="24">
        <f>MAX(0,$Q211-$U211)-$T211</f>
        <v/>
      </c>
      <c r="W211" s="24">
        <f>MAX(0,MAX(0,($C211+$F211)-$M211)-$S211)-MIN(MAX(0,$D$3-(MAX(0,$F211-MAX(0,($M211+$S211)-$C211)))),MAX(0,MAX(0,($C211+$F211)-$M211)-$S211))</f>
        <v/>
      </c>
      <c r="X211" s="24">
        <f>IF(Inputs!$C$39=1,$W211,0)</f>
        <v/>
      </c>
      <c r="Y211" s="24">
        <f>IF(Inputs!$C$39=0,$W211,0)+MAX(0,MAX(0,($D211+$X211)-$N211)-$T211)</f>
        <v/>
      </c>
    </row>
    <row r="212">
      <c r="B212" s="22" t="n">
        <v>207</v>
      </c>
      <c r="C212" s="29">
        <f>IF($B212&lt;=Inputs!$C$6+Inputs!$C$11,Cashflow_Asset!$E210-Cashflow_Asset!$K210,0)</f>
        <v/>
      </c>
      <c r="D212" s="29">
        <f>IF($B212&lt;=Inputs!$C$6+Inputs!$C$11,Cashflow_Asset!$F210+Cashflow_Asset!$G210+Cashflow_Asset!$I210,0)</f>
        <v/>
      </c>
      <c r="E212" s="29">
        <f>IF($B212&lt;=Inputs!$C$6+Inputs!$C$11,Cashflow_Asset!$J210,0)</f>
        <v/>
      </c>
      <c r="F212" s="23">
        <f>$G211</f>
        <v/>
      </c>
      <c r="G212" s="24">
        <f>(MAX(0,$F212-MAX(0,($M212+$S212)-$C212)))+MIN(MAX(0,$D$3-(MAX(0,$F212-MAX(0,($M212+$S212)-$C212)))),MAX(0,MAX(0,($C212+$F212)-$M212)-$S212))</f>
        <v/>
      </c>
      <c r="H212" s="23">
        <f>$J211</f>
        <v/>
      </c>
      <c r="I212" s="24">
        <f>MIN($E212,$H212)</f>
        <v/>
      </c>
      <c r="J212" s="24">
        <f>$H212-$I212</f>
        <v/>
      </c>
      <c r="K212" s="23">
        <f>$P211</f>
        <v/>
      </c>
      <c r="L212" s="24">
        <f>$K212*Inputs!$C$18/12</f>
        <v/>
      </c>
      <c r="M212" s="24">
        <f>MIN(($C212+$F212),$L212)</f>
        <v/>
      </c>
      <c r="N212" s="24">
        <f>MIN(($D212+$X212),MAX(0,$K212-$O212))</f>
        <v/>
      </c>
      <c r="O212" s="24">
        <f>MIN(MAX(0,MAX(0,$E212-$I212)-$U212),$K212)</f>
        <v/>
      </c>
      <c r="P212" s="24">
        <f>MAX(0,$K212-$O212)-$N212</f>
        <v/>
      </c>
      <c r="Q212" s="23">
        <f>$V211</f>
        <v/>
      </c>
      <c r="R212" s="24">
        <f>$Q212*Inputs!$C$19/12</f>
        <v/>
      </c>
      <c r="S212" s="24">
        <f>MIN(MAX(0,($C212+$F212)-$M212),$R212)</f>
        <v/>
      </c>
      <c r="T212" s="24">
        <f>MIN(MAX(0,($D212+$X212)-$N212),MAX(0,$Q212-$U212))</f>
        <v/>
      </c>
      <c r="U212" s="24">
        <f>MIN(MAX(0,$E212-$I212),$Q212)</f>
        <v/>
      </c>
      <c r="V212" s="24">
        <f>MAX(0,$Q212-$U212)-$T212</f>
        <v/>
      </c>
      <c r="W212" s="24">
        <f>MAX(0,MAX(0,($C212+$F212)-$M212)-$S212)-MIN(MAX(0,$D$3-(MAX(0,$F212-MAX(0,($M212+$S212)-$C212)))),MAX(0,MAX(0,($C212+$F212)-$M212)-$S212))</f>
        <v/>
      </c>
      <c r="X212" s="24">
        <f>IF(Inputs!$C$39=1,$W212,0)</f>
        <v/>
      </c>
      <c r="Y212" s="24">
        <f>IF(Inputs!$C$39=0,$W212,0)+MAX(0,MAX(0,($D212+$X212)-$N212)-$T212)</f>
        <v/>
      </c>
    </row>
    <row r="213">
      <c r="B213" s="22" t="n">
        <v>208</v>
      </c>
      <c r="C213" s="29">
        <f>IF($B213&lt;=Inputs!$C$6+Inputs!$C$11,Cashflow_Asset!$E211-Cashflow_Asset!$K211,0)</f>
        <v/>
      </c>
      <c r="D213" s="29">
        <f>IF($B213&lt;=Inputs!$C$6+Inputs!$C$11,Cashflow_Asset!$F211+Cashflow_Asset!$G211+Cashflow_Asset!$I211,0)</f>
        <v/>
      </c>
      <c r="E213" s="29">
        <f>IF($B213&lt;=Inputs!$C$6+Inputs!$C$11,Cashflow_Asset!$J211,0)</f>
        <v/>
      </c>
      <c r="F213" s="23">
        <f>$G212</f>
        <v/>
      </c>
      <c r="G213" s="24">
        <f>(MAX(0,$F213-MAX(0,($M213+$S213)-$C213)))+MIN(MAX(0,$D$3-(MAX(0,$F213-MAX(0,($M213+$S213)-$C213)))),MAX(0,MAX(0,($C213+$F213)-$M213)-$S213))</f>
        <v/>
      </c>
      <c r="H213" s="23">
        <f>$J212</f>
        <v/>
      </c>
      <c r="I213" s="24">
        <f>MIN($E213,$H213)</f>
        <v/>
      </c>
      <c r="J213" s="24">
        <f>$H213-$I213</f>
        <v/>
      </c>
      <c r="K213" s="23">
        <f>$P212</f>
        <v/>
      </c>
      <c r="L213" s="24">
        <f>$K213*Inputs!$C$18/12</f>
        <v/>
      </c>
      <c r="M213" s="24">
        <f>MIN(($C213+$F213),$L213)</f>
        <v/>
      </c>
      <c r="N213" s="24">
        <f>MIN(($D213+$X213),MAX(0,$K213-$O213))</f>
        <v/>
      </c>
      <c r="O213" s="24">
        <f>MIN(MAX(0,MAX(0,$E213-$I213)-$U213),$K213)</f>
        <v/>
      </c>
      <c r="P213" s="24">
        <f>MAX(0,$K213-$O213)-$N213</f>
        <v/>
      </c>
      <c r="Q213" s="23">
        <f>$V212</f>
        <v/>
      </c>
      <c r="R213" s="24">
        <f>$Q213*Inputs!$C$19/12</f>
        <v/>
      </c>
      <c r="S213" s="24">
        <f>MIN(MAX(0,($C213+$F213)-$M213),$R213)</f>
        <v/>
      </c>
      <c r="T213" s="24">
        <f>MIN(MAX(0,($D213+$X213)-$N213),MAX(0,$Q213-$U213))</f>
        <v/>
      </c>
      <c r="U213" s="24">
        <f>MIN(MAX(0,$E213-$I213),$Q213)</f>
        <v/>
      </c>
      <c r="V213" s="24">
        <f>MAX(0,$Q213-$U213)-$T213</f>
        <v/>
      </c>
      <c r="W213" s="24">
        <f>MAX(0,MAX(0,($C213+$F213)-$M213)-$S213)-MIN(MAX(0,$D$3-(MAX(0,$F213-MAX(0,($M213+$S213)-$C213)))),MAX(0,MAX(0,($C213+$F213)-$M213)-$S213))</f>
        <v/>
      </c>
      <c r="X213" s="24">
        <f>IF(Inputs!$C$39=1,$W213,0)</f>
        <v/>
      </c>
      <c r="Y213" s="24">
        <f>IF(Inputs!$C$39=0,$W213,0)+MAX(0,MAX(0,($D213+$X213)-$N213)-$T213)</f>
        <v/>
      </c>
    </row>
    <row r="214">
      <c r="B214" s="22" t="n">
        <v>209</v>
      </c>
      <c r="C214" s="29">
        <f>IF($B214&lt;=Inputs!$C$6+Inputs!$C$11,Cashflow_Asset!$E212-Cashflow_Asset!$K212,0)</f>
        <v/>
      </c>
      <c r="D214" s="29">
        <f>IF($B214&lt;=Inputs!$C$6+Inputs!$C$11,Cashflow_Asset!$F212+Cashflow_Asset!$G212+Cashflow_Asset!$I212,0)</f>
        <v/>
      </c>
      <c r="E214" s="29">
        <f>IF($B214&lt;=Inputs!$C$6+Inputs!$C$11,Cashflow_Asset!$J212,0)</f>
        <v/>
      </c>
      <c r="F214" s="23">
        <f>$G213</f>
        <v/>
      </c>
      <c r="G214" s="24">
        <f>(MAX(0,$F214-MAX(0,($M214+$S214)-$C214)))+MIN(MAX(0,$D$3-(MAX(0,$F214-MAX(0,($M214+$S214)-$C214)))),MAX(0,MAX(0,($C214+$F214)-$M214)-$S214))</f>
        <v/>
      </c>
      <c r="H214" s="23">
        <f>$J213</f>
        <v/>
      </c>
      <c r="I214" s="24">
        <f>MIN($E214,$H214)</f>
        <v/>
      </c>
      <c r="J214" s="24">
        <f>$H214-$I214</f>
        <v/>
      </c>
      <c r="K214" s="23">
        <f>$P213</f>
        <v/>
      </c>
      <c r="L214" s="24">
        <f>$K214*Inputs!$C$18/12</f>
        <v/>
      </c>
      <c r="M214" s="24">
        <f>MIN(($C214+$F214),$L214)</f>
        <v/>
      </c>
      <c r="N214" s="24">
        <f>MIN(($D214+$X214),MAX(0,$K214-$O214))</f>
        <v/>
      </c>
      <c r="O214" s="24">
        <f>MIN(MAX(0,MAX(0,$E214-$I214)-$U214),$K214)</f>
        <v/>
      </c>
      <c r="P214" s="24">
        <f>MAX(0,$K214-$O214)-$N214</f>
        <v/>
      </c>
      <c r="Q214" s="23">
        <f>$V213</f>
        <v/>
      </c>
      <c r="R214" s="24">
        <f>$Q214*Inputs!$C$19/12</f>
        <v/>
      </c>
      <c r="S214" s="24">
        <f>MIN(MAX(0,($C214+$F214)-$M214),$R214)</f>
        <v/>
      </c>
      <c r="T214" s="24">
        <f>MIN(MAX(0,($D214+$X214)-$N214),MAX(0,$Q214-$U214))</f>
        <v/>
      </c>
      <c r="U214" s="24">
        <f>MIN(MAX(0,$E214-$I214),$Q214)</f>
        <v/>
      </c>
      <c r="V214" s="24">
        <f>MAX(0,$Q214-$U214)-$T214</f>
        <v/>
      </c>
      <c r="W214" s="24">
        <f>MAX(0,MAX(0,($C214+$F214)-$M214)-$S214)-MIN(MAX(0,$D$3-(MAX(0,$F214-MAX(0,($M214+$S214)-$C214)))),MAX(0,MAX(0,($C214+$F214)-$M214)-$S214))</f>
        <v/>
      </c>
      <c r="X214" s="24">
        <f>IF(Inputs!$C$39=1,$W214,0)</f>
        <v/>
      </c>
      <c r="Y214" s="24">
        <f>IF(Inputs!$C$39=0,$W214,0)+MAX(0,MAX(0,($D214+$X214)-$N214)-$T214)</f>
        <v/>
      </c>
    </row>
    <row r="215">
      <c r="B215" s="22" t="n">
        <v>210</v>
      </c>
      <c r="C215" s="29">
        <f>IF($B215&lt;=Inputs!$C$6+Inputs!$C$11,Cashflow_Asset!$E213-Cashflow_Asset!$K213,0)</f>
        <v/>
      </c>
      <c r="D215" s="29">
        <f>IF($B215&lt;=Inputs!$C$6+Inputs!$C$11,Cashflow_Asset!$F213+Cashflow_Asset!$G213+Cashflow_Asset!$I213,0)</f>
        <v/>
      </c>
      <c r="E215" s="29">
        <f>IF($B215&lt;=Inputs!$C$6+Inputs!$C$11,Cashflow_Asset!$J213,0)</f>
        <v/>
      </c>
      <c r="F215" s="23">
        <f>$G214</f>
        <v/>
      </c>
      <c r="G215" s="24">
        <f>(MAX(0,$F215-MAX(0,($M215+$S215)-$C215)))+MIN(MAX(0,$D$3-(MAX(0,$F215-MAX(0,($M215+$S215)-$C215)))),MAX(0,MAX(0,($C215+$F215)-$M215)-$S215))</f>
        <v/>
      </c>
      <c r="H215" s="23">
        <f>$J214</f>
        <v/>
      </c>
      <c r="I215" s="24">
        <f>MIN($E215,$H215)</f>
        <v/>
      </c>
      <c r="J215" s="24">
        <f>$H215-$I215</f>
        <v/>
      </c>
      <c r="K215" s="23">
        <f>$P214</f>
        <v/>
      </c>
      <c r="L215" s="24">
        <f>$K215*Inputs!$C$18/12</f>
        <v/>
      </c>
      <c r="M215" s="24">
        <f>MIN(($C215+$F215),$L215)</f>
        <v/>
      </c>
      <c r="N215" s="24">
        <f>MIN(($D215+$X215),MAX(0,$K215-$O215))</f>
        <v/>
      </c>
      <c r="O215" s="24">
        <f>MIN(MAX(0,MAX(0,$E215-$I215)-$U215),$K215)</f>
        <v/>
      </c>
      <c r="P215" s="24">
        <f>MAX(0,$K215-$O215)-$N215</f>
        <v/>
      </c>
      <c r="Q215" s="23">
        <f>$V214</f>
        <v/>
      </c>
      <c r="R215" s="24">
        <f>$Q215*Inputs!$C$19/12</f>
        <v/>
      </c>
      <c r="S215" s="24">
        <f>MIN(MAX(0,($C215+$F215)-$M215),$R215)</f>
        <v/>
      </c>
      <c r="T215" s="24">
        <f>MIN(MAX(0,($D215+$X215)-$N215),MAX(0,$Q215-$U215))</f>
        <v/>
      </c>
      <c r="U215" s="24">
        <f>MIN(MAX(0,$E215-$I215),$Q215)</f>
        <v/>
      </c>
      <c r="V215" s="24">
        <f>MAX(0,$Q215-$U215)-$T215</f>
        <v/>
      </c>
      <c r="W215" s="24">
        <f>MAX(0,MAX(0,($C215+$F215)-$M215)-$S215)-MIN(MAX(0,$D$3-(MAX(0,$F215-MAX(0,($M215+$S215)-$C215)))),MAX(0,MAX(0,($C215+$F215)-$M215)-$S215))</f>
        <v/>
      </c>
      <c r="X215" s="24">
        <f>IF(Inputs!$C$39=1,$W215,0)</f>
        <v/>
      </c>
      <c r="Y215" s="24">
        <f>IF(Inputs!$C$39=0,$W215,0)+MAX(0,MAX(0,($D215+$X215)-$N215)-$T215)</f>
        <v/>
      </c>
    </row>
    <row r="216">
      <c r="B216" s="22" t="n">
        <v>211</v>
      </c>
      <c r="C216" s="29">
        <f>IF($B216&lt;=Inputs!$C$6+Inputs!$C$11,Cashflow_Asset!$E214-Cashflow_Asset!$K214,0)</f>
        <v/>
      </c>
      <c r="D216" s="29">
        <f>IF($B216&lt;=Inputs!$C$6+Inputs!$C$11,Cashflow_Asset!$F214+Cashflow_Asset!$G214+Cashflow_Asset!$I214,0)</f>
        <v/>
      </c>
      <c r="E216" s="29">
        <f>IF($B216&lt;=Inputs!$C$6+Inputs!$C$11,Cashflow_Asset!$J214,0)</f>
        <v/>
      </c>
      <c r="F216" s="23">
        <f>$G215</f>
        <v/>
      </c>
      <c r="G216" s="24">
        <f>(MAX(0,$F216-MAX(0,($M216+$S216)-$C216)))+MIN(MAX(0,$D$3-(MAX(0,$F216-MAX(0,($M216+$S216)-$C216)))),MAX(0,MAX(0,($C216+$F216)-$M216)-$S216))</f>
        <v/>
      </c>
      <c r="H216" s="23">
        <f>$J215</f>
        <v/>
      </c>
      <c r="I216" s="24">
        <f>MIN($E216,$H216)</f>
        <v/>
      </c>
      <c r="J216" s="24">
        <f>$H216-$I216</f>
        <v/>
      </c>
      <c r="K216" s="23">
        <f>$P215</f>
        <v/>
      </c>
      <c r="L216" s="24">
        <f>$K216*Inputs!$C$18/12</f>
        <v/>
      </c>
      <c r="M216" s="24">
        <f>MIN(($C216+$F216),$L216)</f>
        <v/>
      </c>
      <c r="N216" s="24">
        <f>MIN(($D216+$X216),MAX(0,$K216-$O216))</f>
        <v/>
      </c>
      <c r="O216" s="24">
        <f>MIN(MAX(0,MAX(0,$E216-$I216)-$U216),$K216)</f>
        <v/>
      </c>
      <c r="P216" s="24">
        <f>MAX(0,$K216-$O216)-$N216</f>
        <v/>
      </c>
      <c r="Q216" s="23">
        <f>$V215</f>
        <v/>
      </c>
      <c r="R216" s="24">
        <f>$Q216*Inputs!$C$19/12</f>
        <v/>
      </c>
      <c r="S216" s="24">
        <f>MIN(MAX(0,($C216+$F216)-$M216),$R216)</f>
        <v/>
      </c>
      <c r="T216" s="24">
        <f>MIN(MAX(0,($D216+$X216)-$N216),MAX(0,$Q216-$U216))</f>
        <v/>
      </c>
      <c r="U216" s="24">
        <f>MIN(MAX(0,$E216-$I216),$Q216)</f>
        <v/>
      </c>
      <c r="V216" s="24">
        <f>MAX(0,$Q216-$U216)-$T216</f>
        <v/>
      </c>
      <c r="W216" s="24">
        <f>MAX(0,MAX(0,($C216+$F216)-$M216)-$S216)-MIN(MAX(0,$D$3-(MAX(0,$F216-MAX(0,($M216+$S216)-$C216)))),MAX(0,MAX(0,($C216+$F216)-$M216)-$S216))</f>
        <v/>
      </c>
      <c r="X216" s="24">
        <f>IF(Inputs!$C$39=1,$W216,0)</f>
        <v/>
      </c>
      <c r="Y216" s="24">
        <f>IF(Inputs!$C$39=0,$W216,0)+MAX(0,MAX(0,($D216+$X216)-$N216)-$T216)</f>
        <v/>
      </c>
    </row>
    <row r="217">
      <c r="B217" s="22" t="n">
        <v>212</v>
      </c>
      <c r="C217" s="29">
        <f>IF($B217&lt;=Inputs!$C$6+Inputs!$C$11,Cashflow_Asset!$E215-Cashflow_Asset!$K215,0)</f>
        <v/>
      </c>
      <c r="D217" s="29">
        <f>IF($B217&lt;=Inputs!$C$6+Inputs!$C$11,Cashflow_Asset!$F215+Cashflow_Asset!$G215+Cashflow_Asset!$I215,0)</f>
        <v/>
      </c>
      <c r="E217" s="29">
        <f>IF($B217&lt;=Inputs!$C$6+Inputs!$C$11,Cashflow_Asset!$J215,0)</f>
        <v/>
      </c>
      <c r="F217" s="23">
        <f>$G216</f>
        <v/>
      </c>
      <c r="G217" s="24">
        <f>(MAX(0,$F217-MAX(0,($M217+$S217)-$C217)))+MIN(MAX(0,$D$3-(MAX(0,$F217-MAX(0,($M217+$S217)-$C217)))),MAX(0,MAX(0,($C217+$F217)-$M217)-$S217))</f>
        <v/>
      </c>
      <c r="H217" s="23">
        <f>$J216</f>
        <v/>
      </c>
      <c r="I217" s="24">
        <f>MIN($E217,$H217)</f>
        <v/>
      </c>
      <c r="J217" s="24">
        <f>$H217-$I217</f>
        <v/>
      </c>
      <c r="K217" s="23">
        <f>$P216</f>
        <v/>
      </c>
      <c r="L217" s="24">
        <f>$K217*Inputs!$C$18/12</f>
        <v/>
      </c>
      <c r="M217" s="24">
        <f>MIN(($C217+$F217),$L217)</f>
        <v/>
      </c>
      <c r="N217" s="24">
        <f>MIN(($D217+$X217),MAX(0,$K217-$O217))</f>
        <v/>
      </c>
      <c r="O217" s="24">
        <f>MIN(MAX(0,MAX(0,$E217-$I217)-$U217),$K217)</f>
        <v/>
      </c>
      <c r="P217" s="24">
        <f>MAX(0,$K217-$O217)-$N217</f>
        <v/>
      </c>
      <c r="Q217" s="23">
        <f>$V216</f>
        <v/>
      </c>
      <c r="R217" s="24">
        <f>$Q217*Inputs!$C$19/12</f>
        <v/>
      </c>
      <c r="S217" s="24">
        <f>MIN(MAX(0,($C217+$F217)-$M217),$R217)</f>
        <v/>
      </c>
      <c r="T217" s="24">
        <f>MIN(MAX(0,($D217+$X217)-$N217),MAX(0,$Q217-$U217))</f>
        <v/>
      </c>
      <c r="U217" s="24">
        <f>MIN(MAX(0,$E217-$I217),$Q217)</f>
        <v/>
      </c>
      <c r="V217" s="24">
        <f>MAX(0,$Q217-$U217)-$T217</f>
        <v/>
      </c>
      <c r="W217" s="24">
        <f>MAX(0,MAX(0,($C217+$F217)-$M217)-$S217)-MIN(MAX(0,$D$3-(MAX(0,$F217-MAX(0,($M217+$S217)-$C217)))),MAX(0,MAX(0,($C217+$F217)-$M217)-$S217))</f>
        <v/>
      </c>
      <c r="X217" s="24">
        <f>IF(Inputs!$C$39=1,$W217,0)</f>
        <v/>
      </c>
      <c r="Y217" s="24">
        <f>IF(Inputs!$C$39=0,$W217,0)+MAX(0,MAX(0,($D217+$X217)-$N217)-$T217)</f>
        <v/>
      </c>
    </row>
    <row r="218">
      <c r="B218" s="22" t="n">
        <v>213</v>
      </c>
      <c r="C218" s="29">
        <f>IF($B218&lt;=Inputs!$C$6+Inputs!$C$11,Cashflow_Asset!$E216-Cashflow_Asset!$K216,0)</f>
        <v/>
      </c>
      <c r="D218" s="29">
        <f>IF($B218&lt;=Inputs!$C$6+Inputs!$C$11,Cashflow_Asset!$F216+Cashflow_Asset!$G216+Cashflow_Asset!$I216,0)</f>
        <v/>
      </c>
      <c r="E218" s="29">
        <f>IF($B218&lt;=Inputs!$C$6+Inputs!$C$11,Cashflow_Asset!$J216,0)</f>
        <v/>
      </c>
      <c r="F218" s="23">
        <f>$G217</f>
        <v/>
      </c>
      <c r="G218" s="24">
        <f>(MAX(0,$F218-MAX(0,($M218+$S218)-$C218)))+MIN(MAX(0,$D$3-(MAX(0,$F218-MAX(0,($M218+$S218)-$C218)))),MAX(0,MAX(0,($C218+$F218)-$M218)-$S218))</f>
        <v/>
      </c>
      <c r="H218" s="23">
        <f>$J217</f>
        <v/>
      </c>
      <c r="I218" s="24">
        <f>MIN($E218,$H218)</f>
        <v/>
      </c>
      <c r="J218" s="24">
        <f>$H218-$I218</f>
        <v/>
      </c>
      <c r="K218" s="23">
        <f>$P217</f>
        <v/>
      </c>
      <c r="L218" s="24">
        <f>$K218*Inputs!$C$18/12</f>
        <v/>
      </c>
      <c r="M218" s="24">
        <f>MIN(($C218+$F218),$L218)</f>
        <v/>
      </c>
      <c r="N218" s="24">
        <f>MIN(($D218+$X218),MAX(0,$K218-$O218))</f>
        <v/>
      </c>
      <c r="O218" s="24">
        <f>MIN(MAX(0,MAX(0,$E218-$I218)-$U218),$K218)</f>
        <v/>
      </c>
      <c r="P218" s="24">
        <f>MAX(0,$K218-$O218)-$N218</f>
        <v/>
      </c>
      <c r="Q218" s="23">
        <f>$V217</f>
        <v/>
      </c>
      <c r="R218" s="24">
        <f>$Q218*Inputs!$C$19/12</f>
        <v/>
      </c>
      <c r="S218" s="24">
        <f>MIN(MAX(0,($C218+$F218)-$M218),$R218)</f>
        <v/>
      </c>
      <c r="T218" s="24">
        <f>MIN(MAX(0,($D218+$X218)-$N218),MAX(0,$Q218-$U218))</f>
        <v/>
      </c>
      <c r="U218" s="24">
        <f>MIN(MAX(0,$E218-$I218),$Q218)</f>
        <v/>
      </c>
      <c r="V218" s="24">
        <f>MAX(0,$Q218-$U218)-$T218</f>
        <v/>
      </c>
      <c r="W218" s="24">
        <f>MAX(0,MAX(0,($C218+$F218)-$M218)-$S218)-MIN(MAX(0,$D$3-(MAX(0,$F218-MAX(0,($M218+$S218)-$C218)))),MAX(0,MAX(0,($C218+$F218)-$M218)-$S218))</f>
        <v/>
      </c>
      <c r="X218" s="24">
        <f>IF(Inputs!$C$39=1,$W218,0)</f>
        <v/>
      </c>
      <c r="Y218" s="24">
        <f>IF(Inputs!$C$39=0,$W218,0)+MAX(0,MAX(0,($D218+$X218)-$N218)-$T218)</f>
        <v/>
      </c>
    </row>
    <row r="219">
      <c r="B219" s="22" t="n">
        <v>214</v>
      </c>
      <c r="C219" s="29">
        <f>IF($B219&lt;=Inputs!$C$6+Inputs!$C$11,Cashflow_Asset!$E217-Cashflow_Asset!$K217,0)</f>
        <v/>
      </c>
      <c r="D219" s="29">
        <f>IF($B219&lt;=Inputs!$C$6+Inputs!$C$11,Cashflow_Asset!$F217+Cashflow_Asset!$G217+Cashflow_Asset!$I217,0)</f>
        <v/>
      </c>
      <c r="E219" s="29">
        <f>IF($B219&lt;=Inputs!$C$6+Inputs!$C$11,Cashflow_Asset!$J217,0)</f>
        <v/>
      </c>
      <c r="F219" s="23">
        <f>$G218</f>
        <v/>
      </c>
      <c r="G219" s="24">
        <f>(MAX(0,$F219-MAX(0,($M219+$S219)-$C219)))+MIN(MAX(0,$D$3-(MAX(0,$F219-MAX(0,($M219+$S219)-$C219)))),MAX(0,MAX(0,($C219+$F219)-$M219)-$S219))</f>
        <v/>
      </c>
      <c r="H219" s="23">
        <f>$J218</f>
        <v/>
      </c>
      <c r="I219" s="24">
        <f>MIN($E219,$H219)</f>
        <v/>
      </c>
      <c r="J219" s="24">
        <f>$H219-$I219</f>
        <v/>
      </c>
      <c r="K219" s="23">
        <f>$P218</f>
        <v/>
      </c>
      <c r="L219" s="24">
        <f>$K219*Inputs!$C$18/12</f>
        <v/>
      </c>
      <c r="M219" s="24">
        <f>MIN(($C219+$F219),$L219)</f>
        <v/>
      </c>
      <c r="N219" s="24">
        <f>MIN(($D219+$X219),MAX(0,$K219-$O219))</f>
        <v/>
      </c>
      <c r="O219" s="24">
        <f>MIN(MAX(0,MAX(0,$E219-$I219)-$U219),$K219)</f>
        <v/>
      </c>
      <c r="P219" s="24">
        <f>MAX(0,$K219-$O219)-$N219</f>
        <v/>
      </c>
      <c r="Q219" s="23">
        <f>$V218</f>
        <v/>
      </c>
      <c r="R219" s="24">
        <f>$Q219*Inputs!$C$19/12</f>
        <v/>
      </c>
      <c r="S219" s="24">
        <f>MIN(MAX(0,($C219+$F219)-$M219),$R219)</f>
        <v/>
      </c>
      <c r="T219" s="24">
        <f>MIN(MAX(0,($D219+$X219)-$N219),MAX(0,$Q219-$U219))</f>
        <v/>
      </c>
      <c r="U219" s="24">
        <f>MIN(MAX(0,$E219-$I219),$Q219)</f>
        <v/>
      </c>
      <c r="V219" s="24">
        <f>MAX(0,$Q219-$U219)-$T219</f>
        <v/>
      </c>
      <c r="W219" s="24">
        <f>MAX(0,MAX(0,($C219+$F219)-$M219)-$S219)-MIN(MAX(0,$D$3-(MAX(0,$F219-MAX(0,($M219+$S219)-$C219)))),MAX(0,MAX(0,($C219+$F219)-$M219)-$S219))</f>
        <v/>
      </c>
      <c r="X219" s="24">
        <f>IF(Inputs!$C$39=1,$W219,0)</f>
        <v/>
      </c>
      <c r="Y219" s="24">
        <f>IF(Inputs!$C$39=0,$W219,0)+MAX(0,MAX(0,($D219+$X219)-$N219)-$T219)</f>
        <v/>
      </c>
    </row>
    <row r="220">
      <c r="B220" s="22" t="n">
        <v>215</v>
      </c>
      <c r="C220" s="29">
        <f>IF($B220&lt;=Inputs!$C$6+Inputs!$C$11,Cashflow_Asset!$E218-Cashflow_Asset!$K218,0)</f>
        <v/>
      </c>
      <c r="D220" s="29">
        <f>IF($B220&lt;=Inputs!$C$6+Inputs!$C$11,Cashflow_Asset!$F218+Cashflow_Asset!$G218+Cashflow_Asset!$I218,0)</f>
        <v/>
      </c>
      <c r="E220" s="29">
        <f>IF($B220&lt;=Inputs!$C$6+Inputs!$C$11,Cashflow_Asset!$J218,0)</f>
        <v/>
      </c>
      <c r="F220" s="23">
        <f>$G219</f>
        <v/>
      </c>
      <c r="G220" s="24">
        <f>(MAX(0,$F220-MAX(0,($M220+$S220)-$C220)))+MIN(MAX(0,$D$3-(MAX(0,$F220-MAX(0,($M220+$S220)-$C220)))),MAX(0,MAX(0,($C220+$F220)-$M220)-$S220))</f>
        <v/>
      </c>
      <c r="H220" s="23">
        <f>$J219</f>
        <v/>
      </c>
      <c r="I220" s="24">
        <f>MIN($E220,$H220)</f>
        <v/>
      </c>
      <c r="J220" s="24">
        <f>$H220-$I220</f>
        <v/>
      </c>
      <c r="K220" s="23">
        <f>$P219</f>
        <v/>
      </c>
      <c r="L220" s="24">
        <f>$K220*Inputs!$C$18/12</f>
        <v/>
      </c>
      <c r="M220" s="24">
        <f>MIN(($C220+$F220),$L220)</f>
        <v/>
      </c>
      <c r="N220" s="24">
        <f>MIN(($D220+$X220),MAX(0,$K220-$O220))</f>
        <v/>
      </c>
      <c r="O220" s="24">
        <f>MIN(MAX(0,MAX(0,$E220-$I220)-$U220),$K220)</f>
        <v/>
      </c>
      <c r="P220" s="24">
        <f>MAX(0,$K220-$O220)-$N220</f>
        <v/>
      </c>
      <c r="Q220" s="23">
        <f>$V219</f>
        <v/>
      </c>
      <c r="R220" s="24">
        <f>$Q220*Inputs!$C$19/12</f>
        <v/>
      </c>
      <c r="S220" s="24">
        <f>MIN(MAX(0,($C220+$F220)-$M220),$R220)</f>
        <v/>
      </c>
      <c r="T220" s="24">
        <f>MIN(MAX(0,($D220+$X220)-$N220),MAX(0,$Q220-$U220))</f>
        <v/>
      </c>
      <c r="U220" s="24">
        <f>MIN(MAX(0,$E220-$I220),$Q220)</f>
        <v/>
      </c>
      <c r="V220" s="24">
        <f>MAX(0,$Q220-$U220)-$T220</f>
        <v/>
      </c>
      <c r="W220" s="24">
        <f>MAX(0,MAX(0,($C220+$F220)-$M220)-$S220)-MIN(MAX(0,$D$3-(MAX(0,$F220-MAX(0,($M220+$S220)-$C220)))),MAX(0,MAX(0,($C220+$F220)-$M220)-$S220))</f>
        <v/>
      </c>
      <c r="X220" s="24">
        <f>IF(Inputs!$C$39=1,$W220,0)</f>
        <v/>
      </c>
      <c r="Y220" s="24">
        <f>IF(Inputs!$C$39=0,$W220,0)+MAX(0,MAX(0,($D220+$X220)-$N220)-$T220)</f>
        <v/>
      </c>
    </row>
    <row r="221">
      <c r="B221" s="22" t="n">
        <v>216</v>
      </c>
      <c r="C221" s="29">
        <f>IF($B221&lt;=Inputs!$C$6+Inputs!$C$11,Cashflow_Asset!$E219-Cashflow_Asset!$K219,0)</f>
        <v/>
      </c>
      <c r="D221" s="29">
        <f>IF($B221&lt;=Inputs!$C$6+Inputs!$C$11,Cashflow_Asset!$F219+Cashflow_Asset!$G219+Cashflow_Asset!$I219,0)</f>
        <v/>
      </c>
      <c r="E221" s="29">
        <f>IF($B221&lt;=Inputs!$C$6+Inputs!$C$11,Cashflow_Asset!$J219,0)</f>
        <v/>
      </c>
      <c r="F221" s="23">
        <f>$G220</f>
        <v/>
      </c>
      <c r="G221" s="24">
        <f>(MAX(0,$F221-MAX(0,($M221+$S221)-$C221)))+MIN(MAX(0,$D$3-(MAX(0,$F221-MAX(0,($M221+$S221)-$C221)))),MAX(0,MAX(0,($C221+$F221)-$M221)-$S221))</f>
        <v/>
      </c>
      <c r="H221" s="23">
        <f>$J220</f>
        <v/>
      </c>
      <c r="I221" s="24">
        <f>MIN($E221,$H221)</f>
        <v/>
      </c>
      <c r="J221" s="24">
        <f>$H221-$I221</f>
        <v/>
      </c>
      <c r="K221" s="23">
        <f>$P220</f>
        <v/>
      </c>
      <c r="L221" s="24">
        <f>$K221*Inputs!$C$18/12</f>
        <v/>
      </c>
      <c r="M221" s="24">
        <f>MIN(($C221+$F221),$L221)</f>
        <v/>
      </c>
      <c r="N221" s="24">
        <f>MIN(($D221+$X221),MAX(0,$K221-$O221))</f>
        <v/>
      </c>
      <c r="O221" s="24">
        <f>MIN(MAX(0,MAX(0,$E221-$I221)-$U221),$K221)</f>
        <v/>
      </c>
      <c r="P221" s="24">
        <f>MAX(0,$K221-$O221)-$N221</f>
        <v/>
      </c>
      <c r="Q221" s="23">
        <f>$V220</f>
        <v/>
      </c>
      <c r="R221" s="24">
        <f>$Q221*Inputs!$C$19/12</f>
        <v/>
      </c>
      <c r="S221" s="24">
        <f>MIN(MAX(0,($C221+$F221)-$M221),$R221)</f>
        <v/>
      </c>
      <c r="T221" s="24">
        <f>MIN(MAX(0,($D221+$X221)-$N221),MAX(0,$Q221-$U221))</f>
        <v/>
      </c>
      <c r="U221" s="24">
        <f>MIN(MAX(0,$E221-$I221),$Q221)</f>
        <v/>
      </c>
      <c r="V221" s="24">
        <f>MAX(0,$Q221-$U221)-$T221</f>
        <v/>
      </c>
      <c r="W221" s="24">
        <f>MAX(0,MAX(0,($C221+$F221)-$M221)-$S221)-MIN(MAX(0,$D$3-(MAX(0,$F221-MAX(0,($M221+$S221)-$C221)))),MAX(0,MAX(0,($C221+$F221)-$M221)-$S221))</f>
        <v/>
      </c>
      <c r="X221" s="24">
        <f>IF(Inputs!$C$39=1,$W221,0)</f>
        <v/>
      </c>
      <c r="Y221" s="24">
        <f>IF(Inputs!$C$39=0,$W221,0)+MAX(0,MAX(0,($D221+$X221)-$N221)-$T221)</f>
        <v/>
      </c>
    </row>
    <row r="222">
      <c r="B222" s="22" t="n">
        <v>217</v>
      </c>
      <c r="C222" s="29">
        <f>IF($B222&lt;=Inputs!$C$6+Inputs!$C$11,Cashflow_Asset!$E220-Cashflow_Asset!$K220,0)</f>
        <v/>
      </c>
      <c r="D222" s="29">
        <f>IF($B222&lt;=Inputs!$C$6+Inputs!$C$11,Cashflow_Asset!$F220+Cashflow_Asset!$G220+Cashflow_Asset!$I220,0)</f>
        <v/>
      </c>
      <c r="E222" s="29">
        <f>IF($B222&lt;=Inputs!$C$6+Inputs!$C$11,Cashflow_Asset!$J220,0)</f>
        <v/>
      </c>
      <c r="F222" s="23">
        <f>$G221</f>
        <v/>
      </c>
      <c r="G222" s="24">
        <f>(MAX(0,$F222-MAX(0,($M222+$S222)-$C222)))+MIN(MAX(0,$D$3-(MAX(0,$F222-MAX(0,($M222+$S222)-$C222)))),MAX(0,MAX(0,($C222+$F222)-$M222)-$S222))</f>
        <v/>
      </c>
      <c r="H222" s="23">
        <f>$J221</f>
        <v/>
      </c>
      <c r="I222" s="24">
        <f>MIN($E222,$H222)</f>
        <v/>
      </c>
      <c r="J222" s="24">
        <f>$H222-$I222</f>
        <v/>
      </c>
      <c r="K222" s="23">
        <f>$P221</f>
        <v/>
      </c>
      <c r="L222" s="24">
        <f>$K222*Inputs!$C$18/12</f>
        <v/>
      </c>
      <c r="M222" s="24">
        <f>MIN(($C222+$F222),$L222)</f>
        <v/>
      </c>
      <c r="N222" s="24">
        <f>MIN(($D222+$X222),MAX(0,$K222-$O222))</f>
        <v/>
      </c>
      <c r="O222" s="24">
        <f>MIN(MAX(0,MAX(0,$E222-$I222)-$U222),$K222)</f>
        <v/>
      </c>
      <c r="P222" s="24">
        <f>MAX(0,$K222-$O222)-$N222</f>
        <v/>
      </c>
      <c r="Q222" s="23">
        <f>$V221</f>
        <v/>
      </c>
      <c r="R222" s="24">
        <f>$Q222*Inputs!$C$19/12</f>
        <v/>
      </c>
      <c r="S222" s="24">
        <f>MIN(MAX(0,($C222+$F222)-$M222),$R222)</f>
        <v/>
      </c>
      <c r="T222" s="24">
        <f>MIN(MAX(0,($D222+$X222)-$N222),MAX(0,$Q222-$U222))</f>
        <v/>
      </c>
      <c r="U222" s="24">
        <f>MIN(MAX(0,$E222-$I222),$Q222)</f>
        <v/>
      </c>
      <c r="V222" s="24">
        <f>MAX(0,$Q222-$U222)-$T222</f>
        <v/>
      </c>
      <c r="W222" s="24">
        <f>MAX(0,MAX(0,($C222+$F222)-$M222)-$S222)-MIN(MAX(0,$D$3-(MAX(0,$F222-MAX(0,($M222+$S222)-$C222)))),MAX(0,MAX(0,($C222+$F222)-$M222)-$S222))</f>
        <v/>
      </c>
      <c r="X222" s="24">
        <f>IF(Inputs!$C$39=1,$W222,0)</f>
        <v/>
      </c>
      <c r="Y222" s="24">
        <f>IF(Inputs!$C$39=0,$W222,0)+MAX(0,MAX(0,($D222+$X222)-$N222)-$T222)</f>
        <v/>
      </c>
    </row>
    <row r="223">
      <c r="B223" s="22" t="n">
        <v>218</v>
      </c>
      <c r="C223" s="29">
        <f>IF($B223&lt;=Inputs!$C$6+Inputs!$C$11,Cashflow_Asset!$E221-Cashflow_Asset!$K221,0)</f>
        <v/>
      </c>
      <c r="D223" s="29">
        <f>IF($B223&lt;=Inputs!$C$6+Inputs!$C$11,Cashflow_Asset!$F221+Cashflow_Asset!$G221+Cashflow_Asset!$I221,0)</f>
        <v/>
      </c>
      <c r="E223" s="29">
        <f>IF($B223&lt;=Inputs!$C$6+Inputs!$C$11,Cashflow_Asset!$J221,0)</f>
        <v/>
      </c>
      <c r="F223" s="23">
        <f>$G222</f>
        <v/>
      </c>
      <c r="G223" s="24">
        <f>(MAX(0,$F223-MAX(0,($M223+$S223)-$C223)))+MIN(MAX(0,$D$3-(MAX(0,$F223-MAX(0,($M223+$S223)-$C223)))),MAX(0,MAX(0,($C223+$F223)-$M223)-$S223))</f>
        <v/>
      </c>
      <c r="H223" s="23">
        <f>$J222</f>
        <v/>
      </c>
      <c r="I223" s="24">
        <f>MIN($E223,$H223)</f>
        <v/>
      </c>
      <c r="J223" s="24">
        <f>$H223-$I223</f>
        <v/>
      </c>
      <c r="K223" s="23">
        <f>$P222</f>
        <v/>
      </c>
      <c r="L223" s="24">
        <f>$K223*Inputs!$C$18/12</f>
        <v/>
      </c>
      <c r="M223" s="24">
        <f>MIN(($C223+$F223),$L223)</f>
        <v/>
      </c>
      <c r="N223" s="24">
        <f>MIN(($D223+$X223),MAX(0,$K223-$O223))</f>
        <v/>
      </c>
      <c r="O223" s="24">
        <f>MIN(MAX(0,MAX(0,$E223-$I223)-$U223),$K223)</f>
        <v/>
      </c>
      <c r="P223" s="24">
        <f>MAX(0,$K223-$O223)-$N223</f>
        <v/>
      </c>
      <c r="Q223" s="23">
        <f>$V222</f>
        <v/>
      </c>
      <c r="R223" s="24">
        <f>$Q223*Inputs!$C$19/12</f>
        <v/>
      </c>
      <c r="S223" s="24">
        <f>MIN(MAX(0,($C223+$F223)-$M223),$R223)</f>
        <v/>
      </c>
      <c r="T223" s="24">
        <f>MIN(MAX(0,($D223+$X223)-$N223),MAX(0,$Q223-$U223))</f>
        <v/>
      </c>
      <c r="U223" s="24">
        <f>MIN(MAX(0,$E223-$I223),$Q223)</f>
        <v/>
      </c>
      <c r="V223" s="24">
        <f>MAX(0,$Q223-$U223)-$T223</f>
        <v/>
      </c>
      <c r="W223" s="24">
        <f>MAX(0,MAX(0,($C223+$F223)-$M223)-$S223)-MIN(MAX(0,$D$3-(MAX(0,$F223-MAX(0,($M223+$S223)-$C223)))),MAX(0,MAX(0,($C223+$F223)-$M223)-$S223))</f>
        <v/>
      </c>
      <c r="X223" s="24">
        <f>IF(Inputs!$C$39=1,$W223,0)</f>
        <v/>
      </c>
      <c r="Y223" s="24">
        <f>IF(Inputs!$C$39=0,$W223,0)+MAX(0,MAX(0,($D223+$X223)-$N223)-$T223)</f>
        <v/>
      </c>
    </row>
    <row r="224">
      <c r="B224" s="22" t="n">
        <v>219</v>
      </c>
      <c r="C224" s="29">
        <f>IF($B224&lt;=Inputs!$C$6+Inputs!$C$11,Cashflow_Asset!$E222-Cashflow_Asset!$K222,0)</f>
        <v/>
      </c>
      <c r="D224" s="29">
        <f>IF($B224&lt;=Inputs!$C$6+Inputs!$C$11,Cashflow_Asset!$F222+Cashflow_Asset!$G222+Cashflow_Asset!$I222,0)</f>
        <v/>
      </c>
      <c r="E224" s="29">
        <f>IF($B224&lt;=Inputs!$C$6+Inputs!$C$11,Cashflow_Asset!$J222,0)</f>
        <v/>
      </c>
      <c r="F224" s="23">
        <f>$G223</f>
        <v/>
      </c>
      <c r="G224" s="24">
        <f>(MAX(0,$F224-MAX(0,($M224+$S224)-$C224)))+MIN(MAX(0,$D$3-(MAX(0,$F224-MAX(0,($M224+$S224)-$C224)))),MAX(0,MAX(0,($C224+$F224)-$M224)-$S224))</f>
        <v/>
      </c>
      <c r="H224" s="23">
        <f>$J223</f>
        <v/>
      </c>
      <c r="I224" s="24">
        <f>MIN($E224,$H224)</f>
        <v/>
      </c>
      <c r="J224" s="24">
        <f>$H224-$I224</f>
        <v/>
      </c>
      <c r="K224" s="23">
        <f>$P223</f>
        <v/>
      </c>
      <c r="L224" s="24">
        <f>$K224*Inputs!$C$18/12</f>
        <v/>
      </c>
      <c r="M224" s="24">
        <f>MIN(($C224+$F224),$L224)</f>
        <v/>
      </c>
      <c r="N224" s="24">
        <f>MIN(($D224+$X224),MAX(0,$K224-$O224))</f>
        <v/>
      </c>
      <c r="O224" s="24">
        <f>MIN(MAX(0,MAX(0,$E224-$I224)-$U224),$K224)</f>
        <v/>
      </c>
      <c r="P224" s="24">
        <f>MAX(0,$K224-$O224)-$N224</f>
        <v/>
      </c>
      <c r="Q224" s="23">
        <f>$V223</f>
        <v/>
      </c>
      <c r="R224" s="24">
        <f>$Q224*Inputs!$C$19/12</f>
        <v/>
      </c>
      <c r="S224" s="24">
        <f>MIN(MAX(0,($C224+$F224)-$M224),$R224)</f>
        <v/>
      </c>
      <c r="T224" s="24">
        <f>MIN(MAX(0,($D224+$X224)-$N224),MAX(0,$Q224-$U224))</f>
        <v/>
      </c>
      <c r="U224" s="24">
        <f>MIN(MAX(0,$E224-$I224),$Q224)</f>
        <v/>
      </c>
      <c r="V224" s="24">
        <f>MAX(0,$Q224-$U224)-$T224</f>
        <v/>
      </c>
      <c r="W224" s="24">
        <f>MAX(0,MAX(0,($C224+$F224)-$M224)-$S224)-MIN(MAX(0,$D$3-(MAX(0,$F224-MAX(0,($M224+$S224)-$C224)))),MAX(0,MAX(0,($C224+$F224)-$M224)-$S224))</f>
        <v/>
      </c>
      <c r="X224" s="24">
        <f>IF(Inputs!$C$39=1,$W224,0)</f>
        <v/>
      </c>
      <c r="Y224" s="24">
        <f>IF(Inputs!$C$39=0,$W224,0)+MAX(0,MAX(0,($D224+$X224)-$N224)-$T224)</f>
        <v/>
      </c>
    </row>
    <row r="225">
      <c r="B225" s="22" t="n">
        <v>220</v>
      </c>
      <c r="C225" s="29">
        <f>IF($B225&lt;=Inputs!$C$6+Inputs!$C$11,Cashflow_Asset!$E223-Cashflow_Asset!$K223,0)</f>
        <v/>
      </c>
      <c r="D225" s="29">
        <f>IF($B225&lt;=Inputs!$C$6+Inputs!$C$11,Cashflow_Asset!$F223+Cashflow_Asset!$G223+Cashflow_Asset!$I223,0)</f>
        <v/>
      </c>
      <c r="E225" s="29">
        <f>IF($B225&lt;=Inputs!$C$6+Inputs!$C$11,Cashflow_Asset!$J223,0)</f>
        <v/>
      </c>
      <c r="F225" s="23">
        <f>$G224</f>
        <v/>
      </c>
      <c r="G225" s="24">
        <f>(MAX(0,$F225-MAX(0,($M225+$S225)-$C225)))+MIN(MAX(0,$D$3-(MAX(0,$F225-MAX(0,($M225+$S225)-$C225)))),MAX(0,MAX(0,($C225+$F225)-$M225)-$S225))</f>
        <v/>
      </c>
      <c r="H225" s="23">
        <f>$J224</f>
        <v/>
      </c>
      <c r="I225" s="24">
        <f>MIN($E225,$H225)</f>
        <v/>
      </c>
      <c r="J225" s="24">
        <f>$H225-$I225</f>
        <v/>
      </c>
      <c r="K225" s="23">
        <f>$P224</f>
        <v/>
      </c>
      <c r="L225" s="24">
        <f>$K225*Inputs!$C$18/12</f>
        <v/>
      </c>
      <c r="M225" s="24">
        <f>MIN(($C225+$F225),$L225)</f>
        <v/>
      </c>
      <c r="N225" s="24">
        <f>MIN(($D225+$X225),MAX(0,$K225-$O225))</f>
        <v/>
      </c>
      <c r="O225" s="24">
        <f>MIN(MAX(0,MAX(0,$E225-$I225)-$U225),$K225)</f>
        <v/>
      </c>
      <c r="P225" s="24">
        <f>MAX(0,$K225-$O225)-$N225</f>
        <v/>
      </c>
      <c r="Q225" s="23">
        <f>$V224</f>
        <v/>
      </c>
      <c r="R225" s="24">
        <f>$Q225*Inputs!$C$19/12</f>
        <v/>
      </c>
      <c r="S225" s="24">
        <f>MIN(MAX(0,($C225+$F225)-$M225),$R225)</f>
        <v/>
      </c>
      <c r="T225" s="24">
        <f>MIN(MAX(0,($D225+$X225)-$N225),MAX(0,$Q225-$U225))</f>
        <v/>
      </c>
      <c r="U225" s="24">
        <f>MIN(MAX(0,$E225-$I225),$Q225)</f>
        <v/>
      </c>
      <c r="V225" s="24">
        <f>MAX(0,$Q225-$U225)-$T225</f>
        <v/>
      </c>
      <c r="W225" s="24">
        <f>MAX(0,MAX(0,($C225+$F225)-$M225)-$S225)-MIN(MAX(0,$D$3-(MAX(0,$F225-MAX(0,($M225+$S225)-$C225)))),MAX(0,MAX(0,($C225+$F225)-$M225)-$S225))</f>
        <v/>
      </c>
      <c r="X225" s="24">
        <f>IF(Inputs!$C$39=1,$W225,0)</f>
        <v/>
      </c>
      <c r="Y225" s="24">
        <f>IF(Inputs!$C$39=0,$W225,0)+MAX(0,MAX(0,($D225+$X225)-$N225)-$T225)</f>
        <v/>
      </c>
    </row>
    <row r="226">
      <c r="B226" s="22" t="n">
        <v>221</v>
      </c>
      <c r="C226" s="29">
        <f>IF($B226&lt;=Inputs!$C$6+Inputs!$C$11,Cashflow_Asset!$E224-Cashflow_Asset!$K224,0)</f>
        <v/>
      </c>
      <c r="D226" s="29">
        <f>IF($B226&lt;=Inputs!$C$6+Inputs!$C$11,Cashflow_Asset!$F224+Cashflow_Asset!$G224+Cashflow_Asset!$I224,0)</f>
        <v/>
      </c>
      <c r="E226" s="29">
        <f>IF($B226&lt;=Inputs!$C$6+Inputs!$C$11,Cashflow_Asset!$J224,0)</f>
        <v/>
      </c>
      <c r="F226" s="23">
        <f>$G225</f>
        <v/>
      </c>
      <c r="G226" s="24">
        <f>(MAX(0,$F226-MAX(0,($M226+$S226)-$C226)))+MIN(MAX(0,$D$3-(MAX(0,$F226-MAX(0,($M226+$S226)-$C226)))),MAX(0,MAX(0,($C226+$F226)-$M226)-$S226))</f>
        <v/>
      </c>
      <c r="H226" s="23">
        <f>$J225</f>
        <v/>
      </c>
      <c r="I226" s="24">
        <f>MIN($E226,$H226)</f>
        <v/>
      </c>
      <c r="J226" s="24">
        <f>$H226-$I226</f>
        <v/>
      </c>
      <c r="K226" s="23">
        <f>$P225</f>
        <v/>
      </c>
      <c r="L226" s="24">
        <f>$K226*Inputs!$C$18/12</f>
        <v/>
      </c>
      <c r="M226" s="24">
        <f>MIN(($C226+$F226),$L226)</f>
        <v/>
      </c>
      <c r="N226" s="24">
        <f>MIN(($D226+$X226),MAX(0,$K226-$O226))</f>
        <v/>
      </c>
      <c r="O226" s="24">
        <f>MIN(MAX(0,MAX(0,$E226-$I226)-$U226),$K226)</f>
        <v/>
      </c>
      <c r="P226" s="24">
        <f>MAX(0,$K226-$O226)-$N226</f>
        <v/>
      </c>
      <c r="Q226" s="23">
        <f>$V225</f>
        <v/>
      </c>
      <c r="R226" s="24">
        <f>$Q226*Inputs!$C$19/12</f>
        <v/>
      </c>
      <c r="S226" s="24">
        <f>MIN(MAX(0,($C226+$F226)-$M226),$R226)</f>
        <v/>
      </c>
      <c r="T226" s="24">
        <f>MIN(MAX(0,($D226+$X226)-$N226),MAX(0,$Q226-$U226))</f>
        <v/>
      </c>
      <c r="U226" s="24">
        <f>MIN(MAX(0,$E226-$I226),$Q226)</f>
        <v/>
      </c>
      <c r="V226" s="24">
        <f>MAX(0,$Q226-$U226)-$T226</f>
        <v/>
      </c>
      <c r="W226" s="24">
        <f>MAX(0,MAX(0,($C226+$F226)-$M226)-$S226)-MIN(MAX(0,$D$3-(MAX(0,$F226-MAX(0,($M226+$S226)-$C226)))),MAX(0,MAX(0,($C226+$F226)-$M226)-$S226))</f>
        <v/>
      </c>
      <c r="X226" s="24">
        <f>IF(Inputs!$C$39=1,$W226,0)</f>
        <v/>
      </c>
      <c r="Y226" s="24">
        <f>IF(Inputs!$C$39=0,$W226,0)+MAX(0,MAX(0,($D226+$X226)-$N226)-$T226)</f>
        <v/>
      </c>
    </row>
    <row r="227">
      <c r="B227" s="22" t="n">
        <v>222</v>
      </c>
      <c r="C227" s="29">
        <f>IF($B227&lt;=Inputs!$C$6+Inputs!$C$11,Cashflow_Asset!$E225-Cashflow_Asset!$K225,0)</f>
        <v/>
      </c>
      <c r="D227" s="29">
        <f>IF($B227&lt;=Inputs!$C$6+Inputs!$C$11,Cashflow_Asset!$F225+Cashflow_Asset!$G225+Cashflow_Asset!$I225,0)</f>
        <v/>
      </c>
      <c r="E227" s="29">
        <f>IF($B227&lt;=Inputs!$C$6+Inputs!$C$11,Cashflow_Asset!$J225,0)</f>
        <v/>
      </c>
      <c r="F227" s="23">
        <f>$G226</f>
        <v/>
      </c>
      <c r="G227" s="24">
        <f>(MAX(0,$F227-MAX(0,($M227+$S227)-$C227)))+MIN(MAX(0,$D$3-(MAX(0,$F227-MAX(0,($M227+$S227)-$C227)))),MAX(0,MAX(0,($C227+$F227)-$M227)-$S227))</f>
        <v/>
      </c>
      <c r="H227" s="23">
        <f>$J226</f>
        <v/>
      </c>
      <c r="I227" s="24">
        <f>MIN($E227,$H227)</f>
        <v/>
      </c>
      <c r="J227" s="24">
        <f>$H227-$I227</f>
        <v/>
      </c>
      <c r="K227" s="23">
        <f>$P226</f>
        <v/>
      </c>
      <c r="L227" s="24">
        <f>$K227*Inputs!$C$18/12</f>
        <v/>
      </c>
      <c r="M227" s="24">
        <f>MIN(($C227+$F227),$L227)</f>
        <v/>
      </c>
      <c r="N227" s="24">
        <f>MIN(($D227+$X227),MAX(0,$K227-$O227))</f>
        <v/>
      </c>
      <c r="O227" s="24">
        <f>MIN(MAX(0,MAX(0,$E227-$I227)-$U227),$K227)</f>
        <v/>
      </c>
      <c r="P227" s="24">
        <f>MAX(0,$K227-$O227)-$N227</f>
        <v/>
      </c>
      <c r="Q227" s="23">
        <f>$V226</f>
        <v/>
      </c>
      <c r="R227" s="24">
        <f>$Q227*Inputs!$C$19/12</f>
        <v/>
      </c>
      <c r="S227" s="24">
        <f>MIN(MAX(0,($C227+$F227)-$M227),$R227)</f>
        <v/>
      </c>
      <c r="T227" s="24">
        <f>MIN(MAX(0,($D227+$X227)-$N227),MAX(0,$Q227-$U227))</f>
        <v/>
      </c>
      <c r="U227" s="24">
        <f>MIN(MAX(0,$E227-$I227),$Q227)</f>
        <v/>
      </c>
      <c r="V227" s="24">
        <f>MAX(0,$Q227-$U227)-$T227</f>
        <v/>
      </c>
      <c r="W227" s="24">
        <f>MAX(0,MAX(0,($C227+$F227)-$M227)-$S227)-MIN(MAX(0,$D$3-(MAX(0,$F227-MAX(0,($M227+$S227)-$C227)))),MAX(0,MAX(0,($C227+$F227)-$M227)-$S227))</f>
        <v/>
      </c>
      <c r="X227" s="24">
        <f>IF(Inputs!$C$39=1,$W227,0)</f>
        <v/>
      </c>
      <c r="Y227" s="24">
        <f>IF(Inputs!$C$39=0,$W227,0)+MAX(0,MAX(0,($D227+$X227)-$N227)-$T227)</f>
        <v/>
      </c>
    </row>
    <row r="228">
      <c r="B228" s="22" t="n">
        <v>223</v>
      </c>
      <c r="C228" s="29">
        <f>IF($B228&lt;=Inputs!$C$6+Inputs!$C$11,Cashflow_Asset!$E226-Cashflow_Asset!$K226,0)</f>
        <v/>
      </c>
      <c r="D228" s="29">
        <f>IF($B228&lt;=Inputs!$C$6+Inputs!$C$11,Cashflow_Asset!$F226+Cashflow_Asset!$G226+Cashflow_Asset!$I226,0)</f>
        <v/>
      </c>
      <c r="E228" s="29">
        <f>IF($B228&lt;=Inputs!$C$6+Inputs!$C$11,Cashflow_Asset!$J226,0)</f>
        <v/>
      </c>
      <c r="F228" s="23">
        <f>$G227</f>
        <v/>
      </c>
      <c r="G228" s="24">
        <f>(MAX(0,$F228-MAX(0,($M228+$S228)-$C228)))+MIN(MAX(0,$D$3-(MAX(0,$F228-MAX(0,($M228+$S228)-$C228)))),MAX(0,MAX(0,($C228+$F228)-$M228)-$S228))</f>
        <v/>
      </c>
      <c r="H228" s="23">
        <f>$J227</f>
        <v/>
      </c>
      <c r="I228" s="24">
        <f>MIN($E228,$H228)</f>
        <v/>
      </c>
      <c r="J228" s="24">
        <f>$H228-$I228</f>
        <v/>
      </c>
      <c r="K228" s="23">
        <f>$P227</f>
        <v/>
      </c>
      <c r="L228" s="24">
        <f>$K228*Inputs!$C$18/12</f>
        <v/>
      </c>
      <c r="M228" s="24">
        <f>MIN(($C228+$F228),$L228)</f>
        <v/>
      </c>
      <c r="N228" s="24">
        <f>MIN(($D228+$X228),MAX(0,$K228-$O228))</f>
        <v/>
      </c>
      <c r="O228" s="24">
        <f>MIN(MAX(0,MAX(0,$E228-$I228)-$U228),$K228)</f>
        <v/>
      </c>
      <c r="P228" s="24">
        <f>MAX(0,$K228-$O228)-$N228</f>
        <v/>
      </c>
      <c r="Q228" s="23">
        <f>$V227</f>
        <v/>
      </c>
      <c r="R228" s="24">
        <f>$Q228*Inputs!$C$19/12</f>
        <v/>
      </c>
      <c r="S228" s="24">
        <f>MIN(MAX(0,($C228+$F228)-$M228),$R228)</f>
        <v/>
      </c>
      <c r="T228" s="24">
        <f>MIN(MAX(0,($D228+$X228)-$N228),MAX(0,$Q228-$U228))</f>
        <v/>
      </c>
      <c r="U228" s="24">
        <f>MIN(MAX(0,$E228-$I228),$Q228)</f>
        <v/>
      </c>
      <c r="V228" s="24">
        <f>MAX(0,$Q228-$U228)-$T228</f>
        <v/>
      </c>
      <c r="W228" s="24">
        <f>MAX(0,MAX(0,($C228+$F228)-$M228)-$S228)-MIN(MAX(0,$D$3-(MAX(0,$F228-MAX(0,($M228+$S228)-$C228)))),MAX(0,MAX(0,($C228+$F228)-$M228)-$S228))</f>
        <v/>
      </c>
      <c r="X228" s="24">
        <f>IF(Inputs!$C$39=1,$W228,0)</f>
        <v/>
      </c>
      <c r="Y228" s="24">
        <f>IF(Inputs!$C$39=0,$W228,0)+MAX(0,MAX(0,($D228+$X228)-$N228)-$T228)</f>
        <v/>
      </c>
    </row>
    <row r="229">
      <c r="B229" s="22" t="n">
        <v>224</v>
      </c>
      <c r="C229" s="29">
        <f>IF($B229&lt;=Inputs!$C$6+Inputs!$C$11,Cashflow_Asset!$E227-Cashflow_Asset!$K227,0)</f>
        <v/>
      </c>
      <c r="D229" s="29">
        <f>IF($B229&lt;=Inputs!$C$6+Inputs!$C$11,Cashflow_Asset!$F227+Cashflow_Asset!$G227+Cashflow_Asset!$I227,0)</f>
        <v/>
      </c>
      <c r="E229" s="29">
        <f>IF($B229&lt;=Inputs!$C$6+Inputs!$C$11,Cashflow_Asset!$J227,0)</f>
        <v/>
      </c>
      <c r="F229" s="23">
        <f>$G228</f>
        <v/>
      </c>
      <c r="G229" s="24">
        <f>(MAX(0,$F229-MAX(0,($M229+$S229)-$C229)))+MIN(MAX(0,$D$3-(MAX(0,$F229-MAX(0,($M229+$S229)-$C229)))),MAX(0,MAX(0,($C229+$F229)-$M229)-$S229))</f>
        <v/>
      </c>
      <c r="H229" s="23">
        <f>$J228</f>
        <v/>
      </c>
      <c r="I229" s="24">
        <f>MIN($E229,$H229)</f>
        <v/>
      </c>
      <c r="J229" s="24">
        <f>$H229-$I229</f>
        <v/>
      </c>
      <c r="K229" s="23">
        <f>$P228</f>
        <v/>
      </c>
      <c r="L229" s="24">
        <f>$K229*Inputs!$C$18/12</f>
        <v/>
      </c>
      <c r="M229" s="24">
        <f>MIN(($C229+$F229),$L229)</f>
        <v/>
      </c>
      <c r="N229" s="24">
        <f>MIN(($D229+$X229),MAX(0,$K229-$O229))</f>
        <v/>
      </c>
      <c r="O229" s="24">
        <f>MIN(MAX(0,MAX(0,$E229-$I229)-$U229),$K229)</f>
        <v/>
      </c>
      <c r="P229" s="24">
        <f>MAX(0,$K229-$O229)-$N229</f>
        <v/>
      </c>
      <c r="Q229" s="23">
        <f>$V228</f>
        <v/>
      </c>
      <c r="R229" s="24">
        <f>$Q229*Inputs!$C$19/12</f>
        <v/>
      </c>
      <c r="S229" s="24">
        <f>MIN(MAX(0,($C229+$F229)-$M229),$R229)</f>
        <v/>
      </c>
      <c r="T229" s="24">
        <f>MIN(MAX(0,($D229+$X229)-$N229),MAX(0,$Q229-$U229))</f>
        <v/>
      </c>
      <c r="U229" s="24">
        <f>MIN(MAX(0,$E229-$I229),$Q229)</f>
        <v/>
      </c>
      <c r="V229" s="24">
        <f>MAX(0,$Q229-$U229)-$T229</f>
        <v/>
      </c>
      <c r="W229" s="24">
        <f>MAX(0,MAX(0,($C229+$F229)-$M229)-$S229)-MIN(MAX(0,$D$3-(MAX(0,$F229-MAX(0,($M229+$S229)-$C229)))),MAX(0,MAX(0,($C229+$F229)-$M229)-$S229))</f>
        <v/>
      </c>
      <c r="X229" s="24">
        <f>IF(Inputs!$C$39=1,$W229,0)</f>
        <v/>
      </c>
      <c r="Y229" s="24">
        <f>IF(Inputs!$C$39=0,$W229,0)+MAX(0,MAX(0,($D229+$X229)-$N229)-$T229)</f>
        <v/>
      </c>
    </row>
    <row r="230">
      <c r="B230" s="22" t="n">
        <v>225</v>
      </c>
      <c r="C230" s="29">
        <f>IF($B230&lt;=Inputs!$C$6+Inputs!$C$11,Cashflow_Asset!$E228-Cashflow_Asset!$K228,0)</f>
        <v/>
      </c>
      <c r="D230" s="29">
        <f>IF($B230&lt;=Inputs!$C$6+Inputs!$C$11,Cashflow_Asset!$F228+Cashflow_Asset!$G228+Cashflow_Asset!$I228,0)</f>
        <v/>
      </c>
      <c r="E230" s="29">
        <f>IF($B230&lt;=Inputs!$C$6+Inputs!$C$11,Cashflow_Asset!$J228,0)</f>
        <v/>
      </c>
      <c r="F230" s="23">
        <f>$G229</f>
        <v/>
      </c>
      <c r="G230" s="24">
        <f>(MAX(0,$F230-MAX(0,($M230+$S230)-$C230)))+MIN(MAX(0,$D$3-(MAX(0,$F230-MAX(0,($M230+$S230)-$C230)))),MAX(0,MAX(0,($C230+$F230)-$M230)-$S230))</f>
        <v/>
      </c>
      <c r="H230" s="23">
        <f>$J229</f>
        <v/>
      </c>
      <c r="I230" s="24">
        <f>MIN($E230,$H230)</f>
        <v/>
      </c>
      <c r="J230" s="24">
        <f>$H230-$I230</f>
        <v/>
      </c>
      <c r="K230" s="23">
        <f>$P229</f>
        <v/>
      </c>
      <c r="L230" s="24">
        <f>$K230*Inputs!$C$18/12</f>
        <v/>
      </c>
      <c r="M230" s="24">
        <f>MIN(($C230+$F230),$L230)</f>
        <v/>
      </c>
      <c r="N230" s="24">
        <f>MIN(($D230+$X230),MAX(0,$K230-$O230))</f>
        <v/>
      </c>
      <c r="O230" s="24">
        <f>MIN(MAX(0,MAX(0,$E230-$I230)-$U230),$K230)</f>
        <v/>
      </c>
      <c r="P230" s="24">
        <f>MAX(0,$K230-$O230)-$N230</f>
        <v/>
      </c>
      <c r="Q230" s="23">
        <f>$V229</f>
        <v/>
      </c>
      <c r="R230" s="24">
        <f>$Q230*Inputs!$C$19/12</f>
        <v/>
      </c>
      <c r="S230" s="24">
        <f>MIN(MAX(0,($C230+$F230)-$M230),$R230)</f>
        <v/>
      </c>
      <c r="T230" s="24">
        <f>MIN(MAX(0,($D230+$X230)-$N230),MAX(0,$Q230-$U230))</f>
        <v/>
      </c>
      <c r="U230" s="24">
        <f>MIN(MAX(0,$E230-$I230),$Q230)</f>
        <v/>
      </c>
      <c r="V230" s="24">
        <f>MAX(0,$Q230-$U230)-$T230</f>
        <v/>
      </c>
      <c r="W230" s="24">
        <f>MAX(0,MAX(0,($C230+$F230)-$M230)-$S230)-MIN(MAX(0,$D$3-(MAX(0,$F230-MAX(0,($M230+$S230)-$C230)))),MAX(0,MAX(0,($C230+$F230)-$M230)-$S230))</f>
        <v/>
      </c>
      <c r="X230" s="24">
        <f>IF(Inputs!$C$39=1,$W230,0)</f>
        <v/>
      </c>
      <c r="Y230" s="24">
        <f>IF(Inputs!$C$39=0,$W230,0)+MAX(0,MAX(0,($D230+$X230)-$N230)-$T230)</f>
        <v/>
      </c>
    </row>
    <row r="231">
      <c r="B231" s="22" t="n">
        <v>226</v>
      </c>
      <c r="C231" s="29">
        <f>IF($B231&lt;=Inputs!$C$6+Inputs!$C$11,Cashflow_Asset!$E229-Cashflow_Asset!$K229,0)</f>
        <v/>
      </c>
      <c r="D231" s="29">
        <f>IF($B231&lt;=Inputs!$C$6+Inputs!$C$11,Cashflow_Asset!$F229+Cashflow_Asset!$G229+Cashflow_Asset!$I229,0)</f>
        <v/>
      </c>
      <c r="E231" s="29">
        <f>IF($B231&lt;=Inputs!$C$6+Inputs!$C$11,Cashflow_Asset!$J229,0)</f>
        <v/>
      </c>
      <c r="F231" s="23">
        <f>$G230</f>
        <v/>
      </c>
      <c r="G231" s="24">
        <f>(MAX(0,$F231-MAX(0,($M231+$S231)-$C231)))+MIN(MAX(0,$D$3-(MAX(0,$F231-MAX(0,($M231+$S231)-$C231)))),MAX(0,MAX(0,($C231+$F231)-$M231)-$S231))</f>
        <v/>
      </c>
      <c r="H231" s="23">
        <f>$J230</f>
        <v/>
      </c>
      <c r="I231" s="24">
        <f>MIN($E231,$H231)</f>
        <v/>
      </c>
      <c r="J231" s="24">
        <f>$H231-$I231</f>
        <v/>
      </c>
      <c r="K231" s="23">
        <f>$P230</f>
        <v/>
      </c>
      <c r="L231" s="24">
        <f>$K231*Inputs!$C$18/12</f>
        <v/>
      </c>
      <c r="M231" s="24">
        <f>MIN(($C231+$F231),$L231)</f>
        <v/>
      </c>
      <c r="N231" s="24">
        <f>MIN(($D231+$X231),MAX(0,$K231-$O231))</f>
        <v/>
      </c>
      <c r="O231" s="24">
        <f>MIN(MAX(0,MAX(0,$E231-$I231)-$U231),$K231)</f>
        <v/>
      </c>
      <c r="P231" s="24">
        <f>MAX(0,$K231-$O231)-$N231</f>
        <v/>
      </c>
      <c r="Q231" s="23">
        <f>$V230</f>
        <v/>
      </c>
      <c r="R231" s="24">
        <f>$Q231*Inputs!$C$19/12</f>
        <v/>
      </c>
      <c r="S231" s="24">
        <f>MIN(MAX(0,($C231+$F231)-$M231),$R231)</f>
        <v/>
      </c>
      <c r="T231" s="24">
        <f>MIN(MAX(0,($D231+$X231)-$N231),MAX(0,$Q231-$U231))</f>
        <v/>
      </c>
      <c r="U231" s="24">
        <f>MIN(MAX(0,$E231-$I231),$Q231)</f>
        <v/>
      </c>
      <c r="V231" s="24">
        <f>MAX(0,$Q231-$U231)-$T231</f>
        <v/>
      </c>
      <c r="W231" s="24">
        <f>MAX(0,MAX(0,($C231+$F231)-$M231)-$S231)-MIN(MAX(0,$D$3-(MAX(0,$F231-MAX(0,($M231+$S231)-$C231)))),MAX(0,MAX(0,($C231+$F231)-$M231)-$S231))</f>
        <v/>
      </c>
      <c r="X231" s="24">
        <f>IF(Inputs!$C$39=1,$W231,0)</f>
        <v/>
      </c>
      <c r="Y231" s="24">
        <f>IF(Inputs!$C$39=0,$W231,0)+MAX(0,MAX(0,($D231+$X231)-$N231)-$T231)</f>
        <v/>
      </c>
    </row>
    <row r="232">
      <c r="B232" s="22" t="n">
        <v>227</v>
      </c>
      <c r="C232" s="29">
        <f>IF($B232&lt;=Inputs!$C$6+Inputs!$C$11,Cashflow_Asset!$E230-Cashflow_Asset!$K230,0)</f>
        <v/>
      </c>
      <c r="D232" s="29">
        <f>IF($B232&lt;=Inputs!$C$6+Inputs!$C$11,Cashflow_Asset!$F230+Cashflow_Asset!$G230+Cashflow_Asset!$I230,0)</f>
        <v/>
      </c>
      <c r="E232" s="29">
        <f>IF($B232&lt;=Inputs!$C$6+Inputs!$C$11,Cashflow_Asset!$J230,0)</f>
        <v/>
      </c>
      <c r="F232" s="23">
        <f>$G231</f>
        <v/>
      </c>
      <c r="G232" s="24">
        <f>(MAX(0,$F232-MAX(0,($M232+$S232)-$C232)))+MIN(MAX(0,$D$3-(MAX(0,$F232-MAX(0,($M232+$S232)-$C232)))),MAX(0,MAX(0,($C232+$F232)-$M232)-$S232))</f>
        <v/>
      </c>
      <c r="H232" s="23">
        <f>$J231</f>
        <v/>
      </c>
      <c r="I232" s="24">
        <f>MIN($E232,$H232)</f>
        <v/>
      </c>
      <c r="J232" s="24">
        <f>$H232-$I232</f>
        <v/>
      </c>
      <c r="K232" s="23">
        <f>$P231</f>
        <v/>
      </c>
      <c r="L232" s="24">
        <f>$K232*Inputs!$C$18/12</f>
        <v/>
      </c>
      <c r="M232" s="24">
        <f>MIN(($C232+$F232),$L232)</f>
        <v/>
      </c>
      <c r="N232" s="24">
        <f>MIN(($D232+$X232),MAX(0,$K232-$O232))</f>
        <v/>
      </c>
      <c r="O232" s="24">
        <f>MIN(MAX(0,MAX(0,$E232-$I232)-$U232),$K232)</f>
        <v/>
      </c>
      <c r="P232" s="24">
        <f>MAX(0,$K232-$O232)-$N232</f>
        <v/>
      </c>
      <c r="Q232" s="23">
        <f>$V231</f>
        <v/>
      </c>
      <c r="R232" s="24">
        <f>$Q232*Inputs!$C$19/12</f>
        <v/>
      </c>
      <c r="S232" s="24">
        <f>MIN(MAX(0,($C232+$F232)-$M232),$R232)</f>
        <v/>
      </c>
      <c r="T232" s="24">
        <f>MIN(MAX(0,($D232+$X232)-$N232),MAX(0,$Q232-$U232))</f>
        <v/>
      </c>
      <c r="U232" s="24">
        <f>MIN(MAX(0,$E232-$I232),$Q232)</f>
        <v/>
      </c>
      <c r="V232" s="24">
        <f>MAX(0,$Q232-$U232)-$T232</f>
        <v/>
      </c>
      <c r="W232" s="24">
        <f>MAX(0,MAX(0,($C232+$F232)-$M232)-$S232)-MIN(MAX(0,$D$3-(MAX(0,$F232-MAX(0,($M232+$S232)-$C232)))),MAX(0,MAX(0,($C232+$F232)-$M232)-$S232))</f>
        <v/>
      </c>
      <c r="X232" s="24">
        <f>IF(Inputs!$C$39=1,$W232,0)</f>
        <v/>
      </c>
      <c r="Y232" s="24">
        <f>IF(Inputs!$C$39=0,$W232,0)+MAX(0,MAX(0,($D232+$X232)-$N232)-$T232)</f>
        <v/>
      </c>
    </row>
    <row r="233">
      <c r="B233" s="22" t="n">
        <v>228</v>
      </c>
      <c r="C233" s="29">
        <f>IF($B233&lt;=Inputs!$C$6+Inputs!$C$11,Cashflow_Asset!$E231-Cashflow_Asset!$K231,0)</f>
        <v/>
      </c>
      <c r="D233" s="29">
        <f>IF($B233&lt;=Inputs!$C$6+Inputs!$C$11,Cashflow_Asset!$F231+Cashflow_Asset!$G231+Cashflow_Asset!$I231,0)</f>
        <v/>
      </c>
      <c r="E233" s="29">
        <f>IF($B233&lt;=Inputs!$C$6+Inputs!$C$11,Cashflow_Asset!$J231,0)</f>
        <v/>
      </c>
      <c r="F233" s="23">
        <f>$G232</f>
        <v/>
      </c>
      <c r="G233" s="24">
        <f>(MAX(0,$F233-MAX(0,($M233+$S233)-$C233)))+MIN(MAX(0,$D$3-(MAX(0,$F233-MAX(0,($M233+$S233)-$C233)))),MAX(0,MAX(0,($C233+$F233)-$M233)-$S233))</f>
        <v/>
      </c>
      <c r="H233" s="23">
        <f>$J232</f>
        <v/>
      </c>
      <c r="I233" s="24">
        <f>MIN($E233,$H233)</f>
        <v/>
      </c>
      <c r="J233" s="24">
        <f>$H233-$I233</f>
        <v/>
      </c>
      <c r="K233" s="23">
        <f>$P232</f>
        <v/>
      </c>
      <c r="L233" s="24">
        <f>$K233*Inputs!$C$18/12</f>
        <v/>
      </c>
      <c r="M233" s="24">
        <f>MIN(($C233+$F233),$L233)</f>
        <v/>
      </c>
      <c r="N233" s="24">
        <f>MIN(($D233+$X233),MAX(0,$K233-$O233))</f>
        <v/>
      </c>
      <c r="O233" s="24">
        <f>MIN(MAX(0,MAX(0,$E233-$I233)-$U233),$K233)</f>
        <v/>
      </c>
      <c r="P233" s="24">
        <f>MAX(0,$K233-$O233)-$N233</f>
        <v/>
      </c>
      <c r="Q233" s="23">
        <f>$V232</f>
        <v/>
      </c>
      <c r="R233" s="24">
        <f>$Q233*Inputs!$C$19/12</f>
        <v/>
      </c>
      <c r="S233" s="24">
        <f>MIN(MAX(0,($C233+$F233)-$M233),$R233)</f>
        <v/>
      </c>
      <c r="T233" s="24">
        <f>MIN(MAX(0,($D233+$X233)-$N233),MAX(0,$Q233-$U233))</f>
        <v/>
      </c>
      <c r="U233" s="24">
        <f>MIN(MAX(0,$E233-$I233),$Q233)</f>
        <v/>
      </c>
      <c r="V233" s="24">
        <f>MAX(0,$Q233-$U233)-$T233</f>
        <v/>
      </c>
      <c r="W233" s="24">
        <f>MAX(0,MAX(0,($C233+$F233)-$M233)-$S233)-MIN(MAX(0,$D$3-(MAX(0,$F233-MAX(0,($M233+$S233)-$C233)))),MAX(0,MAX(0,($C233+$F233)-$M233)-$S233))</f>
        <v/>
      </c>
      <c r="X233" s="24">
        <f>IF(Inputs!$C$39=1,$W233,0)</f>
        <v/>
      </c>
      <c r="Y233" s="24">
        <f>IF(Inputs!$C$39=0,$W233,0)+MAX(0,MAX(0,($D233+$X233)-$N233)-$T233)</f>
        <v/>
      </c>
    </row>
    <row r="234">
      <c r="B234" s="22" t="n">
        <v>229</v>
      </c>
      <c r="C234" s="29">
        <f>IF($B234&lt;=Inputs!$C$6+Inputs!$C$11,Cashflow_Asset!$E232-Cashflow_Asset!$K232,0)</f>
        <v/>
      </c>
      <c r="D234" s="29">
        <f>IF($B234&lt;=Inputs!$C$6+Inputs!$C$11,Cashflow_Asset!$F232+Cashflow_Asset!$G232+Cashflow_Asset!$I232,0)</f>
        <v/>
      </c>
      <c r="E234" s="29">
        <f>IF($B234&lt;=Inputs!$C$6+Inputs!$C$11,Cashflow_Asset!$J232,0)</f>
        <v/>
      </c>
      <c r="F234" s="23">
        <f>$G233</f>
        <v/>
      </c>
      <c r="G234" s="24">
        <f>(MAX(0,$F234-MAX(0,($M234+$S234)-$C234)))+MIN(MAX(0,$D$3-(MAX(0,$F234-MAX(0,($M234+$S234)-$C234)))),MAX(0,MAX(0,($C234+$F234)-$M234)-$S234))</f>
        <v/>
      </c>
      <c r="H234" s="23">
        <f>$J233</f>
        <v/>
      </c>
      <c r="I234" s="24">
        <f>MIN($E234,$H234)</f>
        <v/>
      </c>
      <c r="J234" s="24">
        <f>$H234-$I234</f>
        <v/>
      </c>
      <c r="K234" s="23">
        <f>$P233</f>
        <v/>
      </c>
      <c r="L234" s="24">
        <f>$K234*Inputs!$C$18/12</f>
        <v/>
      </c>
      <c r="M234" s="24">
        <f>MIN(($C234+$F234),$L234)</f>
        <v/>
      </c>
      <c r="N234" s="24">
        <f>MIN(($D234+$X234),MAX(0,$K234-$O234))</f>
        <v/>
      </c>
      <c r="O234" s="24">
        <f>MIN(MAX(0,MAX(0,$E234-$I234)-$U234),$K234)</f>
        <v/>
      </c>
      <c r="P234" s="24">
        <f>MAX(0,$K234-$O234)-$N234</f>
        <v/>
      </c>
      <c r="Q234" s="23">
        <f>$V233</f>
        <v/>
      </c>
      <c r="R234" s="24">
        <f>$Q234*Inputs!$C$19/12</f>
        <v/>
      </c>
      <c r="S234" s="24">
        <f>MIN(MAX(0,($C234+$F234)-$M234),$R234)</f>
        <v/>
      </c>
      <c r="T234" s="24">
        <f>MIN(MAX(0,($D234+$X234)-$N234),MAX(0,$Q234-$U234))</f>
        <v/>
      </c>
      <c r="U234" s="24">
        <f>MIN(MAX(0,$E234-$I234),$Q234)</f>
        <v/>
      </c>
      <c r="V234" s="24">
        <f>MAX(0,$Q234-$U234)-$T234</f>
        <v/>
      </c>
      <c r="W234" s="24">
        <f>MAX(0,MAX(0,($C234+$F234)-$M234)-$S234)-MIN(MAX(0,$D$3-(MAX(0,$F234-MAX(0,($M234+$S234)-$C234)))),MAX(0,MAX(0,($C234+$F234)-$M234)-$S234))</f>
        <v/>
      </c>
      <c r="X234" s="24">
        <f>IF(Inputs!$C$39=1,$W234,0)</f>
        <v/>
      </c>
      <c r="Y234" s="24">
        <f>IF(Inputs!$C$39=0,$W234,0)+MAX(0,MAX(0,($D234+$X234)-$N234)-$T234)</f>
        <v/>
      </c>
    </row>
    <row r="235">
      <c r="B235" s="22" t="n">
        <v>230</v>
      </c>
      <c r="C235" s="29">
        <f>IF($B235&lt;=Inputs!$C$6+Inputs!$C$11,Cashflow_Asset!$E233-Cashflow_Asset!$K233,0)</f>
        <v/>
      </c>
      <c r="D235" s="29">
        <f>IF($B235&lt;=Inputs!$C$6+Inputs!$C$11,Cashflow_Asset!$F233+Cashflow_Asset!$G233+Cashflow_Asset!$I233,0)</f>
        <v/>
      </c>
      <c r="E235" s="29">
        <f>IF($B235&lt;=Inputs!$C$6+Inputs!$C$11,Cashflow_Asset!$J233,0)</f>
        <v/>
      </c>
      <c r="F235" s="23">
        <f>$G234</f>
        <v/>
      </c>
      <c r="G235" s="24">
        <f>(MAX(0,$F235-MAX(0,($M235+$S235)-$C235)))+MIN(MAX(0,$D$3-(MAX(0,$F235-MAX(0,($M235+$S235)-$C235)))),MAX(0,MAX(0,($C235+$F235)-$M235)-$S235))</f>
        <v/>
      </c>
      <c r="H235" s="23">
        <f>$J234</f>
        <v/>
      </c>
      <c r="I235" s="24">
        <f>MIN($E235,$H235)</f>
        <v/>
      </c>
      <c r="J235" s="24">
        <f>$H235-$I235</f>
        <v/>
      </c>
      <c r="K235" s="23">
        <f>$P234</f>
        <v/>
      </c>
      <c r="L235" s="24">
        <f>$K235*Inputs!$C$18/12</f>
        <v/>
      </c>
      <c r="M235" s="24">
        <f>MIN(($C235+$F235),$L235)</f>
        <v/>
      </c>
      <c r="N235" s="24">
        <f>MIN(($D235+$X235),MAX(0,$K235-$O235))</f>
        <v/>
      </c>
      <c r="O235" s="24">
        <f>MIN(MAX(0,MAX(0,$E235-$I235)-$U235),$K235)</f>
        <v/>
      </c>
      <c r="P235" s="24">
        <f>MAX(0,$K235-$O235)-$N235</f>
        <v/>
      </c>
      <c r="Q235" s="23">
        <f>$V234</f>
        <v/>
      </c>
      <c r="R235" s="24">
        <f>$Q235*Inputs!$C$19/12</f>
        <v/>
      </c>
      <c r="S235" s="24">
        <f>MIN(MAX(0,($C235+$F235)-$M235),$R235)</f>
        <v/>
      </c>
      <c r="T235" s="24">
        <f>MIN(MAX(0,($D235+$X235)-$N235),MAX(0,$Q235-$U235))</f>
        <v/>
      </c>
      <c r="U235" s="24">
        <f>MIN(MAX(0,$E235-$I235),$Q235)</f>
        <v/>
      </c>
      <c r="V235" s="24">
        <f>MAX(0,$Q235-$U235)-$T235</f>
        <v/>
      </c>
      <c r="W235" s="24">
        <f>MAX(0,MAX(0,($C235+$F235)-$M235)-$S235)-MIN(MAX(0,$D$3-(MAX(0,$F235-MAX(0,($M235+$S235)-$C235)))),MAX(0,MAX(0,($C235+$F235)-$M235)-$S235))</f>
        <v/>
      </c>
      <c r="X235" s="24">
        <f>IF(Inputs!$C$39=1,$W235,0)</f>
        <v/>
      </c>
      <c r="Y235" s="24">
        <f>IF(Inputs!$C$39=0,$W235,0)+MAX(0,MAX(0,($D235+$X235)-$N235)-$T235)</f>
        <v/>
      </c>
    </row>
    <row r="236">
      <c r="B236" s="22" t="n">
        <v>231</v>
      </c>
      <c r="C236" s="29">
        <f>IF($B236&lt;=Inputs!$C$6+Inputs!$C$11,Cashflow_Asset!$E234-Cashflow_Asset!$K234,0)</f>
        <v/>
      </c>
      <c r="D236" s="29">
        <f>IF($B236&lt;=Inputs!$C$6+Inputs!$C$11,Cashflow_Asset!$F234+Cashflow_Asset!$G234+Cashflow_Asset!$I234,0)</f>
        <v/>
      </c>
      <c r="E236" s="29">
        <f>IF($B236&lt;=Inputs!$C$6+Inputs!$C$11,Cashflow_Asset!$J234,0)</f>
        <v/>
      </c>
      <c r="F236" s="23">
        <f>$G235</f>
        <v/>
      </c>
      <c r="G236" s="24">
        <f>(MAX(0,$F236-MAX(0,($M236+$S236)-$C236)))+MIN(MAX(0,$D$3-(MAX(0,$F236-MAX(0,($M236+$S236)-$C236)))),MAX(0,MAX(0,($C236+$F236)-$M236)-$S236))</f>
        <v/>
      </c>
      <c r="H236" s="23">
        <f>$J235</f>
        <v/>
      </c>
      <c r="I236" s="24">
        <f>MIN($E236,$H236)</f>
        <v/>
      </c>
      <c r="J236" s="24">
        <f>$H236-$I236</f>
        <v/>
      </c>
      <c r="K236" s="23">
        <f>$P235</f>
        <v/>
      </c>
      <c r="L236" s="24">
        <f>$K236*Inputs!$C$18/12</f>
        <v/>
      </c>
      <c r="M236" s="24">
        <f>MIN(($C236+$F236),$L236)</f>
        <v/>
      </c>
      <c r="N236" s="24">
        <f>MIN(($D236+$X236),MAX(0,$K236-$O236))</f>
        <v/>
      </c>
      <c r="O236" s="24">
        <f>MIN(MAX(0,MAX(0,$E236-$I236)-$U236),$K236)</f>
        <v/>
      </c>
      <c r="P236" s="24">
        <f>MAX(0,$K236-$O236)-$N236</f>
        <v/>
      </c>
      <c r="Q236" s="23">
        <f>$V235</f>
        <v/>
      </c>
      <c r="R236" s="24">
        <f>$Q236*Inputs!$C$19/12</f>
        <v/>
      </c>
      <c r="S236" s="24">
        <f>MIN(MAX(0,($C236+$F236)-$M236),$R236)</f>
        <v/>
      </c>
      <c r="T236" s="24">
        <f>MIN(MAX(0,($D236+$X236)-$N236),MAX(0,$Q236-$U236))</f>
        <v/>
      </c>
      <c r="U236" s="24">
        <f>MIN(MAX(0,$E236-$I236),$Q236)</f>
        <v/>
      </c>
      <c r="V236" s="24">
        <f>MAX(0,$Q236-$U236)-$T236</f>
        <v/>
      </c>
      <c r="W236" s="24">
        <f>MAX(0,MAX(0,($C236+$F236)-$M236)-$S236)-MIN(MAX(0,$D$3-(MAX(0,$F236-MAX(0,($M236+$S236)-$C236)))),MAX(0,MAX(0,($C236+$F236)-$M236)-$S236))</f>
        <v/>
      </c>
      <c r="X236" s="24">
        <f>IF(Inputs!$C$39=1,$W236,0)</f>
        <v/>
      </c>
      <c r="Y236" s="24">
        <f>IF(Inputs!$C$39=0,$W236,0)+MAX(0,MAX(0,($D236+$X236)-$N236)-$T236)</f>
        <v/>
      </c>
    </row>
    <row r="237">
      <c r="B237" s="22" t="n">
        <v>232</v>
      </c>
      <c r="C237" s="29">
        <f>IF($B237&lt;=Inputs!$C$6+Inputs!$C$11,Cashflow_Asset!$E235-Cashflow_Asset!$K235,0)</f>
        <v/>
      </c>
      <c r="D237" s="29">
        <f>IF($B237&lt;=Inputs!$C$6+Inputs!$C$11,Cashflow_Asset!$F235+Cashflow_Asset!$G235+Cashflow_Asset!$I235,0)</f>
        <v/>
      </c>
      <c r="E237" s="29">
        <f>IF($B237&lt;=Inputs!$C$6+Inputs!$C$11,Cashflow_Asset!$J235,0)</f>
        <v/>
      </c>
      <c r="F237" s="23">
        <f>$G236</f>
        <v/>
      </c>
      <c r="G237" s="24">
        <f>(MAX(0,$F237-MAX(0,($M237+$S237)-$C237)))+MIN(MAX(0,$D$3-(MAX(0,$F237-MAX(0,($M237+$S237)-$C237)))),MAX(0,MAX(0,($C237+$F237)-$M237)-$S237))</f>
        <v/>
      </c>
      <c r="H237" s="23">
        <f>$J236</f>
        <v/>
      </c>
      <c r="I237" s="24">
        <f>MIN($E237,$H237)</f>
        <v/>
      </c>
      <c r="J237" s="24">
        <f>$H237-$I237</f>
        <v/>
      </c>
      <c r="K237" s="23">
        <f>$P236</f>
        <v/>
      </c>
      <c r="L237" s="24">
        <f>$K237*Inputs!$C$18/12</f>
        <v/>
      </c>
      <c r="M237" s="24">
        <f>MIN(($C237+$F237),$L237)</f>
        <v/>
      </c>
      <c r="N237" s="24">
        <f>MIN(($D237+$X237),MAX(0,$K237-$O237))</f>
        <v/>
      </c>
      <c r="O237" s="24">
        <f>MIN(MAX(0,MAX(0,$E237-$I237)-$U237),$K237)</f>
        <v/>
      </c>
      <c r="P237" s="24">
        <f>MAX(0,$K237-$O237)-$N237</f>
        <v/>
      </c>
      <c r="Q237" s="23">
        <f>$V236</f>
        <v/>
      </c>
      <c r="R237" s="24">
        <f>$Q237*Inputs!$C$19/12</f>
        <v/>
      </c>
      <c r="S237" s="24">
        <f>MIN(MAX(0,($C237+$F237)-$M237),$R237)</f>
        <v/>
      </c>
      <c r="T237" s="24">
        <f>MIN(MAX(0,($D237+$X237)-$N237),MAX(0,$Q237-$U237))</f>
        <v/>
      </c>
      <c r="U237" s="24">
        <f>MIN(MAX(0,$E237-$I237),$Q237)</f>
        <v/>
      </c>
      <c r="V237" s="24">
        <f>MAX(0,$Q237-$U237)-$T237</f>
        <v/>
      </c>
      <c r="W237" s="24">
        <f>MAX(0,MAX(0,($C237+$F237)-$M237)-$S237)-MIN(MAX(0,$D$3-(MAX(0,$F237-MAX(0,($M237+$S237)-$C237)))),MAX(0,MAX(0,($C237+$F237)-$M237)-$S237))</f>
        <v/>
      </c>
      <c r="X237" s="24">
        <f>IF(Inputs!$C$39=1,$W237,0)</f>
        <v/>
      </c>
      <c r="Y237" s="24">
        <f>IF(Inputs!$C$39=0,$W237,0)+MAX(0,MAX(0,($D237+$X237)-$N237)-$T237)</f>
        <v/>
      </c>
    </row>
    <row r="238">
      <c r="B238" s="22" t="n">
        <v>233</v>
      </c>
      <c r="C238" s="29">
        <f>IF($B238&lt;=Inputs!$C$6+Inputs!$C$11,Cashflow_Asset!$E236-Cashflow_Asset!$K236,0)</f>
        <v/>
      </c>
      <c r="D238" s="29">
        <f>IF($B238&lt;=Inputs!$C$6+Inputs!$C$11,Cashflow_Asset!$F236+Cashflow_Asset!$G236+Cashflow_Asset!$I236,0)</f>
        <v/>
      </c>
      <c r="E238" s="29">
        <f>IF($B238&lt;=Inputs!$C$6+Inputs!$C$11,Cashflow_Asset!$J236,0)</f>
        <v/>
      </c>
      <c r="F238" s="23">
        <f>$G237</f>
        <v/>
      </c>
      <c r="G238" s="24">
        <f>(MAX(0,$F238-MAX(0,($M238+$S238)-$C238)))+MIN(MAX(0,$D$3-(MAX(0,$F238-MAX(0,($M238+$S238)-$C238)))),MAX(0,MAX(0,($C238+$F238)-$M238)-$S238))</f>
        <v/>
      </c>
      <c r="H238" s="23">
        <f>$J237</f>
        <v/>
      </c>
      <c r="I238" s="24">
        <f>MIN($E238,$H238)</f>
        <v/>
      </c>
      <c r="J238" s="24">
        <f>$H238-$I238</f>
        <v/>
      </c>
      <c r="K238" s="23">
        <f>$P237</f>
        <v/>
      </c>
      <c r="L238" s="24">
        <f>$K238*Inputs!$C$18/12</f>
        <v/>
      </c>
      <c r="M238" s="24">
        <f>MIN(($C238+$F238),$L238)</f>
        <v/>
      </c>
      <c r="N238" s="24">
        <f>MIN(($D238+$X238),MAX(0,$K238-$O238))</f>
        <v/>
      </c>
      <c r="O238" s="24">
        <f>MIN(MAX(0,MAX(0,$E238-$I238)-$U238),$K238)</f>
        <v/>
      </c>
      <c r="P238" s="24">
        <f>MAX(0,$K238-$O238)-$N238</f>
        <v/>
      </c>
      <c r="Q238" s="23">
        <f>$V237</f>
        <v/>
      </c>
      <c r="R238" s="24">
        <f>$Q238*Inputs!$C$19/12</f>
        <v/>
      </c>
      <c r="S238" s="24">
        <f>MIN(MAX(0,($C238+$F238)-$M238),$R238)</f>
        <v/>
      </c>
      <c r="T238" s="24">
        <f>MIN(MAX(0,($D238+$X238)-$N238),MAX(0,$Q238-$U238))</f>
        <v/>
      </c>
      <c r="U238" s="24">
        <f>MIN(MAX(0,$E238-$I238),$Q238)</f>
        <v/>
      </c>
      <c r="V238" s="24">
        <f>MAX(0,$Q238-$U238)-$T238</f>
        <v/>
      </c>
      <c r="W238" s="24">
        <f>MAX(0,MAX(0,($C238+$F238)-$M238)-$S238)-MIN(MAX(0,$D$3-(MAX(0,$F238-MAX(0,($M238+$S238)-$C238)))),MAX(0,MAX(0,($C238+$F238)-$M238)-$S238))</f>
        <v/>
      </c>
      <c r="X238" s="24">
        <f>IF(Inputs!$C$39=1,$W238,0)</f>
        <v/>
      </c>
      <c r="Y238" s="24">
        <f>IF(Inputs!$C$39=0,$W238,0)+MAX(0,MAX(0,($D238+$X238)-$N238)-$T238)</f>
        <v/>
      </c>
    </row>
    <row r="239">
      <c r="B239" s="22" t="n">
        <v>234</v>
      </c>
      <c r="C239" s="29">
        <f>IF($B239&lt;=Inputs!$C$6+Inputs!$C$11,Cashflow_Asset!$E237-Cashflow_Asset!$K237,0)</f>
        <v/>
      </c>
      <c r="D239" s="29">
        <f>IF($B239&lt;=Inputs!$C$6+Inputs!$C$11,Cashflow_Asset!$F237+Cashflow_Asset!$G237+Cashflow_Asset!$I237,0)</f>
        <v/>
      </c>
      <c r="E239" s="29">
        <f>IF($B239&lt;=Inputs!$C$6+Inputs!$C$11,Cashflow_Asset!$J237,0)</f>
        <v/>
      </c>
      <c r="F239" s="23">
        <f>$G238</f>
        <v/>
      </c>
      <c r="G239" s="24">
        <f>(MAX(0,$F239-MAX(0,($M239+$S239)-$C239)))+MIN(MAX(0,$D$3-(MAX(0,$F239-MAX(0,($M239+$S239)-$C239)))),MAX(0,MAX(0,($C239+$F239)-$M239)-$S239))</f>
        <v/>
      </c>
      <c r="H239" s="23">
        <f>$J238</f>
        <v/>
      </c>
      <c r="I239" s="24">
        <f>MIN($E239,$H239)</f>
        <v/>
      </c>
      <c r="J239" s="24">
        <f>$H239-$I239</f>
        <v/>
      </c>
      <c r="K239" s="23">
        <f>$P238</f>
        <v/>
      </c>
      <c r="L239" s="24">
        <f>$K239*Inputs!$C$18/12</f>
        <v/>
      </c>
      <c r="M239" s="24">
        <f>MIN(($C239+$F239),$L239)</f>
        <v/>
      </c>
      <c r="N239" s="24">
        <f>MIN(($D239+$X239),MAX(0,$K239-$O239))</f>
        <v/>
      </c>
      <c r="O239" s="24">
        <f>MIN(MAX(0,MAX(0,$E239-$I239)-$U239),$K239)</f>
        <v/>
      </c>
      <c r="P239" s="24">
        <f>MAX(0,$K239-$O239)-$N239</f>
        <v/>
      </c>
      <c r="Q239" s="23">
        <f>$V238</f>
        <v/>
      </c>
      <c r="R239" s="24">
        <f>$Q239*Inputs!$C$19/12</f>
        <v/>
      </c>
      <c r="S239" s="24">
        <f>MIN(MAX(0,($C239+$F239)-$M239),$R239)</f>
        <v/>
      </c>
      <c r="T239" s="24">
        <f>MIN(MAX(0,($D239+$X239)-$N239),MAX(0,$Q239-$U239))</f>
        <v/>
      </c>
      <c r="U239" s="24">
        <f>MIN(MAX(0,$E239-$I239),$Q239)</f>
        <v/>
      </c>
      <c r="V239" s="24">
        <f>MAX(0,$Q239-$U239)-$T239</f>
        <v/>
      </c>
      <c r="W239" s="24">
        <f>MAX(0,MAX(0,($C239+$F239)-$M239)-$S239)-MIN(MAX(0,$D$3-(MAX(0,$F239-MAX(0,($M239+$S239)-$C239)))),MAX(0,MAX(0,($C239+$F239)-$M239)-$S239))</f>
        <v/>
      </c>
      <c r="X239" s="24">
        <f>IF(Inputs!$C$39=1,$W239,0)</f>
        <v/>
      </c>
      <c r="Y239" s="24">
        <f>IF(Inputs!$C$39=0,$W239,0)+MAX(0,MAX(0,($D239+$X239)-$N239)-$T239)</f>
        <v/>
      </c>
    </row>
    <row r="240">
      <c r="B240" s="22" t="n">
        <v>235</v>
      </c>
      <c r="C240" s="29">
        <f>IF($B240&lt;=Inputs!$C$6+Inputs!$C$11,Cashflow_Asset!$E238-Cashflow_Asset!$K238,0)</f>
        <v/>
      </c>
      <c r="D240" s="29">
        <f>IF($B240&lt;=Inputs!$C$6+Inputs!$C$11,Cashflow_Asset!$F238+Cashflow_Asset!$G238+Cashflow_Asset!$I238,0)</f>
        <v/>
      </c>
      <c r="E240" s="29">
        <f>IF($B240&lt;=Inputs!$C$6+Inputs!$C$11,Cashflow_Asset!$J238,0)</f>
        <v/>
      </c>
      <c r="F240" s="23">
        <f>$G239</f>
        <v/>
      </c>
      <c r="G240" s="24">
        <f>(MAX(0,$F240-MAX(0,($M240+$S240)-$C240)))+MIN(MAX(0,$D$3-(MAX(0,$F240-MAX(0,($M240+$S240)-$C240)))),MAX(0,MAX(0,($C240+$F240)-$M240)-$S240))</f>
        <v/>
      </c>
      <c r="H240" s="23">
        <f>$J239</f>
        <v/>
      </c>
      <c r="I240" s="24">
        <f>MIN($E240,$H240)</f>
        <v/>
      </c>
      <c r="J240" s="24">
        <f>$H240-$I240</f>
        <v/>
      </c>
      <c r="K240" s="23">
        <f>$P239</f>
        <v/>
      </c>
      <c r="L240" s="24">
        <f>$K240*Inputs!$C$18/12</f>
        <v/>
      </c>
      <c r="M240" s="24">
        <f>MIN(($C240+$F240),$L240)</f>
        <v/>
      </c>
      <c r="N240" s="24">
        <f>MIN(($D240+$X240),MAX(0,$K240-$O240))</f>
        <v/>
      </c>
      <c r="O240" s="24">
        <f>MIN(MAX(0,MAX(0,$E240-$I240)-$U240),$K240)</f>
        <v/>
      </c>
      <c r="P240" s="24">
        <f>MAX(0,$K240-$O240)-$N240</f>
        <v/>
      </c>
      <c r="Q240" s="23">
        <f>$V239</f>
        <v/>
      </c>
      <c r="R240" s="24">
        <f>$Q240*Inputs!$C$19/12</f>
        <v/>
      </c>
      <c r="S240" s="24">
        <f>MIN(MAX(0,($C240+$F240)-$M240),$R240)</f>
        <v/>
      </c>
      <c r="T240" s="24">
        <f>MIN(MAX(0,($D240+$X240)-$N240),MAX(0,$Q240-$U240))</f>
        <v/>
      </c>
      <c r="U240" s="24">
        <f>MIN(MAX(0,$E240-$I240),$Q240)</f>
        <v/>
      </c>
      <c r="V240" s="24">
        <f>MAX(0,$Q240-$U240)-$T240</f>
        <v/>
      </c>
      <c r="W240" s="24">
        <f>MAX(0,MAX(0,($C240+$F240)-$M240)-$S240)-MIN(MAX(0,$D$3-(MAX(0,$F240-MAX(0,($M240+$S240)-$C240)))),MAX(0,MAX(0,($C240+$F240)-$M240)-$S240))</f>
        <v/>
      </c>
      <c r="X240" s="24">
        <f>IF(Inputs!$C$39=1,$W240,0)</f>
        <v/>
      </c>
      <c r="Y240" s="24">
        <f>IF(Inputs!$C$39=0,$W240,0)+MAX(0,MAX(0,($D240+$X240)-$N240)-$T240)</f>
        <v/>
      </c>
    </row>
    <row r="241">
      <c r="B241" s="22" t="n">
        <v>236</v>
      </c>
      <c r="C241" s="29">
        <f>IF($B241&lt;=Inputs!$C$6+Inputs!$C$11,Cashflow_Asset!$E239-Cashflow_Asset!$K239,0)</f>
        <v/>
      </c>
      <c r="D241" s="29">
        <f>IF($B241&lt;=Inputs!$C$6+Inputs!$C$11,Cashflow_Asset!$F239+Cashflow_Asset!$G239+Cashflow_Asset!$I239,0)</f>
        <v/>
      </c>
      <c r="E241" s="29">
        <f>IF($B241&lt;=Inputs!$C$6+Inputs!$C$11,Cashflow_Asset!$J239,0)</f>
        <v/>
      </c>
      <c r="F241" s="23">
        <f>$G240</f>
        <v/>
      </c>
      <c r="G241" s="24">
        <f>(MAX(0,$F241-MAX(0,($M241+$S241)-$C241)))+MIN(MAX(0,$D$3-(MAX(0,$F241-MAX(0,($M241+$S241)-$C241)))),MAX(0,MAX(0,($C241+$F241)-$M241)-$S241))</f>
        <v/>
      </c>
      <c r="H241" s="23">
        <f>$J240</f>
        <v/>
      </c>
      <c r="I241" s="24">
        <f>MIN($E241,$H241)</f>
        <v/>
      </c>
      <c r="J241" s="24">
        <f>$H241-$I241</f>
        <v/>
      </c>
      <c r="K241" s="23">
        <f>$P240</f>
        <v/>
      </c>
      <c r="L241" s="24">
        <f>$K241*Inputs!$C$18/12</f>
        <v/>
      </c>
      <c r="M241" s="24">
        <f>MIN(($C241+$F241),$L241)</f>
        <v/>
      </c>
      <c r="N241" s="24">
        <f>MIN(($D241+$X241),MAX(0,$K241-$O241))</f>
        <v/>
      </c>
      <c r="O241" s="24">
        <f>MIN(MAX(0,MAX(0,$E241-$I241)-$U241),$K241)</f>
        <v/>
      </c>
      <c r="P241" s="24">
        <f>MAX(0,$K241-$O241)-$N241</f>
        <v/>
      </c>
      <c r="Q241" s="23">
        <f>$V240</f>
        <v/>
      </c>
      <c r="R241" s="24">
        <f>$Q241*Inputs!$C$19/12</f>
        <v/>
      </c>
      <c r="S241" s="24">
        <f>MIN(MAX(0,($C241+$F241)-$M241),$R241)</f>
        <v/>
      </c>
      <c r="T241" s="24">
        <f>MIN(MAX(0,($D241+$X241)-$N241),MAX(0,$Q241-$U241))</f>
        <v/>
      </c>
      <c r="U241" s="24">
        <f>MIN(MAX(0,$E241-$I241),$Q241)</f>
        <v/>
      </c>
      <c r="V241" s="24">
        <f>MAX(0,$Q241-$U241)-$T241</f>
        <v/>
      </c>
      <c r="W241" s="24">
        <f>MAX(0,MAX(0,($C241+$F241)-$M241)-$S241)-MIN(MAX(0,$D$3-(MAX(0,$F241-MAX(0,($M241+$S241)-$C241)))),MAX(0,MAX(0,($C241+$F241)-$M241)-$S241))</f>
        <v/>
      </c>
      <c r="X241" s="24">
        <f>IF(Inputs!$C$39=1,$W241,0)</f>
        <v/>
      </c>
      <c r="Y241" s="24">
        <f>IF(Inputs!$C$39=0,$W241,0)+MAX(0,MAX(0,($D241+$X241)-$N241)-$T241)</f>
        <v/>
      </c>
    </row>
    <row r="242">
      <c r="B242" s="22" t="n">
        <v>237</v>
      </c>
      <c r="C242" s="29">
        <f>IF($B242&lt;=Inputs!$C$6+Inputs!$C$11,Cashflow_Asset!$E240-Cashflow_Asset!$K240,0)</f>
        <v/>
      </c>
      <c r="D242" s="29">
        <f>IF($B242&lt;=Inputs!$C$6+Inputs!$C$11,Cashflow_Asset!$F240+Cashflow_Asset!$G240+Cashflow_Asset!$I240,0)</f>
        <v/>
      </c>
      <c r="E242" s="29">
        <f>IF($B242&lt;=Inputs!$C$6+Inputs!$C$11,Cashflow_Asset!$J240,0)</f>
        <v/>
      </c>
      <c r="F242" s="23">
        <f>$G241</f>
        <v/>
      </c>
      <c r="G242" s="24">
        <f>(MAX(0,$F242-MAX(0,($M242+$S242)-$C242)))+MIN(MAX(0,$D$3-(MAX(0,$F242-MAX(0,($M242+$S242)-$C242)))),MAX(0,MAX(0,($C242+$F242)-$M242)-$S242))</f>
        <v/>
      </c>
      <c r="H242" s="23">
        <f>$J241</f>
        <v/>
      </c>
      <c r="I242" s="24">
        <f>MIN($E242,$H242)</f>
        <v/>
      </c>
      <c r="J242" s="24">
        <f>$H242-$I242</f>
        <v/>
      </c>
      <c r="K242" s="23">
        <f>$P241</f>
        <v/>
      </c>
      <c r="L242" s="24">
        <f>$K242*Inputs!$C$18/12</f>
        <v/>
      </c>
      <c r="M242" s="24">
        <f>MIN(($C242+$F242),$L242)</f>
        <v/>
      </c>
      <c r="N242" s="24">
        <f>MIN(($D242+$X242),MAX(0,$K242-$O242))</f>
        <v/>
      </c>
      <c r="O242" s="24">
        <f>MIN(MAX(0,MAX(0,$E242-$I242)-$U242),$K242)</f>
        <v/>
      </c>
      <c r="P242" s="24">
        <f>MAX(0,$K242-$O242)-$N242</f>
        <v/>
      </c>
      <c r="Q242" s="23">
        <f>$V241</f>
        <v/>
      </c>
      <c r="R242" s="24">
        <f>$Q242*Inputs!$C$19/12</f>
        <v/>
      </c>
      <c r="S242" s="24">
        <f>MIN(MAX(0,($C242+$F242)-$M242),$R242)</f>
        <v/>
      </c>
      <c r="T242" s="24">
        <f>MIN(MAX(0,($D242+$X242)-$N242),MAX(0,$Q242-$U242))</f>
        <v/>
      </c>
      <c r="U242" s="24">
        <f>MIN(MAX(0,$E242-$I242),$Q242)</f>
        <v/>
      </c>
      <c r="V242" s="24">
        <f>MAX(0,$Q242-$U242)-$T242</f>
        <v/>
      </c>
      <c r="W242" s="24">
        <f>MAX(0,MAX(0,($C242+$F242)-$M242)-$S242)-MIN(MAX(0,$D$3-(MAX(0,$F242-MAX(0,($M242+$S242)-$C242)))),MAX(0,MAX(0,($C242+$F242)-$M242)-$S242))</f>
        <v/>
      </c>
      <c r="X242" s="24">
        <f>IF(Inputs!$C$39=1,$W242,0)</f>
        <v/>
      </c>
      <c r="Y242" s="24">
        <f>IF(Inputs!$C$39=0,$W242,0)+MAX(0,MAX(0,($D242+$X242)-$N242)-$T242)</f>
        <v/>
      </c>
    </row>
    <row r="243">
      <c r="B243" s="22" t="n">
        <v>238</v>
      </c>
      <c r="C243" s="29">
        <f>IF($B243&lt;=Inputs!$C$6+Inputs!$C$11,Cashflow_Asset!$E241-Cashflow_Asset!$K241,0)</f>
        <v/>
      </c>
      <c r="D243" s="29">
        <f>IF($B243&lt;=Inputs!$C$6+Inputs!$C$11,Cashflow_Asset!$F241+Cashflow_Asset!$G241+Cashflow_Asset!$I241,0)</f>
        <v/>
      </c>
      <c r="E243" s="29">
        <f>IF($B243&lt;=Inputs!$C$6+Inputs!$C$11,Cashflow_Asset!$J241,0)</f>
        <v/>
      </c>
      <c r="F243" s="23">
        <f>$G242</f>
        <v/>
      </c>
      <c r="G243" s="24">
        <f>(MAX(0,$F243-MAX(0,($M243+$S243)-$C243)))+MIN(MAX(0,$D$3-(MAX(0,$F243-MAX(0,($M243+$S243)-$C243)))),MAX(0,MAX(0,($C243+$F243)-$M243)-$S243))</f>
        <v/>
      </c>
      <c r="H243" s="23">
        <f>$J242</f>
        <v/>
      </c>
      <c r="I243" s="24">
        <f>MIN($E243,$H243)</f>
        <v/>
      </c>
      <c r="J243" s="24">
        <f>$H243-$I243</f>
        <v/>
      </c>
      <c r="K243" s="23">
        <f>$P242</f>
        <v/>
      </c>
      <c r="L243" s="24">
        <f>$K243*Inputs!$C$18/12</f>
        <v/>
      </c>
      <c r="M243" s="24">
        <f>MIN(($C243+$F243),$L243)</f>
        <v/>
      </c>
      <c r="N243" s="24">
        <f>MIN(($D243+$X243),MAX(0,$K243-$O243))</f>
        <v/>
      </c>
      <c r="O243" s="24">
        <f>MIN(MAX(0,MAX(0,$E243-$I243)-$U243),$K243)</f>
        <v/>
      </c>
      <c r="P243" s="24">
        <f>MAX(0,$K243-$O243)-$N243</f>
        <v/>
      </c>
      <c r="Q243" s="23">
        <f>$V242</f>
        <v/>
      </c>
      <c r="R243" s="24">
        <f>$Q243*Inputs!$C$19/12</f>
        <v/>
      </c>
      <c r="S243" s="24">
        <f>MIN(MAX(0,($C243+$F243)-$M243),$R243)</f>
        <v/>
      </c>
      <c r="T243" s="24">
        <f>MIN(MAX(0,($D243+$X243)-$N243),MAX(0,$Q243-$U243))</f>
        <v/>
      </c>
      <c r="U243" s="24">
        <f>MIN(MAX(0,$E243-$I243),$Q243)</f>
        <v/>
      </c>
      <c r="V243" s="24">
        <f>MAX(0,$Q243-$U243)-$T243</f>
        <v/>
      </c>
      <c r="W243" s="24">
        <f>MAX(0,MAX(0,($C243+$F243)-$M243)-$S243)-MIN(MAX(0,$D$3-(MAX(0,$F243-MAX(0,($M243+$S243)-$C243)))),MAX(0,MAX(0,($C243+$F243)-$M243)-$S243))</f>
        <v/>
      </c>
      <c r="X243" s="24">
        <f>IF(Inputs!$C$39=1,$W243,0)</f>
        <v/>
      </c>
      <c r="Y243" s="24">
        <f>IF(Inputs!$C$39=0,$W243,0)+MAX(0,MAX(0,($D243+$X243)-$N243)-$T243)</f>
        <v/>
      </c>
    </row>
    <row r="244">
      <c r="B244" s="22" t="n">
        <v>239</v>
      </c>
      <c r="C244" s="29">
        <f>IF($B244&lt;=Inputs!$C$6+Inputs!$C$11,Cashflow_Asset!$E242-Cashflow_Asset!$K242,0)</f>
        <v/>
      </c>
      <c r="D244" s="29">
        <f>IF($B244&lt;=Inputs!$C$6+Inputs!$C$11,Cashflow_Asset!$F242+Cashflow_Asset!$G242+Cashflow_Asset!$I242,0)</f>
        <v/>
      </c>
      <c r="E244" s="29">
        <f>IF($B244&lt;=Inputs!$C$6+Inputs!$C$11,Cashflow_Asset!$J242,0)</f>
        <v/>
      </c>
      <c r="F244" s="23">
        <f>$G243</f>
        <v/>
      </c>
      <c r="G244" s="24">
        <f>(MAX(0,$F244-MAX(0,($M244+$S244)-$C244)))+MIN(MAX(0,$D$3-(MAX(0,$F244-MAX(0,($M244+$S244)-$C244)))),MAX(0,MAX(0,($C244+$F244)-$M244)-$S244))</f>
        <v/>
      </c>
      <c r="H244" s="23">
        <f>$J243</f>
        <v/>
      </c>
      <c r="I244" s="24">
        <f>MIN($E244,$H244)</f>
        <v/>
      </c>
      <c r="J244" s="24">
        <f>$H244-$I244</f>
        <v/>
      </c>
      <c r="K244" s="23">
        <f>$P243</f>
        <v/>
      </c>
      <c r="L244" s="24">
        <f>$K244*Inputs!$C$18/12</f>
        <v/>
      </c>
      <c r="M244" s="24">
        <f>MIN(($C244+$F244),$L244)</f>
        <v/>
      </c>
      <c r="N244" s="24">
        <f>MIN(($D244+$X244),MAX(0,$K244-$O244))</f>
        <v/>
      </c>
      <c r="O244" s="24">
        <f>MIN(MAX(0,MAX(0,$E244-$I244)-$U244),$K244)</f>
        <v/>
      </c>
      <c r="P244" s="24">
        <f>MAX(0,$K244-$O244)-$N244</f>
        <v/>
      </c>
      <c r="Q244" s="23">
        <f>$V243</f>
        <v/>
      </c>
      <c r="R244" s="24">
        <f>$Q244*Inputs!$C$19/12</f>
        <v/>
      </c>
      <c r="S244" s="24">
        <f>MIN(MAX(0,($C244+$F244)-$M244),$R244)</f>
        <v/>
      </c>
      <c r="T244" s="24">
        <f>MIN(MAX(0,($D244+$X244)-$N244),MAX(0,$Q244-$U244))</f>
        <v/>
      </c>
      <c r="U244" s="24">
        <f>MIN(MAX(0,$E244-$I244),$Q244)</f>
        <v/>
      </c>
      <c r="V244" s="24">
        <f>MAX(0,$Q244-$U244)-$T244</f>
        <v/>
      </c>
      <c r="W244" s="24">
        <f>MAX(0,MAX(0,($C244+$F244)-$M244)-$S244)-MIN(MAX(0,$D$3-(MAX(0,$F244-MAX(0,($M244+$S244)-$C244)))),MAX(0,MAX(0,($C244+$F244)-$M244)-$S244))</f>
        <v/>
      </c>
      <c r="X244" s="24">
        <f>IF(Inputs!$C$39=1,$W244,0)</f>
        <v/>
      </c>
      <c r="Y244" s="24">
        <f>IF(Inputs!$C$39=0,$W244,0)+MAX(0,MAX(0,($D244+$X244)-$N244)-$T244)</f>
        <v/>
      </c>
    </row>
    <row r="245">
      <c r="B245" s="22" t="n">
        <v>240</v>
      </c>
      <c r="C245" s="29">
        <f>IF($B245&lt;=Inputs!$C$6+Inputs!$C$11,Cashflow_Asset!$E243-Cashflow_Asset!$K243,0)</f>
        <v/>
      </c>
      <c r="D245" s="29">
        <f>IF($B245&lt;=Inputs!$C$6+Inputs!$C$11,Cashflow_Asset!$F243+Cashflow_Asset!$G243+Cashflow_Asset!$I243,0)</f>
        <v/>
      </c>
      <c r="E245" s="29">
        <f>IF($B245&lt;=Inputs!$C$6+Inputs!$C$11,Cashflow_Asset!$J243,0)</f>
        <v/>
      </c>
      <c r="F245" s="23">
        <f>$G244</f>
        <v/>
      </c>
      <c r="G245" s="24">
        <f>(MAX(0,$F245-MAX(0,($M245+$S245)-$C245)))+MIN(MAX(0,$D$3-(MAX(0,$F245-MAX(0,($M245+$S245)-$C245)))),MAX(0,MAX(0,($C245+$F245)-$M245)-$S245))</f>
        <v/>
      </c>
      <c r="H245" s="23">
        <f>$J244</f>
        <v/>
      </c>
      <c r="I245" s="24">
        <f>MIN($E245,$H245)</f>
        <v/>
      </c>
      <c r="J245" s="24">
        <f>$H245-$I245</f>
        <v/>
      </c>
      <c r="K245" s="23">
        <f>$P244</f>
        <v/>
      </c>
      <c r="L245" s="24">
        <f>$K245*Inputs!$C$18/12</f>
        <v/>
      </c>
      <c r="M245" s="24">
        <f>MIN(($C245+$F245),$L245)</f>
        <v/>
      </c>
      <c r="N245" s="24">
        <f>MIN(($D245+$X245),MAX(0,$K245-$O245))</f>
        <v/>
      </c>
      <c r="O245" s="24">
        <f>MIN(MAX(0,MAX(0,$E245-$I245)-$U245),$K245)</f>
        <v/>
      </c>
      <c r="P245" s="24">
        <f>MAX(0,$K245-$O245)-$N245</f>
        <v/>
      </c>
      <c r="Q245" s="23">
        <f>$V244</f>
        <v/>
      </c>
      <c r="R245" s="24">
        <f>$Q245*Inputs!$C$19/12</f>
        <v/>
      </c>
      <c r="S245" s="24">
        <f>MIN(MAX(0,($C245+$F245)-$M245),$R245)</f>
        <v/>
      </c>
      <c r="T245" s="24">
        <f>MIN(MAX(0,($D245+$X245)-$N245),MAX(0,$Q245-$U245))</f>
        <v/>
      </c>
      <c r="U245" s="24">
        <f>MIN(MAX(0,$E245-$I245),$Q245)</f>
        <v/>
      </c>
      <c r="V245" s="24">
        <f>MAX(0,$Q245-$U245)-$T245</f>
        <v/>
      </c>
      <c r="W245" s="24">
        <f>MAX(0,MAX(0,($C245+$F245)-$M245)-$S245)-MIN(MAX(0,$D$3-(MAX(0,$F245-MAX(0,($M245+$S245)-$C245)))),MAX(0,MAX(0,($C245+$F245)-$M245)-$S245))</f>
        <v/>
      </c>
      <c r="X245" s="24">
        <f>IF(Inputs!$C$39=1,$W245,0)</f>
        <v/>
      </c>
      <c r="Y245" s="24">
        <f>IF(Inputs!$C$39=0,$W245,0)+MAX(0,MAX(0,($D245+$X245)-$N245)-$T245)</f>
        <v/>
      </c>
    </row>
    <row r="246">
      <c r="B246" s="22" t="n">
        <v>241</v>
      </c>
      <c r="C246" s="29">
        <f>IF($B246&lt;=Inputs!$C$6+Inputs!$C$11,Cashflow_Asset!$E244-Cashflow_Asset!$K244,0)</f>
        <v/>
      </c>
      <c r="D246" s="29">
        <f>IF($B246&lt;=Inputs!$C$6+Inputs!$C$11,Cashflow_Asset!$F244+Cashflow_Asset!$G244+Cashflow_Asset!$I244,0)</f>
        <v/>
      </c>
      <c r="E246" s="29">
        <f>IF($B246&lt;=Inputs!$C$6+Inputs!$C$11,Cashflow_Asset!$J244,0)</f>
        <v/>
      </c>
      <c r="F246" s="23">
        <f>$G245</f>
        <v/>
      </c>
      <c r="G246" s="24">
        <f>(MAX(0,$F246-MAX(0,($M246+$S246)-$C246)))+MIN(MAX(0,$D$3-(MAX(0,$F246-MAX(0,($M246+$S246)-$C246)))),MAX(0,MAX(0,($C246+$F246)-$M246)-$S246))</f>
        <v/>
      </c>
      <c r="H246" s="23">
        <f>$J245</f>
        <v/>
      </c>
      <c r="I246" s="24">
        <f>MIN($E246,$H246)</f>
        <v/>
      </c>
      <c r="J246" s="24">
        <f>$H246-$I246</f>
        <v/>
      </c>
      <c r="K246" s="23">
        <f>$P245</f>
        <v/>
      </c>
      <c r="L246" s="24">
        <f>$K246*Inputs!$C$18/12</f>
        <v/>
      </c>
      <c r="M246" s="24">
        <f>MIN(($C246+$F246),$L246)</f>
        <v/>
      </c>
      <c r="N246" s="24">
        <f>MIN(($D246+$X246),MAX(0,$K246-$O246))</f>
        <v/>
      </c>
      <c r="O246" s="24">
        <f>MIN(MAX(0,MAX(0,$E246-$I246)-$U246),$K246)</f>
        <v/>
      </c>
      <c r="P246" s="24">
        <f>MAX(0,$K246-$O246)-$N246</f>
        <v/>
      </c>
      <c r="Q246" s="23">
        <f>$V245</f>
        <v/>
      </c>
      <c r="R246" s="24">
        <f>$Q246*Inputs!$C$19/12</f>
        <v/>
      </c>
      <c r="S246" s="24">
        <f>MIN(MAX(0,($C246+$F246)-$M246),$R246)</f>
        <v/>
      </c>
      <c r="T246" s="24">
        <f>MIN(MAX(0,($D246+$X246)-$N246),MAX(0,$Q246-$U246))</f>
        <v/>
      </c>
      <c r="U246" s="24">
        <f>MIN(MAX(0,$E246-$I246),$Q246)</f>
        <v/>
      </c>
      <c r="V246" s="24">
        <f>MAX(0,$Q246-$U246)-$T246</f>
        <v/>
      </c>
      <c r="W246" s="24">
        <f>MAX(0,MAX(0,($C246+$F246)-$M246)-$S246)-MIN(MAX(0,$D$3-(MAX(0,$F246-MAX(0,($M246+$S246)-$C246)))),MAX(0,MAX(0,($C246+$F246)-$M246)-$S246))</f>
        <v/>
      </c>
      <c r="X246" s="24">
        <f>IF(Inputs!$C$39=1,$W246,0)</f>
        <v/>
      </c>
      <c r="Y246" s="24">
        <f>IF(Inputs!$C$39=0,$W246,0)+MAX(0,MAX(0,($D246+$X246)-$N246)-$T246)</f>
        <v/>
      </c>
    </row>
    <row r="247">
      <c r="B247" s="22" t="n">
        <v>242</v>
      </c>
      <c r="C247" s="29">
        <f>IF($B247&lt;=Inputs!$C$6+Inputs!$C$11,Cashflow_Asset!$E245-Cashflow_Asset!$K245,0)</f>
        <v/>
      </c>
      <c r="D247" s="29">
        <f>IF($B247&lt;=Inputs!$C$6+Inputs!$C$11,Cashflow_Asset!$F245+Cashflow_Asset!$G245+Cashflow_Asset!$I245,0)</f>
        <v/>
      </c>
      <c r="E247" s="29">
        <f>IF($B247&lt;=Inputs!$C$6+Inputs!$C$11,Cashflow_Asset!$J245,0)</f>
        <v/>
      </c>
      <c r="F247" s="23">
        <f>$G246</f>
        <v/>
      </c>
      <c r="G247" s="24">
        <f>(MAX(0,$F247-MAX(0,($M247+$S247)-$C247)))+MIN(MAX(0,$D$3-(MAX(0,$F247-MAX(0,($M247+$S247)-$C247)))),MAX(0,MAX(0,($C247+$F247)-$M247)-$S247))</f>
        <v/>
      </c>
      <c r="H247" s="23">
        <f>$J246</f>
        <v/>
      </c>
      <c r="I247" s="24">
        <f>MIN($E247,$H247)</f>
        <v/>
      </c>
      <c r="J247" s="24">
        <f>$H247-$I247</f>
        <v/>
      </c>
      <c r="K247" s="23">
        <f>$P246</f>
        <v/>
      </c>
      <c r="L247" s="24">
        <f>$K247*Inputs!$C$18/12</f>
        <v/>
      </c>
      <c r="M247" s="24">
        <f>MIN(($C247+$F247),$L247)</f>
        <v/>
      </c>
      <c r="N247" s="24">
        <f>MIN(($D247+$X247),MAX(0,$K247-$O247))</f>
        <v/>
      </c>
      <c r="O247" s="24">
        <f>MIN(MAX(0,MAX(0,$E247-$I247)-$U247),$K247)</f>
        <v/>
      </c>
      <c r="P247" s="24">
        <f>MAX(0,$K247-$O247)-$N247</f>
        <v/>
      </c>
      <c r="Q247" s="23">
        <f>$V246</f>
        <v/>
      </c>
      <c r="R247" s="24">
        <f>$Q247*Inputs!$C$19/12</f>
        <v/>
      </c>
      <c r="S247" s="24">
        <f>MIN(MAX(0,($C247+$F247)-$M247),$R247)</f>
        <v/>
      </c>
      <c r="T247" s="24">
        <f>MIN(MAX(0,($D247+$X247)-$N247),MAX(0,$Q247-$U247))</f>
        <v/>
      </c>
      <c r="U247" s="24">
        <f>MIN(MAX(0,$E247-$I247),$Q247)</f>
        <v/>
      </c>
      <c r="V247" s="24">
        <f>MAX(0,$Q247-$U247)-$T247</f>
        <v/>
      </c>
      <c r="W247" s="24">
        <f>MAX(0,MAX(0,($C247+$F247)-$M247)-$S247)-MIN(MAX(0,$D$3-(MAX(0,$F247-MAX(0,($M247+$S247)-$C247)))),MAX(0,MAX(0,($C247+$F247)-$M247)-$S247))</f>
        <v/>
      </c>
      <c r="X247" s="24">
        <f>IF(Inputs!$C$39=1,$W247,0)</f>
        <v/>
      </c>
      <c r="Y247" s="24">
        <f>IF(Inputs!$C$39=0,$W247,0)+MAX(0,MAX(0,($D247+$X247)-$N247)-$T247)</f>
        <v/>
      </c>
    </row>
    <row r="248">
      <c r="B248" s="22" t="n">
        <v>243</v>
      </c>
      <c r="C248" s="29">
        <f>IF($B248&lt;=Inputs!$C$6+Inputs!$C$11,Cashflow_Asset!$E246-Cashflow_Asset!$K246,0)</f>
        <v/>
      </c>
      <c r="D248" s="29">
        <f>IF($B248&lt;=Inputs!$C$6+Inputs!$C$11,Cashflow_Asset!$F246+Cashflow_Asset!$G246+Cashflow_Asset!$I246,0)</f>
        <v/>
      </c>
      <c r="E248" s="29">
        <f>IF($B248&lt;=Inputs!$C$6+Inputs!$C$11,Cashflow_Asset!$J246,0)</f>
        <v/>
      </c>
      <c r="F248" s="23">
        <f>$G247</f>
        <v/>
      </c>
      <c r="G248" s="24">
        <f>(MAX(0,$F248-MAX(0,($M248+$S248)-$C248)))+MIN(MAX(0,$D$3-(MAX(0,$F248-MAX(0,($M248+$S248)-$C248)))),MAX(0,MAX(0,($C248+$F248)-$M248)-$S248))</f>
        <v/>
      </c>
      <c r="H248" s="23">
        <f>$J247</f>
        <v/>
      </c>
      <c r="I248" s="24">
        <f>MIN($E248,$H248)</f>
        <v/>
      </c>
      <c r="J248" s="24">
        <f>$H248-$I248</f>
        <v/>
      </c>
      <c r="K248" s="23">
        <f>$P247</f>
        <v/>
      </c>
      <c r="L248" s="24">
        <f>$K248*Inputs!$C$18/12</f>
        <v/>
      </c>
      <c r="M248" s="24">
        <f>MIN(($C248+$F248),$L248)</f>
        <v/>
      </c>
      <c r="N248" s="24">
        <f>MIN(($D248+$X248),MAX(0,$K248-$O248))</f>
        <v/>
      </c>
      <c r="O248" s="24">
        <f>MIN(MAX(0,MAX(0,$E248-$I248)-$U248),$K248)</f>
        <v/>
      </c>
      <c r="P248" s="24">
        <f>MAX(0,$K248-$O248)-$N248</f>
        <v/>
      </c>
      <c r="Q248" s="23">
        <f>$V247</f>
        <v/>
      </c>
      <c r="R248" s="24">
        <f>$Q248*Inputs!$C$19/12</f>
        <v/>
      </c>
      <c r="S248" s="24">
        <f>MIN(MAX(0,($C248+$F248)-$M248),$R248)</f>
        <v/>
      </c>
      <c r="T248" s="24">
        <f>MIN(MAX(0,($D248+$X248)-$N248),MAX(0,$Q248-$U248))</f>
        <v/>
      </c>
      <c r="U248" s="24">
        <f>MIN(MAX(0,$E248-$I248),$Q248)</f>
        <v/>
      </c>
      <c r="V248" s="24">
        <f>MAX(0,$Q248-$U248)-$T248</f>
        <v/>
      </c>
      <c r="W248" s="24">
        <f>MAX(0,MAX(0,($C248+$F248)-$M248)-$S248)-MIN(MAX(0,$D$3-(MAX(0,$F248-MAX(0,($M248+$S248)-$C248)))),MAX(0,MAX(0,($C248+$F248)-$M248)-$S248))</f>
        <v/>
      </c>
      <c r="X248" s="24">
        <f>IF(Inputs!$C$39=1,$W248,0)</f>
        <v/>
      </c>
      <c r="Y248" s="24">
        <f>IF(Inputs!$C$39=0,$W248,0)+MAX(0,MAX(0,($D248+$X248)-$N248)-$T248)</f>
        <v/>
      </c>
    </row>
    <row r="249">
      <c r="B249" s="22" t="n">
        <v>244</v>
      </c>
      <c r="C249" s="29">
        <f>IF($B249&lt;=Inputs!$C$6+Inputs!$C$11,Cashflow_Asset!$E247-Cashflow_Asset!$K247,0)</f>
        <v/>
      </c>
      <c r="D249" s="29">
        <f>IF($B249&lt;=Inputs!$C$6+Inputs!$C$11,Cashflow_Asset!$F247+Cashflow_Asset!$G247+Cashflow_Asset!$I247,0)</f>
        <v/>
      </c>
      <c r="E249" s="29">
        <f>IF($B249&lt;=Inputs!$C$6+Inputs!$C$11,Cashflow_Asset!$J247,0)</f>
        <v/>
      </c>
      <c r="F249" s="23">
        <f>$G248</f>
        <v/>
      </c>
      <c r="G249" s="24">
        <f>(MAX(0,$F249-MAX(0,($M249+$S249)-$C249)))+MIN(MAX(0,$D$3-(MAX(0,$F249-MAX(0,($M249+$S249)-$C249)))),MAX(0,MAX(0,($C249+$F249)-$M249)-$S249))</f>
        <v/>
      </c>
      <c r="H249" s="23">
        <f>$J248</f>
        <v/>
      </c>
      <c r="I249" s="24">
        <f>MIN($E249,$H249)</f>
        <v/>
      </c>
      <c r="J249" s="24">
        <f>$H249-$I249</f>
        <v/>
      </c>
      <c r="K249" s="23">
        <f>$P248</f>
        <v/>
      </c>
      <c r="L249" s="24">
        <f>$K249*Inputs!$C$18/12</f>
        <v/>
      </c>
      <c r="M249" s="24">
        <f>MIN(($C249+$F249),$L249)</f>
        <v/>
      </c>
      <c r="N249" s="24">
        <f>MIN(($D249+$X249),MAX(0,$K249-$O249))</f>
        <v/>
      </c>
      <c r="O249" s="24">
        <f>MIN(MAX(0,MAX(0,$E249-$I249)-$U249),$K249)</f>
        <v/>
      </c>
      <c r="P249" s="24">
        <f>MAX(0,$K249-$O249)-$N249</f>
        <v/>
      </c>
      <c r="Q249" s="23">
        <f>$V248</f>
        <v/>
      </c>
      <c r="R249" s="24">
        <f>$Q249*Inputs!$C$19/12</f>
        <v/>
      </c>
      <c r="S249" s="24">
        <f>MIN(MAX(0,($C249+$F249)-$M249),$R249)</f>
        <v/>
      </c>
      <c r="T249" s="24">
        <f>MIN(MAX(0,($D249+$X249)-$N249),MAX(0,$Q249-$U249))</f>
        <v/>
      </c>
      <c r="U249" s="24">
        <f>MIN(MAX(0,$E249-$I249),$Q249)</f>
        <v/>
      </c>
      <c r="V249" s="24">
        <f>MAX(0,$Q249-$U249)-$T249</f>
        <v/>
      </c>
      <c r="W249" s="24">
        <f>MAX(0,MAX(0,($C249+$F249)-$M249)-$S249)-MIN(MAX(0,$D$3-(MAX(0,$F249-MAX(0,($M249+$S249)-$C249)))),MAX(0,MAX(0,($C249+$F249)-$M249)-$S249))</f>
        <v/>
      </c>
      <c r="X249" s="24">
        <f>IF(Inputs!$C$39=1,$W249,0)</f>
        <v/>
      </c>
      <c r="Y249" s="24">
        <f>IF(Inputs!$C$39=0,$W249,0)+MAX(0,MAX(0,($D249+$X249)-$N249)-$T249)</f>
        <v/>
      </c>
    </row>
    <row r="250">
      <c r="B250" s="22" t="n">
        <v>245</v>
      </c>
      <c r="C250" s="29">
        <f>IF($B250&lt;=Inputs!$C$6+Inputs!$C$11,Cashflow_Asset!$E248-Cashflow_Asset!$K248,0)</f>
        <v/>
      </c>
      <c r="D250" s="29">
        <f>IF($B250&lt;=Inputs!$C$6+Inputs!$C$11,Cashflow_Asset!$F248+Cashflow_Asset!$G248+Cashflow_Asset!$I248,0)</f>
        <v/>
      </c>
      <c r="E250" s="29">
        <f>IF($B250&lt;=Inputs!$C$6+Inputs!$C$11,Cashflow_Asset!$J248,0)</f>
        <v/>
      </c>
      <c r="F250" s="23">
        <f>$G249</f>
        <v/>
      </c>
      <c r="G250" s="24">
        <f>(MAX(0,$F250-MAX(0,($M250+$S250)-$C250)))+MIN(MAX(0,$D$3-(MAX(0,$F250-MAX(0,($M250+$S250)-$C250)))),MAX(0,MAX(0,($C250+$F250)-$M250)-$S250))</f>
        <v/>
      </c>
      <c r="H250" s="23">
        <f>$J249</f>
        <v/>
      </c>
      <c r="I250" s="24">
        <f>MIN($E250,$H250)</f>
        <v/>
      </c>
      <c r="J250" s="24">
        <f>$H250-$I250</f>
        <v/>
      </c>
      <c r="K250" s="23">
        <f>$P249</f>
        <v/>
      </c>
      <c r="L250" s="24">
        <f>$K250*Inputs!$C$18/12</f>
        <v/>
      </c>
      <c r="M250" s="24">
        <f>MIN(($C250+$F250),$L250)</f>
        <v/>
      </c>
      <c r="N250" s="24">
        <f>MIN(($D250+$X250),MAX(0,$K250-$O250))</f>
        <v/>
      </c>
      <c r="O250" s="24">
        <f>MIN(MAX(0,MAX(0,$E250-$I250)-$U250),$K250)</f>
        <v/>
      </c>
      <c r="P250" s="24">
        <f>MAX(0,$K250-$O250)-$N250</f>
        <v/>
      </c>
      <c r="Q250" s="23">
        <f>$V249</f>
        <v/>
      </c>
      <c r="R250" s="24">
        <f>$Q250*Inputs!$C$19/12</f>
        <v/>
      </c>
      <c r="S250" s="24">
        <f>MIN(MAX(0,($C250+$F250)-$M250),$R250)</f>
        <v/>
      </c>
      <c r="T250" s="24">
        <f>MIN(MAX(0,($D250+$X250)-$N250),MAX(0,$Q250-$U250))</f>
        <v/>
      </c>
      <c r="U250" s="24">
        <f>MIN(MAX(0,$E250-$I250),$Q250)</f>
        <v/>
      </c>
      <c r="V250" s="24">
        <f>MAX(0,$Q250-$U250)-$T250</f>
        <v/>
      </c>
      <c r="W250" s="24">
        <f>MAX(0,MAX(0,($C250+$F250)-$M250)-$S250)-MIN(MAX(0,$D$3-(MAX(0,$F250-MAX(0,($M250+$S250)-$C250)))),MAX(0,MAX(0,($C250+$F250)-$M250)-$S250))</f>
        <v/>
      </c>
      <c r="X250" s="24">
        <f>IF(Inputs!$C$39=1,$W250,0)</f>
        <v/>
      </c>
      <c r="Y250" s="24">
        <f>IF(Inputs!$C$39=0,$W250,0)+MAX(0,MAX(0,($D250+$X250)-$N250)-$T250)</f>
        <v/>
      </c>
    </row>
    <row r="251">
      <c r="B251" s="22" t="n">
        <v>246</v>
      </c>
      <c r="C251" s="29">
        <f>IF($B251&lt;=Inputs!$C$6+Inputs!$C$11,Cashflow_Asset!$E249-Cashflow_Asset!$K249,0)</f>
        <v/>
      </c>
      <c r="D251" s="29">
        <f>IF($B251&lt;=Inputs!$C$6+Inputs!$C$11,Cashflow_Asset!$F249+Cashflow_Asset!$G249+Cashflow_Asset!$I249,0)</f>
        <v/>
      </c>
      <c r="E251" s="29">
        <f>IF($B251&lt;=Inputs!$C$6+Inputs!$C$11,Cashflow_Asset!$J249,0)</f>
        <v/>
      </c>
      <c r="F251" s="23">
        <f>$G250</f>
        <v/>
      </c>
      <c r="G251" s="24">
        <f>(MAX(0,$F251-MAX(0,($M251+$S251)-$C251)))+MIN(MAX(0,$D$3-(MAX(0,$F251-MAX(0,($M251+$S251)-$C251)))),MAX(0,MAX(0,($C251+$F251)-$M251)-$S251))</f>
        <v/>
      </c>
      <c r="H251" s="23">
        <f>$J250</f>
        <v/>
      </c>
      <c r="I251" s="24">
        <f>MIN($E251,$H251)</f>
        <v/>
      </c>
      <c r="J251" s="24">
        <f>$H251-$I251</f>
        <v/>
      </c>
      <c r="K251" s="23">
        <f>$P250</f>
        <v/>
      </c>
      <c r="L251" s="24">
        <f>$K251*Inputs!$C$18/12</f>
        <v/>
      </c>
      <c r="M251" s="24">
        <f>MIN(($C251+$F251),$L251)</f>
        <v/>
      </c>
      <c r="N251" s="24">
        <f>MIN(($D251+$X251),MAX(0,$K251-$O251))</f>
        <v/>
      </c>
      <c r="O251" s="24">
        <f>MIN(MAX(0,MAX(0,$E251-$I251)-$U251),$K251)</f>
        <v/>
      </c>
      <c r="P251" s="24">
        <f>MAX(0,$K251-$O251)-$N251</f>
        <v/>
      </c>
      <c r="Q251" s="23">
        <f>$V250</f>
        <v/>
      </c>
      <c r="R251" s="24">
        <f>$Q251*Inputs!$C$19/12</f>
        <v/>
      </c>
      <c r="S251" s="24">
        <f>MIN(MAX(0,($C251+$F251)-$M251),$R251)</f>
        <v/>
      </c>
      <c r="T251" s="24">
        <f>MIN(MAX(0,($D251+$X251)-$N251),MAX(0,$Q251-$U251))</f>
        <v/>
      </c>
      <c r="U251" s="24">
        <f>MIN(MAX(0,$E251-$I251),$Q251)</f>
        <v/>
      </c>
      <c r="V251" s="24">
        <f>MAX(0,$Q251-$U251)-$T251</f>
        <v/>
      </c>
      <c r="W251" s="24">
        <f>MAX(0,MAX(0,($C251+$F251)-$M251)-$S251)-MIN(MAX(0,$D$3-(MAX(0,$F251-MAX(0,($M251+$S251)-$C251)))),MAX(0,MAX(0,($C251+$F251)-$M251)-$S251))</f>
        <v/>
      </c>
      <c r="X251" s="24">
        <f>IF(Inputs!$C$39=1,$W251,0)</f>
        <v/>
      </c>
      <c r="Y251" s="24">
        <f>IF(Inputs!$C$39=0,$W251,0)+MAX(0,MAX(0,($D251+$X251)-$N251)-$T251)</f>
        <v/>
      </c>
    </row>
    <row r="252">
      <c r="B252" s="22" t="n">
        <v>247</v>
      </c>
      <c r="C252" s="29">
        <f>IF($B252&lt;=Inputs!$C$6+Inputs!$C$11,Cashflow_Asset!$E250-Cashflow_Asset!$K250,0)</f>
        <v/>
      </c>
      <c r="D252" s="29">
        <f>IF($B252&lt;=Inputs!$C$6+Inputs!$C$11,Cashflow_Asset!$F250+Cashflow_Asset!$G250+Cashflow_Asset!$I250,0)</f>
        <v/>
      </c>
      <c r="E252" s="29">
        <f>IF($B252&lt;=Inputs!$C$6+Inputs!$C$11,Cashflow_Asset!$J250,0)</f>
        <v/>
      </c>
      <c r="F252" s="23">
        <f>$G251</f>
        <v/>
      </c>
      <c r="G252" s="24">
        <f>(MAX(0,$F252-MAX(0,($M252+$S252)-$C252)))+MIN(MAX(0,$D$3-(MAX(0,$F252-MAX(0,($M252+$S252)-$C252)))),MAX(0,MAX(0,($C252+$F252)-$M252)-$S252))</f>
        <v/>
      </c>
      <c r="H252" s="23">
        <f>$J251</f>
        <v/>
      </c>
      <c r="I252" s="24">
        <f>MIN($E252,$H252)</f>
        <v/>
      </c>
      <c r="J252" s="24">
        <f>$H252-$I252</f>
        <v/>
      </c>
      <c r="K252" s="23">
        <f>$P251</f>
        <v/>
      </c>
      <c r="L252" s="24">
        <f>$K252*Inputs!$C$18/12</f>
        <v/>
      </c>
      <c r="M252" s="24">
        <f>MIN(($C252+$F252),$L252)</f>
        <v/>
      </c>
      <c r="N252" s="24">
        <f>MIN(($D252+$X252),MAX(0,$K252-$O252))</f>
        <v/>
      </c>
      <c r="O252" s="24">
        <f>MIN(MAX(0,MAX(0,$E252-$I252)-$U252),$K252)</f>
        <v/>
      </c>
      <c r="P252" s="24">
        <f>MAX(0,$K252-$O252)-$N252</f>
        <v/>
      </c>
      <c r="Q252" s="23">
        <f>$V251</f>
        <v/>
      </c>
      <c r="R252" s="24">
        <f>$Q252*Inputs!$C$19/12</f>
        <v/>
      </c>
      <c r="S252" s="24">
        <f>MIN(MAX(0,($C252+$F252)-$M252),$R252)</f>
        <v/>
      </c>
      <c r="T252" s="24">
        <f>MIN(MAX(0,($D252+$X252)-$N252),MAX(0,$Q252-$U252))</f>
        <v/>
      </c>
      <c r="U252" s="24">
        <f>MIN(MAX(0,$E252-$I252),$Q252)</f>
        <v/>
      </c>
      <c r="V252" s="24">
        <f>MAX(0,$Q252-$U252)-$T252</f>
        <v/>
      </c>
      <c r="W252" s="24">
        <f>MAX(0,MAX(0,($C252+$F252)-$M252)-$S252)-MIN(MAX(0,$D$3-(MAX(0,$F252-MAX(0,($M252+$S252)-$C252)))),MAX(0,MAX(0,($C252+$F252)-$M252)-$S252))</f>
        <v/>
      </c>
      <c r="X252" s="24">
        <f>IF(Inputs!$C$39=1,$W252,0)</f>
        <v/>
      </c>
      <c r="Y252" s="24">
        <f>IF(Inputs!$C$39=0,$W252,0)+MAX(0,MAX(0,($D252+$X252)-$N252)-$T252)</f>
        <v/>
      </c>
    </row>
    <row r="253">
      <c r="B253" s="22" t="n">
        <v>248</v>
      </c>
      <c r="C253" s="29">
        <f>IF($B253&lt;=Inputs!$C$6+Inputs!$C$11,Cashflow_Asset!$E251-Cashflow_Asset!$K251,0)</f>
        <v/>
      </c>
      <c r="D253" s="29">
        <f>IF($B253&lt;=Inputs!$C$6+Inputs!$C$11,Cashflow_Asset!$F251+Cashflow_Asset!$G251+Cashflow_Asset!$I251,0)</f>
        <v/>
      </c>
      <c r="E253" s="29">
        <f>IF($B253&lt;=Inputs!$C$6+Inputs!$C$11,Cashflow_Asset!$J251,0)</f>
        <v/>
      </c>
      <c r="F253" s="23">
        <f>$G252</f>
        <v/>
      </c>
      <c r="G253" s="24">
        <f>(MAX(0,$F253-MAX(0,($M253+$S253)-$C253)))+MIN(MAX(0,$D$3-(MAX(0,$F253-MAX(0,($M253+$S253)-$C253)))),MAX(0,MAX(0,($C253+$F253)-$M253)-$S253))</f>
        <v/>
      </c>
      <c r="H253" s="23">
        <f>$J252</f>
        <v/>
      </c>
      <c r="I253" s="24">
        <f>MIN($E253,$H253)</f>
        <v/>
      </c>
      <c r="J253" s="24">
        <f>$H253-$I253</f>
        <v/>
      </c>
      <c r="K253" s="23">
        <f>$P252</f>
        <v/>
      </c>
      <c r="L253" s="24">
        <f>$K253*Inputs!$C$18/12</f>
        <v/>
      </c>
      <c r="M253" s="24">
        <f>MIN(($C253+$F253),$L253)</f>
        <v/>
      </c>
      <c r="N253" s="24">
        <f>MIN(($D253+$X253),MAX(0,$K253-$O253))</f>
        <v/>
      </c>
      <c r="O253" s="24">
        <f>MIN(MAX(0,MAX(0,$E253-$I253)-$U253),$K253)</f>
        <v/>
      </c>
      <c r="P253" s="24">
        <f>MAX(0,$K253-$O253)-$N253</f>
        <v/>
      </c>
      <c r="Q253" s="23">
        <f>$V252</f>
        <v/>
      </c>
      <c r="R253" s="24">
        <f>$Q253*Inputs!$C$19/12</f>
        <v/>
      </c>
      <c r="S253" s="24">
        <f>MIN(MAX(0,($C253+$F253)-$M253),$R253)</f>
        <v/>
      </c>
      <c r="T253" s="24">
        <f>MIN(MAX(0,($D253+$X253)-$N253),MAX(0,$Q253-$U253))</f>
        <v/>
      </c>
      <c r="U253" s="24">
        <f>MIN(MAX(0,$E253-$I253),$Q253)</f>
        <v/>
      </c>
      <c r="V253" s="24">
        <f>MAX(0,$Q253-$U253)-$T253</f>
        <v/>
      </c>
      <c r="W253" s="24">
        <f>MAX(0,MAX(0,($C253+$F253)-$M253)-$S253)-MIN(MAX(0,$D$3-(MAX(0,$F253-MAX(0,($M253+$S253)-$C253)))),MAX(0,MAX(0,($C253+$F253)-$M253)-$S253))</f>
        <v/>
      </c>
      <c r="X253" s="24">
        <f>IF(Inputs!$C$39=1,$W253,0)</f>
        <v/>
      </c>
      <c r="Y253" s="24">
        <f>IF(Inputs!$C$39=0,$W253,0)+MAX(0,MAX(0,($D253+$X253)-$N253)-$T253)</f>
        <v/>
      </c>
    </row>
    <row r="254">
      <c r="B254" s="22" t="n">
        <v>249</v>
      </c>
      <c r="C254" s="29">
        <f>IF($B254&lt;=Inputs!$C$6+Inputs!$C$11,Cashflow_Asset!$E252-Cashflow_Asset!$K252,0)</f>
        <v/>
      </c>
      <c r="D254" s="29">
        <f>IF($B254&lt;=Inputs!$C$6+Inputs!$C$11,Cashflow_Asset!$F252+Cashflow_Asset!$G252+Cashflow_Asset!$I252,0)</f>
        <v/>
      </c>
      <c r="E254" s="29">
        <f>IF($B254&lt;=Inputs!$C$6+Inputs!$C$11,Cashflow_Asset!$J252,0)</f>
        <v/>
      </c>
      <c r="F254" s="23">
        <f>$G253</f>
        <v/>
      </c>
      <c r="G254" s="24">
        <f>(MAX(0,$F254-MAX(0,($M254+$S254)-$C254)))+MIN(MAX(0,$D$3-(MAX(0,$F254-MAX(0,($M254+$S254)-$C254)))),MAX(0,MAX(0,($C254+$F254)-$M254)-$S254))</f>
        <v/>
      </c>
      <c r="H254" s="23">
        <f>$J253</f>
        <v/>
      </c>
      <c r="I254" s="24">
        <f>MIN($E254,$H254)</f>
        <v/>
      </c>
      <c r="J254" s="24">
        <f>$H254-$I254</f>
        <v/>
      </c>
      <c r="K254" s="23">
        <f>$P253</f>
        <v/>
      </c>
      <c r="L254" s="24">
        <f>$K254*Inputs!$C$18/12</f>
        <v/>
      </c>
      <c r="M254" s="24">
        <f>MIN(($C254+$F254),$L254)</f>
        <v/>
      </c>
      <c r="N254" s="24">
        <f>MIN(($D254+$X254),MAX(0,$K254-$O254))</f>
        <v/>
      </c>
      <c r="O254" s="24">
        <f>MIN(MAX(0,MAX(0,$E254-$I254)-$U254),$K254)</f>
        <v/>
      </c>
      <c r="P254" s="24">
        <f>MAX(0,$K254-$O254)-$N254</f>
        <v/>
      </c>
      <c r="Q254" s="23">
        <f>$V253</f>
        <v/>
      </c>
      <c r="R254" s="24">
        <f>$Q254*Inputs!$C$19/12</f>
        <v/>
      </c>
      <c r="S254" s="24">
        <f>MIN(MAX(0,($C254+$F254)-$M254),$R254)</f>
        <v/>
      </c>
      <c r="T254" s="24">
        <f>MIN(MAX(0,($D254+$X254)-$N254),MAX(0,$Q254-$U254))</f>
        <v/>
      </c>
      <c r="U254" s="24">
        <f>MIN(MAX(0,$E254-$I254),$Q254)</f>
        <v/>
      </c>
      <c r="V254" s="24">
        <f>MAX(0,$Q254-$U254)-$T254</f>
        <v/>
      </c>
      <c r="W254" s="24">
        <f>MAX(0,MAX(0,($C254+$F254)-$M254)-$S254)-MIN(MAX(0,$D$3-(MAX(0,$F254-MAX(0,($M254+$S254)-$C254)))),MAX(0,MAX(0,($C254+$F254)-$M254)-$S254))</f>
        <v/>
      </c>
      <c r="X254" s="24">
        <f>IF(Inputs!$C$39=1,$W254,0)</f>
        <v/>
      </c>
      <c r="Y254" s="24">
        <f>IF(Inputs!$C$39=0,$W254,0)+MAX(0,MAX(0,($D254+$X254)-$N254)-$T254)</f>
        <v/>
      </c>
    </row>
    <row r="255">
      <c r="B255" s="22" t="n">
        <v>250</v>
      </c>
      <c r="C255" s="29">
        <f>IF($B255&lt;=Inputs!$C$6+Inputs!$C$11,Cashflow_Asset!$E253-Cashflow_Asset!$K253,0)</f>
        <v/>
      </c>
      <c r="D255" s="29">
        <f>IF($B255&lt;=Inputs!$C$6+Inputs!$C$11,Cashflow_Asset!$F253+Cashflow_Asset!$G253+Cashflow_Asset!$I253,0)</f>
        <v/>
      </c>
      <c r="E255" s="29">
        <f>IF($B255&lt;=Inputs!$C$6+Inputs!$C$11,Cashflow_Asset!$J253,0)</f>
        <v/>
      </c>
      <c r="F255" s="23">
        <f>$G254</f>
        <v/>
      </c>
      <c r="G255" s="24">
        <f>(MAX(0,$F255-MAX(0,($M255+$S255)-$C255)))+MIN(MAX(0,$D$3-(MAX(0,$F255-MAX(0,($M255+$S255)-$C255)))),MAX(0,MAX(0,($C255+$F255)-$M255)-$S255))</f>
        <v/>
      </c>
      <c r="H255" s="23">
        <f>$J254</f>
        <v/>
      </c>
      <c r="I255" s="24">
        <f>MIN($E255,$H255)</f>
        <v/>
      </c>
      <c r="J255" s="24">
        <f>$H255-$I255</f>
        <v/>
      </c>
      <c r="K255" s="23">
        <f>$P254</f>
        <v/>
      </c>
      <c r="L255" s="24">
        <f>$K255*Inputs!$C$18/12</f>
        <v/>
      </c>
      <c r="M255" s="24">
        <f>MIN(($C255+$F255),$L255)</f>
        <v/>
      </c>
      <c r="N255" s="24">
        <f>MIN(($D255+$X255),MAX(0,$K255-$O255))</f>
        <v/>
      </c>
      <c r="O255" s="24">
        <f>MIN(MAX(0,MAX(0,$E255-$I255)-$U255),$K255)</f>
        <v/>
      </c>
      <c r="P255" s="24">
        <f>MAX(0,$K255-$O255)-$N255</f>
        <v/>
      </c>
      <c r="Q255" s="23">
        <f>$V254</f>
        <v/>
      </c>
      <c r="R255" s="24">
        <f>$Q255*Inputs!$C$19/12</f>
        <v/>
      </c>
      <c r="S255" s="24">
        <f>MIN(MAX(0,($C255+$F255)-$M255),$R255)</f>
        <v/>
      </c>
      <c r="T255" s="24">
        <f>MIN(MAX(0,($D255+$X255)-$N255),MAX(0,$Q255-$U255))</f>
        <v/>
      </c>
      <c r="U255" s="24">
        <f>MIN(MAX(0,$E255-$I255),$Q255)</f>
        <v/>
      </c>
      <c r="V255" s="24">
        <f>MAX(0,$Q255-$U255)-$T255</f>
        <v/>
      </c>
      <c r="W255" s="24">
        <f>MAX(0,MAX(0,($C255+$F255)-$M255)-$S255)-MIN(MAX(0,$D$3-(MAX(0,$F255-MAX(0,($M255+$S255)-$C255)))),MAX(0,MAX(0,($C255+$F255)-$M255)-$S255))</f>
        <v/>
      </c>
      <c r="X255" s="24">
        <f>IF(Inputs!$C$39=1,$W255,0)</f>
        <v/>
      </c>
      <c r="Y255" s="24">
        <f>IF(Inputs!$C$39=0,$W255,0)+MAX(0,MAX(0,($D255+$X255)-$N255)-$T255)</f>
        <v/>
      </c>
    </row>
    <row r="256">
      <c r="B256" s="22" t="n">
        <v>251</v>
      </c>
      <c r="C256" s="29">
        <f>IF($B256&lt;=Inputs!$C$6+Inputs!$C$11,Cashflow_Asset!$E254-Cashflow_Asset!$K254,0)</f>
        <v/>
      </c>
      <c r="D256" s="29">
        <f>IF($B256&lt;=Inputs!$C$6+Inputs!$C$11,Cashflow_Asset!$F254+Cashflow_Asset!$G254+Cashflow_Asset!$I254,0)</f>
        <v/>
      </c>
      <c r="E256" s="29">
        <f>IF($B256&lt;=Inputs!$C$6+Inputs!$C$11,Cashflow_Asset!$J254,0)</f>
        <v/>
      </c>
      <c r="F256" s="23">
        <f>$G255</f>
        <v/>
      </c>
      <c r="G256" s="24">
        <f>(MAX(0,$F256-MAX(0,($M256+$S256)-$C256)))+MIN(MAX(0,$D$3-(MAX(0,$F256-MAX(0,($M256+$S256)-$C256)))),MAX(0,MAX(0,($C256+$F256)-$M256)-$S256))</f>
        <v/>
      </c>
      <c r="H256" s="23">
        <f>$J255</f>
        <v/>
      </c>
      <c r="I256" s="24">
        <f>MIN($E256,$H256)</f>
        <v/>
      </c>
      <c r="J256" s="24">
        <f>$H256-$I256</f>
        <v/>
      </c>
      <c r="K256" s="23">
        <f>$P255</f>
        <v/>
      </c>
      <c r="L256" s="24">
        <f>$K256*Inputs!$C$18/12</f>
        <v/>
      </c>
      <c r="M256" s="24">
        <f>MIN(($C256+$F256),$L256)</f>
        <v/>
      </c>
      <c r="N256" s="24">
        <f>MIN(($D256+$X256),MAX(0,$K256-$O256))</f>
        <v/>
      </c>
      <c r="O256" s="24">
        <f>MIN(MAX(0,MAX(0,$E256-$I256)-$U256),$K256)</f>
        <v/>
      </c>
      <c r="P256" s="24">
        <f>MAX(0,$K256-$O256)-$N256</f>
        <v/>
      </c>
      <c r="Q256" s="23">
        <f>$V255</f>
        <v/>
      </c>
      <c r="R256" s="24">
        <f>$Q256*Inputs!$C$19/12</f>
        <v/>
      </c>
      <c r="S256" s="24">
        <f>MIN(MAX(0,($C256+$F256)-$M256),$R256)</f>
        <v/>
      </c>
      <c r="T256" s="24">
        <f>MIN(MAX(0,($D256+$X256)-$N256),MAX(0,$Q256-$U256))</f>
        <v/>
      </c>
      <c r="U256" s="24">
        <f>MIN(MAX(0,$E256-$I256),$Q256)</f>
        <v/>
      </c>
      <c r="V256" s="24">
        <f>MAX(0,$Q256-$U256)-$T256</f>
        <v/>
      </c>
      <c r="W256" s="24">
        <f>MAX(0,MAX(0,($C256+$F256)-$M256)-$S256)-MIN(MAX(0,$D$3-(MAX(0,$F256-MAX(0,($M256+$S256)-$C256)))),MAX(0,MAX(0,($C256+$F256)-$M256)-$S256))</f>
        <v/>
      </c>
      <c r="X256" s="24">
        <f>IF(Inputs!$C$39=1,$W256,0)</f>
        <v/>
      </c>
      <c r="Y256" s="24">
        <f>IF(Inputs!$C$39=0,$W256,0)+MAX(0,MAX(0,($D256+$X256)-$N256)-$T256)</f>
        <v/>
      </c>
    </row>
    <row r="257">
      <c r="B257" s="22" t="n">
        <v>252</v>
      </c>
      <c r="C257" s="29">
        <f>IF($B257&lt;=Inputs!$C$6+Inputs!$C$11,Cashflow_Asset!$E255-Cashflow_Asset!$K255,0)</f>
        <v/>
      </c>
      <c r="D257" s="29">
        <f>IF($B257&lt;=Inputs!$C$6+Inputs!$C$11,Cashflow_Asset!$F255+Cashflow_Asset!$G255+Cashflow_Asset!$I255,0)</f>
        <v/>
      </c>
      <c r="E257" s="29">
        <f>IF($B257&lt;=Inputs!$C$6+Inputs!$C$11,Cashflow_Asset!$J255,0)</f>
        <v/>
      </c>
      <c r="F257" s="23">
        <f>$G256</f>
        <v/>
      </c>
      <c r="G257" s="24">
        <f>(MAX(0,$F257-MAX(0,($M257+$S257)-$C257)))+MIN(MAX(0,$D$3-(MAX(0,$F257-MAX(0,($M257+$S257)-$C257)))),MAX(0,MAX(0,($C257+$F257)-$M257)-$S257))</f>
        <v/>
      </c>
      <c r="H257" s="23">
        <f>$J256</f>
        <v/>
      </c>
      <c r="I257" s="24">
        <f>MIN($E257,$H257)</f>
        <v/>
      </c>
      <c r="J257" s="24">
        <f>$H257-$I257</f>
        <v/>
      </c>
      <c r="K257" s="23">
        <f>$P256</f>
        <v/>
      </c>
      <c r="L257" s="24">
        <f>$K257*Inputs!$C$18/12</f>
        <v/>
      </c>
      <c r="M257" s="24">
        <f>MIN(($C257+$F257),$L257)</f>
        <v/>
      </c>
      <c r="N257" s="24">
        <f>MIN(($D257+$X257),MAX(0,$K257-$O257))</f>
        <v/>
      </c>
      <c r="O257" s="24">
        <f>MIN(MAX(0,MAX(0,$E257-$I257)-$U257),$K257)</f>
        <v/>
      </c>
      <c r="P257" s="24">
        <f>MAX(0,$K257-$O257)-$N257</f>
        <v/>
      </c>
      <c r="Q257" s="23">
        <f>$V256</f>
        <v/>
      </c>
      <c r="R257" s="24">
        <f>$Q257*Inputs!$C$19/12</f>
        <v/>
      </c>
      <c r="S257" s="24">
        <f>MIN(MAX(0,($C257+$F257)-$M257),$R257)</f>
        <v/>
      </c>
      <c r="T257" s="24">
        <f>MIN(MAX(0,($D257+$X257)-$N257),MAX(0,$Q257-$U257))</f>
        <v/>
      </c>
      <c r="U257" s="24">
        <f>MIN(MAX(0,$E257-$I257),$Q257)</f>
        <v/>
      </c>
      <c r="V257" s="24">
        <f>MAX(0,$Q257-$U257)-$T257</f>
        <v/>
      </c>
      <c r="W257" s="24">
        <f>MAX(0,MAX(0,($C257+$F257)-$M257)-$S257)-MIN(MAX(0,$D$3-(MAX(0,$F257-MAX(0,($M257+$S257)-$C257)))),MAX(0,MAX(0,($C257+$F257)-$M257)-$S257))</f>
        <v/>
      </c>
      <c r="X257" s="24">
        <f>IF(Inputs!$C$39=1,$W257,0)</f>
        <v/>
      </c>
      <c r="Y257" s="24">
        <f>IF(Inputs!$C$39=0,$W257,0)+MAX(0,MAX(0,($D257+$X257)-$N257)-$T257)</f>
        <v/>
      </c>
    </row>
    <row r="258">
      <c r="B258" s="22" t="n">
        <v>253</v>
      </c>
      <c r="C258" s="29">
        <f>IF($B258&lt;=Inputs!$C$6+Inputs!$C$11,Cashflow_Asset!$E256-Cashflow_Asset!$K256,0)</f>
        <v/>
      </c>
      <c r="D258" s="29">
        <f>IF($B258&lt;=Inputs!$C$6+Inputs!$C$11,Cashflow_Asset!$F256+Cashflow_Asset!$G256+Cashflow_Asset!$I256,0)</f>
        <v/>
      </c>
      <c r="E258" s="29">
        <f>IF($B258&lt;=Inputs!$C$6+Inputs!$C$11,Cashflow_Asset!$J256,0)</f>
        <v/>
      </c>
      <c r="F258" s="23">
        <f>$G257</f>
        <v/>
      </c>
      <c r="G258" s="24">
        <f>(MAX(0,$F258-MAX(0,($M258+$S258)-$C258)))+MIN(MAX(0,$D$3-(MAX(0,$F258-MAX(0,($M258+$S258)-$C258)))),MAX(0,MAX(0,($C258+$F258)-$M258)-$S258))</f>
        <v/>
      </c>
      <c r="H258" s="23">
        <f>$J257</f>
        <v/>
      </c>
      <c r="I258" s="24">
        <f>MIN($E258,$H258)</f>
        <v/>
      </c>
      <c r="J258" s="24">
        <f>$H258-$I258</f>
        <v/>
      </c>
      <c r="K258" s="23">
        <f>$P257</f>
        <v/>
      </c>
      <c r="L258" s="24">
        <f>$K258*Inputs!$C$18/12</f>
        <v/>
      </c>
      <c r="M258" s="24">
        <f>MIN(($C258+$F258),$L258)</f>
        <v/>
      </c>
      <c r="N258" s="24">
        <f>MIN(($D258+$X258),MAX(0,$K258-$O258))</f>
        <v/>
      </c>
      <c r="O258" s="24">
        <f>MIN(MAX(0,MAX(0,$E258-$I258)-$U258),$K258)</f>
        <v/>
      </c>
      <c r="P258" s="24">
        <f>MAX(0,$K258-$O258)-$N258</f>
        <v/>
      </c>
      <c r="Q258" s="23">
        <f>$V257</f>
        <v/>
      </c>
      <c r="R258" s="24">
        <f>$Q258*Inputs!$C$19/12</f>
        <v/>
      </c>
      <c r="S258" s="24">
        <f>MIN(MAX(0,($C258+$F258)-$M258),$R258)</f>
        <v/>
      </c>
      <c r="T258" s="24">
        <f>MIN(MAX(0,($D258+$X258)-$N258),MAX(0,$Q258-$U258))</f>
        <v/>
      </c>
      <c r="U258" s="24">
        <f>MIN(MAX(0,$E258-$I258),$Q258)</f>
        <v/>
      </c>
      <c r="V258" s="24">
        <f>MAX(0,$Q258-$U258)-$T258</f>
        <v/>
      </c>
      <c r="W258" s="24">
        <f>MAX(0,MAX(0,($C258+$F258)-$M258)-$S258)-MIN(MAX(0,$D$3-(MAX(0,$F258-MAX(0,($M258+$S258)-$C258)))),MAX(0,MAX(0,($C258+$F258)-$M258)-$S258))</f>
        <v/>
      </c>
      <c r="X258" s="24">
        <f>IF(Inputs!$C$39=1,$W258,0)</f>
        <v/>
      </c>
      <c r="Y258" s="24">
        <f>IF(Inputs!$C$39=0,$W258,0)+MAX(0,MAX(0,($D258+$X258)-$N258)-$T258)</f>
        <v/>
      </c>
    </row>
    <row r="259">
      <c r="B259" s="22" t="n">
        <v>254</v>
      </c>
      <c r="C259" s="29">
        <f>IF($B259&lt;=Inputs!$C$6+Inputs!$C$11,Cashflow_Asset!$E257-Cashflow_Asset!$K257,0)</f>
        <v/>
      </c>
      <c r="D259" s="29">
        <f>IF($B259&lt;=Inputs!$C$6+Inputs!$C$11,Cashflow_Asset!$F257+Cashflow_Asset!$G257+Cashflow_Asset!$I257,0)</f>
        <v/>
      </c>
      <c r="E259" s="29">
        <f>IF($B259&lt;=Inputs!$C$6+Inputs!$C$11,Cashflow_Asset!$J257,0)</f>
        <v/>
      </c>
      <c r="F259" s="23">
        <f>$G258</f>
        <v/>
      </c>
      <c r="G259" s="24">
        <f>(MAX(0,$F259-MAX(0,($M259+$S259)-$C259)))+MIN(MAX(0,$D$3-(MAX(0,$F259-MAX(0,($M259+$S259)-$C259)))),MAX(0,MAX(0,($C259+$F259)-$M259)-$S259))</f>
        <v/>
      </c>
      <c r="H259" s="23">
        <f>$J258</f>
        <v/>
      </c>
      <c r="I259" s="24">
        <f>MIN($E259,$H259)</f>
        <v/>
      </c>
      <c r="J259" s="24">
        <f>$H259-$I259</f>
        <v/>
      </c>
      <c r="K259" s="23">
        <f>$P258</f>
        <v/>
      </c>
      <c r="L259" s="24">
        <f>$K259*Inputs!$C$18/12</f>
        <v/>
      </c>
      <c r="M259" s="24">
        <f>MIN(($C259+$F259),$L259)</f>
        <v/>
      </c>
      <c r="N259" s="24">
        <f>MIN(($D259+$X259),MAX(0,$K259-$O259))</f>
        <v/>
      </c>
      <c r="O259" s="24">
        <f>MIN(MAX(0,MAX(0,$E259-$I259)-$U259),$K259)</f>
        <v/>
      </c>
      <c r="P259" s="24">
        <f>MAX(0,$K259-$O259)-$N259</f>
        <v/>
      </c>
      <c r="Q259" s="23">
        <f>$V258</f>
        <v/>
      </c>
      <c r="R259" s="24">
        <f>$Q259*Inputs!$C$19/12</f>
        <v/>
      </c>
      <c r="S259" s="24">
        <f>MIN(MAX(0,($C259+$F259)-$M259),$R259)</f>
        <v/>
      </c>
      <c r="T259" s="24">
        <f>MIN(MAX(0,($D259+$X259)-$N259),MAX(0,$Q259-$U259))</f>
        <v/>
      </c>
      <c r="U259" s="24">
        <f>MIN(MAX(0,$E259-$I259),$Q259)</f>
        <v/>
      </c>
      <c r="V259" s="24">
        <f>MAX(0,$Q259-$U259)-$T259</f>
        <v/>
      </c>
      <c r="W259" s="24">
        <f>MAX(0,MAX(0,($C259+$F259)-$M259)-$S259)-MIN(MAX(0,$D$3-(MAX(0,$F259-MAX(0,($M259+$S259)-$C259)))),MAX(0,MAX(0,($C259+$F259)-$M259)-$S259))</f>
        <v/>
      </c>
      <c r="X259" s="24">
        <f>IF(Inputs!$C$39=1,$W259,0)</f>
        <v/>
      </c>
      <c r="Y259" s="24">
        <f>IF(Inputs!$C$39=0,$W259,0)+MAX(0,MAX(0,($D259+$X259)-$N259)-$T259)</f>
        <v/>
      </c>
    </row>
    <row r="260">
      <c r="B260" s="22" t="n">
        <v>255</v>
      </c>
      <c r="C260" s="29">
        <f>IF($B260&lt;=Inputs!$C$6+Inputs!$C$11,Cashflow_Asset!$E258-Cashflow_Asset!$K258,0)</f>
        <v/>
      </c>
      <c r="D260" s="29">
        <f>IF($B260&lt;=Inputs!$C$6+Inputs!$C$11,Cashflow_Asset!$F258+Cashflow_Asset!$G258+Cashflow_Asset!$I258,0)</f>
        <v/>
      </c>
      <c r="E260" s="29">
        <f>IF($B260&lt;=Inputs!$C$6+Inputs!$C$11,Cashflow_Asset!$J258,0)</f>
        <v/>
      </c>
      <c r="F260" s="23">
        <f>$G259</f>
        <v/>
      </c>
      <c r="G260" s="24">
        <f>(MAX(0,$F260-MAX(0,($M260+$S260)-$C260)))+MIN(MAX(0,$D$3-(MAX(0,$F260-MAX(0,($M260+$S260)-$C260)))),MAX(0,MAX(0,($C260+$F260)-$M260)-$S260))</f>
        <v/>
      </c>
      <c r="H260" s="23">
        <f>$J259</f>
        <v/>
      </c>
      <c r="I260" s="24">
        <f>MIN($E260,$H260)</f>
        <v/>
      </c>
      <c r="J260" s="24">
        <f>$H260-$I260</f>
        <v/>
      </c>
      <c r="K260" s="23">
        <f>$P259</f>
        <v/>
      </c>
      <c r="L260" s="24">
        <f>$K260*Inputs!$C$18/12</f>
        <v/>
      </c>
      <c r="M260" s="24">
        <f>MIN(($C260+$F260),$L260)</f>
        <v/>
      </c>
      <c r="N260" s="24">
        <f>MIN(($D260+$X260),MAX(0,$K260-$O260))</f>
        <v/>
      </c>
      <c r="O260" s="24">
        <f>MIN(MAX(0,MAX(0,$E260-$I260)-$U260),$K260)</f>
        <v/>
      </c>
      <c r="P260" s="24">
        <f>MAX(0,$K260-$O260)-$N260</f>
        <v/>
      </c>
      <c r="Q260" s="23">
        <f>$V259</f>
        <v/>
      </c>
      <c r="R260" s="24">
        <f>$Q260*Inputs!$C$19/12</f>
        <v/>
      </c>
      <c r="S260" s="24">
        <f>MIN(MAX(0,($C260+$F260)-$M260),$R260)</f>
        <v/>
      </c>
      <c r="T260" s="24">
        <f>MIN(MAX(0,($D260+$X260)-$N260),MAX(0,$Q260-$U260))</f>
        <v/>
      </c>
      <c r="U260" s="24">
        <f>MIN(MAX(0,$E260-$I260),$Q260)</f>
        <v/>
      </c>
      <c r="V260" s="24">
        <f>MAX(0,$Q260-$U260)-$T260</f>
        <v/>
      </c>
      <c r="W260" s="24">
        <f>MAX(0,MAX(0,($C260+$F260)-$M260)-$S260)-MIN(MAX(0,$D$3-(MAX(0,$F260-MAX(0,($M260+$S260)-$C260)))),MAX(0,MAX(0,($C260+$F260)-$M260)-$S260))</f>
        <v/>
      </c>
      <c r="X260" s="24">
        <f>IF(Inputs!$C$39=1,$W260,0)</f>
        <v/>
      </c>
      <c r="Y260" s="24">
        <f>IF(Inputs!$C$39=0,$W260,0)+MAX(0,MAX(0,($D260+$X260)-$N260)-$T260)</f>
        <v/>
      </c>
    </row>
    <row r="261">
      <c r="B261" s="22" t="n">
        <v>256</v>
      </c>
      <c r="C261" s="29">
        <f>IF($B261&lt;=Inputs!$C$6+Inputs!$C$11,Cashflow_Asset!$E259-Cashflow_Asset!$K259,0)</f>
        <v/>
      </c>
      <c r="D261" s="29">
        <f>IF($B261&lt;=Inputs!$C$6+Inputs!$C$11,Cashflow_Asset!$F259+Cashflow_Asset!$G259+Cashflow_Asset!$I259,0)</f>
        <v/>
      </c>
      <c r="E261" s="29">
        <f>IF($B261&lt;=Inputs!$C$6+Inputs!$C$11,Cashflow_Asset!$J259,0)</f>
        <v/>
      </c>
      <c r="F261" s="23">
        <f>$G260</f>
        <v/>
      </c>
      <c r="G261" s="24">
        <f>(MAX(0,$F261-MAX(0,($M261+$S261)-$C261)))+MIN(MAX(0,$D$3-(MAX(0,$F261-MAX(0,($M261+$S261)-$C261)))),MAX(0,MAX(0,($C261+$F261)-$M261)-$S261))</f>
        <v/>
      </c>
      <c r="H261" s="23">
        <f>$J260</f>
        <v/>
      </c>
      <c r="I261" s="24">
        <f>MIN($E261,$H261)</f>
        <v/>
      </c>
      <c r="J261" s="24">
        <f>$H261-$I261</f>
        <v/>
      </c>
      <c r="K261" s="23">
        <f>$P260</f>
        <v/>
      </c>
      <c r="L261" s="24">
        <f>$K261*Inputs!$C$18/12</f>
        <v/>
      </c>
      <c r="M261" s="24">
        <f>MIN(($C261+$F261),$L261)</f>
        <v/>
      </c>
      <c r="N261" s="24">
        <f>MIN(($D261+$X261),MAX(0,$K261-$O261))</f>
        <v/>
      </c>
      <c r="O261" s="24">
        <f>MIN(MAX(0,MAX(0,$E261-$I261)-$U261),$K261)</f>
        <v/>
      </c>
      <c r="P261" s="24">
        <f>MAX(0,$K261-$O261)-$N261</f>
        <v/>
      </c>
      <c r="Q261" s="23">
        <f>$V260</f>
        <v/>
      </c>
      <c r="R261" s="24">
        <f>$Q261*Inputs!$C$19/12</f>
        <v/>
      </c>
      <c r="S261" s="24">
        <f>MIN(MAX(0,($C261+$F261)-$M261),$R261)</f>
        <v/>
      </c>
      <c r="T261" s="24">
        <f>MIN(MAX(0,($D261+$X261)-$N261),MAX(0,$Q261-$U261))</f>
        <v/>
      </c>
      <c r="U261" s="24">
        <f>MIN(MAX(0,$E261-$I261),$Q261)</f>
        <v/>
      </c>
      <c r="V261" s="24">
        <f>MAX(0,$Q261-$U261)-$T261</f>
        <v/>
      </c>
      <c r="W261" s="24">
        <f>MAX(0,MAX(0,($C261+$F261)-$M261)-$S261)-MIN(MAX(0,$D$3-(MAX(0,$F261-MAX(0,($M261+$S261)-$C261)))),MAX(0,MAX(0,($C261+$F261)-$M261)-$S261))</f>
        <v/>
      </c>
      <c r="X261" s="24">
        <f>IF(Inputs!$C$39=1,$W261,0)</f>
        <v/>
      </c>
      <c r="Y261" s="24">
        <f>IF(Inputs!$C$39=0,$W261,0)+MAX(0,MAX(0,($D261+$X261)-$N261)-$T261)</f>
        <v/>
      </c>
    </row>
    <row r="262">
      <c r="B262" s="22" t="n">
        <v>257</v>
      </c>
      <c r="C262" s="29">
        <f>IF($B262&lt;=Inputs!$C$6+Inputs!$C$11,Cashflow_Asset!$E260-Cashflow_Asset!$K260,0)</f>
        <v/>
      </c>
      <c r="D262" s="29">
        <f>IF($B262&lt;=Inputs!$C$6+Inputs!$C$11,Cashflow_Asset!$F260+Cashflow_Asset!$G260+Cashflow_Asset!$I260,0)</f>
        <v/>
      </c>
      <c r="E262" s="29">
        <f>IF($B262&lt;=Inputs!$C$6+Inputs!$C$11,Cashflow_Asset!$J260,0)</f>
        <v/>
      </c>
      <c r="F262" s="23">
        <f>$G261</f>
        <v/>
      </c>
      <c r="G262" s="24">
        <f>(MAX(0,$F262-MAX(0,($M262+$S262)-$C262)))+MIN(MAX(0,$D$3-(MAX(0,$F262-MAX(0,($M262+$S262)-$C262)))),MAX(0,MAX(0,($C262+$F262)-$M262)-$S262))</f>
        <v/>
      </c>
      <c r="H262" s="23">
        <f>$J261</f>
        <v/>
      </c>
      <c r="I262" s="24">
        <f>MIN($E262,$H262)</f>
        <v/>
      </c>
      <c r="J262" s="24">
        <f>$H262-$I262</f>
        <v/>
      </c>
      <c r="K262" s="23">
        <f>$P261</f>
        <v/>
      </c>
      <c r="L262" s="24">
        <f>$K262*Inputs!$C$18/12</f>
        <v/>
      </c>
      <c r="M262" s="24">
        <f>MIN(($C262+$F262),$L262)</f>
        <v/>
      </c>
      <c r="N262" s="24">
        <f>MIN(($D262+$X262),MAX(0,$K262-$O262))</f>
        <v/>
      </c>
      <c r="O262" s="24">
        <f>MIN(MAX(0,MAX(0,$E262-$I262)-$U262),$K262)</f>
        <v/>
      </c>
      <c r="P262" s="24">
        <f>MAX(0,$K262-$O262)-$N262</f>
        <v/>
      </c>
      <c r="Q262" s="23">
        <f>$V261</f>
        <v/>
      </c>
      <c r="R262" s="24">
        <f>$Q262*Inputs!$C$19/12</f>
        <v/>
      </c>
      <c r="S262" s="24">
        <f>MIN(MAX(0,($C262+$F262)-$M262),$R262)</f>
        <v/>
      </c>
      <c r="T262" s="24">
        <f>MIN(MAX(0,($D262+$X262)-$N262),MAX(0,$Q262-$U262))</f>
        <v/>
      </c>
      <c r="U262" s="24">
        <f>MIN(MAX(0,$E262-$I262),$Q262)</f>
        <v/>
      </c>
      <c r="V262" s="24">
        <f>MAX(0,$Q262-$U262)-$T262</f>
        <v/>
      </c>
      <c r="W262" s="24">
        <f>MAX(0,MAX(0,($C262+$F262)-$M262)-$S262)-MIN(MAX(0,$D$3-(MAX(0,$F262-MAX(0,($M262+$S262)-$C262)))),MAX(0,MAX(0,($C262+$F262)-$M262)-$S262))</f>
        <v/>
      </c>
      <c r="X262" s="24">
        <f>IF(Inputs!$C$39=1,$W262,0)</f>
        <v/>
      </c>
      <c r="Y262" s="24">
        <f>IF(Inputs!$C$39=0,$W262,0)+MAX(0,MAX(0,($D262+$X262)-$N262)-$T262)</f>
        <v/>
      </c>
    </row>
    <row r="263">
      <c r="B263" s="22" t="n">
        <v>258</v>
      </c>
      <c r="C263" s="29">
        <f>IF($B263&lt;=Inputs!$C$6+Inputs!$C$11,Cashflow_Asset!$E261-Cashflow_Asset!$K261,0)</f>
        <v/>
      </c>
      <c r="D263" s="29">
        <f>IF($B263&lt;=Inputs!$C$6+Inputs!$C$11,Cashflow_Asset!$F261+Cashflow_Asset!$G261+Cashflow_Asset!$I261,0)</f>
        <v/>
      </c>
      <c r="E263" s="29">
        <f>IF($B263&lt;=Inputs!$C$6+Inputs!$C$11,Cashflow_Asset!$J261,0)</f>
        <v/>
      </c>
      <c r="F263" s="23">
        <f>$G262</f>
        <v/>
      </c>
      <c r="G263" s="24">
        <f>(MAX(0,$F263-MAX(0,($M263+$S263)-$C263)))+MIN(MAX(0,$D$3-(MAX(0,$F263-MAX(0,($M263+$S263)-$C263)))),MAX(0,MAX(0,($C263+$F263)-$M263)-$S263))</f>
        <v/>
      </c>
      <c r="H263" s="23">
        <f>$J262</f>
        <v/>
      </c>
      <c r="I263" s="24">
        <f>MIN($E263,$H263)</f>
        <v/>
      </c>
      <c r="J263" s="24">
        <f>$H263-$I263</f>
        <v/>
      </c>
      <c r="K263" s="23">
        <f>$P262</f>
        <v/>
      </c>
      <c r="L263" s="24">
        <f>$K263*Inputs!$C$18/12</f>
        <v/>
      </c>
      <c r="M263" s="24">
        <f>MIN(($C263+$F263),$L263)</f>
        <v/>
      </c>
      <c r="N263" s="24">
        <f>MIN(($D263+$X263),MAX(0,$K263-$O263))</f>
        <v/>
      </c>
      <c r="O263" s="24">
        <f>MIN(MAX(0,MAX(0,$E263-$I263)-$U263),$K263)</f>
        <v/>
      </c>
      <c r="P263" s="24">
        <f>MAX(0,$K263-$O263)-$N263</f>
        <v/>
      </c>
      <c r="Q263" s="23">
        <f>$V262</f>
        <v/>
      </c>
      <c r="R263" s="24">
        <f>$Q263*Inputs!$C$19/12</f>
        <v/>
      </c>
      <c r="S263" s="24">
        <f>MIN(MAX(0,($C263+$F263)-$M263),$R263)</f>
        <v/>
      </c>
      <c r="T263" s="24">
        <f>MIN(MAX(0,($D263+$X263)-$N263),MAX(0,$Q263-$U263))</f>
        <v/>
      </c>
      <c r="U263" s="24">
        <f>MIN(MAX(0,$E263-$I263),$Q263)</f>
        <v/>
      </c>
      <c r="V263" s="24">
        <f>MAX(0,$Q263-$U263)-$T263</f>
        <v/>
      </c>
      <c r="W263" s="24">
        <f>MAX(0,MAX(0,($C263+$F263)-$M263)-$S263)-MIN(MAX(0,$D$3-(MAX(0,$F263-MAX(0,($M263+$S263)-$C263)))),MAX(0,MAX(0,($C263+$F263)-$M263)-$S263))</f>
        <v/>
      </c>
      <c r="X263" s="24">
        <f>IF(Inputs!$C$39=1,$W263,0)</f>
        <v/>
      </c>
      <c r="Y263" s="24">
        <f>IF(Inputs!$C$39=0,$W263,0)+MAX(0,MAX(0,($D263+$X263)-$N263)-$T263)</f>
        <v/>
      </c>
    </row>
    <row r="264">
      <c r="B264" s="22" t="n">
        <v>259</v>
      </c>
      <c r="C264" s="29">
        <f>IF($B264&lt;=Inputs!$C$6+Inputs!$C$11,Cashflow_Asset!$E262-Cashflow_Asset!$K262,0)</f>
        <v/>
      </c>
      <c r="D264" s="29">
        <f>IF($B264&lt;=Inputs!$C$6+Inputs!$C$11,Cashflow_Asset!$F262+Cashflow_Asset!$G262+Cashflow_Asset!$I262,0)</f>
        <v/>
      </c>
      <c r="E264" s="29">
        <f>IF($B264&lt;=Inputs!$C$6+Inputs!$C$11,Cashflow_Asset!$J262,0)</f>
        <v/>
      </c>
      <c r="F264" s="23">
        <f>$G263</f>
        <v/>
      </c>
      <c r="G264" s="24">
        <f>(MAX(0,$F264-MAX(0,($M264+$S264)-$C264)))+MIN(MAX(0,$D$3-(MAX(0,$F264-MAX(0,($M264+$S264)-$C264)))),MAX(0,MAX(0,($C264+$F264)-$M264)-$S264))</f>
        <v/>
      </c>
      <c r="H264" s="23">
        <f>$J263</f>
        <v/>
      </c>
      <c r="I264" s="24">
        <f>MIN($E264,$H264)</f>
        <v/>
      </c>
      <c r="J264" s="24">
        <f>$H264-$I264</f>
        <v/>
      </c>
      <c r="K264" s="23">
        <f>$P263</f>
        <v/>
      </c>
      <c r="L264" s="24">
        <f>$K264*Inputs!$C$18/12</f>
        <v/>
      </c>
      <c r="M264" s="24">
        <f>MIN(($C264+$F264),$L264)</f>
        <v/>
      </c>
      <c r="N264" s="24">
        <f>MIN(($D264+$X264),MAX(0,$K264-$O264))</f>
        <v/>
      </c>
      <c r="O264" s="24">
        <f>MIN(MAX(0,MAX(0,$E264-$I264)-$U264),$K264)</f>
        <v/>
      </c>
      <c r="P264" s="24">
        <f>MAX(0,$K264-$O264)-$N264</f>
        <v/>
      </c>
      <c r="Q264" s="23">
        <f>$V263</f>
        <v/>
      </c>
      <c r="R264" s="24">
        <f>$Q264*Inputs!$C$19/12</f>
        <v/>
      </c>
      <c r="S264" s="24">
        <f>MIN(MAX(0,($C264+$F264)-$M264),$R264)</f>
        <v/>
      </c>
      <c r="T264" s="24">
        <f>MIN(MAX(0,($D264+$X264)-$N264),MAX(0,$Q264-$U264))</f>
        <v/>
      </c>
      <c r="U264" s="24">
        <f>MIN(MAX(0,$E264-$I264),$Q264)</f>
        <v/>
      </c>
      <c r="V264" s="24">
        <f>MAX(0,$Q264-$U264)-$T264</f>
        <v/>
      </c>
      <c r="W264" s="24">
        <f>MAX(0,MAX(0,($C264+$F264)-$M264)-$S264)-MIN(MAX(0,$D$3-(MAX(0,$F264-MAX(0,($M264+$S264)-$C264)))),MAX(0,MAX(0,($C264+$F264)-$M264)-$S264))</f>
        <v/>
      </c>
      <c r="X264" s="24">
        <f>IF(Inputs!$C$39=1,$W264,0)</f>
        <v/>
      </c>
      <c r="Y264" s="24">
        <f>IF(Inputs!$C$39=0,$W264,0)+MAX(0,MAX(0,($D264+$X264)-$N264)-$T264)</f>
        <v/>
      </c>
    </row>
    <row r="265">
      <c r="B265" s="22" t="n">
        <v>260</v>
      </c>
      <c r="C265" s="29">
        <f>IF($B265&lt;=Inputs!$C$6+Inputs!$C$11,Cashflow_Asset!$E263-Cashflow_Asset!$K263,0)</f>
        <v/>
      </c>
      <c r="D265" s="29">
        <f>IF($B265&lt;=Inputs!$C$6+Inputs!$C$11,Cashflow_Asset!$F263+Cashflow_Asset!$G263+Cashflow_Asset!$I263,0)</f>
        <v/>
      </c>
      <c r="E265" s="29">
        <f>IF($B265&lt;=Inputs!$C$6+Inputs!$C$11,Cashflow_Asset!$J263,0)</f>
        <v/>
      </c>
      <c r="F265" s="23">
        <f>$G264</f>
        <v/>
      </c>
      <c r="G265" s="24">
        <f>(MAX(0,$F265-MAX(0,($M265+$S265)-$C265)))+MIN(MAX(0,$D$3-(MAX(0,$F265-MAX(0,($M265+$S265)-$C265)))),MAX(0,MAX(0,($C265+$F265)-$M265)-$S265))</f>
        <v/>
      </c>
      <c r="H265" s="23">
        <f>$J264</f>
        <v/>
      </c>
      <c r="I265" s="24">
        <f>MIN($E265,$H265)</f>
        <v/>
      </c>
      <c r="J265" s="24">
        <f>$H265-$I265</f>
        <v/>
      </c>
      <c r="K265" s="23">
        <f>$P264</f>
        <v/>
      </c>
      <c r="L265" s="24">
        <f>$K265*Inputs!$C$18/12</f>
        <v/>
      </c>
      <c r="M265" s="24">
        <f>MIN(($C265+$F265),$L265)</f>
        <v/>
      </c>
      <c r="N265" s="24">
        <f>MIN(($D265+$X265),MAX(0,$K265-$O265))</f>
        <v/>
      </c>
      <c r="O265" s="24">
        <f>MIN(MAX(0,MAX(0,$E265-$I265)-$U265),$K265)</f>
        <v/>
      </c>
      <c r="P265" s="24">
        <f>MAX(0,$K265-$O265)-$N265</f>
        <v/>
      </c>
      <c r="Q265" s="23">
        <f>$V264</f>
        <v/>
      </c>
      <c r="R265" s="24">
        <f>$Q265*Inputs!$C$19/12</f>
        <v/>
      </c>
      <c r="S265" s="24">
        <f>MIN(MAX(0,($C265+$F265)-$M265),$R265)</f>
        <v/>
      </c>
      <c r="T265" s="24">
        <f>MIN(MAX(0,($D265+$X265)-$N265),MAX(0,$Q265-$U265))</f>
        <v/>
      </c>
      <c r="U265" s="24">
        <f>MIN(MAX(0,$E265-$I265),$Q265)</f>
        <v/>
      </c>
      <c r="V265" s="24">
        <f>MAX(0,$Q265-$U265)-$T265</f>
        <v/>
      </c>
      <c r="W265" s="24">
        <f>MAX(0,MAX(0,($C265+$F265)-$M265)-$S265)-MIN(MAX(0,$D$3-(MAX(0,$F265-MAX(0,($M265+$S265)-$C265)))),MAX(0,MAX(0,($C265+$F265)-$M265)-$S265))</f>
        <v/>
      </c>
      <c r="X265" s="24">
        <f>IF(Inputs!$C$39=1,$W265,0)</f>
        <v/>
      </c>
      <c r="Y265" s="24">
        <f>IF(Inputs!$C$39=0,$W265,0)+MAX(0,MAX(0,($D265+$X265)-$N265)-$T265)</f>
        <v/>
      </c>
    </row>
    <row r="266">
      <c r="B266" s="22" t="n">
        <v>261</v>
      </c>
      <c r="C266" s="29">
        <f>IF($B266&lt;=Inputs!$C$6+Inputs!$C$11,Cashflow_Asset!$E264-Cashflow_Asset!$K264,0)</f>
        <v/>
      </c>
      <c r="D266" s="29">
        <f>IF($B266&lt;=Inputs!$C$6+Inputs!$C$11,Cashflow_Asset!$F264+Cashflow_Asset!$G264+Cashflow_Asset!$I264,0)</f>
        <v/>
      </c>
      <c r="E266" s="29">
        <f>IF($B266&lt;=Inputs!$C$6+Inputs!$C$11,Cashflow_Asset!$J264,0)</f>
        <v/>
      </c>
      <c r="F266" s="23">
        <f>$G265</f>
        <v/>
      </c>
      <c r="G266" s="24">
        <f>(MAX(0,$F266-MAX(0,($M266+$S266)-$C266)))+MIN(MAX(0,$D$3-(MAX(0,$F266-MAX(0,($M266+$S266)-$C266)))),MAX(0,MAX(0,($C266+$F266)-$M266)-$S266))</f>
        <v/>
      </c>
      <c r="H266" s="23">
        <f>$J265</f>
        <v/>
      </c>
      <c r="I266" s="24">
        <f>MIN($E266,$H266)</f>
        <v/>
      </c>
      <c r="J266" s="24">
        <f>$H266-$I266</f>
        <v/>
      </c>
      <c r="K266" s="23">
        <f>$P265</f>
        <v/>
      </c>
      <c r="L266" s="24">
        <f>$K266*Inputs!$C$18/12</f>
        <v/>
      </c>
      <c r="M266" s="24">
        <f>MIN(($C266+$F266),$L266)</f>
        <v/>
      </c>
      <c r="N266" s="24">
        <f>MIN(($D266+$X266),MAX(0,$K266-$O266))</f>
        <v/>
      </c>
      <c r="O266" s="24">
        <f>MIN(MAX(0,MAX(0,$E266-$I266)-$U266),$K266)</f>
        <v/>
      </c>
      <c r="P266" s="24">
        <f>MAX(0,$K266-$O266)-$N266</f>
        <v/>
      </c>
      <c r="Q266" s="23">
        <f>$V265</f>
        <v/>
      </c>
      <c r="R266" s="24">
        <f>$Q266*Inputs!$C$19/12</f>
        <v/>
      </c>
      <c r="S266" s="24">
        <f>MIN(MAX(0,($C266+$F266)-$M266),$R266)</f>
        <v/>
      </c>
      <c r="T266" s="24">
        <f>MIN(MAX(0,($D266+$X266)-$N266),MAX(0,$Q266-$U266))</f>
        <v/>
      </c>
      <c r="U266" s="24">
        <f>MIN(MAX(0,$E266-$I266),$Q266)</f>
        <v/>
      </c>
      <c r="V266" s="24">
        <f>MAX(0,$Q266-$U266)-$T266</f>
        <v/>
      </c>
      <c r="W266" s="24">
        <f>MAX(0,MAX(0,($C266+$F266)-$M266)-$S266)-MIN(MAX(0,$D$3-(MAX(0,$F266-MAX(0,($M266+$S266)-$C266)))),MAX(0,MAX(0,($C266+$F266)-$M266)-$S266))</f>
        <v/>
      </c>
      <c r="X266" s="24">
        <f>IF(Inputs!$C$39=1,$W266,0)</f>
        <v/>
      </c>
      <c r="Y266" s="24">
        <f>IF(Inputs!$C$39=0,$W266,0)+MAX(0,MAX(0,($D266+$X266)-$N266)-$T266)</f>
        <v/>
      </c>
    </row>
    <row r="267">
      <c r="B267" s="22" t="n">
        <v>262</v>
      </c>
      <c r="C267" s="29">
        <f>IF($B267&lt;=Inputs!$C$6+Inputs!$C$11,Cashflow_Asset!$E265-Cashflow_Asset!$K265,0)</f>
        <v/>
      </c>
      <c r="D267" s="29">
        <f>IF($B267&lt;=Inputs!$C$6+Inputs!$C$11,Cashflow_Asset!$F265+Cashflow_Asset!$G265+Cashflow_Asset!$I265,0)</f>
        <v/>
      </c>
      <c r="E267" s="29">
        <f>IF($B267&lt;=Inputs!$C$6+Inputs!$C$11,Cashflow_Asset!$J265,0)</f>
        <v/>
      </c>
      <c r="F267" s="23">
        <f>$G266</f>
        <v/>
      </c>
      <c r="G267" s="24">
        <f>(MAX(0,$F267-MAX(0,($M267+$S267)-$C267)))+MIN(MAX(0,$D$3-(MAX(0,$F267-MAX(0,($M267+$S267)-$C267)))),MAX(0,MAX(0,($C267+$F267)-$M267)-$S267))</f>
        <v/>
      </c>
      <c r="H267" s="23">
        <f>$J266</f>
        <v/>
      </c>
      <c r="I267" s="24">
        <f>MIN($E267,$H267)</f>
        <v/>
      </c>
      <c r="J267" s="24">
        <f>$H267-$I267</f>
        <v/>
      </c>
      <c r="K267" s="23">
        <f>$P266</f>
        <v/>
      </c>
      <c r="L267" s="24">
        <f>$K267*Inputs!$C$18/12</f>
        <v/>
      </c>
      <c r="M267" s="24">
        <f>MIN(($C267+$F267),$L267)</f>
        <v/>
      </c>
      <c r="N267" s="24">
        <f>MIN(($D267+$X267),MAX(0,$K267-$O267))</f>
        <v/>
      </c>
      <c r="O267" s="24">
        <f>MIN(MAX(0,MAX(0,$E267-$I267)-$U267),$K267)</f>
        <v/>
      </c>
      <c r="P267" s="24">
        <f>MAX(0,$K267-$O267)-$N267</f>
        <v/>
      </c>
      <c r="Q267" s="23">
        <f>$V266</f>
        <v/>
      </c>
      <c r="R267" s="24">
        <f>$Q267*Inputs!$C$19/12</f>
        <v/>
      </c>
      <c r="S267" s="24">
        <f>MIN(MAX(0,($C267+$F267)-$M267),$R267)</f>
        <v/>
      </c>
      <c r="T267" s="24">
        <f>MIN(MAX(0,($D267+$X267)-$N267),MAX(0,$Q267-$U267))</f>
        <v/>
      </c>
      <c r="U267" s="24">
        <f>MIN(MAX(0,$E267-$I267),$Q267)</f>
        <v/>
      </c>
      <c r="V267" s="24">
        <f>MAX(0,$Q267-$U267)-$T267</f>
        <v/>
      </c>
      <c r="W267" s="24">
        <f>MAX(0,MAX(0,($C267+$F267)-$M267)-$S267)-MIN(MAX(0,$D$3-(MAX(0,$F267-MAX(0,($M267+$S267)-$C267)))),MAX(0,MAX(0,($C267+$F267)-$M267)-$S267))</f>
        <v/>
      </c>
      <c r="X267" s="24">
        <f>IF(Inputs!$C$39=1,$W267,0)</f>
        <v/>
      </c>
      <c r="Y267" s="24">
        <f>IF(Inputs!$C$39=0,$W267,0)+MAX(0,MAX(0,($D267+$X267)-$N267)-$T267)</f>
        <v/>
      </c>
    </row>
    <row r="268">
      <c r="B268" s="22" t="n">
        <v>263</v>
      </c>
      <c r="C268" s="29">
        <f>IF($B268&lt;=Inputs!$C$6+Inputs!$C$11,Cashflow_Asset!$E266-Cashflow_Asset!$K266,0)</f>
        <v/>
      </c>
      <c r="D268" s="29">
        <f>IF($B268&lt;=Inputs!$C$6+Inputs!$C$11,Cashflow_Asset!$F266+Cashflow_Asset!$G266+Cashflow_Asset!$I266,0)</f>
        <v/>
      </c>
      <c r="E268" s="29">
        <f>IF($B268&lt;=Inputs!$C$6+Inputs!$C$11,Cashflow_Asset!$J266,0)</f>
        <v/>
      </c>
      <c r="F268" s="23">
        <f>$G267</f>
        <v/>
      </c>
      <c r="G268" s="24">
        <f>(MAX(0,$F268-MAX(0,($M268+$S268)-$C268)))+MIN(MAX(0,$D$3-(MAX(0,$F268-MAX(0,($M268+$S268)-$C268)))),MAX(0,MAX(0,($C268+$F268)-$M268)-$S268))</f>
        <v/>
      </c>
      <c r="H268" s="23">
        <f>$J267</f>
        <v/>
      </c>
      <c r="I268" s="24">
        <f>MIN($E268,$H268)</f>
        <v/>
      </c>
      <c r="J268" s="24">
        <f>$H268-$I268</f>
        <v/>
      </c>
      <c r="K268" s="23">
        <f>$P267</f>
        <v/>
      </c>
      <c r="L268" s="24">
        <f>$K268*Inputs!$C$18/12</f>
        <v/>
      </c>
      <c r="M268" s="24">
        <f>MIN(($C268+$F268),$L268)</f>
        <v/>
      </c>
      <c r="N268" s="24">
        <f>MIN(($D268+$X268),MAX(0,$K268-$O268))</f>
        <v/>
      </c>
      <c r="O268" s="24">
        <f>MIN(MAX(0,MAX(0,$E268-$I268)-$U268),$K268)</f>
        <v/>
      </c>
      <c r="P268" s="24">
        <f>MAX(0,$K268-$O268)-$N268</f>
        <v/>
      </c>
      <c r="Q268" s="23">
        <f>$V267</f>
        <v/>
      </c>
      <c r="R268" s="24">
        <f>$Q268*Inputs!$C$19/12</f>
        <v/>
      </c>
      <c r="S268" s="24">
        <f>MIN(MAX(0,($C268+$F268)-$M268),$R268)</f>
        <v/>
      </c>
      <c r="T268" s="24">
        <f>MIN(MAX(0,($D268+$X268)-$N268),MAX(0,$Q268-$U268))</f>
        <v/>
      </c>
      <c r="U268" s="24">
        <f>MIN(MAX(0,$E268-$I268),$Q268)</f>
        <v/>
      </c>
      <c r="V268" s="24">
        <f>MAX(0,$Q268-$U268)-$T268</f>
        <v/>
      </c>
      <c r="W268" s="24">
        <f>MAX(0,MAX(0,($C268+$F268)-$M268)-$S268)-MIN(MAX(0,$D$3-(MAX(0,$F268-MAX(0,($M268+$S268)-$C268)))),MAX(0,MAX(0,($C268+$F268)-$M268)-$S268))</f>
        <v/>
      </c>
      <c r="X268" s="24">
        <f>IF(Inputs!$C$39=1,$W268,0)</f>
        <v/>
      </c>
      <c r="Y268" s="24">
        <f>IF(Inputs!$C$39=0,$W268,0)+MAX(0,MAX(0,($D268+$X268)-$N268)-$T268)</f>
        <v/>
      </c>
    </row>
    <row r="269">
      <c r="B269" s="22" t="n">
        <v>264</v>
      </c>
      <c r="C269" s="29">
        <f>IF($B269&lt;=Inputs!$C$6+Inputs!$C$11,Cashflow_Asset!$E267-Cashflow_Asset!$K267,0)</f>
        <v/>
      </c>
      <c r="D269" s="29">
        <f>IF($B269&lt;=Inputs!$C$6+Inputs!$C$11,Cashflow_Asset!$F267+Cashflow_Asset!$G267+Cashflow_Asset!$I267,0)</f>
        <v/>
      </c>
      <c r="E269" s="29">
        <f>IF($B269&lt;=Inputs!$C$6+Inputs!$C$11,Cashflow_Asset!$J267,0)</f>
        <v/>
      </c>
      <c r="F269" s="23">
        <f>$G268</f>
        <v/>
      </c>
      <c r="G269" s="24">
        <f>(MAX(0,$F269-MAX(0,($M269+$S269)-$C269)))+MIN(MAX(0,$D$3-(MAX(0,$F269-MAX(0,($M269+$S269)-$C269)))),MAX(0,MAX(0,($C269+$F269)-$M269)-$S269))</f>
        <v/>
      </c>
      <c r="H269" s="23">
        <f>$J268</f>
        <v/>
      </c>
      <c r="I269" s="24">
        <f>MIN($E269,$H269)</f>
        <v/>
      </c>
      <c r="J269" s="24">
        <f>$H269-$I269</f>
        <v/>
      </c>
      <c r="K269" s="23">
        <f>$P268</f>
        <v/>
      </c>
      <c r="L269" s="24">
        <f>$K269*Inputs!$C$18/12</f>
        <v/>
      </c>
      <c r="M269" s="24">
        <f>MIN(($C269+$F269),$L269)</f>
        <v/>
      </c>
      <c r="N269" s="24">
        <f>MIN(($D269+$X269),MAX(0,$K269-$O269))</f>
        <v/>
      </c>
      <c r="O269" s="24">
        <f>MIN(MAX(0,MAX(0,$E269-$I269)-$U269),$K269)</f>
        <v/>
      </c>
      <c r="P269" s="24">
        <f>MAX(0,$K269-$O269)-$N269</f>
        <v/>
      </c>
      <c r="Q269" s="23">
        <f>$V268</f>
        <v/>
      </c>
      <c r="R269" s="24">
        <f>$Q269*Inputs!$C$19/12</f>
        <v/>
      </c>
      <c r="S269" s="24">
        <f>MIN(MAX(0,($C269+$F269)-$M269),$R269)</f>
        <v/>
      </c>
      <c r="T269" s="24">
        <f>MIN(MAX(0,($D269+$X269)-$N269),MAX(0,$Q269-$U269))</f>
        <v/>
      </c>
      <c r="U269" s="24">
        <f>MIN(MAX(0,$E269-$I269),$Q269)</f>
        <v/>
      </c>
      <c r="V269" s="24">
        <f>MAX(0,$Q269-$U269)-$T269</f>
        <v/>
      </c>
      <c r="W269" s="24">
        <f>MAX(0,MAX(0,($C269+$F269)-$M269)-$S269)-MIN(MAX(0,$D$3-(MAX(0,$F269-MAX(0,($M269+$S269)-$C269)))),MAX(0,MAX(0,($C269+$F269)-$M269)-$S269))</f>
        <v/>
      </c>
      <c r="X269" s="24">
        <f>IF(Inputs!$C$39=1,$W269,0)</f>
        <v/>
      </c>
      <c r="Y269" s="24">
        <f>IF(Inputs!$C$39=0,$W269,0)+MAX(0,MAX(0,($D269+$X269)-$N269)-$T269)</f>
        <v/>
      </c>
    </row>
    <row r="270">
      <c r="B270" s="22" t="n">
        <v>265</v>
      </c>
      <c r="C270" s="29">
        <f>IF($B270&lt;=Inputs!$C$6+Inputs!$C$11,Cashflow_Asset!$E268-Cashflow_Asset!$K268,0)</f>
        <v/>
      </c>
      <c r="D270" s="29">
        <f>IF($B270&lt;=Inputs!$C$6+Inputs!$C$11,Cashflow_Asset!$F268+Cashflow_Asset!$G268+Cashflow_Asset!$I268,0)</f>
        <v/>
      </c>
      <c r="E270" s="29">
        <f>IF($B270&lt;=Inputs!$C$6+Inputs!$C$11,Cashflow_Asset!$J268,0)</f>
        <v/>
      </c>
      <c r="F270" s="23">
        <f>$G269</f>
        <v/>
      </c>
      <c r="G270" s="24">
        <f>(MAX(0,$F270-MAX(0,($M270+$S270)-$C270)))+MIN(MAX(0,$D$3-(MAX(0,$F270-MAX(0,($M270+$S270)-$C270)))),MAX(0,MAX(0,($C270+$F270)-$M270)-$S270))</f>
        <v/>
      </c>
      <c r="H270" s="23">
        <f>$J269</f>
        <v/>
      </c>
      <c r="I270" s="24">
        <f>MIN($E270,$H270)</f>
        <v/>
      </c>
      <c r="J270" s="24">
        <f>$H270-$I270</f>
        <v/>
      </c>
      <c r="K270" s="23">
        <f>$P269</f>
        <v/>
      </c>
      <c r="L270" s="24">
        <f>$K270*Inputs!$C$18/12</f>
        <v/>
      </c>
      <c r="M270" s="24">
        <f>MIN(($C270+$F270),$L270)</f>
        <v/>
      </c>
      <c r="N270" s="24">
        <f>MIN(($D270+$X270),MAX(0,$K270-$O270))</f>
        <v/>
      </c>
      <c r="O270" s="24">
        <f>MIN(MAX(0,MAX(0,$E270-$I270)-$U270),$K270)</f>
        <v/>
      </c>
      <c r="P270" s="24">
        <f>MAX(0,$K270-$O270)-$N270</f>
        <v/>
      </c>
      <c r="Q270" s="23">
        <f>$V269</f>
        <v/>
      </c>
      <c r="R270" s="24">
        <f>$Q270*Inputs!$C$19/12</f>
        <v/>
      </c>
      <c r="S270" s="24">
        <f>MIN(MAX(0,($C270+$F270)-$M270),$R270)</f>
        <v/>
      </c>
      <c r="T270" s="24">
        <f>MIN(MAX(0,($D270+$X270)-$N270),MAX(0,$Q270-$U270))</f>
        <v/>
      </c>
      <c r="U270" s="24">
        <f>MIN(MAX(0,$E270-$I270),$Q270)</f>
        <v/>
      </c>
      <c r="V270" s="24">
        <f>MAX(0,$Q270-$U270)-$T270</f>
        <v/>
      </c>
      <c r="W270" s="24">
        <f>MAX(0,MAX(0,($C270+$F270)-$M270)-$S270)-MIN(MAX(0,$D$3-(MAX(0,$F270-MAX(0,($M270+$S270)-$C270)))),MAX(0,MAX(0,($C270+$F270)-$M270)-$S270))</f>
        <v/>
      </c>
      <c r="X270" s="24">
        <f>IF(Inputs!$C$39=1,$W270,0)</f>
        <v/>
      </c>
      <c r="Y270" s="24">
        <f>IF(Inputs!$C$39=0,$W270,0)+MAX(0,MAX(0,($D270+$X270)-$N270)-$T270)</f>
        <v/>
      </c>
    </row>
    <row r="271">
      <c r="B271" s="22" t="n">
        <v>266</v>
      </c>
      <c r="C271" s="29">
        <f>IF($B271&lt;=Inputs!$C$6+Inputs!$C$11,Cashflow_Asset!$E269-Cashflow_Asset!$K269,0)</f>
        <v/>
      </c>
      <c r="D271" s="29">
        <f>IF($B271&lt;=Inputs!$C$6+Inputs!$C$11,Cashflow_Asset!$F269+Cashflow_Asset!$G269+Cashflow_Asset!$I269,0)</f>
        <v/>
      </c>
      <c r="E271" s="29">
        <f>IF($B271&lt;=Inputs!$C$6+Inputs!$C$11,Cashflow_Asset!$J269,0)</f>
        <v/>
      </c>
      <c r="F271" s="23">
        <f>$G270</f>
        <v/>
      </c>
      <c r="G271" s="24">
        <f>(MAX(0,$F271-MAX(0,($M271+$S271)-$C271)))+MIN(MAX(0,$D$3-(MAX(0,$F271-MAX(0,($M271+$S271)-$C271)))),MAX(0,MAX(0,($C271+$F271)-$M271)-$S271))</f>
        <v/>
      </c>
      <c r="H271" s="23">
        <f>$J270</f>
        <v/>
      </c>
      <c r="I271" s="24">
        <f>MIN($E271,$H271)</f>
        <v/>
      </c>
      <c r="J271" s="24">
        <f>$H271-$I271</f>
        <v/>
      </c>
      <c r="K271" s="23">
        <f>$P270</f>
        <v/>
      </c>
      <c r="L271" s="24">
        <f>$K271*Inputs!$C$18/12</f>
        <v/>
      </c>
      <c r="M271" s="24">
        <f>MIN(($C271+$F271),$L271)</f>
        <v/>
      </c>
      <c r="N271" s="24">
        <f>MIN(($D271+$X271),MAX(0,$K271-$O271))</f>
        <v/>
      </c>
      <c r="O271" s="24">
        <f>MIN(MAX(0,MAX(0,$E271-$I271)-$U271),$K271)</f>
        <v/>
      </c>
      <c r="P271" s="24">
        <f>MAX(0,$K271-$O271)-$N271</f>
        <v/>
      </c>
      <c r="Q271" s="23">
        <f>$V270</f>
        <v/>
      </c>
      <c r="R271" s="24">
        <f>$Q271*Inputs!$C$19/12</f>
        <v/>
      </c>
      <c r="S271" s="24">
        <f>MIN(MAX(0,($C271+$F271)-$M271),$R271)</f>
        <v/>
      </c>
      <c r="T271" s="24">
        <f>MIN(MAX(0,($D271+$X271)-$N271),MAX(0,$Q271-$U271))</f>
        <v/>
      </c>
      <c r="U271" s="24">
        <f>MIN(MAX(0,$E271-$I271),$Q271)</f>
        <v/>
      </c>
      <c r="V271" s="24">
        <f>MAX(0,$Q271-$U271)-$T271</f>
        <v/>
      </c>
      <c r="W271" s="24">
        <f>MAX(0,MAX(0,($C271+$F271)-$M271)-$S271)-MIN(MAX(0,$D$3-(MAX(0,$F271-MAX(0,($M271+$S271)-$C271)))),MAX(0,MAX(0,($C271+$F271)-$M271)-$S271))</f>
        <v/>
      </c>
      <c r="X271" s="24">
        <f>IF(Inputs!$C$39=1,$W271,0)</f>
        <v/>
      </c>
      <c r="Y271" s="24">
        <f>IF(Inputs!$C$39=0,$W271,0)+MAX(0,MAX(0,($D271+$X271)-$N271)-$T271)</f>
        <v/>
      </c>
    </row>
    <row r="272">
      <c r="B272" s="22" t="n">
        <v>267</v>
      </c>
      <c r="C272" s="29">
        <f>IF($B272&lt;=Inputs!$C$6+Inputs!$C$11,Cashflow_Asset!$E270-Cashflow_Asset!$K270,0)</f>
        <v/>
      </c>
      <c r="D272" s="29">
        <f>IF($B272&lt;=Inputs!$C$6+Inputs!$C$11,Cashflow_Asset!$F270+Cashflow_Asset!$G270+Cashflow_Asset!$I270,0)</f>
        <v/>
      </c>
      <c r="E272" s="29">
        <f>IF($B272&lt;=Inputs!$C$6+Inputs!$C$11,Cashflow_Asset!$J270,0)</f>
        <v/>
      </c>
      <c r="F272" s="23">
        <f>$G271</f>
        <v/>
      </c>
      <c r="G272" s="24">
        <f>(MAX(0,$F272-MAX(0,($M272+$S272)-$C272)))+MIN(MAX(0,$D$3-(MAX(0,$F272-MAX(0,($M272+$S272)-$C272)))),MAX(0,MAX(0,($C272+$F272)-$M272)-$S272))</f>
        <v/>
      </c>
      <c r="H272" s="23">
        <f>$J271</f>
        <v/>
      </c>
      <c r="I272" s="24">
        <f>MIN($E272,$H272)</f>
        <v/>
      </c>
      <c r="J272" s="24">
        <f>$H272-$I272</f>
        <v/>
      </c>
      <c r="K272" s="23">
        <f>$P271</f>
        <v/>
      </c>
      <c r="L272" s="24">
        <f>$K272*Inputs!$C$18/12</f>
        <v/>
      </c>
      <c r="M272" s="24">
        <f>MIN(($C272+$F272),$L272)</f>
        <v/>
      </c>
      <c r="N272" s="24">
        <f>MIN(($D272+$X272),MAX(0,$K272-$O272))</f>
        <v/>
      </c>
      <c r="O272" s="24">
        <f>MIN(MAX(0,MAX(0,$E272-$I272)-$U272),$K272)</f>
        <v/>
      </c>
      <c r="P272" s="24">
        <f>MAX(0,$K272-$O272)-$N272</f>
        <v/>
      </c>
      <c r="Q272" s="23">
        <f>$V271</f>
        <v/>
      </c>
      <c r="R272" s="24">
        <f>$Q272*Inputs!$C$19/12</f>
        <v/>
      </c>
      <c r="S272" s="24">
        <f>MIN(MAX(0,($C272+$F272)-$M272),$R272)</f>
        <v/>
      </c>
      <c r="T272" s="24">
        <f>MIN(MAX(0,($D272+$X272)-$N272),MAX(0,$Q272-$U272))</f>
        <v/>
      </c>
      <c r="U272" s="24">
        <f>MIN(MAX(0,$E272-$I272),$Q272)</f>
        <v/>
      </c>
      <c r="V272" s="24">
        <f>MAX(0,$Q272-$U272)-$T272</f>
        <v/>
      </c>
      <c r="W272" s="24">
        <f>MAX(0,MAX(0,($C272+$F272)-$M272)-$S272)-MIN(MAX(0,$D$3-(MAX(0,$F272-MAX(0,($M272+$S272)-$C272)))),MAX(0,MAX(0,($C272+$F272)-$M272)-$S272))</f>
        <v/>
      </c>
      <c r="X272" s="24">
        <f>IF(Inputs!$C$39=1,$W272,0)</f>
        <v/>
      </c>
      <c r="Y272" s="24">
        <f>IF(Inputs!$C$39=0,$W272,0)+MAX(0,MAX(0,($D272+$X272)-$N272)-$T272)</f>
        <v/>
      </c>
    </row>
    <row r="273">
      <c r="B273" s="22" t="n">
        <v>268</v>
      </c>
      <c r="C273" s="29">
        <f>IF($B273&lt;=Inputs!$C$6+Inputs!$C$11,Cashflow_Asset!$E271-Cashflow_Asset!$K271,0)</f>
        <v/>
      </c>
      <c r="D273" s="29">
        <f>IF($B273&lt;=Inputs!$C$6+Inputs!$C$11,Cashflow_Asset!$F271+Cashflow_Asset!$G271+Cashflow_Asset!$I271,0)</f>
        <v/>
      </c>
      <c r="E273" s="29">
        <f>IF($B273&lt;=Inputs!$C$6+Inputs!$C$11,Cashflow_Asset!$J271,0)</f>
        <v/>
      </c>
      <c r="F273" s="23">
        <f>$G272</f>
        <v/>
      </c>
      <c r="G273" s="24">
        <f>(MAX(0,$F273-MAX(0,($M273+$S273)-$C273)))+MIN(MAX(0,$D$3-(MAX(0,$F273-MAX(0,($M273+$S273)-$C273)))),MAX(0,MAX(0,($C273+$F273)-$M273)-$S273))</f>
        <v/>
      </c>
      <c r="H273" s="23">
        <f>$J272</f>
        <v/>
      </c>
      <c r="I273" s="24">
        <f>MIN($E273,$H273)</f>
        <v/>
      </c>
      <c r="J273" s="24">
        <f>$H273-$I273</f>
        <v/>
      </c>
      <c r="K273" s="23">
        <f>$P272</f>
        <v/>
      </c>
      <c r="L273" s="24">
        <f>$K273*Inputs!$C$18/12</f>
        <v/>
      </c>
      <c r="M273" s="24">
        <f>MIN(($C273+$F273),$L273)</f>
        <v/>
      </c>
      <c r="N273" s="24">
        <f>MIN(($D273+$X273),MAX(0,$K273-$O273))</f>
        <v/>
      </c>
      <c r="O273" s="24">
        <f>MIN(MAX(0,MAX(0,$E273-$I273)-$U273),$K273)</f>
        <v/>
      </c>
      <c r="P273" s="24">
        <f>MAX(0,$K273-$O273)-$N273</f>
        <v/>
      </c>
      <c r="Q273" s="23">
        <f>$V272</f>
        <v/>
      </c>
      <c r="R273" s="24">
        <f>$Q273*Inputs!$C$19/12</f>
        <v/>
      </c>
      <c r="S273" s="24">
        <f>MIN(MAX(0,($C273+$F273)-$M273),$R273)</f>
        <v/>
      </c>
      <c r="T273" s="24">
        <f>MIN(MAX(0,($D273+$X273)-$N273),MAX(0,$Q273-$U273))</f>
        <v/>
      </c>
      <c r="U273" s="24">
        <f>MIN(MAX(0,$E273-$I273),$Q273)</f>
        <v/>
      </c>
      <c r="V273" s="24">
        <f>MAX(0,$Q273-$U273)-$T273</f>
        <v/>
      </c>
      <c r="W273" s="24">
        <f>MAX(0,MAX(0,($C273+$F273)-$M273)-$S273)-MIN(MAX(0,$D$3-(MAX(0,$F273-MAX(0,($M273+$S273)-$C273)))),MAX(0,MAX(0,($C273+$F273)-$M273)-$S273))</f>
        <v/>
      </c>
      <c r="X273" s="24">
        <f>IF(Inputs!$C$39=1,$W273,0)</f>
        <v/>
      </c>
      <c r="Y273" s="24">
        <f>IF(Inputs!$C$39=0,$W273,0)+MAX(0,MAX(0,($D273+$X273)-$N273)-$T273)</f>
        <v/>
      </c>
    </row>
    <row r="274">
      <c r="B274" s="22" t="n">
        <v>269</v>
      </c>
      <c r="C274" s="29">
        <f>IF($B274&lt;=Inputs!$C$6+Inputs!$C$11,Cashflow_Asset!$E272-Cashflow_Asset!$K272,0)</f>
        <v/>
      </c>
      <c r="D274" s="29">
        <f>IF($B274&lt;=Inputs!$C$6+Inputs!$C$11,Cashflow_Asset!$F272+Cashflow_Asset!$G272+Cashflow_Asset!$I272,0)</f>
        <v/>
      </c>
      <c r="E274" s="29">
        <f>IF($B274&lt;=Inputs!$C$6+Inputs!$C$11,Cashflow_Asset!$J272,0)</f>
        <v/>
      </c>
      <c r="F274" s="23">
        <f>$G273</f>
        <v/>
      </c>
      <c r="G274" s="24">
        <f>(MAX(0,$F274-MAX(0,($M274+$S274)-$C274)))+MIN(MAX(0,$D$3-(MAX(0,$F274-MAX(0,($M274+$S274)-$C274)))),MAX(0,MAX(0,($C274+$F274)-$M274)-$S274))</f>
        <v/>
      </c>
      <c r="H274" s="23">
        <f>$J273</f>
        <v/>
      </c>
      <c r="I274" s="24">
        <f>MIN($E274,$H274)</f>
        <v/>
      </c>
      <c r="J274" s="24">
        <f>$H274-$I274</f>
        <v/>
      </c>
      <c r="K274" s="23">
        <f>$P273</f>
        <v/>
      </c>
      <c r="L274" s="24">
        <f>$K274*Inputs!$C$18/12</f>
        <v/>
      </c>
      <c r="M274" s="24">
        <f>MIN(($C274+$F274),$L274)</f>
        <v/>
      </c>
      <c r="N274" s="24">
        <f>MIN(($D274+$X274),MAX(0,$K274-$O274))</f>
        <v/>
      </c>
      <c r="O274" s="24">
        <f>MIN(MAX(0,MAX(0,$E274-$I274)-$U274),$K274)</f>
        <v/>
      </c>
      <c r="P274" s="24">
        <f>MAX(0,$K274-$O274)-$N274</f>
        <v/>
      </c>
      <c r="Q274" s="23">
        <f>$V273</f>
        <v/>
      </c>
      <c r="R274" s="24">
        <f>$Q274*Inputs!$C$19/12</f>
        <v/>
      </c>
      <c r="S274" s="24">
        <f>MIN(MAX(0,($C274+$F274)-$M274),$R274)</f>
        <v/>
      </c>
      <c r="T274" s="24">
        <f>MIN(MAX(0,($D274+$X274)-$N274),MAX(0,$Q274-$U274))</f>
        <v/>
      </c>
      <c r="U274" s="24">
        <f>MIN(MAX(0,$E274-$I274),$Q274)</f>
        <v/>
      </c>
      <c r="V274" s="24">
        <f>MAX(0,$Q274-$U274)-$T274</f>
        <v/>
      </c>
      <c r="W274" s="24">
        <f>MAX(0,MAX(0,($C274+$F274)-$M274)-$S274)-MIN(MAX(0,$D$3-(MAX(0,$F274-MAX(0,($M274+$S274)-$C274)))),MAX(0,MAX(0,($C274+$F274)-$M274)-$S274))</f>
        <v/>
      </c>
      <c r="X274" s="24">
        <f>IF(Inputs!$C$39=1,$W274,0)</f>
        <v/>
      </c>
      <c r="Y274" s="24">
        <f>IF(Inputs!$C$39=0,$W274,0)+MAX(0,MAX(0,($D274+$X274)-$N274)-$T274)</f>
        <v/>
      </c>
    </row>
    <row r="275">
      <c r="B275" s="22" t="n">
        <v>270</v>
      </c>
      <c r="C275" s="29">
        <f>IF($B275&lt;=Inputs!$C$6+Inputs!$C$11,Cashflow_Asset!$E273-Cashflow_Asset!$K273,0)</f>
        <v/>
      </c>
      <c r="D275" s="29">
        <f>IF($B275&lt;=Inputs!$C$6+Inputs!$C$11,Cashflow_Asset!$F273+Cashflow_Asset!$G273+Cashflow_Asset!$I273,0)</f>
        <v/>
      </c>
      <c r="E275" s="29">
        <f>IF($B275&lt;=Inputs!$C$6+Inputs!$C$11,Cashflow_Asset!$J273,0)</f>
        <v/>
      </c>
      <c r="F275" s="23">
        <f>$G274</f>
        <v/>
      </c>
      <c r="G275" s="24">
        <f>(MAX(0,$F275-MAX(0,($M275+$S275)-$C275)))+MIN(MAX(0,$D$3-(MAX(0,$F275-MAX(0,($M275+$S275)-$C275)))),MAX(0,MAX(0,($C275+$F275)-$M275)-$S275))</f>
        <v/>
      </c>
      <c r="H275" s="23">
        <f>$J274</f>
        <v/>
      </c>
      <c r="I275" s="24">
        <f>MIN($E275,$H275)</f>
        <v/>
      </c>
      <c r="J275" s="24">
        <f>$H275-$I275</f>
        <v/>
      </c>
      <c r="K275" s="23">
        <f>$P274</f>
        <v/>
      </c>
      <c r="L275" s="24">
        <f>$K275*Inputs!$C$18/12</f>
        <v/>
      </c>
      <c r="M275" s="24">
        <f>MIN(($C275+$F275),$L275)</f>
        <v/>
      </c>
      <c r="N275" s="24">
        <f>MIN(($D275+$X275),MAX(0,$K275-$O275))</f>
        <v/>
      </c>
      <c r="O275" s="24">
        <f>MIN(MAX(0,MAX(0,$E275-$I275)-$U275),$K275)</f>
        <v/>
      </c>
      <c r="P275" s="24">
        <f>MAX(0,$K275-$O275)-$N275</f>
        <v/>
      </c>
      <c r="Q275" s="23">
        <f>$V274</f>
        <v/>
      </c>
      <c r="R275" s="24">
        <f>$Q275*Inputs!$C$19/12</f>
        <v/>
      </c>
      <c r="S275" s="24">
        <f>MIN(MAX(0,($C275+$F275)-$M275),$R275)</f>
        <v/>
      </c>
      <c r="T275" s="24">
        <f>MIN(MAX(0,($D275+$X275)-$N275),MAX(0,$Q275-$U275))</f>
        <v/>
      </c>
      <c r="U275" s="24">
        <f>MIN(MAX(0,$E275-$I275),$Q275)</f>
        <v/>
      </c>
      <c r="V275" s="24">
        <f>MAX(0,$Q275-$U275)-$T275</f>
        <v/>
      </c>
      <c r="W275" s="24">
        <f>MAX(0,MAX(0,($C275+$F275)-$M275)-$S275)-MIN(MAX(0,$D$3-(MAX(0,$F275-MAX(0,($M275+$S275)-$C275)))),MAX(0,MAX(0,($C275+$F275)-$M275)-$S275))</f>
        <v/>
      </c>
      <c r="X275" s="24">
        <f>IF(Inputs!$C$39=1,$W275,0)</f>
        <v/>
      </c>
      <c r="Y275" s="24">
        <f>IF(Inputs!$C$39=0,$W275,0)+MAX(0,MAX(0,($D275+$X275)-$N275)-$T275)</f>
        <v/>
      </c>
    </row>
    <row r="276">
      <c r="B276" s="22" t="n">
        <v>271</v>
      </c>
      <c r="C276" s="29">
        <f>IF($B276&lt;=Inputs!$C$6+Inputs!$C$11,Cashflow_Asset!$E274-Cashflow_Asset!$K274,0)</f>
        <v/>
      </c>
      <c r="D276" s="29">
        <f>IF($B276&lt;=Inputs!$C$6+Inputs!$C$11,Cashflow_Asset!$F274+Cashflow_Asset!$G274+Cashflow_Asset!$I274,0)</f>
        <v/>
      </c>
      <c r="E276" s="29">
        <f>IF($B276&lt;=Inputs!$C$6+Inputs!$C$11,Cashflow_Asset!$J274,0)</f>
        <v/>
      </c>
      <c r="F276" s="23">
        <f>$G275</f>
        <v/>
      </c>
      <c r="G276" s="24">
        <f>(MAX(0,$F276-MAX(0,($M276+$S276)-$C276)))+MIN(MAX(0,$D$3-(MAX(0,$F276-MAX(0,($M276+$S276)-$C276)))),MAX(0,MAX(0,($C276+$F276)-$M276)-$S276))</f>
        <v/>
      </c>
      <c r="H276" s="23">
        <f>$J275</f>
        <v/>
      </c>
      <c r="I276" s="24">
        <f>MIN($E276,$H276)</f>
        <v/>
      </c>
      <c r="J276" s="24">
        <f>$H276-$I276</f>
        <v/>
      </c>
      <c r="K276" s="23">
        <f>$P275</f>
        <v/>
      </c>
      <c r="L276" s="24">
        <f>$K276*Inputs!$C$18/12</f>
        <v/>
      </c>
      <c r="M276" s="24">
        <f>MIN(($C276+$F276),$L276)</f>
        <v/>
      </c>
      <c r="N276" s="24">
        <f>MIN(($D276+$X276),MAX(0,$K276-$O276))</f>
        <v/>
      </c>
      <c r="O276" s="24">
        <f>MIN(MAX(0,MAX(0,$E276-$I276)-$U276),$K276)</f>
        <v/>
      </c>
      <c r="P276" s="24">
        <f>MAX(0,$K276-$O276)-$N276</f>
        <v/>
      </c>
      <c r="Q276" s="23">
        <f>$V275</f>
        <v/>
      </c>
      <c r="R276" s="24">
        <f>$Q276*Inputs!$C$19/12</f>
        <v/>
      </c>
      <c r="S276" s="24">
        <f>MIN(MAX(0,($C276+$F276)-$M276),$R276)</f>
        <v/>
      </c>
      <c r="T276" s="24">
        <f>MIN(MAX(0,($D276+$X276)-$N276),MAX(0,$Q276-$U276))</f>
        <v/>
      </c>
      <c r="U276" s="24">
        <f>MIN(MAX(0,$E276-$I276),$Q276)</f>
        <v/>
      </c>
      <c r="V276" s="24">
        <f>MAX(0,$Q276-$U276)-$T276</f>
        <v/>
      </c>
      <c r="W276" s="24">
        <f>MAX(0,MAX(0,($C276+$F276)-$M276)-$S276)-MIN(MAX(0,$D$3-(MAX(0,$F276-MAX(0,($M276+$S276)-$C276)))),MAX(0,MAX(0,($C276+$F276)-$M276)-$S276))</f>
        <v/>
      </c>
      <c r="X276" s="24">
        <f>IF(Inputs!$C$39=1,$W276,0)</f>
        <v/>
      </c>
      <c r="Y276" s="24">
        <f>IF(Inputs!$C$39=0,$W276,0)+MAX(0,MAX(0,($D276+$X276)-$N276)-$T276)</f>
        <v/>
      </c>
    </row>
    <row r="277">
      <c r="B277" s="22" t="n">
        <v>272</v>
      </c>
      <c r="C277" s="29">
        <f>IF($B277&lt;=Inputs!$C$6+Inputs!$C$11,Cashflow_Asset!$E275-Cashflow_Asset!$K275,0)</f>
        <v/>
      </c>
      <c r="D277" s="29">
        <f>IF($B277&lt;=Inputs!$C$6+Inputs!$C$11,Cashflow_Asset!$F275+Cashflow_Asset!$G275+Cashflow_Asset!$I275,0)</f>
        <v/>
      </c>
      <c r="E277" s="29">
        <f>IF($B277&lt;=Inputs!$C$6+Inputs!$C$11,Cashflow_Asset!$J275,0)</f>
        <v/>
      </c>
      <c r="F277" s="23">
        <f>$G276</f>
        <v/>
      </c>
      <c r="G277" s="24">
        <f>(MAX(0,$F277-MAX(0,($M277+$S277)-$C277)))+MIN(MAX(0,$D$3-(MAX(0,$F277-MAX(0,($M277+$S277)-$C277)))),MAX(0,MAX(0,($C277+$F277)-$M277)-$S277))</f>
        <v/>
      </c>
      <c r="H277" s="23">
        <f>$J276</f>
        <v/>
      </c>
      <c r="I277" s="24">
        <f>MIN($E277,$H277)</f>
        <v/>
      </c>
      <c r="J277" s="24">
        <f>$H277-$I277</f>
        <v/>
      </c>
      <c r="K277" s="23">
        <f>$P276</f>
        <v/>
      </c>
      <c r="L277" s="24">
        <f>$K277*Inputs!$C$18/12</f>
        <v/>
      </c>
      <c r="M277" s="24">
        <f>MIN(($C277+$F277),$L277)</f>
        <v/>
      </c>
      <c r="N277" s="24">
        <f>MIN(($D277+$X277),MAX(0,$K277-$O277))</f>
        <v/>
      </c>
      <c r="O277" s="24">
        <f>MIN(MAX(0,MAX(0,$E277-$I277)-$U277),$K277)</f>
        <v/>
      </c>
      <c r="P277" s="24">
        <f>MAX(0,$K277-$O277)-$N277</f>
        <v/>
      </c>
      <c r="Q277" s="23">
        <f>$V276</f>
        <v/>
      </c>
      <c r="R277" s="24">
        <f>$Q277*Inputs!$C$19/12</f>
        <v/>
      </c>
      <c r="S277" s="24">
        <f>MIN(MAX(0,($C277+$F277)-$M277),$R277)</f>
        <v/>
      </c>
      <c r="T277" s="24">
        <f>MIN(MAX(0,($D277+$X277)-$N277),MAX(0,$Q277-$U277))</f>
        <v/>
      </c>
      <c r="U277" s="24">
        <f>MIN(MAX(0,$E277-$I277),$Q277)</f>
        <v/>
      </c>
      <c r="V277" s="24">
        <f>MAX(0,$Q277-$U277)-$T277</f>
        <v/>
      </c>
      <c r="W277" s="24">
        <f>MAX(0,MAX(0,($C277+$F277)-$M277)-$S277)-MIN(MAX(0,$D$3-(MAX(0,$F277-MAX(0,($M277+$S277)-$C277)))),MAX(0,MAX(0,($C277+$F277)-$M277)-$S277))</f>
        <v/>
      </c>
      <c r="X277" s="24">
        <f>IF(Inputs!$C$39=1,$W277,0)</f>
        <v/>
      </c>
      <c r="Y277" s="24">
        <f>IF(Inputs!$C$39=0,$W277,0)+MAX(0,MAX(0,($D277+$X277)-$N277)-$T277)</f>
        <v/>
      </c>
    </row>
    <row r="278">
      <c r="B278" s="22" t="n">
        <v>273</v>
      </c>
      <c r="C278" s="29">
        <f>IF($B278&lt;=Inputs!$C$6+Inputs!$C$11,Cashflow_Asset!$E276-Cashflow_Asset!$K276,0)</f>
        <v/>
      </c>
      <c r="D278" s="29">
        <f>IF($B278&lt;=Inputs!$C$6+Inputs!$C$11,Cashflow_Asset!$F276+Cashflow_Asset!$G276+Cashflow_Asset!$I276,0)</f>
        <v/>
      </c>
      <c r="E278" s="29">
        <f>IF($B278&lt;=Inputs!$C$6+Inputs!$C$11,Cashflow_Asset!$J276,0)</f>
        <v/>
      </c>
      <c r="F278" s="23">
        <f>$G277</f>
        <v/>
      </c>
      <c r="G278" s="24">
        <f>(MAX(0,$F278-MAX(0,($M278+$S278)-$C278)))+MIN(MAX(0,$D$3-(MAX(0,$F278-MAX(0,($M278+$S278)-$C278)))),MAX(0,MAX(0,($C278+$F278)-$M278)-$S278))</f>
        <v/>
      </c>
      <c r="H278" s="23">
        <f>$J277</f>
        <v/>
      </c>
      <c r="I278" s="24">
        <f>MIN($E278,$H278)</f>
        <v/>
      </c>
      <c r="J278" s="24">
        <f>$H278-$I278</f>
        <v/>
      </c>
      <c r="K278" s="23">
        <f>$P277</f>
        <v/>
      </c>
      <c r="L278" s="24">
        <f>$K278*Inputs!$C$18/12</f>
        <v/>
      </c>
      <c r="M278" s="24">
        <f>MIN(($C278+$F278),$L278)</f>
        <v/>
      </c>
      <c r="N278" s="24">
        <f>MIN(($D278+$X278),MAX(0,$K278-$O278))</f>
        <v/>
      </c>
      <c r="O278" s="24">
        <f>MIN(MAX(0,MAX(0,$E278-$I278)-$U278),$K278)</f>
        <v/>
      </c>
      <c r="P278" s="24">
        <f>MAX(0,$K278-$O278)-$N278</f>
        <v/>
      </c>
      <c r="Q278" s="23">
        <f>$V277</f>
        <v/>
      </c>
      <c r="R278" s="24">
        <f>$Q278*Inputs!$C$19/12</f>
        <v/>
      </c>
      <c r="S278" s="24">
        <f>MIN(MAX(0,($C278+$F278)-$M278),$R278)</f>
        <v/>
      </c>
      <c r="T278" s="24">
        <f>MIN(MAX(0,($D278+$X278)-$N278),MAX(0,$Q278-$U278))</f>
        <v/>
      </c>
      <c r="U278" s="24">
        <f>MIN(MAX(0,$E278-$I278),$Q278)</f>
        <v/>
      </c>
      <c r="V278" s="24">
        <f>MAX(0,$Q278-$U278)-$T278</f>
        <v/>
      </c>
      <c r="W278" s="24">
        <f>MAX(0,MAX(0,($C278+$F278)-$M278)-$S278)-MIN(MAX(0,$D$3-(MAX(0,$F278-MAX(0,($M278+$S278)-$C278)))),MAX(0,MAX(0,($C278+$F278)-$M278)-$S278))</f>
        <v/>
      </c>
      <c r="X278" s="24">
        <f>IF(Inputs!$C$39=1,$W278,0)</f>
        <v/>
      </c>
      <c r="Y278" s="24">
        <f>IF(Inputs!$C$39=0,$W278,0)+MAX(0,MAX(0,($D278+$X278)-$N278)-$T278)</f>
        <v/>
      </c>
    </row>
    <row r="279">
      <c r="B279" s="22" t="n">
        <v>274</v>
      </c>
      <c r="C279" s="29">
        <f>IF($B279&lt;=Inputs!$C$6+Inputs!$C$11,Cashflow_Asset!$E277-Cashflow_Asset!$K277,0)</f>
        <v/>
      </c>
      <c r="D279" s="29">
        <f>IF($B279&lt;=Inputs!$C$6+Inputs!$C$11,Cashflow_Asset!$F277+Cashflow_Asset!$G277+Cashflow_Asset!$I277,0)</f>
        <v/>
      </c>
      <c r="E279" s="29">
        <f>IF($B279&lt;=Inputs!$C$6+Inputs!$C$11,Cashflow_Asset!$J277,0)</f>
        <v/>
      </c>
      <c r="F279" s="23">
        <f>$G278</f>
        <v/>
      </c>
      <c r="G279" s="24">
        <f>(MAX(0,$F279-MAX(0,($M279+$S279)-$C279)))+MIN(MAX(0,$D$3-(MAX(0,$F279-MAX(0,($M279+$S279)-$C279)))),MAX(0,MAX(0,($C279+$F279)-$M279)-$S279))</f>
        <v/>
      </c>
      <c r="H279" s="23">
        <f>$J278</f>
        <v/>
      </c>
      <c r="I279" s="24">
        <f>MIN($E279,$H279)</f>
        <v/>
      </c>
      <c r="J279" s="24">
        <f>$H279-$I279</f>
        <v/>
      </c>
      <c r="K279" s="23">
        <f>$P278</f>
        <v/>
      </c>
      <c r="L279" s="24">
        <f>$K279*Inputs!$C$18/12</f>
        <v/>
      </c>
      <c r="M279" s="24">
        <f>MIN(($C279+$F279),$L279)</f>
        <v/>
      </c>
      <c r="N279" s="24">
        <f>MIN(($D279+$X279),MAX(0,$K279-$O279))</f>
        <v/>
      </c>
      <c r="O279" s="24">
        <f>MIN(MAX(0,MAX(0,$E279-$I279)-$U279),$K279)</f>
        <v/>
      </c>
      <c r="P279" s="24">
        <f>MAX(0,$K279-$O279)-$N279</f>
        <v/>
      </c>
      <c r="Q279" s="23">
        <f>$V278</f>
        <v/>
      </c>
      <c r="R279" s="24">
        <f>$Q279*Inputs!$C$19/12</f>
        <v/>
      </c>
      <c r="S279" s="24">
        <f>MIN(MAX(0,($C279+$F279)-$M279),$R279)</f>
        <v/>
      </c>
      <c r="T279" s="24">
        <f>MIN(MAX(0,($D279+$X279)-$N279),MAX(0,$Q279-$U279))</f>
        <v/>
      </c>
      <c r="U279" s="24">
        <f>MIN(MAX(0,$E279-$I279),$Q279)</f>
        <v/>
      </c>
      <c r="V279" s="24">
        <f>MAX(0,$Q279-$U279)-$T279</f>
        <v/>
      </c>
      <c r="W279" s="24">
        <f>MAX(0,MAX(0,($C279+$F279)-$M279)-$S279)-MIN(MAX(0,$D$3-(MAX(0,$F279-MAX(0,($M279+$S279)-$C279)))),MAX(0,MAX(0,($C279+$F279)-$M279)-$S279))</f>
        <v/>
      </c>
      <c r="X279" s="24">
        <f>IF(Inputs!$C$39=1,$W279,0)</f>
        <v/>
      </c>
      <c r="Y279" s="24">
        <f>IF(Inputs!$C$39=0,$W279,0)+MAX(0,MAX(0,($D279+$X279)-$N279)-$T279)</f>
        <v/>
      </c>
    </row>
    <row r="280">
      <c r="B280" s="22" t="n">
        <v>275</v>
      </c>
      <c r="C280" s="29">
        <f>IF($B280&lt;=Inputs!$C$6+Inputs!$C$11,Cashflow_Asset!$E278-Cashflow_Asset!$K278,0)</f>
        <v/>
      </c>
      <c r="D280" s="29">
        <f>IF($B280&lt;=Inputs!$C$6+Inputs!$C$11,Cashflow_Asset!$F278+Cashflow_Asset!$G278+Cashflow_Asset!$I278,0)</f>
        <v/>
      </c>
      <c r="E280" s="29">
        <f>IF($B280&lt;=Inputs!$C$6+Inputs!$C$11,Cashflow_Asset!$J278,0)</f>
        <v/>
      </c>
      <c r="F280" s="23">
        <f>$G279</f>
        <v/>
      </c>
      <c r="G280" s="24">
        <f>(MAX(0,$F280-MAX(0,($M280+$S280)-$C280)))+MIN(MAX(0,$D$3-(MAX(0,$F280-MAX(0,($M280+$S280)-$C280)))),MAX(0,MAX(0,($C280+$F280)-$M280)-$S280))</f>
        <v/>
      </c>
      <c r="H280" s="23">
        <f>$J279</f>
        <v/>
      </c>
      <c r="I280" s="24">
        <f>MIN($E280,$H280)</f>
        <v/>
      </c>
      <c r="J280" s="24">
        <f>$H280-$I280</f>
        <v/>
      </c>
      <c r="K280" s="23">
        <f>$P279</f>
        <v/>
      </c>
      <c r="L280" s="24">
        <f>$K280*Inputs!$C$18/12</f>
        <v/>
      </c>
      <c r="M280" s="24">
        <f>MIN(($C280+$F280),$L280)</f>
        <v/>
      </c>
      <c r="N280" s="24">
        <f>MIN(($D280+$X280),MAX(0,$K280-$O280))</f>
        <v/>
      </c>
      <c r="O280" s="24">
        <f>MIN(MAX(0,MAX(0,$E280-$I280)-$U280),$K280)</f>
        <v/>
      </c>
      <c r="P280" s="24">
        <f>MAX(0,$K280-$O280)-$N280</f>
        <v/>
      </c>
      <c r="Q280" s="23">
        <f>$V279</f>
        <v/>
      </c>
      <c r="R280" s="24">
        <f>$Q280*Inputs!$C$19/12</f>
        <v/>
      </c>
      <c r="S280" s="24">
        <f>MIN(MAX(0,($C280+$F280)-$M280),$R280)</f>
        <v/>
      </c>
      <c r="T280" s="24">
        <f>MIN(MAX(0,($D280+$X280)-$N280),MAX(0,$Q280-$U280))</f>
        <v/>
      </c>
      <c r="U280" s="24">
        <f>MIN(MAX(0,$E280-$I280),$Q280)</f>
        <v/>
      </c>
      <c r="V280" s="24">
        <f>MAX(0,$Q280-$U280)-$T280</f>
        <v/>
      </c>
      <c r="W280" s="24">
        <f>MAX(0,MAX(0,($C280+$F280)-$M280)-$S280)-MIN(MAX(0,$D$3-(MAX(0,$F280-MAX(0,($M280+$S280)-$C280)))),MAX(0,MAX(0,($C280+$F280)-$M280)-$S280))</f>
        <v/>
      </c>
      <c r="X280" s="24">
        <f>IF(Inputs!$C$39=1,$W280,0)</f>
        <v/>
      </c>
      <c r="Y280" s="24">
        <f>IF(Inputs!$C$39=0,$W280,0)+MAX(0,MAX(0,($D280+$X280)-$N280)-$T280)</f>
        <v/>
      </c>
    </row>
    <row r="281">
      <c r="B281" s="22" t="n">
        <v>276</v>
      </c>
      <c r="C281" s="29">
        <f>IF($B281&lt;=Inputs!$C$6+Inputs!$C$11,Cashflow_Asset!$E279-Cashflow_Asset!$K279,0)</f>
        <v/>
      </c>
      <c r="D281" s="29">
        <f>IF($B281&lt;=Inputs!$C$6+Inputs!$C$11,Cashflow_Asset!$F279+Cashflow_Asset!$G279+Cashflow_Asset!$I279,0)</f>
        <v/>
      </c>
      <c r="E281" s="29">
        <f>IF($B281&lt;=Inputs!$C$6+Inputs!$C$11,Cashflow_Asset!$J279,0)</f>
        <v/>
      </c>
      <c r="F281" s="23">
        <f>$G280</f>
        <v/>
      </c>
      <c r="G281" s="24">
        <f>(MAX(0,$F281-MAX(0,($M281+$S281)-$C281)))+MIN(MAX(0,$D$3-(MAX(0,$F281-MAX(0,($M281+$S281)-$C281)))),MAX(0,MAX(0,($C281+$F281)-$M281)-$S281))</f>
        <v/>
      </c>
      <c r="H281" s="23">
        <f>$J280</f>
        <v/>
      </c>
      <c r="I281" s="24">
        <f>MIN($E281,$H281)</f>
        <v/>
      </c>
      <c r="J281" s="24">
        <f>$H281-$I281</f>
        <v/>
      </c>
      <c r="K281" s="23">
        <f>$P280</f>
        <v/>
      </c>
      <c r="L281" s="24">
        <f>$K281*Inputs!$C$18/12</f>
        <v/>
      </c>
      <c r="M281" s="24">
        <f>MIN(($C281+$F281),$L281)</f>
        <v/>
      </c>
      <c r="N281" s="24">
        <f>MIN(($D281+$X281),MAX(0,$K281-$O281))</f>
        <v/>
      </c>
      <c r="O281" s="24">
        <f>MIN(MAX(0,MAX(0,$E281-$I281)-$U281),$K281)</f>
        <v/>
      </c>
      <c r="P281" s="24">
        <f>MAX(0,$K281-$O281)-$N281</f>
        <v/>
      </c>
      <c r="Q281" s="23">
        <f>$V280</f>
        <v/>
      </c>
      <c r="R281" s="24">
        <f>$Q281*Inputs!$C$19/12</f>
        <v/>
      </c>
      <c r="S281" s="24">
        <f>MIN(MAX(0,($C281+$F281)-$M281),$R281)</f>
        <v/>
      </c>
      <c r="T281" s="24">
        <f>MIN(MAX(0,($D281+$X281)-$N281),MAX(0,$Q281-$U281))</f>
        <v/>
      </c>
      <c r="U281" s="24">
        <f>MIN(MAX(0,$E281-$I281),$Q281)</f>
        <v/>
      </c>
      <c r="V281" s="24">
        <f>MAX(0,$Q281-$U281)-$T281</f>
        <v/>
      </c>
      <c r="W281" s="24">
        <f>MAX(0,MAX(0,($C281+$F281)-$M281)-$S281)-MIN(MAX(0,$D$3-(MAX(0,$F281-MAX(0,($M281+$S281)-$C281)))),MAX(0,MAX(0,($C281+$F281)-$M281)-$S281))</f>
        <v/>
      </c>
      <c r="X281" s="24">
        <f>IF(Inputs!$C$39=1,$W281,0)</f>
        <v/>
      </c>
      <c r="Y281" s="24">
        <f>IF(Inputs!$C$39=0,$W281,0)+MAX(0,MAX(0,($D281+$X281)-$N281)-$T281)</f>
        <v/>
      </c>
    </row>
    <row r="282">
      <c r="B282" s="22" t="n">
        <v>277</v>
      </c>
      <c r="C282" s="29">
        <f>IF($B282&lt;=Inputs!$C$6+Inputs!$C$11,Cashflow_Asset!$E280-Cashflow_Asset!$K280,0)</f>
        <v/>
      </c>
      <c r="D282" s="29">
        <f>IF($B282&lt;=Inputs!$C$6+Inputs!$C$11,Cashflow_Asset!$F280+Cashflow_Asset!$G280+Cashflow_Asset!$I280,0)</f>
        <v/>
      </c>
      <c r="E282" s="29">
        <f>IF($B282&lt;=Inputs!$C$6+Inputs!$C$11,Cashflow_Asset!$J280,0)</f>
        <v/>
      </c>
      <c r="F282" s="23">
        <f>$G281</f>
        <v/>
      </c>
      <c r="G282" s="24">
        <f>(MAX(0,$F282-MAX(0,($M282+$S282)-$C282)))+MIN(MAX(0,$D$3-(MAX(0,$F282-MAX(0,($M282+$S282)-$C282)))),MAX(0,MAX(0,($C282+$F282)-$M282)-$S282))</f>
        <v/>
      </c>
      <c r="H282" s="23">
        <f>$J281</f>
        <v/>
      </c>
      <c r="I282" s="24">
        <f>MIN($E282,$H282)</f>
        <v/>
      </c>
      <c r="J282" s="24">
        <f>$H282-$I282</f>
        <v/>
      </c>
      <c r="K282" s="23">
        <f>$P281</f>
        <v/>
      </c>
      <c r="L282" s="24">
        <f>$K282*Inputs!$C$18/12</f>
        <v/>
      </c>
      <c r="M282" s="24">
        <f>MIN(($C282+$F282),$L282)</f>
        <v/>
      </c>
      <c r="N282" s="24">
        <f>MIN(($D282+$X282),MAX(0,$K282-$O282))</f>
        <v/>
      </c>
      <c r="O282" s="24">
        <f>MIN(MAX(0,MAX(0,$E282-$I282)-$U282),$K282)</f>
        <v/>
      </c>
      <c r="P282" s="24">
        <f>MAX(0,$K282-$O282)-$N282</f>
        <v/>
      </c>
      <c r="Q282" s="23">
        <f>$V281</f>
        <v/>
      </c>
      <c r="R282" s="24">
        <f>$Q282*Inputs!$C$19/12</f>
        <v/>
      </c>
      <c r="S282" s="24">
        <f>MIN(MAX(0,($C282+$F282)-$M282),$R282)</f>
        <v/>
      </c>
      <c r="T282" s="24">
        <f>MIN(MAX(0,($D282+$X282)-$N282),MAX(0,$Q282-$U282))</f>
        <v/>
      </c>
      <c r="U282" s="24">
        <f>MIN(MAX(0,$E282-$I282),$Q282)</f>
        <v/>
      </c>
      <c r="V282" s="24">
        <f>MAX(0,$Q282-$U282)-$T282</f>
        <v/>
      </c>
      <c r="W282" s="24">
        <f>MAX(0,MAX(0,($C282+$F282)-$M282)-$S282)-MIN(MAX(0,$D$3-(MAX(0,$F282-MAX(0,($M282+$S282)-$C282)))),MAX(0,MAX(0,($C282+$F282)-$M282)-$S282))</f>
        <v/>
      </c>
      <c r="X282" s="24">
        <f>IF(Inputs!$C$39=1,$W282,0)</f>
        <v/>
      </c>
      <c r="Y282" s="24">
        <f>IF(Inputs!$C$39=0,$W282,0)+MAX(0,MAX(0,($D282+$X282)-$N282)-$T282)</f>
        <v/>
      </c>
    </row>
    <row r="283">
      <c r="B283" s="22" t="n">
        <v>278</v>
      </c>
      <c r="C283" s="29">
        <f>IF($B283&lt;=Inputs!$C$6+Inputs!$C$11,Cashflow_Asset!$E281-Cashflow_Asset!$K281,0)</f>
        <v/>
      </c>
      <c r="D283" s="29">
        <f>IF($B283&lt;=Inputs!$C$6+Inputs!$C$11,Cashflow_Asset!$F281+Cashflow_Asset!$G281+Cashflow_Asset!$I281,0)</f>
        <v/>
      </c>
      <c r="E283" s="29">
        <f>IF($B283&lt;=Inputs!$C$6+Inputs!$C$11,Cashflow_Asset!$J281,0)</f>
        <v/>
      </c>
      <c r="F283" s="23">
        <f>$G282</f>
        <v/>
      </c>
      <c r="G283" s="24">
        <f>(MAX(0,$F283-MAX(0,($M283+$S283)-$C283)))+MIN(MAX(0,$D$3-(MAX(0,$F283-MAX(0,($M283+$S283)-$C283)))),MAX(0,MAX(0,($C283+$F283)-$M283)-$S283))</f>
        <v/>
      </c>
      <c r="H283" s="23">
        <f>$J282</f>
        <v/>
      </c>
      <c r="I283" s="24">
        <f>MIN($E283,$H283)</f>
        <v/>
      </c>
      <c r="J283" s="24">
        <f>$H283-$I283</f>
        <v/>
      </c>
      <c r="K283" s="23">
        <f>$P282</f>
        <v/>
      </c>
      <c r="L283" s="24">
        <f>$K283*Inputs!$C$18/12</f>
        <v/>
      </c>
      <c r="M283" s="24">
        <f>MIN(($C283+$F283),$L283)</f>
        <v/>
      </c>
      <c r="N283" s="24">
        <f>MIN(($D283+$X283),MAX(0,$K283-$O283))</f>
        <v/>
      </c>
      <c r="O283" s="24">
        <f>MIN(MAX(0,MAX(0,$E283-$I283)-$U283),$K283)</f>
        <v/>
      </c>
      <c r="P283" s="24">
        <f>MAX(0,$K283-$O283)-$N283</f>
        <v/>
      </c>
      <c r="Q283" s="23">
        <f>$V282</f>
        <v/>
      </c>
      <c r="R283" s="24">
        <f>$Q283*Inputs!$C$19/12</f>
        <v/>
      </c>
      <c r="S283" s="24">
        <f>MIN(MAX(0,($C283+$F283)-$M283),$R283)</f>
        <v/>
      </c>
      <c r="T283" s="24">
        <f>MIN(MAX(0,($D283+$X283)-$N283),MAX(0,$Q283-$U283))</f>
        <v/>
      </c>
      <c r="U283" s="24">
        <f>MIN(MAX(0,$E283-$I283),$Q283)</f>
        <v/>
      </c>
      <c r="V283" s="24">
        <f>MAX(0,$Q283-$U283)-$T283</f>
        <v/>
      </c>
      <c r="W283" s="24">
        <f>MAX(0,MAX(0,($C283+$F283)-$M283)-$S283)-MIN(MAX(0,$D$3-(MAX(0,$F283-MAX(0,($M283+$S283)-$C283)))),MAX(0,MAX(0,($C283+$F283)-$M283)-$S283))</f>
        <v/>
      </c>
      <c r="X283" s="24">
        <f>IF(Inputs!$C$39=1,$W283,0)</f>
        <v/>
      </c>
      <c r="Y283" s="24">
        <f>IF(Inputs!$C$39=0,$W283,0)+MAX(0,MAX(0,($D283+$X283)-$N283)-$T283)</f>
        <v/>
      </c>
    </row>
    <row r="284">
      <c r="B284" s="22" t="n">
        <v>279</v>
      </c>
      <c r="C284" s="29">
        <f>IF($B284&lt;=Inputs!$C$6+Inputs!$C$11,Cashflow_Asset!$E282-Cashflow_Asset!$K282,0)</f>
        <v/>
      </c>
      <c r="D284" s="29">
        <f>IF($B284&lt;=Inputs!$C$6+Inputs!$C$11,Cashflow_Asset!$F282+Cashflow_Asset!$G282+Cashflow_Asset!$I282,0)</f>
        <v/>
      </c>
      <c r="E284" s="29">
        <f>IF($B284&lt;=Inputs!$C$6+Inputs!$C$11,Cashflow_Asset!$J282,0)</f>
        <v/>
      </c>
      <c r="F284" s="23">
        <f>$G283</f>
        <v/>
      </c>
      <c r="G284" s="24">
        <f>(MAX(0,$F284-MAX(0,($M284+$S284)-$C284)))+MIN(MAX(0,$D$3-(MAX(0,$F284-MAX(0,($M284+$S284)-$C284)))),MAX(0,MAX(0,($C284+$F284)-$M284)-$S284))</f>
        <v/>
      </c>
      <c r="H284" s="23">
        <f>$J283</f>
        <v/>
      </c>
      <c r="I284" s="24">
        <f>MIN($E284,$H284)</f>
        <v/>
      </c>
      <c r="J284" s="24">
        <f>$H284-$I284</f>
        <v/>
      </c>
      <c r="K284" s="23">
        <f>$P283</f>
        <v/>
      </c>
      <c r="L284" s="24">
        <f>$K284*Inputs!$C$18/12</f>
        <v/>
      </c>
      <c r="M284" s="24">
        <f>MIN(($C284+$F284),$L284)</f>
        <v/>
      </c>
      <c r="N284" s="24">
        <f>MIN(($D284+$X284),MAX(0,$K284-$O284))</f>
        <v/>
      </c>
      <c r="O284" s="24">
        <f>MIN(MAX(0,MAX(0,$E284-$I284)-$U284),$K284)</f>
        <v/>
      </c>
      <c r="P284" s="24">
        <f>MAX(0,$K284-$O284)-$N284</f>
        <v/>
      </c>
      <c r="Q284" s="23">
        <f>$V283</f>
        <v/>
      </c>
      <c r="R284" s="24">
        <f>$Q284*Inputs!$C$19/12</f>
        <v/>
      </c>
      <c r="S284" s="24">
        <f>MIN(MAX(0,($C284+$F284)-$M284),$R284)</f>
        <v/>
      </c>
      <c r="T284" s="24">
        <f>MIN(MAX(0,($D284+$X284)-$N284),MAX(0,$Q284-$U284))</f>
        <v/>
      </c>
      <c r="U284" s="24">
        <f>MIN(MAX(0,$E284-$I284),$Q284)</f>
        <v/>
      </c>
      <c r="V284" s="24">
        <f>MAX(0,$Q284-$U284)-$T284</f>
        <v/>
      </c>
      <c r="W284" s="24">
        <f>MAX(0,MAX(0,($C284+$F284)-$M284)-$S284)-MIN(MAX(0,$D$3-(MAX(0,$F284-MAX(0,($M284+$S284)-$C284)))),MAX(0,MAX(0,($C284+$F284)-$M284)-$S284))</f>
        <v/>
      </c>
      <c r="X284" s="24">
        <f>IF(Inputs!$C$39=1,$W284,0)</f>
        <v/>
      </c>
      <c r="Y284" s="24">
        <f>IF(Inputs!$C$39=0,$W284,0)+MAX(0,MAX(0,($D284+$X284)-$N284)-$T284)</f>
        <v/>
      </c>
    </row>
    <row r="285">
      <c r="B285" s="22" t="n">
        <v>280</v>
      </c>
      <c r="C285" s="29">
        <f>IF($B285&lt;=Inputs!$C$6+Inputs!$C$11,Cashflow_Asset!$E283-Cashflow_Asset!$K283,0)</f>
        <v/>
      </c>
      <c r="D285" s="29">
        <f>IF($B285&lt;=Inputs!$C$6+Inputs!$C$11,Cashflow_Asset!$F283+Cashflow_Asset!$G283+Cashflow_Asset!$I283,0)</f>
        <v/>
      </c>
      <c r="E285" s="29">
        <f>IF($B285&lt;=Inputs!$C$6+Inputs!$C$11,Cashflow_Asset!$J283,0)</f>
        <v/>
      </c>
      <c r="F285" s="23">
        <f>$G284</f>
        <v/>
      </c>
      <c r="G285" s="24">
        <f>(MAX(0,$F285-MAX(0,($M285+$S285)-$C285)))+MIN(MAX(0,$D$3-(MAX(0,$F285-MAX(0,($M285+$S285)-$C285)))),MAX(0,MAX(0,($C285+$F285)-$M285)-$S285))</f>
        <v/>
      </c>
      <c r="H285" s="23">
        <f>$J284</f>
        <v/>
      </c>
      <c r="I285" s="24">
        <f>MIN($E285,$H285)</f>
        <v/>
      </c>
      <c r="J285" s="24">
        <f>$H285-$I285</f>
        <v/>
      </c>
      <c r="K285" s="23">
        <f>$P284</f>
        <v/>
      </c>
      <c r="L285" s="24">
        <f>$K285*Inputs!$C$18/12</f>
        <v/>
      </c>
      <c r="M285" s="24">
        <f>MIN(($C285+$F285),$L285)</f>
        <v/>
      </c>
      <c r="N285" s="24">
        <f>MIN(($D285+$X285),MAX(0,$K285-$O285))</f>
        <v/>
      </c>
      <c r="O285" s="24">
        <f>MIN(MAX(0,MAX(0,$E285-$I285)-$U285),$K285)</f>
        <v/>
      </c>
      <c r="P285" s="24">
        <f>MAX(0,$K285-$O285)-$N285</f>
        <v/>
      </c>
      <c r="Q285" s="23">
        <f>$V284</f>
        <v/>
      </c>
      <c r="R285" s="24">
        <f>$Q285*Inputs!$C$19/12</f>
        <v/>
      </c>
      <c r="S285" s="24">
        <f>MIN(MAX(0,($C285+$F285)-$M285),$R285)</f>
        <v/>
      </c>
      <c r="T285" s="24">
        <f>MIN(MAX(0,($D285+$X285)-$N285),MAX(0,$Q285-$U285))</f>
        <v/>
      </c>
      <c r="U285" s="24">
        <f>MIN(MAX(0,$E285-$I285),$Q285)</f>
        <v/>
      </c>
      <c r="V285" s="24">
        <f>MAX(0,$Q285-$U285)-$T285</f>
        <v/>
      </c>
      <c r="W285" s="24">
        <f>MAX(0,MAX(0,($C285+$F285)-$M285)-$S285)-MIN(MAX(0,$D$3-(MAX(0,$F285-MAX(0,($M285+$S285)-$C285)))),MAX(0,MAX(0,($C285+$F285)-$M285)-$S285))</f>
        <v/>
      </c>
      <c r="X285" s="24">
        <f>IF(Inputs!$C$39=1,$W285,0)</f>
        <v/>
      </c>
      <c r="Y285" s="24">
        <f>IF(Inputs!$C$39=0,$W285,0)+MAX(0,MAX(0,($D285+$X285)-$N285)-$T285)</f>
        <v/>
      </c>
    </row>
    <row r="286">
      <c r="B286" s="22" t="n">
        <v>281</v>
      </c>
      <c r="C286" s="29">
        <f>IF($B286&lt;=Inputs!$C$6+Inputs!$C$11,Cashflow_Asset!$E284-Cashflow_Asset!$K284,0)</f>
        <v/>
      </c>
      <c r="D286" s="29">
        <f>IF($B286&lt;=Inputs!$C$6+Inputs!$C$11,Cashflow_Asset!$F284+Cashflow_Asset!$G284+Cashflow_Asset!$I284,0)</f>
        <v/>
      </c>
      <c r="E286" s="29">
        <f>IF($B286&lt;=Inputs!$C$6+Inputs!$C$11,Cashflow_Asset!$J284,0)</f>
        <v/>
      </c>
      <c r="F286" s="23">
        <f>$G285</f>
        <v/>
      </c>
      <c r="G286" s="24">
        <f>(MAX(0,$F286-MAX(0,($M286+$S286)-$C286)))+MIN(MAX(0,$D$3-(MAX(0,$F286-MAX(0,($M286+$S286)-$C286)))),MAX(0,MAX(0,($C286+$F286)-$M286)-$S286))</f>
        <v/>
      </c>
      <c r="H286" s="23">
        <f>$J285</f>
        <v/>
      </c>
      <c r="I286" s="24">
        <f>MIN($E286,$H286)</f>
        <v/>
      </c>
      <c r="J286" s="24">
        <f>$H286-$I286</f>
        <v/>
      </c>
      <c r="K286" s="23">
        <f>$P285</f>
        <v/>
      </c>
      <c r="L286" s="24">
        <f>$K286*Inputs!$C$18/12</f>
        <v/>
      </c>
      <c r="M286" s="24">
        <f>MIN(($C286+$F286),$L286)</f>
        <v/>
      </c>
      <c r="N286" s="24">
        <f>MIN(($D286+$X286),MAX(0,$K286-$O286))</f>
        <v/>
      </c>
      <c r="O286" s="24">
        <f>MIN(MAX(0,MAX(0,$E286-$I286)-$U286),$K286)</f>
        <v/>
      </c>
      <c r="P286" s="24">
        <f>MAX(0,$K286-$O286)-$N286</f>
        <v/>
      </c>
      <c r="Q286" s="23">
        <f>$V285</f>
        <v/>
      </c>
      <c r="R286" s="24">
        <f>$Q286*Inputs!$C$19/12</f>
        <v/>
      </c>
      <c r="S286" s="24">
        <f>MIN(MAX(0,($C286+$F286)-$M286),$R286)</f>
        <v/>
      </c>
      <c r="T286" s="24">
        <f>MIN(MAX(0,($D286+$X286)-$N286),MAX(0,$Q286-$U286))</f>
        <v/>
      </c>
      <c r="U286" s="24">
        <f>MIN(MAX(0,$E286-$I286),$Q286)</f>
        <v/>
      </c>
      <c r="V286" s="24">
        <f>MAX(0,$Q286-$U286)-$T286</f>
        <v/>
      </c>
      <c r="W286" s="24">
        <f>MAX(0,MAX(0,($C286+$F286)-$M286)-$S286)-MIN(MAX(0,$D$3-(MAX(0,$F286-MAX(0,($M286+$S286)-$C286)))),MAX(0,MAX(0,($C286+$F286)-$M286)-$S286))</f>
        <v/>
      </c>
      <c r="X286" s="24">
        <f>IF(Inputs!$C$39=1,$W286,0)</f>
        <v/>
      </c>
      <c r="Y286" s="24">
        <f>IF(Inputs!$C$39=0,$W286,0)+MAX(0,MAX(0,($D286+$X286)-$N286)-$T286)</f>
        <v/>
      </c>
    </row>
    <row r="287">
      <c r="B287" s="22" t="n">
        <v>282</v>
      </c>
      <c r="C287" s="29">
        <f>IF($B287&lt;=Inputs!$C$6+Inputs!$C$11,Cashflow_Asset!$E285-Cashflow_Asset!$K285,0)</f>
        <v/>
      </c>
      <c r="D287" s="29">
        <f>IF($B287&lt;=Inputs!$C$6+Inputs!$C$11,Cashflow_Asset!$F285+Cashflow_Asset!$G285+Cashflow_Asset!$I285,0)</f>
        <v/>
      </c>
      <c r="E287" s="29">
        <f>IF($B287&lt;=Inputs!$C$6+Inputs!$C$11,Cashflow_Asset!$J285,0)</f>
        <v/>
      </c>
      <c r="F287" s="23">
        <f>$G286</f>
        <v/>
      </c>
      <c r="G287" s="24">
        <f>(MAX(0,$F287-MAX(0,($M287+$S287)-$C287)))+MIN(MAX(0,$D$3-(MAX(0,$F287-MAX(0,($M287+$S287)-$C287)))),MAX(0,MAX(0,($C287+$F287)-$M287)-$S287))</f>
        <v/>
      </c>
      <c r="H287" s="23">
        <f>$J286</f>
        <v/>
      </c>
      <c r="I287" s="24">
        <f>MIN($E287,$H287)</f>
        <v/>
      </c>
      <c r="J287" s="24">
        <f>$H287-$I287</f>
        <v/>
      </c>
      <c r="K287" s="23">
        <f>$P286</f>
        <v/>
      </c>
      <c r="L287" s="24">
        <f>$K287*Inputs!$C$18/12</f>
        <v/>
      </c>
      <c r="M287" s="24">
        <f>MIN(($C287+$F287),$L287)</f>
        <v/>
      </c>
      <c r="N287" s="24">
        <f>MIN(($D287+$X287),MAX(0,$K287-$O287))</f>
        <v/>
      </c>
      <c r="O287" s="24">
        <f>MIN(MAX(0,MAX(0,$E287-$I287)-$U287),$K287)</f>
        <v/>
      </c>
      <c r="P287" s="24">
        <f>MAX(0,$K287-$O287)-$N287</f>
        <v/>
      </c>
      <c r="Q287" s="23">
        <f>$V286</f>
        <v/>
      </c>
      <c r="R287" s="24">
        <f>$Q287*Inputs!$C$19/12</f>
        <v/>
      </c>
      <c r="S287" s="24">
        <f>MIN(MAX(0,($C287+$F287)-$M287),$R287)</f>
        <v/>
      </c>
      <c r="T287" s="24">
        <f>MIN(MAX(0,($D287+$X287)-$N287),MAX(0,$Q287-$U287))</f>
        <v/>
      </c>
      <c r="U287" s="24">
        <f>MIN(MAX(0,$E287-$I287),$Q287)</f>
        <v/>
      </c>
      <c r="V287" s="24">
        <f>MAX(0,$Q287-$U287)-$T287</f>
        <v/>
      </c>
      <c r="W287" s="24">
        <f>MAX(0,MAX(0,($C287+$F287)-$M287)-$S287)-MIN(MAX(0,$D$3-(MAX(0,$F287-MAX(0,($M287+$S287)-$C287)))),MAX(0,MAX(0,($C287+$F287)-$M287)-$S287))</f>
        <v/>
      </c>
      <c r="X287" s="24">
        <f>IF(Inputs!$C$39=1,$W287,0)</f>
        <v/>
      </c>
      <c r="Y287" s="24">
        <f>IF(Inputs!$C$39=0,$W287,0)+MAX(0,MAX(0,($D287+$X287)-$N287)-$T287)</f>
        <v/>
      </c>
    </row>
    <row r="288">
      <c r="B288" s="22" t="n">
        <v>283</v>
      </c>
      <c r="C288" s="29">
        <f>IF($B288&lt;=Inputs!$C$6+Inputs!$C$11,Cashflow_Asset!$E286-Cashflow_Asset!$K286,0)</f>
        <v/>
      </c>
      <c r="D288" s="29">
        <f>IF($B288&lt;=Inputs!$C$6+Inputs!$C$11,Cashflow_Asset!$F286+Cashflow_Asset!$G286+Cashflow_Asset!$I286,0)</f>
        <v/>
      </c>
      <c r="E288" s="29">
        <f>IF($B288&lt;=Inputs!$C$6+Inputs!$C$11,Cashflow_Asset!$J286,0)</f>
        <v/>
      </c>
      <c r="F288" s="23">
        <f>$G287</f>
        <v/>
      </c>
      <c r="G288" s="24">
        <f>(MAX(0,$F288-MAX(0,($M288+$S288)-$C288)))+MIN(MAX(0,$D$3-(MAX(0,$F288-MAX(0,($M288+$S288)-$C288)))),MAX(0,MAX(0,($C288+$F288)-$M288)-$S288))</f>
        <v/>
      </c>
      <c r="H288" s="23">
        <f>$J287</f>
        <v/>
      </c>
      <c r="I288" s="24">
        <f>MIN($E288,$H288)</f>
        <v/>
      </c>
      <c r="J288" s="24">
        <f>$H288-$I288</f>
        <v/>
      </c>
      <c r="K288" s="23">
        <f>$P287</f>
        <v/>
      </c>
      <c r="L288" s="24">
        <f>$K288*Inputs!$C$18/12</f>
        <v/>
      </c>
      <c r="M288" s="24">
        <f>MIN(($C288+$F288),$L288)</f>
        <v/>
      </c>
      <c r="N288" s="24">
        <f>MIN(($D288+$X288),MAX(0,$K288-$O288))</f>
        <v/>
      </c>
      <c r="O288" s="24">
        <f>MIN(MAX(0,MAX(0,$E288-$I288)-$U288),$K288)</f>
        <v/>
      </c>
      <c r="P288" s="24">
        <f>MAX(0,$K288-$O288)-$N288</f>
        <v/>
      </c>
      <c r="Q288" s="23">
        <f>$V287</f>
        <v/>
      </c>
      <c r="R288" s="24">
        <f>$Q288*Inputs!$C$19/12</f>
        <v/>
      </c>
      <c r="S288" s="24">
        <f>MIN(MAX(0,($C288+$F288)-$M288),$R288)</f>
        <v/>
      </c>
      <c r="T288" s="24">
        <f>MIN(MAX(0,($D288+$X288)-$N288),MAX(0,$Q288-$U288))</f>
        <v/>
      </c>
      <c r="U288" s="24">
        <f>MIN(MAX(0,$E288-$I288),$Q288)</f>
        <v/>
      </c>
      <c r="V288" s="24">
        <f>MAX(0,$Q288-$U288)-$T288</f>
        <v/>
      </c>
      <c r="W288" s="24">
        <f>MAX(0,MAX(0,($C288+$F288)-$M288)-$S288)-MIN(MAX(0,$D$3-(MAX(0,$F288-MAX(0,($M288+$S288)-$C288)))),MAX(0,MAX(0,($C288+$F288)-$M288)-$S288))</f>
        <v/>
      </c>
      <c r="X288" s="24">
        <f>IF(Inputs!$C$39=1,$W288,0)</f>
        <v/>
      </c>
      <c r="Y288" s="24">
        <f>IF(Inputs!$C$39=0,$W288,0)+MAX(0,MAX(0,($D288+$X288)-$N288)-$T288)</f>
        <v/>
      </c>
    </row>
    <row r="289">
      <c r="B289" s="22" t="n">
        <v>284</v>
      </c>
      <c r="C289" s="29">
        <f>IF($B289&lt;=Inputs!$C$6+Inputs!$C$11,Cashflow_Asset!$E287-Cashflow_Asset!$K287,0)</f>
        <v/>
      </c>
      <c r="D289" s="29">
        <f>IF($B289&lt;=Inputs!$C$6+Inputs!$C$11,Cashflow_Asset!$F287+Cashflow_Asset!$G287+Cashflow_Asset!$I287,0)</f>
        <v/>
      </c>
      <c r="E289" s="29">
        <f>IF($B289&lt;=Inputs!$C$6+Inputs!$C$11,Cashflow_Asset!$J287,0)</f>
        <v/>
      </c>
      <c r="F289" s="23">
        <f>$G288</f>
        <v/>
      </c>
      <c r="G289" s="24">
        <f>(MAX(0,$F289-MAX(0,($M289+$S289)-$C289)))+MIN(MAX(0,$D$3-(MAX(0,$F289-MAX(0,($M289+$S289)-$C289)))),MAX(0,MAX(0,($C289+$F289)-$M289)-$S289))</f>
        <v/>
      </c>
      <c r="H289" s="23">
        <f>$J288</f>
        <v/>
      </c>
      <c r="I289" s="24">
        <f>MIN($E289,$H289)</f>
        <v/>
      </c>
      <c r="J289" s="24">
        <f>$H289-$I289</f>
        <v/>
      </c>
      <c r="K289" s="23">
        <f>$P288</f>
        <v/>
      </c>
      <c r="L289" s="24">
        <f>$K289*Inputs!$C$18/12</f>
        <v/>
      </c>
      <c r="M289" s="24">
        <f>MIN(($C289+$F289),$L289)</f>
        <v/>
      </c>
      <c r="N289" s="24">
        <f>MIN(($D289+$X289),MAX(0,$K289-$O289))</f>
        <v/>
      </c>
      <c r="O289" s="24">
        <f>MIN(MAX(0,MAX(0,$E289-$I289)-$U289),$K289)</f>
        <v/>
      </c>
      <c r="P289" s="24">
        <f>MAX(0,$K289-$O289)-$N289</f>
        <v/>
      </c>
      <c r="Q289" s="23">
        <f>$V288</f>
        <v/>
      </c>
      <c r="R289" s="24">
        <f>$Q289*Inputs!$C$19/12</f>
        <v/>
      </c>
      <c r="S289" s="24">
        <f>MIN(MAX(0,($C289+$F289)-$M289),$R289)</f>
        <v/>
      </c>
      <c r="T289" s="24">
        <f>MIN(MAX(0,($D289+$X289)-$N289),MAX(0,$Q289-$U289))</f>
        <v/>
      </c>
      <c r="U289" s="24">
        <f>MIN(MAX(0,$E289-$I289),$Q289)</f>
        <v/>
      </c>
      <c r="V289" s="24">
        <f>MAX(0,$Q289-$U289)-$T289</f>
        <v/>
      </c>
      <c r="W289" s="24">
        <f>MAX(0,MAX(0,($C289+$F289)-$M289)-$S289)-MIN(MAX(0,$D$3-(MAX(0,$F289-MAX(0,($M289+$S289)-$C289)))),MAX(0,MAX(0,($C289+$F289)-$M289)-$S289))</f>
        <v/>
      </c>
      <c r="X289" s="24">
        <f>IF(Inputs!$C$39=1,$W289,0)</f>
        <v/>
      </c>
      <c r="Y289" s="24">
        <f>IF(Inputs!$C$39=0,$W289,0)+MAX(0,MAX(0,($D289+$X289)-$N289)-$T289)</f>
        <v/>
      </c>
    </row>
    <row r="290">
      <c r="B290" s="22" t="n">
        <v>285</v>
      </c>
      <c r="C290" s="29">
        <f>IF($B290&lt;=Inputs!$C$6+Inputs!$C$11,Cashflow_Asset!$E288-Cashflow_Asset!$K288,0)</f>
        <v/>
      </c>
      <c r="D290" s="29">
        <f>IF($B290&lt;=Inputs!$C$6+Inputs!$C$11,Cashflow_Asset!$F288+Cashflow_Asset!$G288+Cashflow_Asset!$I288,0)</f>
        <v/>
      </c>
      <c r="E290" s="29">
        <f>IF($B290&lt;=Inputs!$C$6+Inputs!$C$11,Cashflow_Asset!$J288,0)</f>
        <v/>
      </c>
      <c r="F290" s="23">
        <f>$G289</f>
        <v/>
      </c>
      <c r="G290" s="24">
        <f>(MAX(0,$F290-MAX(0,($M290+$S290)-$C290)))+MIN(MAX(0,$D$3-(MAX(0,$F290-MAX(0,($M290+$S290)-$C290)))),MAX(0,MAX(0,($C290+$F290)-$M290)-$S290))</f>
        <v/>
      </c>
      <c r="H290" s="23">
        <f>$J289</f>
        <v/>
      </c>
      <c r="I290" s="24">
        <f>MIN($E290,$H290)</f>
        <v/>
      </c>
      <c r="J290" s="24">
        <f>$H290-$I290</f>
        <v/>
      </c>
      <c r="K290" s="23">
        <f>$P289</f>
        <v/>
      </c>
      <c r="L290" s="24">
        <f>$K290*Inputs!$C$18/12</f>
        <v/>
      </c>
      <c r="M290" s="24">
        <f>MIN(($C290+$F290),$L290)</f>
        <v/>
      </c>
      <c r="N290" s="24">
        <f>MIN(($D290+$X290),MAX(0,$K290-$O290))</f>
        <v/>
      </c>
      <c r="O290" s="24">
        <f>MIN(MAX(0,MAX(0,$E290-$I290)-$U290),$K290)</f>
        <v/>
      </c>
      <c r="P290" s="24">
        <f>MAX(0,$K290-$O290)-$N290</f>
        <v/>
      </c>
      <c r="Q290" s="23">
        <f>$V289</f>
        <v/>
      </c>
      <c r="R290" s="24">
        <f>$Q290*Inputs!$C$19/12</f>
        <v/>
      </c>
      <c r="S290" s="24">
        <f>MIN(MAX(0,($C290+$F290)-$M290),$R290)</f>
        <v/>
      </c>
      <c r="T290" s="24">
        <f>MIN(MAX(0,($D290+$X290)-$N290),MAX(0,$Q290-$U290))</f>
        <v/>
      </c>
      <c r="U290" s="24">
        <f>MIN(MAX(0,$E290-$I290),$Q290)</f>
        <v/>
      </c>
      <c r="V290" s="24">
        <f>MAX(0,$Q290-$U290)-$T290</f>
        <v/>
      </c>
      <c r="W290" s="24">
        <f>MAX(0,MAX(0,($C290+$F290)-$M290)-$S290)-MIN(MAX(0,$D$3-(MAX(0,$F290-MAX(0,($M290+$S290)-$C290)))),MAX(0,MAX(0,($C290+$F290)-$M290)-$S290))</f>
        <v/>
      </c>
      <c r="X290" s="24">
        <f>IF(Inputs!$C$39=1,$W290,0)</f>
        <v/>
      </c>
      <c r="Y290" s="24">
        <f>IF(Inputs!$C$39=0,$W290,0)+MAX(0,MAX(0,($D290+$X290)-$N290)-$T290)</f>
        <v/>
      </c>
    </row>
    <row r="291">
      <c r="B291" s="22" t="n">
        <v>286</v>
      </c>
      <c r="C291" s="29">
        <f>IF($B291&lt;=Inputs!$C$6+Inputs!$C$11,Cashflow_Asset!$E289-Cashflow_Asset!$K289,0)</f>
        <v/>
      </c>
      <c r="D291" s="29">
        <f>IF($B291&lt;=Inputs!$C$6+Inputs!$C$11,Cashflow_Asset!$F289+Cashflow_Asset!$G289+Cashflow_Asset!$I289,0)</f>
        <v/>
      </c>
      <c r="E291" s="29">
        <f>IF($B291&lt;=Inputs!$C$6+Inputs!$C$11,Cashflow_Asset!$J289,0)</f>
        <v/>
      </c>
      <c r="F291" s="23">
        <f>$G290</f>
        <v/>
      </c>
      <c r="G291" s="24">
        <f>(MAX(0,$F291-MAX(0,($M291+$S291)-$C291)))+MIN(MAX(0,$D$3-(MAX(0,$F291-MAX(0,($M291+$S291)-$C291)))),MAX(0,MAX(0,($C291+$F291)-$M291)-$S291))</f>
        <v/>
      </c>
      <c r="H291" s="23">
        <f>$J290</f>
        <v/>
      </c>
      <c r="I291" s="24">
        <f>MIN($E291,$H291)</f>
        <v/>
      </c>
      <c r="J291" s="24">
        <f>$H291-$I291</f>
        <v/>
      </c>
      <c r="K291" s="23">
        <f>$P290</f>
        <v/>
      </c>
      <c r="L291" s="24">
        <f>$K291*Inputs!$C$18/12</f>
        <v/>
      </c>
      <c r="M291" s="24">
        <f>MIN(($C291+$F291),$L291)</f>
        <v/>
      </c>
      <c r="N291" s="24">
        <f>MIN(($D291+$X291),MAX(0,$K291-$O291))</f>
        <v/>
      </c>
      <c r="O291" s="24">
        <f>MIN(MAX(0,MAX(0,$E291-$I291)-$U291),$K291)</f>
        <v/>
      </c>
      <c r="P291" s="24">
        <f>MAX(0,$K291-$O291)-$N291</f>
        <v/>
      </c>
      <c r="Q291" s="23">
        <f>$V290</f>
        <v/>
      </c>
      <c r="R291" s="24">
        <f>$Q291*Inputs!$C$19/12</f>
        <v/>
      </c>
      <c r="S291" s="24">
        <f>MIN(MAX(0,($C291+$F291)-$M291),$R291)</f>
        <v/>
      </c>
      <c r="T291" s="24">
        <f>MIN(MAX(0,($D291+$X291)-$N291),MAX(0,$Q291-$U291))</f>
        <v/>
      </c>
      <c r="U291" s="24">
        <f>MIN(MAX(0,$E291-$I291),$Q291)</f>
        <v/>
      </c>
      <c r="V291" s="24">
        <f>MAX(0,$Q291-$U291)-$T291</f>
        <v/>
      </c>
      <c r="W291" s="24">
        <f>MAX(0,MAX(0,($C291+$F291)-$M291)-$S291)-MIN(MAX(0,$D$3-(MAX(0,$F291-MAX(0,($M291+$S291)-$C291)))),MAX(0,MAX(0,($C291+$F291)-$M291)-$S291))</f>
        <v/>
      </c>
      <c r="X291" s="24">
        <f>IF(Inputs!$C$39=1,$W291,0)</f>
        <v/>
      </c>
      <c r="Y291" s="24">
        <f>IF(Inputs!$C$39=0,$W291,0)+MAX(0,MAX(0,($D291+$X291)-$N291)-$T291)</f>
        <v/>
      </c>
    </row>
    <row r="292">
      <c r="B292" s="22" t="n">
        <v>287</v>
      </c>
      <c r="C292" s="29">
        <f>IF($B292&lt;=Inputs!$C$6+Inputs!$C$11,Cashflow_Asset!$E290-Cashflow_Asset!$K290,0)</f>
        <v/>
      </c>
      <c r="D292" s="29">
        <f>IF($B292&lt;=Inputs!$C$6+Inputs!$C$11,Cashflow_Asset!$F290+Cashflow_Asset!$G290+Cashflow_Asset!$I290,0)</f>
        <v/>
      </c>
      <c r="E292" s="29">
        <f>IF($B292&lt;=Inputs!$C$6+Inputs!$C$11,Cashflow_Asset!$J290,0)</f>
        <v/>
      </c>
      <c r="F292" s="23">
        <f>$G291</f>
        <v/>
      </c>
      <c r="G292" s="24">
        <f>(MAX(0,$F292-MAX(0,($M292+$S292)-$C292)))+MIN(MAX(0,$D$3-(MAX(0,$F292-MAX(0,($M292+$S292)-$C292)))),MAX(0,MAX(0,($C292+$F292)-$M292)-$S292))</f>
        <v/>
      </c>
      <c r="H292" s="23">
        <f>$J291</f>
        <v/>
      </c>
      <c r="I292" s="24">
        <f>MIN($E292,$H292)</f>
        <v/>
      </c>
      <c r="J292" s="24">
        <f>$H292-$I292</f>
        <v/>
      </c>
      <c r="K292" s="23">
        <f>$P291</f>
        <v/>
      </c>
      <c r="L292" s="24">
        <f>$K292*Inputs!$C$18/12</f>
        <v/>
      </c>
      <c r="M292" s="24">
        <f>MIN(($C292+$F292),$L292)</f>
        <v/>
      </c>
      <c r="N292" s="24">
        <f>MIN(($D292+$X292),MAX(0,$K292-$O292))</f>
        <v/>
      </c>
      <c r="O292" s="24">
        <f>MIN(MAX(0,MAX(0,$E292-$I292)-$U292),$K292)</f>
        <v/>
      </c>
      <c r="P292" s="24">
        <f>MAX(0,$K292-$O292)-$N292</f>
        <v/>
      </c>
      <c r="Q292" s="23">
        <f>$V291</f>
        <v/>
      </c>
      <c r="R292" s="24">
        <f>$Q292*Inputs!$C$19/12</f>
        <v/>
      </c>
      <c r="S292" s="24">
        <f>MIN(MAX(0,($C292+$F292)-$M292),$R292)</f>
        <v/>
      </c>
      <c r="T292" s="24">
        <f>MIN(MAX(0,($D292+$X292)-$N292),MAX(0,$Q292-$U292))</f>
        <v/>
      </c>
      <c r="U292" s="24">
        <f>MIN(MAX(0,$E292-$I292),$Q292)</f>
        <v/>
      </c>
      <c r="V292" s="24">
        <f>MAX(0,$Q292-$U292)-$T292</f>
        <v/>
      </c>
      <c r="W292" s="24">
        <f>MAX(0,MAX(0,($C292+$F292)-$M292)-$S292)-MIN(MAX(0,$D$3-(MAX(0,$F292-MAX(0,($M292+$S292)-$C292)))),MAX(0,MAX(0,($C292+$F292)-$M292)-$S292))</f>
        <v/>
      </c>
      <c r="X292" s="24">
        <f>IF(Inputs!$C$39=1,$W292,0)</f>
        <v/>
      </c>
      <c r="Y292" s="24">
        <f>IF(Inputs!$C$39=0,$W292,0)+MAX(0,MAX(0,($D292+$X292)-$N292)-$T292)</f>
        <v/>
      </c>
    </row>
    <row r="293">
      <c r="B293" s="22" t="n">
        <v>288</v>
      </c>
      <c r="C293" s="29">
        <f>IF($B293&lt;=Inputs!$C$6+Inputs!$C$11,Cashflow_Asset!$E291-Cashflow_Asset!$K291,0)</f>
        <v/>
      </c>
      <c r="D293" s="29">
        <f>IF($B293&lt;=Inputs!$C$6+Inputs!$C$11,Cashflow_Asset!$F291+Cashflow_Asset!$G291+Cashflow_Asset!$I291,0)</f>
        <v/>
      </c>
      <c r="E293" s="29">
        <f>IF($B293&lt;=Inputs!$C$6+Inputs!$C$11,Cashflow_Asset!$J291,0)</f>
        <v/>
      </c>
      <c r="F293" s="23">
        <f>$G292</f>
        <v/>
      </c>
      <c r="G293" s="24">
        <f>(MAX(0,$F293-MAX(0,($M293+$S293)-$C293)))+MIN(MAX(0,$D$3-(MAX(0,$F293-MAX(0,($M293+$S293)-$C293)))),MAX(0,MAX(0,($C293+$F293)-$M293)-$S293))</f>
        <v/>
      </c>
      <c r="H293" s="23">
        <f>$J292</f>
        <v/>
      </c>
      <c r="I293" s="24">
        <f>MIN($E293,$H293)</f>
        <v/>
      </c>
      <c r="J293" s="24">
        <f>$H293-$I293</f>
        <v/>
      </c>
      <c r="K293" s="23">
        <f>$P292</f>
        <v/>
      </c>
      <c r="L293" s="24">
        <f>$K293*Inputs!$C$18/12</f>
        <v/>
      </c>
      <c r="M293" s="24">
        <f>MIN(($C293+$F293),$L293)</f>
        <v/>
      </c>
      <c r="N293" s="24">
        <f>MIN(($D293+$X293),MAX(0,$K293-$O293))</f>
        <v/>
      </c>
      <c r="O293" s="24">
        <f>MIN(MAX(0,MAX(0,$E293-$I293)-$U293),$K293)</f>
        <v/>
      </c>
      <c r="P293" s="24">
        <f>MAX(0,$K293-$O293)-$N293</f>
        <v/>
      </c>
      <c r="Q293" s="23">
        <f>$V292</f>
        <v/>
      </c>
      <c r="R293" s="24">
        <f>$Q293*Inputs!$C$19/12</f>
        <v/>
      </c>
      <c r="S293" s="24">
        <f>MIN(MAX(0,($C293+$F293)-$M293),$R293)</f>
        <v/>
      </c>
      <c r="T293" s="24">
        <f>MIN(MAX(0,($D293+$X293)-$N293),MAX(0,$Q293-$U293))</f>
        <v/>
      </c>
      <c r="U293" s="24">
        <f>MIN(MAX(0,$E293-$I293),$Q293)</f>
        <v/>
      </c>
      <c r="V293" s="24">
        <f>MAX(0,$Q293-$U293)-$T293</f>
        <v/>
      </c>
      <c r="W293" s="24">
        <f>MAX(0,MAX(0,($C293+$F293)-$M293)-$S293)-MIN(MAX(0,$D$3-(MAX(0,$F293-MAX(0,($M293+$S293)-$C293)))),MAX(0,MAX(0,($C293+$F293)-$M293)-$S293))</f>
        <v/>
      </c>
      <c r="X293" s="24">
        <f>IF(Inputs!$C$39=1,$W293,0)</f>
        <v/>
      </c>
      <c r="Y293" s="24">
        <f>IF(Inputs!$C$39=0,$W293,0)+MAX(0,MAX(0,($D293+$X293)-$N293)-$T293)</f>
        <v/>
      </c>
    </row>
    <row r="294">
      <c r="B294" s="22" t="n">
        <v>289</v>
      </c>
      <c r="C294" s="29">
        <f>IF($B294&lt;=Inputs!$C$6+Inputs!$C$11,Cashflow_Asset!$E292-Cashflow_Asset!$K292,0)</f>
        <v/>
      </c>
      <c r="D294" s="29">
        <f>IF($B294&lt;=Inputs!$C$6+Inputs!$C$11,Cashflow_Asset!$F292+Cashflow_Asset!$G292+Cashflow_Asset!$I292,0)</f>
        <v/>
      </c>
      <c r="E294" s="29">
        <f>IF($B294&lt;=Inputs!$C$6+Inputs!$C$11,Cashflow_Asset!$J292,0)</f>
        <v/>
      </c>
      <c r="F294" s="23">
        <f>$G293</f>
        <v/>
      </c>
      <c r="G294" s="24">
        <f>(MAX(0,$F294-MAX(0,($M294+$S294)-$C294)))+MIN(MAX(0,$D$3-(MAX(0,$F294-MAX(0,($M294+$S294)-$C294)))),MAX(0,MAX(0,($C294+$F294)-$M294)-$S294))</f>
        <v/>
      </c>
      <c r="H294" s="23">
        <f>$J293</f>
        <v/>
      </c>
      <c r="I294" s="24">
        <f>MIN($E294,$H294)</f>
        <v/>
      </c>
      <c r="J294" s="24">
        <f>$H294-$I294</f>
        <v/>
      </c>
      <c r="K294" s="23">
        <f>$P293</f>
        <v/>
      </c>
      <c r="L294" s="24">
        <f>$K294*Inputs!$C$18/12</f>
        <v/>
      </c>
      <c r="M294" s="24">
        <f>MIN(($C294+$F294),$L294)</f>
        <v/>
      </c>
      <c r="N294" s="24">
        <f>MIN(($D294+$X294),MAX(0,$K294-$O294))</f>
        <v/>
      </c>
      <c r="O294" s="24">
        <f>MIN(MAX(0,MAX(0,$E294-$I294)-$U294),$K294)</f>
        <v/>
      </c>
      <c r="P294" s="24">
        <f>MAX(0,$K294-$O294)-$N294</f>
        <v/>
      </c>
      <c r="Q294" s="23">
        <f>$V293</f>
        <v/>
      </c>
      <c r="R294" s="24">
        <f>$Q294*Inputs!$C$19/12</f>
        <v/>
      </c>
      <c r="S294" s="24">
        <f>MIN(MAX(0,($C294+$F294)-$M294),$R294)</f>
        <v/>
      </c>
      <c r="T294" s="24">
        <f>MIN(MAX(0,($D294+$X294)-$N294),MAX(0,$Q294-$U294))</f>
        <v/>
      </c>
      <c r="U294" s="24">
        <f>MIN(MAX(0,$E294-$I294),$Q294)</f>
        <v/>
      </c>
      <c r="V294" s="24">
        <f>MAX(0,$Q294-$U294)-$T294</f>
        <v/>
      </c>
      <c r="W294" s="24">
        <f>MAX(0,MAX(0,($C294+$F294)-$M294)-$S294)-MIN(MAX(0,$D$3-(MAX(0,$F294-MAX(0,($M294+$S294)-$C294)))),MAX(0,MAX(0,($C294+$F294)-$M294)-$S294))</f>
        <v/>
      </c>
      <c r="X294" s="24">
        <f>IF(Inputs!$C$39=1,$W294,0)</f>
        <v/>
      </c>
      <c r="Y294" s="24">
        <f>IF(Inputs!$C$39=0,$W294,0)+MAX(0,MAX(0,($D294+$X294)-$N294)-$T294)</f>
        <v/>
      </c>
    </row>
    <row r="295">
      <c r="B295" s="22" t="n">
        <v>290</v>
      </c>
      <c r="C295" s="29">
        <f>IF($B295&lt;=Inputs!$C$6+Inputs!$C$11,Cashflow_Asset!$E293-Cashflow_Asset!$K293,0)</f>
        <v/>
      </c>
      <c r="D295" s="29">
        <f>IF($B295&lt;=Inputs!$C$6+Inputs!$C$11,Cashflow_Asset!$F293+Cashflow_Asset!$G293+Cashflow_Asset!$I293,0)</f>
        <v/>
      </c>
      <c r="E295" s="29">
        <f>IF($B295&lt;=Inputs!$C$6+Inputs!$C$11,Cashflow_Asset!$J293,0)</f>
        <v/>
      </c>
      <c r="F295" s="23">
        <f>$G294</f>
        <v/>
      </c>
      <c r="G295" s="24">
        <f>(MAX(0,$F295-MAX(0,($M295+$S295)-$C295)))+MIN(MAX(0,$D$3-(MAX(0,$F295-MAX(0,($M295+$S295)-$C295)))),MAX(0,MAX(0,($C295+$F295)-$M295)-$S295))</f>
        <v/>
      </c>
      <c r="H295" s="23">
        <f>$J294</f>
        <v/>
      </c>
      <c r="I295" s="24">
        <f>MIN($E295,$H295)</f>
        <v/>
      </c>
      <c r="J295" s="24">
        <f>$H295-$I295</f>
        <v/>
      </c>
      <c r="K295" s="23">
        <f>$P294</f>
        <v/>
      </c>
      <c r="L295" s="24">
        <f>$K295*Inputs!$C$18/12</f>
        <v/>
      </c>
      <c r="M295" s="24">
        <f>MIN(($C295+$F295),$L295)</f>
        <v/>
      </c>
      <c r="N295" s="24">
        <f>MIN(($D295+$X295),MAX(0,$K295-$O295))</f>
        <v/>
      </c>
      <c r="O295" s="24">
        <f>MIN(MAX(0,MAX(0,$E295-$I295)-$U295),$K295)</f>
        <v/>
      </c>
      <c r="P295" s="24">
        <f>MAX(0,$K295-$O295)-$N295</f>
        <v/>
      </c>
      <c r="Q295" s="23">
        <f>$V294</f>
        <v/>
      </c>
      <c r="R295" s="24">
        <f>$Q295*Inputs!$C$19/12</f>
        <v/>
      </c>
      <c r="S295" s="24">
        <f>MIN(MAX(0,($C295+$F295)-$M295),$R295)</f>
        <v/>
      </c>
      <c r="T295" s="24">
        <f>MIN(MAX(0,($D295+$X295)-$N295),MAX(0,$Q295-$U295))</f>
        <v/>
      </c>
      <c r="U295" s="24">
        <f>MIN(MAX(0,$E295-$I295),$Q295)</f>
        <v/>
      </c>
      <c r="V295" s="24">
        <f>MAX(0,$Q295-$U295)-$T295</f>
        <v/>
      </c>
      <c r="W295" s="24">
        <f>MAX(0,MAX(0,($C295+$F295)-$M295)-$S295)-MIN(MAX(0,$D$3-(MAX(0,$F295-MAX(0,($M295+$S295)-$C295)))),MAX(0,MAX(0,($C295+$F295)-$M295)-$S295))</f>
        <v/>
      </c>
      <c r="X295" s="24">
        <f>IF(Inputs!$C$39=1,$W295,0)</f>
        <v/>
      </c>
      <c r="Y295" s="24">
        <f>IF(Inputs!$C$39=0,$W295,0)+MAX(0,MAX(0,($D295+$X295)-$N295)-$T295)</f>
        <v/>
      </c>
    </row>
    <row r="296">
      <c r="B296" s="22" t="n">
        <v>291</v>
      </c>
      <c r="C296" s="29">
        <f>IF($B296&lt;=Inputs!$C$6+Inputs!$C$11,Cashflow_Asset!$E294-Cashflow_Asset!$K294,0)</f>
        <v/>
      </c>
      <c r="D296" s="29">
        <f>IF($B296&lt;=Inputs!$C$6+Inputs!$C$11,Cashflow_Asset!$F294+Cashflow_Asset!$G294+Cashflow_Asset!$I294,0)</f>
        <v/>
      </c>
      <c r="E296" s="29">
        <f>IF($B296&lt;=Inputs!$C$6+Inputs!$C$11,Cashflow_Asset!$J294,0)</f>
        <v/>
      </c>
      <c r="F296" s="23">
        <f>$G295</f>
        <v/>
      </c>
      <c r="G296" s="24">
        <f>(MAX(0,$F296-MAX(0,($M296+$S296)-$C296)))+MIN(MAX(0,$D$3-(MAX(0,$F296-MAX(0,($M296+$S296)-$C296)))),MAX(0,MAX(0,($C296+$F296)-$M296)-$S296))</f>
        <v/>
      </c>
      <c r="H296" s="23">
        <f>$J295</f>
        <v/>
      </c>
      <c r="I296" s="24">
        <f>MIN($E296,$H296)</f>
        <v/>
      </c>
      <c r="J296" s="24">
        <f>$H296-$I296</f>
        <v/>
      </c>
      <c r="K296" s="23">
        <f>$P295</f>
        <v/>
      </c>
      <c r="L296" s="24">
        <f>$K296*Inputs!$C$18/12</f>
        <v/>
      </c>
      <c r="M296" s="24">
        <f>MIN(($C296+$F296),$L296)</f>
        <v/>
      </c>
      <c r="N296" s="24">
        <f>MIN(($D296+$X296),MAX(0,$K296-$O296))</f>
        <v/>
      </c>
      <c r="O296" s="24">
        <f>MIN(MAX(0,MAX(0,$E296-$I296)-$U296),$K296)</f>
        <v/>
      </c>
      <c r="P296" s="24">
        <f>MAX(0,$K296-$O296)-$N296</f>
        <v/>
      </c>
      <c r="Q296" s="23">
        <f>$V295</f>
        <v/>
      </c>
      <c r="R296" s="24">
        <f>$Q296*Inputs!$C$19/12</f>
        <v/>
      </c>
      <c r="S296" s="24">
        <f>MIN(MAX(0,($C296+$F296)-$M296),$R296)</f>
        <v/>
      </c>
      <c r="T296" s="24">
        <f>MIN(MAX(0,($D296+$X296)-$N296),MAX(0,$Q296-$U296))</f>
        <v/>
      </c>
      <c r="U296" s="24">
        <f>MIN(MAX(0,$E296-$I296),$Q296)</f>
        <v/>
      </c>
      <c r="V296" s="24">
        <f>MAX(0,$Q296-$U296)-$T296</f>
        <v/>
      </c>
      <c r="W296" s="24">
        <f>MAX(0,MAX(0,($C296+$F296)-$M296)-$S296)-MIN(MAX(0,$D$3-(MAX(0,$F296-MAX(0,($M296+$S296)-$C296)))),MAX(0,MAX(0,($C296+$F296)-$M296)-$S296))</f>
        <v/>
      </c>
      <c r="X296" s="24">
        <f>IF(Inputs!$C$39=1,$W296,0)</f>
        <v/>
      </c>
      <c r="Y296" s="24">
        <f>IF(Inputs!$C$39=0,$W296,0)+MAX(0,MAX(0,($D296+$X296)-$N296)-$T296)</f>
        <v/>
      </c>
    </row>
    <row r="297">
      <c r="B297" s="22" t="n">
        <v>292</v>
      </c>
      <c r="C297" s="29">
        <f>IF($B297&lt;=Inputs!$C$6+Inputs!$C$11,Cashflow_Asset!$E295-Cashflow_Asset!$K295,0)</f>
        <v/>
      </c>
      <c r="D297" s="29">
        <f>IF($B297&lt;=Inputs!$C$6+Inputs!$C$11,Cashflow_Asset!$F295+Cashflow_Asset!$G295+Cashflow_Asset!$I295,0)</f>
        <v/>
      </c>
      <c r="E297" s="29">
        <f>IF($B297&lt;=Inputs!$C$6+Inputs!$C$11,Cashflow_Asset!$J295,0)</f>
        <v/>
      </c>
      <c r="F297" s="23">
        <f>$G296</f>
        <v/>
      </c>
      <c r="G297" s="24">
        <f>(MAX(0,$F297-MAX(0,($M297+$S297)-$C297)))+MIN(MAX(0,$D$3-(MAX(0,$F297-MAX(0,($M297+$S297)-$C297)))),MAX(0,MAX(0,($C297+$F297)-$M297)-$S297))</f>
        <v/>
      </c>
      <c r="H297" s="23">
        <f>$J296</f>
        <v/>
      </c>
      <c r="I297" s="24">
        <f>MIN($E297,$H297)</f>
        <v/>
      </c>
      <c r="J297" s="24">
        <f>$H297-$I297</f>
        <v/>
      </c>
      <c r="K297" s="23">
        <f>$P296</f>
        <v/>
      </c>
      <c r="L297" s="24">
        <f>$K297*Inputs!$C$18/12</f>
        <v/>
      </c>
      <c r="M297" s="24">
        <f>MIN(($C297+$F297),$L297)</f>
        <v/>
      </c>
      <c r="N297" s="24">
        <f>MIN(($D297+$X297),MAX(0,$K297-$O297))</f>
        <v/>
      </c>
      <c r="O297" s="24">
        <f>MIN(MAX(0,MAX(0,$E297-$I297)-$U297),$K297)</f>
        <v/>
      </c>
      <c r="P297" s="24">
        <f>MAX(0,$K297-$O297)-$N297</f>
        <v/>
      </c>
      <c r="Q297" s="23">
        <f>$V296</f>
        <v/>
      </c>
      <c r="R297" s="24">
        <f>$Q297*Inputs!$C$19/12</f>
        <v/>
      </c>
      <c r="S297" s="24">
        <f>MIN(MAX(0,($C297+$F297)-$M297),$R297)</f>
        <v/>
      </c>
      <c r="T297" s="24">
        <f>MIN(MAX(0,($D297+$X297)-$N297),MAX(0,$Q297-$U297))</f>
        <v/>
      </c>
      <c r="U297" s="24">
        <f>MIN(MAX(0,$E297-$I297),$Q297)</f>
        <v/>
      </c>
      <c r="V297" s="24">
        <f>MAX(0,$Q297-$U297)-$T297</f>
        <v/>
      </c>
      <c r="W297" s="24">
        <f>MAX(0,MAX(0,($C297+$F297)-$M297)-$S297)-MIN(MAX(0,$D$3-(MAX(0,$F297-MAX(0,($M297+$S297)-$C297)))),MAX(0,MAX(0,($C297+$F297)-$M297)-$S297))</f>
        <v/>
      </c>
      <c r="X297" s="24">
        <f>IF(Inputs!$C$39=1,$W297,0)</f>
        <v/>
      </c>
      <c r="Y297" s="24">
        <f>IF(Inputs!$C$39=0,$W297,0)+MAX(0,MAX(0,($D297+$X297)-$N297)-$T297)</f>
        <v/>
      </c>
    </row>
    <row r="298">
      <c r="B298" s="22" t="n">
        <v>293</v>
      </c>
      <c r="C298" s="29">
        <f>IF($B298&lt;=Inputs!$C$6+Inputs!$C$11,Cashflow_Asset!$E296-Cashflow_Asset!$K296,0)</f>
        <v/>
      </c>
      <c r="D298" s="29">
        <f>IF($B298&lt;=Inputs!$C$6+Inputs!$C$11,Cashflow_Asset!$F296+Cashflow_Asset!$G296+Cashflow_Asset!$I296,0)</f>
        <v/>
      </c>
      <c r="E298" s="29">
        <f>IF($B298&lt;=Inputs!$C$6+Inputs!$C$11,Cashflow_Asset!$J296,0)</f>
        <v/>
      </c>
      <c r="F298" s="23">
        <f>$G297</f>
        <v/>
      </c>
      <c r="G298" s="24">
        <f>(MAX(0,$F298-MAX(0,($M298+$S298)-$C298)))+MIN(MAX(0,$D$3-(MAX(0,$F298-MAX(0,($M298+$S298)-$C298)))),MAX(0,MAX(0,($C298+$F298)-$M298)-$S298))</f>
        <v/>
      </c>
      <c r="H298" s="23">
        <f>$J297</f>
        <v/>
      </c>
      <c r="I298" s="24">
        <f>MIN($E298,$H298)</f>
        <v/>
      </c>
      <c r="J298" s="24">
        <f>$H298-$I298</f>
        <v/>
      </c>
      <c r="K298" s="23">
        <f>$P297</f>
        <v/>
      </c>
      <c r="L298" s="24">
        <f>$K298*Inputs!$C$18/12</f>
        <v/>
      </c>
      <c r="M298" s="24">
        <f>MIN(($C298+$F298),$L298)</f>
        <v/>
      </c>
      <c r="N298" s="24">
        <f>MIN(($D298+$X298),MAX(0,$K298-$O298))</f>
        <v/>
      </c>
      <c r="O298" s="24">
        <f>MIN(MAX(0,MAX(0,$E298-$I298)-$U298),$K298)</f>
        <v/>
      </c>
      <c r="P298" s="24">
        <f>MAX(0,$K298-$O298)-$N298</f>
        <v/>
      </c>
      <c r="Q298" s="23">
        <f>$V297</f>
        <v/>
      </c>
      <c r="R298" s="24">
        <f>$Q298*Inputs!$C$19/12</f>
        <v/>
      </c>
      <c r="S298" s="24">
        <f>MIN(MAX(0,($C298+$F298)-$M298),$R298)</f>
        <v/>
      </c>
      <c r="T298" s="24">
        <f>MIN(MAX(0,($D298+$X298)-$N298),MAX(0,$Q298-$U298))</f>
        <v/>
      </c>
      <c r="U298" s="24">
        <f>MIN(MAX(0,$E298-$I298),$Q298)</f>
        <v/>
      </c>
      <c r="V298" s="24">
        <f>MAX(0,$Q298-$U298)-$T298</f>
        <v/>
      </c>
      <c r="W298" s="24">
        <f>MAX(0,MAX(0,($C298+$F298)-$M298)-$S298)-MIN(MAX(0,$D$3-(MAX(0,$F298-MAX(0,($M298+$S298)-$C298)))),MAX(0,MAX(0,($C298+$F298)-$M298)-$S298))</f>
        <v/>
      </c>
      <c r="X298" s="24">
        <f>IF(Inputs!$C$39=1,$W298,0)</f>
        <v/>
      </c>
      <c r="Y298" s="24">
        <f>IF(Inputs!$C$39=0,$W298,0)+MAX(0,MAX(0,($D298+$X298)-$N298)-$T298)</f>
        <v/>
      </c>
    </row>
    <row r="299">
      <c r="B299" s="22" t="n">
        <v>294</v>
      </c>
      <c r="C299" s="29">
        <f>IF($B299&lt;=Inputs!$C$6+Inputs!$C$11,Cashflow_Asset!$E297-Cashflow_Asset!$K297,0)</f>
        <v/>
      </c>
      <c r="D299" s="29">
        <f>IF($B299&lt;=Inputs!$C$6+Inputs!$C$11,Cashflow_Asset!$F297+Cashflow_Asset!$G297+Cashflow_Asset!$I297,0)</f>
        <v/>
      </c>
      <c r="E299" s="29">
        <f>IF($B299&lt;=Inputs!$C$6+Inputs!$C$11,Cashflow_Asset!$J297,0)</f>
        <v/>
      </c>
      <c r="F299" s="23">
        <f>$G298</f>
        <v/>
      </c>
      <c r="G299" s="24">
        <f>(MAX(0,$F299-MAX(0,($M299+$S299)-$C299)))+MIN(MAX(0,$D$3-(MAX(0,$F299-MAX(0,($M299+$S299)-$C299)))),MAX(0,MAX(0,($C299+$F299)-$M299)-$S299))</f>
        <v/>
      </c>
      <c r="H299" s="23">
        <f>$J298</f>
        <v/>
      </c>
      <c r="I299" s="24">
        <f>MIN($E299,$H299)</f>
        <v/>
      </c>
      <c r="J299" s="24">
        <f>$H299-$I299</f>
        <v/>
      </c>
      <c r="K299" s="23">
        <f>$P298</f>
        <v/>
      </c>
      <c r="L299" s="24">
        <f>$K299*Inputs!$C$18/12</f>
        <v/>
      </c>
      <c r="M299" s="24">
        <f>MIN(($C299+$F299),$L299)</f>
        <v/>
      </c>
      <c r="N299" s="24">
        <f>MIN(($D299+$X299),MAX(0,$K299-$O299))</f>
        <v/>
      </c>
      <c r="O299" s="24">
        <f>MIN(MAX(0,MAX(0,$E299-$I299)-$U299),$K299)</f>
        <v/>
      </c>
      <c r="P299" s="24">
        <f>MAX(0,$K299-$O299)-$N299</f>
        <v/>
      </c>
      <c r="Q299" s="23">
        <f>$V298</f>
        <v/>
      </c>
      <c r="R299" s="24">
        <f>$Q299*Inputs!$C$19/12</f>
        <v/>
      </c>
      <c r="S299" s="24">
        <f>MIN(MAX(0,($C299+$F299)-$M299),$R299)</f>
        <v/>
      </c>
      <c r="T299" s="24">
        <f>MIN(MAX(0,($D299+$X299)-$N299),MAX(0,$Q299-$U299))</f>
        <v/>
      </c>
      <c r="U299" s="24">
        <f>MIN(MAX(0,$E299-$I299),$Q299)</f>
        <v/>
      </c>
      <c r="V299" s="24">
        <f>MAX(0,$Q299-$U299)-$T299</f>
        <v/>
      </c>
      <c r="W299" s="24">
        <f>MAX(0,MAX(0,($C299+$F299)-$M299)-$S299)-MIN(MAX(0,$D$3-(MAX(0,$F299-MAX(0,($M299+$S299)-$C299)))),MAX(0,MAX(0,($C299+$F299)-$M299)-$S299))</f>
        <v/>
      </c>
      <c r="X299" s="24">
        <f>IF(Inputs!$C$39=1,$W299,0)</f>
        <v/>
      </c>
      <c r="Y299" s="24">
        <f>IF(Inputs!$C$39=0,$W299,0)+MAX(0,MAX(0,($D299+$X299)-$N299)-$T299)</f>
        <v/>
      </c>
    </row>
    <row r="300">
      <c r="B300" s="22" t="n">
        <v>295</v>
      </c>
      <c r="C300" s="29">
        <f>IF($B300&lt;=Inputs!$C$6+Inputs!$C$11,Cashflow_Asset!$E298-Cashflow_Asset!$K298,0)</f>
        <v/>
      </c>
      <c r="D300" s="29">
        <f>IF($B300&lt;=Inputs!$C$6+Inputs!$C$11,Cashflow_Asset!$F298+Cashflow_Asset!$G298+Cashflow_Asset!$I298,0)</f>
        <v/>
      </c>
      <c r="E300" s="29">
        <f>IF($B300&lt;=Inputs!$C$6+Inputs!$C$11,Cashflow_Asset!$J298,0)</f>
        <v/>
      </c>
      <c r="F300" s="23">
        <f>$G299</f>
        <v/>
      </c>
      <c r="G300" s="24">
        <f>(MAX(0,$F300-MAX(0,($M300+$S300)-$C300)))+MIN(MAX(0,$D$3-(MAX(0,$F300-MAX(0,($M300+$S300)-$C300)))),MAX(0,MAX(0,($C300+$F300)-$M300)-$S300))</f>
        <v/>
      </c>
      <c r="H300" s="23">
        <f>$J299</f>
        <v/>
      </c>
      <c r="I300" s="24">
        <f>MIN($E300,$H300)</f>
        <v/>
      </c>
      <c r="J300" s="24">
        <f>$H300-$I300</f>
        <v/>
      </c>
      <c r="K300" s="23">
        <f>$P299</f>
        <v/>
      </c>
      <c r="L300" s="24">
        <f>$K300*Inputs!$C$18/12</f>
        <v/>
      </c>
      <c r="M300" s="24">
        <f>MIN(($C300+$F300),$L300)</f>
        <v/>
      </c>
      <c r="N300" s="24">
        <f>MIN(($D300+$X300),MAX(0,$K300-$O300))</f>
        <v/>
      </c>
      <c r="O300" s="24">
        <f>MIN(MAX(0,MAX(0,$E300-$I300)-$U300),$K300)</f>
        <v/>
      </c>
      <c r="P300" s="24">
        <f>MAX(0,$K300-$O300)-$N300</f>
        <v/>
      </c>
      <c r="Q300" s="23">
        <f>$V299</f>
        <v/>
      </c>
      <c r="R300" s="24">
        <f>$Q300*Inputs!$C$19/12</f>
        <v/>
      </c>
      <c r="S300" s="24">
        <f>MIN(MAX(0,($C300+$F300)-$M300),$R300)</f>
        <v/>
      </c>
      <c r="T300" s="24">
        <f>MIN(MAX(0,($D300+$X300)-$N300),MAX(0,$Q300-$U300))</f>
        <v/>
      </c>
      <c r="U300" s="24">
        <f>MIN(MAX(0,$E300-$I300),$Q300)</f>
        <v/>
      </c>
      <c r="V300" s="24">
        <f>MAX(0,$Q300-$U300)-$T300</f>
        <v/>
      </c>
      <c r="W300" s="24">
        <f>MAX(0,MAX(0,($C300+$F300)-$M300)-$S300)-MIN(MAX(0,$D$3-(MAX(0,$F300-MAX(0,($M300+$S300)-$C300)))),MAX(0,MAX(0,($C300+$F300)-$M300)-$S300))</f>
        <v/>
      </c>
      <c r="X300" s="24">
        <f>IF(Inputs!$C$39=1,$W300,0)</f>
        <v/>
      </c>
      <c r="Y300" s="24">
        <f>IF(Inputs!$C$39=0,$W300,0)+MAX(0,MAX(0,($D300+$X300)-$N300)-$T300)</f>
        <v/>
      </c>
    </row>
    <row r="301">
      <c r="B301" s="22" t="n">
        <v>296</v>
      </c>
      <c r="C301" s="29">
        <f>IF($B301&lt;=Inputs!$C$6+Inputs!$C$11,Cashflow_Asset!$E299-Cashflow_Asset!$K299,0)</f>
        <v/>
      </c>
      <c r="D301" s="29">
        <f>IF($B301&lt;=Inputs!$C$6+Inputs!$C$11,Cashflow_Asset!$F299+Cashflow_Asset!$G299+Cashflow_Asset!$I299,0)</f>
        <v/>
      </c>
      <c r="E301" s="29">
        <f>IF($B301&lt;=Inputs!$C$6+Inputs!$C$11,Cashflow_Asset!$J299,0)</f>
        <v/>
      </c>
      <c r="F301" s="23">
        <f>$G300</f>
        <v/>
      </c>
      <c r="G301" s="24">
        <f>(MAX(0,$F301-MAX(0,($M301+$S301)-$C301)))+MIN(MAX(0,$D$3-(MAX(0,$F301-MAX(0,($M301+$S301)-$C301)))),MAX(0,MAX(0,($C301+$F301)-$M301)-$S301))</f>
        <v/>
      </c>
      <c r="H301" s="23">
        <f>$J300</f>
        <v/>
      </c>
      <c r="I301" s="24">
        <f>MIN($E301,$H301)</f>
        <v/>
      </c>
      <c r="J301" s="24">
        <f>$H301-$I301</f>
        <v/>
      </c>
      <c r="K301" s="23">
        <f>$P300</f>
        <v/>
      </c>
      <c r="L301" s="24">
        <f>$K301*Inputs!$C$18/12</f>
        <v/>
      </c>
      <c r="M301" s="24">
        <f>MIN(($C301+$F301),$L301)</f>
        <v/>
      </c>
      <c r="N301" s="24">
        <f>MIN(($D301+$X301),MAX(0,$K301-$O301))</f>
        <v/>
      </c>
      <c r="O301" s="24">
        <f>MIN(MAX(0,MAX(0,$E301-$I301)-$U301),$K301)</f>
        <v/>
      </c>
      <c r="P301" s="24">
        <f>MAX(0,$K301-$O301)-$N301</f>
        <v/>
      </c>
      <c r="Q301" s="23">
        <f>$V300</f>
        <v/>
      </c>
      <c r="R301" s="24">
        <f>$Q301*Inputs!$C$19/12</f>
        <v/>
      </c>
      <c r="S301" s="24">
        <f>MIN(MAX(0,($C301+$F301)-$M301),$R301)</f>
        <v/>
      </c>
      <c r="T301" s="24">
        <f>MIN(MAX(0,($D301+$X301)-$N301),MAX(0,$Q301-$U301))</f>
        <v/>
      </c>
      <c r="U301" s="24">
        <f>MIN(MAX(0,$E301-$I301),$Q301)</f>
        <v/>
      </c>
      <c r="V301" s="24">
        <f>MAX(0,$Q301-$U301)-$T301</f>
        <v/>
      </c>
      <c r="W301" s="24">
        <f>MAX(0,MAX(0,($C301+$F301)-$M301)-$S301)-MIN(MAX(0,$D$3-(MAX(0,$F301-MAX(0,($M301+$S301)-$C301)))),MAX(0,MAX(0,($C301+$F301)-$M301)-$S301))</f>
        <v/>
      </c>
      <c r="X301" s="24">
        <f>IF(Inputs!$C$39=1,$W301,0)</f>
        <v/>
      </c>
      <c r="Y301" s="24">
        <f>IF(Inputs!$C$39=0,$W301,0)+MAX(0,MAX(0,($D301+$X301)-$N301)-$T301)</f>
        <v/>
      </c>
    </row>
    <row r="302">
      <c r="B302" s="22" t="n">
        <v>297</v>
      </c>
      <c r="C302" s="29">
        <f>IF($B302&lt;=Inputs!$C$6+Inputs!$C$11,Cashflow_Asset!$E300-Cashflow_Asset!$K300,0)</f>
        <v/>
      </c>
      <c r="D302" s="29">
        <f>IF($B302&lt;=Inputs!$C$6+Inputs!$C$11,Cashflow_Asset!$F300+Cashflow_Asset!$G300+Cashflow_Asset!$I300,0)</f>
        <v/>
      </c>
      <c r="E302" s="29">
        <f>IF($B302&lt;=Inputs!$C$6+Inputs!$C$11,Cashflow_Asset!$J300,0)</f>
        <v/>
      </c>
      <c r="F302" s="23">
        <f>$G301</f>
        <v/>
      </c>
      <c r="G302" s="24">
        <f>(MAX(0,$F302-MAX(0,($M302+$S302)-$C302)))+MIN(MAX(0,$D$3-(MAX(0,$F302-MAX(0,($M302+$S302)-$C302)))),MAX(0,MAX(0,($C302+$F302)-$M302)-$S302))</f>
        <v/>
      </c>
      <c r="H302" s="23">
        <f>$J301</f>
        <v/>
      </c>
      <c r="I302" s="24">
        <f>MIN($E302,$H302)</f>
        <v/>
      </c>
      <c r="J302" s="24">
        <f>$H302-$I302</f>
        <v/>
      </c>
      <c r="K302" s="23">
        <f>$P301</f>
        <v/>
      </c>
      <c r="L302" s="24">
        <f>$K302*Inputs!$C$18/12</f>
        <v/>
      </c>
      <c r="M302" s="24">
        <f>MIN(($C302+$F302),$L302)</f>
        <v/>
      </c>
      <c r="N302" s="24">
        <f>MIN(($D302+$X302),MAX(0,$K302-$O302))</f>
        <v/>
      </c>
      <c r="O302" s="24">
        <f>MIN(MAX(0,MAX(0,$E302-$I302)-$U302),$K302)</f>
        <v/>
      </c>
      <c r="P302" s="24">
        <f>MAX(0,$K302-$O302)-$N302</f>
        <v/>
      </c>
      <c r="Q302" s="23">
        <f>$V301</f>
        <v/>
      </c>
      <c r="R302" s="24">
        <f>$Q302*Inputs!$C$19/12</f>
        <v/>
      </c>
      <c r="S302" s="24">
        <f>MIN(MAX(0,($C302+$F302)-$M302),$R302)</f>
        <v/>
      </c>
      <c r="T302" s="24">
        <f>MIN(MAX(0,($D302+$X302)-$N302),MAX(0,$Q302-$U302))</f>
        <v/>
      </c>
      <c r="U302" s="24">
        <f>MIN(MAX(0,$E302-$I302),$Q302)</f>
        <v/>
      </c>
      <c r="V302" s="24">
        <f>MAX(0,$Q302-$U302)-$T302</f>
        <v/>
      </c>
      <c r="W302" s="24">
        <f>MAX(0,MAX(0,($C302+$F302)-$M302)-$S302)-MIN(MAX(0,$D$3-(MAX(0,$F302-MAX(0,($M302+$S302)-$C302)))),MAX(0,MAX(0,($C302+$F302)-$M302)-$S302))</f>
        <v/>
      </c>
      <c r="X302" s="24">
        <f>IF(Inputs!$C$39=1,$W302,0)</f>
        <v/>
      </c>
      <c r="Y302" s="24">
        <f>IF(Inputs!$C$39=0,$W302,0)+MAX(0,MAX(0,($D302+$X302)-$N302)-$T302)</f>
        <v/>
      </c>
    </row>
    <row r="303">
      <c r="B303" s="22" t="n">
        <v>298</v>
      </c>
      <c r="C303" s="29">
        <f>IF($B303&lt;=Inputs!$C$6+Inputs!$C$11,Cashflow_Asset!$E301-Cashflow_Asset!$K301,0)</f>
        <v/>
      </c>
      <c r="D303" s="29">
        <f>IF($B303&lt;=Inputs!$C$6+Inputs!$C$11,Cashflow_Asset!$F301+Cashflow_Asset!$G301+Cashflow_Asset!$I301,0)</f>
        <v/>
      </c>
      <c r="E303" s="29">
        <f>IF($B303&lt;=Inputs!$C$6+Inputs!$C$11,Cashflow_Asset!$J301,0)</f>
        <v/>
      </c>
      <c r="F303" s="23">
        <f>$G302</f>
        <v/>
      </c>
      <c r="G303" s="24">
        <f>(MAX(0,$F303-MAX(0,($M303+$S303)-$C303)))+MIN(MAX(0,$D$3-(MAX(0,$F303-MAX(0,($M303+$S303)-$C303)))),MAX(0,MAX(0,($C303+$F303)-$M303)-$S303))</f>
        <v/>
      </c>
      <c r="H303" s="23">
        <f>$J302</f>
        <v/>
      </c>
      <c r="I303" s="24">
        <f>MIN($E303,$H303)</f>
        <v/>
      </c>
      <c r="J303" s="24">
        <f>$H303-$I303</f>
        <v/>
      </c>
      <c r="K303" s="23">
        <f>$P302</f>
        <v/>
      </c>
      <c r="L303" s="24">
        <f>$K303*Inputs!$C$18/12</f>
        <v/>
      </c>
      <c r="M303" s="24">
        <f>MIN(($C303+$F303),$L303)</f>
        <v/>
      </c>
      <c r="N303" s="24">
        <f>MIN(($D303+$X303),MAX(0,$K303-$O303))</f>
        <v/>
      </c>
      <c r="O303" s="24">
        <f>MIN(MAX(0,MAX(0,$E303-$I303)-$U303),$K303)</f>
        <v/>
      </c>
      <c r="P303" s="24">
        <f>MAX(0,$K303-$O303)-$N303</f>
        <v/>
      </c>
      <c r="Q303" s="23">
        <f>$V302</f>
        <v/>
      </c>
      <c r="R303" s="24">
        <f>$Q303*Inputs!$C$19/12</f>
        <v/>
      </c>
      <c r="S303" s="24">
        <f>MIN(MAX(0,($C303+$F303)-$M303),$R303)</f>
        <v/>
      </c>
      <c r="T303" s="24">
        <f>MIN(MAX(0,($D303+$X303)-$N303),MAX(0,$Q303-$U303))</f>
        <v/>
      </c>
      <c r="U303" s="24">
        <f>MIN(MAX(0,$E303-$I303),$Q303)</f>
        <v/>
      </c>
      <c r="V303" s="24">
        <f>MAX(0,$Q303-$U303)-$T303</f>
        <v/>
      </c>
      <c r="W303" s="24">
        <f>MAX(0,MAX(0,($C303+$F303)-$M303)-$S303)-MIN(MAX(0,$D$3-(MAX(0,$F303-MAX(0,($M303+$S303)-$C303)))),MAX(0,MAX(0,($C303+$F303)-$M303)-$S303))</f>
        <v/>
      </c>
      <c r="X303" s="24">
        <f>IF(Inputs!$C$39=1,$W303,0)</f>
        <v/>
      </c>
      <c r="Y303" s="24">
        <f>IF(Inputs!$C$39=0,$W303,0)+MAX(0,MAX(0,($D303+$X303)-$N303)-$T303)</f>
        <v/>
      </c>
    </row>
    <row r="304">
      <c r="B304" s="22" t="n">
        <v>299</v>
      </c>
      <c r="C304" s="29">
        <f>IF($B304&lt;=Inputs!$C$6+Inputs!$C$11,Cashflow_Asset!$E302-Cashflow_Asset!$K302,0)</f>
        <v/>
      </c>
      <c r="D304" s="29">
        <f>IF($B304&lt;=Inputs!$C$6+Inputs!$C$11,Cashflow_Asset!$F302+Cashflow_Asset!$G302+Cashflow_Asset!$I302,0)</f>
        <v/>
      </c>
      <c r="E304" s="29">
        <f>IF($B304&lt;=Inputs!$C$6+Inputs!$C$11,Cashflow_Asset!$J302,0)</f>
        <v/>
      </c>
      <c r="F304" s="23">
        <f>$G303</f>
        <v/>
      </c>
      <c r="G304" s="24">
        <f>(MAX(0,$F304-MAX(0,($M304+$S304)-$C304)))+MIN(MAX(0,$D$3-(MAX(0,$F304-MAX(0,($M304+$S304)-$C304)))),MAX(0,MAX(0,($C304+$F304)-$M304)-$S304))</f>
        <v/>
      </c>
      <c r="H304" s="23">
        <f>$J303</f>
        <v/>
      </c>
      <c r="I304" s="24">
        <f>MIN($E304,$H304)</f>
        <v/>
      </c>
      <c r="J304" s="24">
        <f>$H304-$I304</f>
        <v/>
      </c>
      <c r="K304" s="23">
        <f>$P303</f>
        <v/>
      </c>
      <c r="L304" s="24">
        <f>$K304*Inputs!$C$18/12</f>
        <v/>
      </c>
      <c r="M304" s="24">
        <f>MIN(($C304+$F304),$L304)</f>
        <v/>
      </c>
      <c r="N304" s="24">
        <f>MIN(($D304+$X304),MAX(0,$K304-$O304))</f>
        <v/>
      </c>
      <c r="O304" s="24">
        <f>MIN(MAX(0,MAX(0,$E304-$I304)-$U304),$K304)</f>
        <v/>
      </c>
      <c r="P304" s="24">
        <f>MAX(0,$K304-$O304)-$N304</f>
        <v/>
      </c>
      <c r="Q304" s="23">
        <f>$V303</f>
        <v/>
      </c>
      <c r="R304" s="24">
        <f>$Q304*Inputs!$C$19/12</f>
        <v/>
      </c>
      <c r="S304" s="24">
        <f>MIN(MAX(0,($C304+$F304)-$M304),$R304)</f>
        <v/>
      </c>
      <c r="T304" s="24">
        <f>MIN(MAX(0,($D304+$X304)-$N304),MAX(0,$Q304-$U304))</f>
        <v/>
      </c>
      <c r="U304" s="24">
        <f>MIN(MAX(0,$E304-$I304),$Q304)</f>
        <v/>
      </c>
      <c r="V304" s="24">
        <f>MAX(0,$Q304-$U304)-$T304</f>
        <v/>
      </c>
      <c r="W304" s="24">
        <f>MAX(0,MAX(0,($C304+$F304)-$M304)-$S304)-MIN(MAX(0,$D$3-(MAX(0,$F304-MAX(0,($M304+$S304)-$C304)))),MAX(0,MAX(0,($C304+$F304)-$M304)-$S304))</f>
        <v/>
      </c>
      <c r="X304" s="24">
        <f>IF(Inputs!$C$39=1,$W304,0)</f>
        <v/>
      </c>
      <c r="Y304" s="24">
        <f>IF(Inputs!$C$39=0,$W304,0)+MAX(0,MAX(0,($D304+$X304)-$N304)-$T304)</f>
        <v/>
      </c>
    </row>
    <row r="305">
      <c r="B305" s="22" t="n">
        <v>300</v>
      </c>
      <c r="C305" s="29">
        <f>IF($B305&lt;=Inputs!$C$6+Inputs!$C$11,Cashflow_Asset!$E303-Cashflow_Asset!$K303,0)</f>
        <v/>
      </c>
      <c r="D305" s="29">
        <f>IF($B305&lt;=Inputs!$C$6+Inputs!$C$11,Cashflow_Asset!$F303+Cashflow_Asset!$G303+Cashflow_Asset!$I303,0)</f>
        <v/>
      </c>
      <c r="E305" s="29">
        <f>IF($B305&lt;=Inputs!$C$6+Inputs!$C$11,Cashflow_Asset!$J303,0)</f>
        <v/>
      </c>
      <c r="F305" s="23">
        <f>$G304</f>
        <v/>
      </c>
      <c r="G305" s="24">
        <f>(MAX(0,$F305-MAX(0,($M305+$S305)-$C305)))+MIN(MAX(0,$D$3-(MAX(0,$F305-MAX(0,($M305+$S305)-$C305)))),MAX(0,MAX(0,($C305+$F305)-$M305)-$S305))</f>
        <v/>
      </c>
      <c r="H305" s="23">
        <f>$J304</f>
        <v/>
      </c>
      <c r="I305" s="24">
        <f>MIN($E305,$H305)</f>
        <v/>
      </c>
      <c r="J305" s="24">
        <f>$H305-$I305</f>
        <v/>
      </c>
      <c r="K305" s="23">
        <f>$P304</f>
        <v/>
      </c>
      <c r="L305" s="24">
        <f>$K305*Inputs!$C$18/12</f>
        <v/>
      </c>
      <c r="M305" s="24">
        <f>MIN(($C305+$F305),$L305)</f>
        <v/>
      </c>
      <c r="N305" s="24">
        <f>MIN(($D305+$X305),MAX(0,$K305-$O305))</f>
        <v/>
      </c>
      <c r="O305" s="24">
        <f>MIN(MAX(0,MAX(0,$E305-$I305)-$U305),$K305)</f>
        <v/>
      </c>
      <c r="P305" s="24">
        <f>MAX(0,$K305-$O305)-$N305</f>
        <v/>
      </c>
      <c r="Q305" s="23">
        <f>$V304</f>
        <v/>
      </c>
      <c r="R305" s="24">
        <f>$Q305*Inputs!$C$19/12</f>
        <v/>
      </c>
      <c r="S305" s="24">
        <f>MIN(MAX(0,($C305+$F305)-$M305),$R305)</f>
        <v/>
      </c>
      <c r="T305" s="24">
        <f>MIN(MAX(0,($D305+$X305)-$N305),MAX(0,$Q305-$U305))</f>
        <v/>
      </c>
      <c r="U305" s="24">
        <f>MIN(MAX(0,$E305-$I305),$Q305)</f>
        <v/>
      </c>
      <c r="V305" s="24">
        <f>MAX(0,$Q305-$U305)-$T305</f>
        <v/>
      </c>
      <c r="W305" s="24">
        <f>MAX(0,MAX(0,($C305+$F305)-$M305)-$S305)-MIN(MAX(0,$D$3-(MAX(0,$F305-MAX(0,($M305+$S305)-$C305)))),MAX(0,MAX(0,($C305+$F305)-$M305)-$S305))</f>
        <v/>
      </c>
      <c r="X305" s="24">
        <f>IF(Inputs!$C$39=1,$W305,0)</f>
        <v/>
      </c>
      <c r="Y305" s="24">
        <f>IF(Inputs!$C$39=0,$W305,0)+MAX(0,MAX(0,($D305+$X305)-$N305)-$T305)</f>
        <v/>
      </c>
    </row>
    <row r="306">
      <c r="B306" s="22" t="n">
        <v>301</v>
      </c>
      <c r="C306" s="29">
        <f>IF($B306&lt;=Inputs!$C$6+Inputs!$C$11,Cashflow_Asset!$E304-Cashflow_Asset!$K304,0)</f>
        <v/>
      </c>
      <c r="D306" s="29">
        <f>IF($B306&lt;=Inputs!$C$6+Inputs!$C$11,Cashflow_Asset!$F304+Cashflow_Asset!$G304+Cashflow_Asset!$I304,0)</f>
        <v/>
      </c>
      <c r="E306" s="29">
        <f>IF($B306&lt;=Inputs!$C$6+Inputs!$C$11,Cashflow_Asset!$J304,0)</f>
        <v/>
      </c>
      <c r="F306" s="23">
        <f>$G305</f>
        <v/>
      </c>
      <c r="G306" s="24">
        <f>(MAX(0,$F306-MAX(0,($M306+$S306)-$C306)))+MIN(MAX(0,$D$3-(MAX(0,$F306-MAX(0,($M306+$S306)-$C306)))),MAX(0,MAX(0,($C306+$F306)-$M306)-$S306))</f>
        <v/>
      </c>
      <c r="H306" s="23">
        <f>$J305</f>
        <v/>
      </c>
      <c r="I306" s="24">
        <f>MIN($E306,$H306)</f>
        <v/>
      </c>
      <c r="J306" s="24">
        <f>$H306-$I306</f>
        <v/>
      </c>
      <c r="K306" s="23">
        <f>$P305</f>
        <v/>
      </c>
      <c r="L306" s="24">
        <f>$K306*Inputs!$C$18/12</f>
        <v/>
      </c>
      <c r="M306" s="24">
        <f>MIN(($C306+$F306),$L306)</f>
        <v/>
      </c>
      <c r="N306" s="24">
        <f>MIN(($D306+$X306),MAX(0,$K306-$O306))</f>
        <v/>
      </c>
      <c r="O306" s="24">
        <f>MIN(MAX(0,MAX(0,$E306-$I306)-$U306),$K306)</f>
        <v/>
      </c>
      <c r="P306" s="24">
        <f>MAX(0,$K306-$O306)-$N306</f>
        <v/>
      </c>
      <c r="Q306" s="23">
        <f>$V305</f>
        <v/>
      </c>
      <c r="R306" s="24">
        <f>$Q306*Inputs!$C$19/12</f>
        <v/>
      </c>
      <c r="S306" s="24">
        <f>MIN(MAX(0,($C306+$F306)-$M306),$R306)</f>
        <v/>
      </c>
      <c r="T306" s="24">
        <f>MIN(MAX(0,($D306+$X306)-$N306),MAX(0,$Q306-$U306))</f>
        <v/>
      </c>
      <c r="U306" s="24">
        <f>MIN(MAX(0,$E306-$I306),$Q306)</f>
        <v/>
      </c>
      <c r="V306" s="24">
        <f>MAX(0,$Q306-$U306)-$T306</f>
        <v/>
      </c>
      <c r="W306" s="24">
        <f>MAX(0,MAX(0,($C306+$F306)-$M306)-$S306)-MIN(MAX(0,$D$3-(MAX(0,$F306-MAX(0,($M306+$S306)-$C306)))),MAX(0,MAX(0,($C306+$F306)-$M306)-$S306))</f>
        <v/>
      </c>
      <c r="X306" s="24">
        <f>IF(Inputs!$C$39=1,$W306,0)</f>
        <v/>
      </c>
      <c r="Y306" s="24">
        <f>IF(Inputs!$C$39=0,$W306,0)+MAX(0,MAX(0,($D306+$X306)-$N306)-$T306)</f>
        <v/>
      </c>
    </row>
    <row r="307">
      <c r="B307" s="22" t="n">
        <v>302</v>
      </c>
      <c r="C307" s="29">
        <f>IF($B307&lt;=Inputs!$C$6+Inputs!$C$11,Cashflow_Asset!$E305-Cashflow_Asset!$K305,0)</f>
        <v/>
      </c>
      <c r="D307" s="29">
        <f>IF($B307&lt;=Inputs!$C$6+Inputs!$C$11,Cashflow_Asset!$F305+Cashflow_Asset!$G305+Cashflow_Asset!$I305,0)</f>
        <v/>
      </c>
      <c r="E307" s="29">
        <f>IF($B307&lt;=Inputs!$C$6+Inputs!$C$11,Cashflow_Asset!$J305,0)</f>
        <v/>
      </c>
      <c r="F307" s="23">
        <f>$G306</f>
        <v/>
      </c>
      <c r="G307" s="24">
        <f>(MAX(0,$F307-MAX(0,($M307+$S307)-$C307)))+MIN(MAX(0,$D$3-(MAX(0,$F307-MAX(0,($M307+$S307)-$C307)))),MAX(0,MAX(0,($C307+$F307)-$M307)-$S307))</f>
        <v/>
      </c>
      <c r="H307" s="23">
        <f>$J306</f>
        <v/>
      </c>
      <c r="I307" s="24">
        <f>MIN($E307,$H307)</f>
        <v/>
      </c>
      <c r="J307" s="24">
        <f>$H307-$I307</f>
        <v/>
      </c>
      <c r="K307" s="23">
        <f>$P306</f>
        <v/>
      </c>
      <c r="L307" s="24">
        <f>$K307*Inputs!$C$18/12</f>
        <v/>
      </c>
      <c r="M307" s="24">
        <f>MIN(($C307+$F307),$L307)</f>
        <v/>
      </c>
      <c r="N307" s="24">
        <f>MIN(($D307+$X307),MAX(0,$K307-$O307))</f>
        <v/>
      </c>
      <c r="O307" s="24">
        <f>MIN(MAX(0,MAX(0,$E307-$I307)-$U307),$K307)</f>
        <v/>
      </c>
      <c r="P307" s="24">
        <f>MAX(0,$K307-$O307)-$N307</f>
        <v/>
      </c>
      <c r="Q307" s="23">
        <f>$V306</f>
        <v/>
      </c>
      <c r="R307" s="24">
        <f>$Q307*Inputs!$C$19/12</f>
        <v/>
      </c>
      <c r="S307" s="24">
        <f>MIN(MAX(0,($C307+$F307)-$M307),$R307)</f>
        <v/>
      </c>
      <c r="T307" s="24">
        <f>MIN(MAX(0,($D307+$X307)-$N307),MAX(0,$Q307-$U307))</f>
        <v/>
      </c>
      <c r="U307" s="24">
        <f>MIN(MAX(0,$E307-$I307),$Q307)</f>
        <v/>
      </c>
      <c r="V307" s="24">
        <f>MAX(0,$Q307-$U307)-$T307</f>
        <v/>
      </c>
      <c r="W307" s="24">
        <f>MAX(0,MAX(0,($C307+$F307)-$M307)-$S307)-MIN(MAX(0,$D$3-(MAX(0,$F307-MAX(0,($M307+$S307)-$C307)))),MAX(0,MAX(0,($C307+$F307)-$M307)-$S307))</f>
        <v/>
      </c>
      <c r="X307" s="24">
        <f>IF(Inputs!$C$39=1,$W307,0)</f>
        <v/>
      </c>
      <c r="Y307" s="24">
        <f>IF(Inputs!$C$39=0,$W307,0)+MAX(0,MAX(0,($D307+$X307)-$N307)-$T307)</f>
        <v/>
      </c>
    </row>
    <row r="308">
      <c r="B308" s="22" t="n">
        <v>303</v>
      </c>
      <c r="C308" s="29">
        <f>IF($B308&lt;=Inputs!$C$6+Inputs!$C$11,Cashflow_Asset!$E306-Cashflow_Asset!$K306,0)</f>
        <v/>
      </c>
      <c r="D308" s="29">
        <f>IF($B308&lt;=Inputs!$C$6+Inputs!$C$11,Cashflow_Asset!$F306+Cashflow_Asset!$G306+Cashflow_Asset!$I306,0)</f>
        <v/>
      </c>
      <c r="E308" s="29">
        <f>IF($B308&lt;=Inputs!$C$6+Inputs!$C$11,Cashflow_Asset!$J306,0)</f>
        <v/>
      </c>
      <c r="F308" s="23">
        <f>$G307</f>
        <v/>
      </c>
      <c r="G308" s="24">
        <f>(MAX(0,$F308-MAX(0,($M308+$S308)-$C308)))+MIN(MAX(0,$D$3-(MAX(0,$F308-MAX(0,($M308+$S308)-$C308)))),MAX(0,MAX(0,($C308+$F308)-$M308)-$S308))</f>
        <v/>
      </c>
      <c r="H308" s="23">
        <f>$J307</f>
        <v/>
      </c>
      <c r="I308" s="24">
        <f>MIN($E308,$H308)</f>
        <v/>
      </c>
      <c r="J308" s="24">
        <f>$H308-$I308</f>
        <v/>
      </c>
      <c r="K308" s="23">
        <f>$P307</f>
        <v/>
      </c>
      <c r="L308" s="24">
        <f>$K308*Inputs!$C$18/12</f>
        <v/>
      </c>
      <c r="M308" s="24">
        <f>MIN(($C308+$F308),$L308)</f>
        <v/>
      </c>
      <c r="N308" s="24">
        <f>MIN(($D308+$X308),MAX(0,$K308-$O308))</f>
        <v/>
      </c>
      <c r="O308" s="24">
        <f>MIN(MAX(0,MAX(0,$E308-$I308)-$U308),$K308)</f>
        <v/>
      </c>
      <c r="P308" s="24">
        <f>MAX(0,$K308-$O308)-$N308</f>
        <v/>
      </c>
      <c r="Q308" s="23">
        <f>$V307</f>
        <v/>
      </c>
      <c r="R308" s="24">
        <f>$Q308*Inputs!$C$19/12</f>
        <v/>
      </c>
      <c r="S308" s="24">
        <f>MIN(MAX(0,($C308+$F308)-$M308),$R308)</f>
        <v/>
      </c>
      <c r="T308" s="24">
        <f>MIN(MAX(0,($D308+$X308)-$N308),MAX(0,$Q308-$U308))</f>
        <v/>
      </c>
      <c r="U308" s="24">
        <f>MIN(MAX(0,$E308-$I308),$Q308)</f>
        <v/>
      </c>
      <c r="V308" s="24">
        <f>MAX(0,$Q308-$U308)-$T308</f>
        <v/>
      </c>
      <c r="W308" s="24">
        <f>MAX(0,MAX(0,($C308+$F308)-$M308)-$S308)-MIN(MAX(0,$D$3-(MAX(0,$F308-MAX(0,($M308+$S308)-$C308)))),MAX(0,MAX(0,($C308+$F308)-$M308)-$S308))</f>
        <v/>
      </c>
      <c r="X308" s="24">
        <f>IF(Inputs!$C$39=1,$W308,0)</f>
        <v/>
      </c>
      <c r="Y308" s="24">
        <f>IF(Inputs!$C$39=0,$W308,0)+MAX(0,MAX(0,($D308+$X308)-$N308)-$T308)</f>
        <v/>
      </c>
    </row>
    <row r="309">
      <c r="B309" s="22" t="n">
        <v>304</v>
      </c>
      <c r="C309" s="29">
        <f>IF($B309&lt;=Inputs!$C$6+Inputs!$C$11,Cashflow_Asset!$E307-Cashflow_Asset!$K307,0)</f>
        <v/>
      </c>
      <c r="D309" s="29">
        <f>IF($B309&lt;=Inputs!$C$6+Inputs!$C$11,Cashflow_Asset!$F307+Cashflow_Asset!$G307+Cashflow_Asset!$I307,0)</f>
        <v/>
      </c>
      <c r="E309" s="29">
        <f>IF($B309&lt;=Inputs!$C$6+Inputs!$C$11,Cashflow_Asset!$J307,0)</f>
        <v/>
      </c>
      <c r="F309" s="23">
        <f>$G308</f>
        <v/>
      </c>
      <c r="G309" s="24">
        <f>(MAX(0,$F309-MAX(0,($M309+$S309)-$C309)))+MIN(MAX(0,$D$3-(MAX(0,$F309-MAX(0,($M309+$S309)-$C309)))),MAX(0,MAX(0,($C309+$F309)-$M309)-$S309))</f>
        <v/>
      </c>
      <c r="H309" s="23">
        <f>$J308</f>
        <v/>
      </c>
      <c r="I309" s="24">
        <f>MIN($E309,$H309)</f>
        <v/>
      </c>
      <c r="J309" s="24">
        <f>$H309-$I309</f>
        <v/>
      </c>
      <c r="K309" s="23">
        <f>$P308</f>
        <v/>
      </c>
      <c r="L309" s="24">
        <f>$K309*Inputs!$C$18/12</f>
        <v/>
      </c>
      <c r="M309" s="24">
        <f>MIN(($C309+$F309),$L309)</f>
        <v/>
      </c>
      <c r="N309" s="24">
        <f>MIN(($D309+$X309),MAX(0,$K309-$O309))</f>
        <v/>
      </c>
      <c r="O309" s="24">
        <f>MIN(MAX(0,MAX(0,$E309-$I309)-$U309),$K309)</f>
        <v/>
      </c>
      <c r="P309" s="24">
        <f>MAX(0,$K309-$O309)-$N309</f>
        <v/>
      </c>
      <c r="Q309" s="23">
        <f>$V308</f>
        <v/>
      </c>
      <c r="R309" s="24">
        <f>$Q309*Inputs!$C$19/12</f>
        <v/>
      </c>
      <c r="S309" s="24">
        <f>MIN(MAX(0,($C309+$F309)-$M309),$R309)</f>
        <v/>
      </c>
      <c r="T309" s="24">
        <f>MIN(MAX(0,($D309+$X309)-$N309),MAX(0,$Q309-$U309))</f>
        <v/>
      </c>
      <c r="U309" s="24">
        <f>MIN(MAX(0,$E309-$I309),$Q309)</f>
        <v/>
      </c>
      <c r="V309" s="24">
        <f>MAX(0,$Q309-$U309)-$T309</f>
        <v/>
      </c>
      <c r="W309" s="24">
        <f>MAX(0,MAX(0,($C309+$F309)-$M309)-$S309)-MIN(MAX(0,$D$3-(MAX(0,$F309-MAX(0,($M309+$S309)-$C309)))),MAX(0,MAX(0,($C309+$F309)-$M309)-$S309))</f>
        <v/>
      </c>
      <c r="X309" s="24">
        <f>IF(Inputs!$C$39=1,$W309,0)</f>
        <v/>
      </c>
      <c r="Y309" s="24">
        <f>IF(Inputs!$C$39=0,$W309,0)+MAX(0,MAX(0,($D309+$X309)-$N309)-$T309)</f>
        <v/>
      </c>
    </row>
    <row r="310">
      <c r="B310" s="22" t="n">
        <v>305</v>
      </c>
      <c r="C310" s="29">
        <f>IF($B310&lt;=Inputs!$C$6+Inputs!$C$11,Cashflow_Asset!$E308-Cashflow_Asset!$K308,0)</f>
        <v/>
      </c>
      <c r="D310" s="29">
        <f>IF($B310&lt;=Inputs!$C$6+Inputs!$C$11,Cashflow_Asset!$F308+Cashflow_Asset!$G308+Cashflow_Asset!$I308,0)</f>
        <v/>
      </c>
      <c r="E310" s="29">
        <f>IF($B310&lt;=Inputs!$C$6+Inputs!$C$11,Cashflow_Asset!$J308,0)</f>
        <v/>
      </c>
      <c r="F310" s="23">
        <f>$G309</f>
        <v/>
      </c>
      <c r="G310" s="24">
        <f>(MAX(0,$F310-MAX(0,($M310+$S310)-$C310)))+MIN(MAX(0,$D$3-(MAX(0,$F310-MAX(0,($M310+$S310)-$C310)))),MAX(0,MAX(0,($C310+$F310)-$M310)-$S310))</f>
        <v/>
      </c>
      <c r="H310" s="23">
        <f>$J309</f>
        <v/>
      </c>
      <c r="I310" s="24">
        <f>MIN($E310,$H310)</f>
        <v/>
      </c>
      <c r="J310" s="24">
        <f>$H310-$I310</f>
        <v/>
      </c>
      <c r="K310" s="23">
        <f>$P309</f>
        <v/>
      </c>
      <c r="L310" s="24">
        <f>$K310*Inputs!$C$18/12</f>
        <v/>
      </c>
      <c r="M310" s="24">
        <f>MIN(($C310+$F310),$L310)</f>
        <v/>
      </c>
      <c r="N310" s="24">
        <f>MIN(($D310+$X310),MAX(0,$K310-$O310))</f>
        <v/>
      </c>
      <c r="O310" s="24">
        <f>MIN(MAX(0,MAX(0,$E310-$I310)-$U310),$K310)</f>
        <v/>
      </c>
      <c r="P310" s="24">
        <f>MAX(0,$K310-$O310)-$N310</f>
        <v/>
      </c>
      <c r="Q310" s="23">
        <f>$V309</f>
        <v/>
      </c>
      <c r="R310" s="24">
        <f>$Q310*Inputs!$C$19/12</f>
        <v/>
      </c>
      <c r="S310" s="24">
        <f>MIN(MAX(0,($C310+$F310)-$M310),$R310)</f>
        <v/>
      </c>
      <c r="T310" s="24">
        <f>MIN(MAX(0,($D310+$X310)-$N310),MAX(0,$Q310-$U310))</f>
        <v/>
      </c>
      <c r="U310" s="24">
        <f>MIN(MAX(0,$E310-$I310),$Q310)</f>
        <v/>
      </c>
      <c r="V310" s="24">
        <f>MAX(0,$Q310-$U310)-$T310</f>
        <v/>
      </c>
      <c r="W310" s="24">
        <f>MAX(0,MAX(0,($C310+$F310)-$M310)-$S310)-MIN(MAX(0,$D$3-(MAX(0,$F310-MAX(0,($M310+$S310)-$C310)))),MAX(0,MAX(0,($C310+$F310)-$M310)-$S310))</f>
        <v/>
      </c>
      <c r="X310" s="24">
        <f>IF(Inputs!$C$39=1,$W310,0)</f>
        <v/>
      </c>
      <c r="Y310" s="24">
        <f>IF(Inputs!$C$39=0,$W310,0)+MAX(0,MAX(0,($D310+$X310)-$N310)-$T310)</f>
        <v/>
      </c>
    </row>
    <row r="311">
      <c r="B311" s="22" t="n">
        <v>306</v>
      </c>
      <c r="C311" s="29">
        <f>IF($B311&lt;=Inputs!$C$6+Inputs!$C$11,Cashflow_Asset!$E309-Cashflow_Asset!$K309,0)</f>
        <v/>
      </c>
      <c r="D311" s="29">
        <f>IF($B311&lt;=Inputs!$C$6+Inputs!$C$11,Cashflow_Asset!$F309+Cashflow_Asset!$G309+Cashflow_Asset!$I309,0)</f>
        <v/>
      </c>
      <c r="E311" s="29">
        <f>IF($B311&lt;=Inputs!$C$6+Inputs!$C$11,Cashflow_Asset!$J309,0)</f>
        <v/>
      </c>
      <c r="F311" s="23">
        <f>$G310</f>
        <v/>
      </c>
      <c r="G311" s="24">
        <f>(MAX(0,$F311-MAX(0,($M311+$S311)-$C311)))+MIN(MAX(0,$D$3-(MAX(0,$F311-MAX(0,($M311+$S311)-$C311)))),MAX(0,MAX(0,($C311+$F311)-$M311)-$S311))</f>
        <v/>
      </c>
      <c r="H311" s="23">
        <f>$J310</f>
        <v/>
      </c>
      <c r="I311" s="24">
        <f>MIN($E311,$H311)</f>
        <v/>
      </c>
      <c r="J311" s="24">
        <f>$H311-$I311</f>
        <v/>
      </c>
      <c r="K311" s="23">
        <f>$P310</f>
        <v/>
      </c>
      <c r="L311" s="24">
        <f>$K311*Inputs!$C$18/12</f>
        <v/>
      </c>
      <c r="M311" s="24">
        <f>MIN(($C311+$F311),$L311)</f>
        <v/>
      </c>
      <c r="N311" s="24">
        <f>MIN(($D311+$X311),MAX(0,$K311-$O311))</f>
        <v/>
      </c>
      <c r="O311" s="24">
        <f>MIN(MAX(0,MAX(0,$E311-$I311)-$U311),$K311)</f>
        <v/>
      </c>
      <c r="P311" s="24">
        <f>MAX(0,$K311-$O311)-$N311</f>
        <v/>
      </c>
      <c r="Q311" s="23">
        <f>$V310</f>
        <v/>
      </c>
      <c r="R311" s="24">
        <f>$Q311*Inputs!$C$19/12</f>
        <v/>
      </c>
      <c r="S311" s="24">
        <f>MIN(MAX(0,($C311+$F311)-$M311),$R311)</f>
        <v/>
      </c>
      <c r="T311" s="24">
        <f>MIN(MAX(0,($D311+$X311)-$N311),MAX(0,$Q311-$U311))</f>
        <v/>
      </c>
      <c r="U311" s="24">
        <f>MIN(MAX(0,$E311-$I311),$Q311)</f>
        <v/>
      </c>
      <c r="V311" s="24">
        <f>MAX(0,$Q311-$U311)-$T311</f>
        <v/>
      </c>
      <c r="W311" s="24">
        <f>MAX(0,MAX(0,($C311+$F311)-$M311)-$S311)-MIN(MAX(0,$D$3-(MAX(0,$F311-MAX(0,($M311+$S311)-$C311)))),MAX(0,MAX(0,($C311+$F311)-$M311)-$S311))</f>
        <v/>
      </c>
      <c r="X311" s="24">
        <f>IF(Inputs!$C$39=1,$W311,0)</f>
        <v/>
      </c>
      <c r="Y311" s="24">
        <f>IF(Inputs!$C$39=0,$W311,0)+MAX(0,MAX(0,($D311+$X311)-$N311)-$T311)</f>
        <v/>
      </c>
    </row>
    <row r="312">
      <c r="B312" s="22" t="n">
        <v>307</v>
      </c>
      <c r="C312" s="29">
        <f>IF($B312&lt;=Inputs!$C$6+Inputs!$C$11,Cashflow_Asset!$E310-Cashflow_Asset!$K310,0)</f>
        <v/>
      </c>
      <c r="D312" s="29">
        <f>IF($B312&lt;=Inputs!$C$6+Inputs!$C$11,Cashflow_Asset!$F310+Cashflow_Asset!$G310+Cashflow_Asset!$I310,0)</f>
        <v/>
      </c>
      <c r="E312" s="29">
        <f>IF($B312&lt;=Inputs!$C$6+Inputs!$C$11,Cashflow_Asset!$J310,0)</f>
        <v/>
      </c>
      <c r="F312" s="23">
        <f>$G311</f>
        <v/>
      </c>
      <c r="G312" s="24">
        <f>(MAX(0,$F312-MAX(0,($M312+$S312)-$C312)))+MIN(MAX(0,$D$3-(MAX(0,$F312-MAX(0,($M312+$S312)-$C312)))),MAX(0,MAX(0,($C312+$F312)-$M312)-$S312))</f>
        <v/>
      </c>
      <c r="H312" s="23">
        <f>$J311</f>
        <v/>
      </c>
      <c r="I312" s="24">
        <f>MIN($E312,$H312)</f>
        <v/>
      </c>
      <c r="J312" s="24">
        <f>$H312-$I312</f>
        <v/>
      </c>
      <c r="K312" s="23">
        <f>$P311</f>
        <v/>
      </c>
      <c r="L312" s="24">
        <f>$K312*Inputs!$C$18/12</f>
        <v/>
      </c>
      <c r="M312" s="24">
        <f>MIN(($C312+$F312),$L312)</f>
        <v/>
      </c>
      <c r="N312" s="24">
        <f>MIN(($D312+$X312),MAX(0,$K312-$O312))</f>
        <v/>
      </c>
      <c r="O312" s="24">
        <f>MIN(MAX(0,MAX(0,$E312-$I312)-$U312),$K312)</f>
        <v/>
      </c>
      <c r="P312" s="24">
        <f>MAX(0,$K312-$O312)-$N312</f>
        <v/>
      </c>
      <c r="Q312" s="23">
        <f>$V311</f>
        <v/>
      </c>
      <c r="R312" s="24">
        <f>$Q312*Inputs!$C$19/12</f>
        <v/>
      </c>
      <c r="S312" s="24">
        <f>MIN(MAX(0,($C312+$F312)-$M312),$R312)</f>
        <v/>
      </c>
      <c r="T312" s="24">
        <f>MIN(MAX(0,($D312+$X312)-$N312),MAX(0,$Q312-$U312))</f>
        <v/>
      </c>
      <c r="U312" s="24">
        <f>MIN(MAX(0,$E312-$I312),$Q312)</f>
        <v/>
      </c>
      <c r="V312" s="24">
        <f>MAX(0,$Q312-$U312)-$T312</f>
        <v/>
      </c>
      <c r="W312" s="24">
        <f>MAX(0,MAX(0,($C312+$F312)-$M312)-$S312)-MIN(MAX(0,$D$3-(MAX(0,$F312-MAX(0,($M312+$S312)-$C312)))),MAX(0,MAX(0,($C312+$F312)-$M312)-$S312))</f>
        <v/>
      </c>
      <c r="X312" s="24">
        <f>IF(Inputs!$C$39=1,$W312,0)</f>
        <v/>
      </c>
      <c r="Y312" s="24">
        <f>IF(Inputs!$C$39=0,$W312,0)+MAX(0,MAX(0,($D312+$X312)-$N312)-$T312)</f>
        <v/>
      </c>
    </row>
    <row r="313">
      <c r="B313" s="22" t="n">
        <v>308</v>
      </c>
      <c r="C313" s="29">
        <f>IF($B313&lt;=Inputs!$C$6+Inputs!$C$11,Cashflow_Asset!$E311-Cashflow_Asset!$K311,0)</f>
        <v/>
      </c>
      <c r="D313" s="29">
        <f>IF($B313&lt;=Inputs!$C$6+Inputs!$C$11,Cashflow_Asset!$F311+Cashflow_Asset!$G311+Cashflow_Asset!$I311,0)</f>
        <v/>
      </c>
      <c r="E313" s="29">
        <f>IF($B313&lt;=Inputs!$C$6+Inputs!$C$11,Cashflow_Asset!$J311,0)</f>
        <v/>
      </c>
      <c r="F313" s="23">
        <f>$G312</f>
        <v/>
      </c>
      <c r="G313" s="24">
        <f>(MAX(0,$F313-MAX(0,($M313+$S313)-$C313)))+MIN(MAX(0,$D$3-(MAX(0,$F313-MAX(0,($M313+$S313)-$C313)))),MAX(0,MAX(0,($C313+$F313)-$M313)-$S313))</f>
        <v/>
      </c>
      <c r="H313" s="23">
        <f>$J312</f>
        <v/>
      </c>
      <c r="I313" s="24">
        <f>MIN($E313,$H313)</f>
        <v/>
      </c>
      <c r="J313" s="24">
        <f>$H313-$I313</f>
        <v/>
      </c>
      <c r="K313" s="23">
        <f>$P312</f>
        <v/>
      </c>
      <c r="L313" s="24">
        <f>$K313*Inputs!$C$18/12</f>
        <v/>
      </c>
      <c r="M313" s="24">
        <f>MIN(($C313+$F313),$L313)</f>
        <v/>
      </c>
      <c r="N313" s="24">
        <f>MIN(($D313+$X313),MAX(0,$K313-$O313))</f>
        <v/>
      </c>
      <c r="O313" s="24">
        <f>MIN(MAX(0,MAX(0,$E313-$I313)-$U313),$K313)</f>
        <v/>
      </c>
      <c r="P313" s="24">
        <f>MAX(0,$K313-$O313)-$N313</f>
        <v/>
      </c>
      <c r="Q313" s="23">
        <f>$V312</f>
        <v/>
      </c>
      <c r="R313" s="24">
        <f>$Q313*Inputs!$C$19/12</f>
        <v/>
      </c>
      <c r="S313" s="24">
        <f>MIN(MAX(0,($C313+$F313)-$M313),$R313)</f>
        <v/>
      </c>
      <c r="T313" s="24">
        <f>MIN(MAX(0,($D313+$X313)-$N313),MAX(0,$Q313-$U313))</f>
        <v/>
      </c>
      <c r="U313" s="24">
        <f>MIN(MAX(0,$E313-$I313),$Q313)</f>
        <v/>
      </c>
      <c r="V313" s="24">
        <f>MAX(0,$Q313-$U313)-$T313</f>
        <v/>
      </c>
      <c r="W313" s="24">
        <f>MAX(0,MAX(0,($C313+$F313)-$M313)-$S313)-MIN(MAX(0,$D$3-(MAX(0,$F313-MAX(0,($M313+$S313)-$C313)))),MAX(0,MAX(0,($C313+$F313)-$M313)-$S313))</f>
        <v/>
      </c>
      <c r="X313" s="24">
        <f>IF(Inputs!$C$39=1,$W313,0)</f>
        <v/>
      </c>
      <c r="Y313" s="24">
        <f>IF(Inputs!$C$39=0,$W313,0)+MAX(0,MAX(0,($D313+$X313)-$N313)-$T313)</f>
        <v/>
      </c>
    </row>
    <row r="314">
      <c r="B314" s="22" t="n">
        <v>309</v>
      </c>
      <c r="C314" s="29">
        <f>IF($B314&lt;=Inputs!$C$6+Inputs!$C$11,Cashflow_Asset!$E312-Cashflow_Asset!$K312,0)</f>
        <v/>
      </c>
      <c r="D314" s="29">
        <f>IF($B314&lt;=Inputs!$C$6+Inputs!$C$11,Cashflow_Asset!$F312+Cashflow_Asset!$G312+Cashflow_Asset!$I312,0)</f>
        <v/>
      </c>
      <c r="E314" s="29">
        <f>IF($B314&lt;=Inputs!$C$6+Inputs!$C$11,Cashflow_Asset!$J312,0)</f>
        <v/>
      </c>
      <c r="F314" s="23">
        <f>$G313</f>
        <v/>
      </c>
      <c r="G314" s="24">
        <f>(MAX(0,$F314-MAX(0,($M314+$S314)-$C314)))+MIN(MAX(0,$D$3-(MAX(0,$F314-MAX(0,($M314+$S314)-$C314)))),MAX(0,MAX(0,($C314+$F314)-$M314)-$S314))</f>
        <v/>
      </c>
      <c r="H314" s="23">
        <f>$J313</f>
        <v/>
      </c>
      <c r="I314" s="24">
        <f>MIN($E314,$H314)</f>
        <v/>
      </c>
      <c r="J314" s="24">
        <f>$H314-$I314</f>
        <v/>
      </c>
      <c r="K314" s="23">
        <f>$P313</f>
        <v/>
      </c>
      <c r="L314" s="24">
        <f>$K314*Inputs!$C$18/12</f>
        <v/>
      </c>
      <c r="M314" s="24">
        <f>MIN(($C314+$F314),$L314)</f>
        <v/>
      </c>
      <c r="N314" s="24">
        <f>MIN(($D314+$X314),MAX(0,$K314-$O314))</f>
        <v/>
      </c>
      <c r="O314" s="24">
        <f>MIN(MAX(0,MAX(0,$E314-$I314)-$U314),$K314)</f>
        <v/>
      </c>
      <c r="P314" s="24">
        <f>MAX(0,$K314-$O314)-$N314</f>
        <v/>
      </c>
      <c r="Q314" s="23">
        <f>$V313</f>
        <v/>
      </c>
      <c r="R314" s="24">
        <f>$Q314*Inputs!$C$19/12</f>
        <v/>
      </c>
      <c r="S314" s="24">
        <f>MIN(MAX(0,($C314+$F314)-$M314),$R314)</f>
        <v/>
      </c>
      <c r="T314" s="24">
        <f>MIN(MAX(0,($D314+$X314)-$N314),MAX(0,$Q314-$U314))</f>
        <v/>
      </c>
      <c r="U314" s="24">
        <f>MIN(MAX(0,$E314-$I314),$Q314)</f>
        <v/>
      </c>
      <c r="V314" s="24">
        <f>MAX(0,$Q314-$U314)-$T314</f>
        <v/>
      </c>
      <c r="W314" s="24">
        <f>MAX(0,MAX(0,($C314+$F314)-$M314)-$S314)-MIN(MAX(0,$D$3-(MAX(0,$F314-MAX(0,($M314+$S314)-$C314)))),MAX(0,MAX(0,($C314+$F314)-$M314)-$S314))</f>
        <v/>
      </c>
      <c r="X314" s="24">
        <f>IF(Inputs!$C$39=1,$W314,0)</f>
        <v/>
      </c>
      <c r="Y314" s="24">
        <f>IF(Inputs!$C$39=0,$W314,0)+MAX(0,MAX(0,($D314+$X314)-$N314)-$T314)</f>
        <v/>
      </c>
    </row>
    <row r="315">
      <c r="B315" s="22" t="n">
        <v>310</v>
      </c>
      <c r="C315" s="29">
        <f>IF($B315&lt;=Inputs!$C$6+Inputs!$C$11,Cashflow_Asset!$E313-Cashflow_Asset!$K313,0)</f>
        <v/>
      </c>
      <c r="D315" s="29">
        <f>IF($B315&lt;=Inputs!$C$6+Inputs!$C$11,Cashflow_Asset!$F313+Cashflow_Asset!$G313+Cashflow_Asset!$I313,0)</f>
        <v/>
      </c>
      <c r="E315" s="29">
        <f>IF($B315&lt;=Inputs!$C$6+Inputs!$C$11,Cashflow_Asset!$J313,0)</f>
        <v/>
      </c>
      <c r="F315" s="23">
        <f>$G314</f>
        <v/>
      </c>
      <c r="G315" s="24">
        <f>(MAX(0,$F315-MAX(0,($M315+$S315)-$C315)))+MIN(MAX(0,$D$3-(MAX(0,$F315-MAX(0,($M315+$S315)-$C315)))),MAX(0,MAX(0,($C315+$F315)-$M315)-$S315))</f>
        <v/>
      </c>
      <c r="H315" s="23">
        <f>$J314</f>
        <v/>
      </c>
      <c r="I315" s="24">
        <f>MIN($E315,$H315)</f>
        <v/>
      </c>
      <c r="J315" s="24">
        <f>$H315-$I315</f>
        <v/>
      </c>
      <c r="K315" s="23">
        <f>$P314</f>
        <v/>
      </c>
      <c r="L315" s="24">
        <f>$K315*Inputs!$C$18/12</f>
        <v/>
      </c>
      <c r="M315" s="24">
        <f>MIN(($C315+$F315),$L315)</f>
        <v/>
      </c>
      <c r="N315" s="24">
        <f>MIN(($D315+$X315),MAX(0,$K315-$O315))</f>
        <v/>
      </c>
      <c r="O315" s="24">
        <f>MIN(MAX(0,MAX(0,$E315-$I315)-$U315),$K315)</f>
        <v/>
      </c>
      <c r="P315" s="24">
        <f>MAX(0,$K315-$O315)-$N315</f>
        <v/>
      </c>
      <c r="Q315" s="23">
        <f>$V314</f>
        <v/>
      </c>
      <c r="R315" s="24">
        <f>$Q315*Inputs!$C$19/12</f>
        <v/>
      </c>
      <c r="S315" s="24">
        <f>MIN(MAX(0,($C315+$F315)-$M315),$R315)</f>
        <v/>
      </c>
      <c r="T315" s="24">
        <f>MIN(MAX(0,($D315+$X315)-$N315),MAX(0,$Q315-$U315))</f>
        <v/>
      </c>
      <c r="U315" s="24">
        <f>MIN(MAX(0,$E315-$I315),$Q315)</f>
        <v/>
      </c>
      <c r="V315" s="24">
        <f>MAX(0,$Q315-$U315)-$T315</f>
        <v/>
      </c>
      <c r="W315" s="24">
        <f>MAX(0,MAX(0,($C315+$F315)-$M315)-$S315)-MIN(MAX(0,$D$3-(MAX(0,$F315-MAX(0,($M315+$S315)-$C315)))),MAX(0,MAX(0,($C315+$F315)-$M315)-$S315))</f>
        <v/>
      </c>
      <c r="X315" s="24">
        <f>IF(Inputs!$C$39=1,$W315,0)</f>
        <v/>
      </c>
      <c r="Y315" s="24">
        <f>IF(Inputs!$C$39=0,$W315,0)+MAX(0,MAX(0,($D315+$X315)-$N315)-$T315)</f>
        <v/>
      </c>
    </row>
    <row r="316">
      <c r="B316" s="22" t="n">
        <v>311</v>
      </c>
      <c r="C316" s="29">
        <f>IF($B316&lt;=Inputs!$C$6+Inputs!$C$11,Cashflow_Asset!$E314-Cashflow_Asset!$K314,0)</f>
        <v/>
      </c>
      <c r="D316" s="29">
        <f>IF($B316&lt;=Inputs!$C$6+Inputs!$C$11,Cashflow_Asset!$F314+Cashflow_Asset!$G314+Cashflow_Asset!$I314,0)</f>
        <v/>
      </c>
      <c r="E316" s="29">
        <f>IF($B316&lt;=Inputs!$C$6+Inputs!$C$11,Cashflow_Asset!$J314,0)</f>
        <v/>
      </c>
      <c r="F316" s="23">
        <f>$G315</f>
        <v/>
      </c>
      <c r="G316" s="24">
        <f>(MAX(0,$F316-MAX(0,($M316+$S316)-$C316)))+MIN(MAX(0,$D$3-(MAX(0,$F316-MAX(0,($M316+$S316)-$C316)))),MAX(0,MAX(0,($C316+$F316)-$M316)-$S316))</f>
        <v/>
      </c>
      <c r="H316" s="23">
        <f>$J315</f>
        <v/>
      </c>
      <c r="I316" s="24">
        <f>MIN($E316,$H316)</f>
        <v/>
      </c>
      <c r="J316" s="24">
        <f>$H316-$I316</f>
        <v/>
      </c>
      <c r="K316" s="23">
        <f>$P315</f>
        <v/>
      </c>
      <c r="L316" s="24">
        <f>$K316*Inputs!$C$18/12</f>
        <v/>
      </c>
      <c r="M316" s="24">
        <f>MIN(($C316+$F316),$L316)</f>
        <v/>
      </c>
      <c r="N316" s="24">
        <f>MIN(($D316+$X316),MAX(0,$K316-$O316))</f>
        <v/>
      </c>
      <c r="O316" s="24">
        <f>MIN(MAX(0,MAX(0,$E316-$I316)-$U316),$K316)</f>
        <v/>
      </c>
      <c r="P316" s="24">
        <f>MAX(0,$K316-$O316)-$N316</f>
        <v/>
      </c>
      <c r="Q316" s="23">
        <f>$V315</f>
        <v/>
      </c>
      <c r="R316" s="24">
        <f>$Q316*Inputs!$C$19/12</f>
        <v/>
      </c>
      <c r="S316" s="24">
        <f>MIN(MAX(0,($C316+$F316)-$M316),$R316)</f>
        <v/>
      </c>
      <c r="T316" s="24">
        <f>MIN(MAX(0,($D316+$X316)-$N316),MAX(0,$Q316-$U316))</f>
        <v/>
      </c>
      <c r="U316" s="24">
        <f>MIN(MAX(0,$E316-$I316),$Q316)</f>
        <v/>
      </c>
      <c r="V316" s="24">
        <f>MAX(0,$Q316-$U316)-$T316</f>
        <v/>
      </c>
      <c r="W316" s="24">
        <f>MAX(0,MAX(0,($C316+$F316)-$M316)-$S316)-MIN(MAX(0,$D$3-(MAX(0,$F316-MAX(0,($M316+$S316)-$C316)))),MAX(0,MAX(0,($C316+$F316)-$M316)-$S316))</f>
        <v/>
      </c>
      <c r="X316" s="24">
        <f>IF(Inputs!$C$39=1,$W316,0)</f>
        <v/>
      </c>
      <c r="Y316" s="24">
        <f>IF(Inputs!$C$39=0,$W316,0)+MAX(0,MAX(0,($D316+$X316)-$N316)-$T316)</f>
        <v/>
      </c>
    </row>
    <row r="317">
      <c r="B317" s="22" t="n">
        <v>312</v>
      </c>
      <c r="C317" s="29">
        <f>IF($B317&lt;=Inputs!$C$6+Inputs!$C$11,Cashflow_Asset!$E315-Cashflow_Asset!$K315,0)</f>
        <v/>
      </c>
      <c r="D317" s="29">
        <f>IF($B317&lt;=Inputs!$C$6+Inputs!$C$11,Cashflow_Asset!$F315+Cashflow_Asset!$G315+Cashflow_Asset!$I315,0)</f>
        <v/>
      </c>
      <c r="E317" s="29">
        <f>IF($B317&lt;=Inputs!$C$6+Inputs!$C$11,Cashflow_Asset!$J315,0)</f>
        <v/>
      </c>
      <c r="F317" s="23">
        <f>$G316</f>
        <v/>
      </c>
      <c r="G317" s="24">
        <f>(MAX(0,$F317-MAX(0,($M317+$S317)-$C317)))+MIN(MAX(0,$D$3-(MAX(0,$F317-MAX(0,($M317+$S317)-$C317)))),MAX(0,MAX(0,($C317+$F317)-$M317)-$S317))</f>
        <v/>
      </c>
      <c r="H317" s="23">
        <f>$J316</f>
        <v/>
      </c>
      <c r="I317" s="24">
        <f>MIN($E317,$H317)</f>
        <v/>
      </c>
      <c r="J317" s="24">
        <f>$H317-$I317</f>
        <v/>
      </c>
      <c r="K317" s="23">
        <f>$P316</f>
        <v/>
      </c>
      <c r="L317" s="24">
        <f>$K317*Inputs!$C$18/12</f>
        <v/>
      </c>
      <c r="M317" s="24">
        <f>MIN(($C317+$F317),$L317)</f>
        <v/>
      </c>
      <c r="N317" s="24">
        <f>MIN(($D317+$X317),MAX(0,$K317-$O317))</f>
        <v/>
      </c>
      <c r="O317" s="24">
        <f>MIN(MAX(0,MAX(0,$E317-$I317)-$U317),$K317)</f>
        <v/>
      </c>
      <c r="P317" s="24">
        <f>MAX(0,$K317-$O317)-$N317</f>
        <v/>
      </c>
      <c r="Q317" s="23">
        <f>$V316</f>
        <v/>
      </c>
      <c r="R317" s="24">
        <f>$Q317*Inputs!$C$19/12</f>
        <v/>
      </c>
      <c r="S317" s="24">
        <f>MIN(MAX(0,($C317+$F317)-$M317),$R317)</f>
        <v/>
      </c>
      <c r="T317" s="24">
        <f>MIN(MAX(0,($D317+$X317)-$N317),MAX(0,$Q317-$U317))</f>
        <v/>
      </c>
      <c r="U317" s="24">
        <f>MIN(MAX(0,$E317-$I317),$Q317)</f>
        <v/>
      </c>
      <c r="V317" s="24">
        <f>MAX(0,$Q317-$U317)-$T317</f>
        <v/>
      </c>
      <c r="W317" s="24">
        <f>MAX(0,MAX(0,($C317+$F317)-$M317)-$S317)-MIN(MAX(0,$D$3-(MAX(0,$F317-MAX(0,($M317+$S317)-$C317)))),MAX(0,MAX(0,($C317+$F317)-$M317)-$S317))</f>
        <v/>
      </c>
      <c r="X317" s="24">
        <f>IF(Inputs!$C$39=1,$W317,0)</f>
        <v/>
      </c>
      <c r="Y317" s="24">
        <f>IF(Inputs!$C$39=0,$W317,0)+MAX(0,MAX(0,($D317+$X317)-$N317)-$T317)</f>
        <v/>
      </c>
    </row>
    <row r="318">
      <c r="B318" s="22" t="n">
        <v>313</v>
      </c>
      <c r="C318" s="29">
        <f>IF($B318&lt;=Inputs!$C$6+Inputs!$C$11,Cashflow_Asset!$E316-Cashflow_Asset!$K316,0)</f>
        <v/>
      </c>
      <c r="D318" s="29">
        <f>IF($B318&lt;=Inputs!$C$6+Inputs!$C$11,Cashflow_Asset!$F316+Cashflow_Asset!$G316+Cashflow_Asset!$I316,0)</f>
        <v/>
      </c>
      <c r="E318" s="29">
        <f>IF($B318&lt;=Inputs!$C$6+Inputs!$C$11,Cashflow_Asset!$J316,0)</f>
        <v/>
      </c>
      <c r="F318" s="23">
        <f>$G317</f>
        <v/>
      </c>
      <c r="G318" s="24">
        <f>(MAX(0,$F318-MAX(0,($M318+$S318)-$C318)))+MIN(MAX(0,$D$3-(MAX(0,$F318-MAX(0,($M318+$S318)-$C318)))),MAX(0,MAX(0,($C318+$F318)-$M318)-$S318))</f>
        <v/>
      </c>
      <c r="H318" s="23">
        <f>$J317</f>
        <v/>
      </c>
      <c r="I318" s="24">
        <f>MIN($E318,$H318)</f>
        <v/>
      </c>
      <c r="J318" s="24">
        <f>$H318-$I318</f>
        <v/>
      </c>
      <c r="K318" s="23">
        <f>$P317</f>
        <v/>
      </c>
      <c r="L318" s="24">
        <f>$K318*Inputs!$C$18/12</f>
        <v/>
      </c>
      <c r="M318" s="24">
        <f>MIN(($C318+$F318),$L318)</f>
        <v/>
      </c>
      <c r="N318" s="24">
        <f>MIN(($D318+$X318),MAX(0,$K318-$O318))</f>
        <v/>
      </c>
      <c r="O318" s="24">
        <f>MIN(MAX(0,MAX(0,$E318-$I318)-$U318),$K318)</f>
        <v/>
      </c>
      <c r="P318" s="24">
        <f>MAX(0,$K318-$O318)-$N318</f>
        <v/>
      </c>
      <c r="Q318" s="23">
        <f>$V317</f>
        <v/>
      </c>
      <c r="R318" s="24">
        <f>$Q318*Inputs!$C$19/12</f>
        <v/>
      </c>
      <c r="S318" s="24">
        <f>MIN(MAX(0,($C318+$F318)-$M318),$R318)</f>
        <v/>
      </c>
      <c r="T318" s="24">
        <f>MIN(MAX(0,($D318+$X318)-$N318),MAX(0,$Q318-$U318))</f>
        <v/>
      </c>
      <c r="U318" s="24">
        <f>MIN(MAX(0,$E318-$I318),$Q318)</f>
        <v/>
      </c>
      <c r="V318" s="24">
        <f>MAX(0,$Q318-$U318)-$T318</f>
        <v/>
      </c>
      <c r="W318" s="24">
        <f>MAX(0,MAX(0,($C318+$F318)-$M318)-$S318)-MIN(MAX(0,$D$3-(MAX(0,$F318-MAX(0,($M318+$S318)-$C318)))),MAX(0,MAX(0,($C318+$F318)-$M318)-$S318))</f>
        <v/>
      </c>
      <c r="X318" s="24">
        <f>IF(Inputs!$C$39=1,$W318,0)</f>
        <v/>
      </c>
      <c r="Y318" s="24">
        <f>IF(Inputs!$C$39=0,$W318,0)+MAX(0,MAX(0,($D318+$X318)-$N318)-$T318)</f>
        <v/>
      </c>
    </row>
    <row r="319">
      <c r="B319" s="22" t="n">
        <v>314</v>
      </c>
      <c r="C319" s="29">
        <f>IF($B319&lt;=Inputs!$C$6+Inputs!$C$11,Cashflow_Asset!$E317-Cashflow_Asset!$K317,0)</f>
        <v/>
      </c>
      <c r="D319" s="29">
        <f>IF($B319&lt;=Inputs!$C$6+Inputs!$C$11,Cashflow_Asset!$F317+Cashflow_Asset!$G317+Cashflow_Asset!$I317,0)</f>
        <v/>
      </c>
      <c r="E319" s="29">
        <f>IF($B319&lt;=Inputs!$C$6+Inputs!$C$11,Cashflow_Asset!$J317,0)</f>
        <v/>
      </c>
      <c r="F319" s="23">
        <f>$G318</f>
        <v/>
      </c>
      <c r="G319" s="24">
        <f>(MAX(0,$F319-MAX(0,($M319+$S319)-$C319)))+MIN(MAX(0,$D$3-(MAX(0,$F319-MAX(0,($M319+$S319)-$C319)))),MAX(0,MAX(0,($C319+$F319)-$M319)-$S319))</f>
        <v/>
      </c>
      <c r="H319" s="23">
        <f>$J318</f>
        <v/>
      </c>
      <c r="I319" s="24">
        <f>MIN($E319,$H319)</f>
        <v/>
      </c>
      <c r="J319" s="24">
        <f>$H319-$I319</f>
        <v/>
      </c>
      <c r="K319" s="23">
        <f>$P318</f>
        <v/>
      </c>
      <c r="L319" s="24">
        <f>$K319*Inputs!$C$18/12</f>
        <v/>
      </c>
      <c r="M319" s="24">
        <f>MIN(($C319+$F319),$L319)</f>
        <v/>
      </c>
      <c r="N319" s="24">
        <f>MIN(($D319+$X319),MAX(0,$K319-$O319))</f>
        <v/>
      </c>
      <c r="O319" s="24">
        <f>MIN(MAX(0,MAX(0,$E319-$I319)-$U319),$K319)</f>
        <v/>
      </c>
      <c r="P319" s="24">
        <f>MAX(0,$K319-$O319)-$N319</f>
        <v/>
      </c>
      <c r="Q319" s="23">
        <f>$V318</f>
        <v/>
      </c>
      <c r="R319" s="24">
        <f>$Q319*Inputs!$C$19/12</f>
        <v/>
      </c>
      <c r="S319" s="24">
        <f>MIN(MAX(0,($C319+$F319)-$M319),$R319)</f>
        <v/>
      </c>
      <c r="T319" s="24">
        <f>MIN(MAX(0,($D319+$X319)-$N319),MAX(0,$Q319-$U319))</f>
        <v/>
      </c>
      <c r="U319" s="24">
        <f>MIN(MAX(0,$E319-$I319),$Q319)</f>
        <v/>
      </c>
      <c r="V319" s="24">
        <f>MAX(0,$Q319-$U319)-$T319</f>
        <v/>
      </c>
      <c r="W319" s="24">
        <f>MAX(0,MAX(0,($C319+$F319)-$M319)-$S319)-MIN(MAX(0,$D$3-(MAX(0,$F319-MAX(0,($M319+$S319)-$C319)))),MAX(0,MAX(0,($C319+$F319)-$M319)-$S319))</f>
        <v/>
      </c>
      <c r="X319" s="24">
        <f>IF(Inputs!$C$39=1,$W319,0)</f>
        <v/>
      </c>
      <c r="Y319" s="24">
        <f>IF(Inputs!$C$39=0,$W319,0)+MAX(0,MAX(0,($D319+$X319)-$N319)-$T319)</f>
        <v/>
      </c>
    </row>
    <row r="320">
      <c r="B320" s="22" t="n">
        <v>315</v>
      </c>
      <c r="C320" s="29">
        <f>IF($B320&lt;=Inputs!$C$6+Inputs!$C$11,Cashflow_Asset!$E318-Cashflow_Asset!$K318,0)</f>
        <v/>
      </c>
      <c r="D320" s="29">
        <f>IF($B320&lt;=Inputs!$C$6+Inputs!$C$11,Cashflow_Asset!$F318+Cashflow_Asset!$G318+Cashflow_Asset!$I318,0)</f>
        <v/>
      </c>
      <c r="E320" s="29">
        <f>IF($B320&lt;=Inputs!$C$6+Inputs!$C$11,Cashflow_Asset!$J318,0)</f>
        <v/>
      </c>
      <c r="F320" s="23">
        <f>$G319</f>
        <v/>
      </c>
      <c r="G320" s="24">
        <f>(MAX(0,$F320-MAX(0,($M320+$S320)-$C320)))+MIN(MAX(0,$D$3-(MAX(0,$F320-MAX(0,($M320+$S320)-$C320)))),MAX(0,MAX(0,($C320+$F320)-$M320)-$S320))</f>
        <v/>
      </c>
      <c r="H320" s="23">
        <f>$J319</f>
        <v/>
      </c>
      <c r="I320" s="24">
        <f>MIN($E320,$H320)</f>
        <v/>
      </c>
      <c r="J320" s="24">
        <f>$H320-$I320</f>
        <v/>
      </c>
      <c r="K320" s="23">
        <f>$P319</f>
        <v/>
      </c>
      <c r="L320" s="24">
        <f>$K320*Inputs!$C$18/12</f>
        <v/>
      </c>
      <c r="M320" s="24">
        <f>MIN(($C320+$F320),$L320)</f>
        <v/>
      </c>
      <c r="N320" s="24">
        <f>MIN(($D320+$X320),MAX(0,$K320-$O320))</f>
        <v/>
      </c>
      <c r="O320" s="24">
        <f>MIN(MAX(0,MAX(0,$E320-$I320)-$U320),$K320)</f>
        <v/>
      </c>
      <c r="P320" s="24">
        <f>MAX(0,$K320-$O320)-$N320</f>
        <v/>
      </c>
      <c r="Q320" s="23">
        <f>$V319</f>
        <v/>
      </c>
      <c r="R320" s="24">
        <f>$Q320*Inputs!$C$19/12</f>
        <v/>
      </c>
      <c r="S320" s="24">
        <f>MIN(MAX(0,($C320+$F320)-$M320),$R320)</f>
        <v/>
      </c>
      <c r="T320" s="24">
        <f>MIN(MAX(0,($D320+$X320)-$N320),MAX(0,$Q320-$U320))</f>
        <v/>
      </c>
      <c r="U320" s="24">
        <f>MIN(MAX(0,$E320-$I320),$Q320)</f>
        <v/>
      </c>
      <c r="V320" s="24">
        <f>MAX(0,$Q320-$U320)-$T320</f>
        <v/>
      </c>
      <c r="W320" s="24">
        <f>MAX(0,MAX(0,($C320+$F320)-$M320)-$S320)-MIN(MAX(0,$D$3-(MAX(0,$F320-MAX(0,($M320+$S320)-$C320)))),MAX(0,MAX(0,($C320+$F320)-$M320)-$S320))</f>
        <v/>
      </c>
      <c r="X320" s="24">
        <f>IF(Inputs!$C$39=1,$W320,0)</f>
        <v/>
      </c>
      <c r="Y320" s="24">
        <f>IF(Inputs!$C$39=0,$W320,0)+MAX(0,MAX(0,($D320+$X320)-$N320)-$T320)</f>
        <v/>
      </c>
    </row>
    <row r="321">
      <c r="B321" s="22" t="n">
        <v>316</v>
      </c>
      <c r="C321" s="29">
        <f>IF($B321&lt;=Inputs!$C$6+Inputs!$C$11,Cashflow_Asset!$E319-Cashflow_Asset!$K319,0)</f>
        <v/>
      </c>
      <c r="D321" s="29">
        <f>IF($B321&lt;=Inputs!$C$6+Inputs!$C$11,Cashflow_Asset!$F319+Cashflow_Asset!$G319+Cashflow_Asset!$I319,0)</f>
        <v/>
      </c>
      <c r="E321" s="29">
        <f>IF($B321&lt;=Inputs!$C$6+Inputs!$C$11,Cashflow_Asset!$J319,0)</f>
        <v/>
      </c>
      <c r="F321" s="23">
        <f>$G320</f>
        <v/>
      </c>
      <c r="G321" s="24">
        <f>(MAX(0,$F321-MAX(0,($M321+$S321)-$C321)))+MIN(MAX(0,$D$3-(MAX(0,$F321-MAX(0,($M321+$S321)-$C321)))),MAX(0,MAX(0,($C321+$F321)-$M321)-$S321))</f>
        <v/>
      </c>
      <c r="H321" s="23">
        <f>$J320</f>
        <v/>
      </c>
      <c r="I321" s="24">
        <f>MIN($E321,$H321)</f>
        <v/>
      </c>
      <c r="J321" s="24">
        <f>$H321-$I321</f>
        <v/>
      </c>
      <c r="K321" s="23">
        <f>$P320</f>
        <v/>
      </c>
      <c r="L321" s="24">
        <f>$K321*Inputs!$C$18/12</f>
        <v/>
      </c>
      <c r="M321" s="24">
        <f>MIN(($C321+$F321),$L321)</f>
        <v/>
      </c>
      <c r="N321" s="24">
        <f>MIN(($D321+$X321),MAX(0,$K321-$O321))</f>
        <v/>
      </c>
      <c r="O321" s="24">
        <f>MIN(MAX(0,MAX(0,$E321-$I321)-$U321),$K321)</f>
        <v/>
      </c>
      <c r="P321" s="24">
        <f>MAX(0,$K321-$O321)-$N321</f>
        <v/>
      </c>
      <c r="Q321" s="23">
        <f>$V320</f>
        <v/>
      </c>
      <c r="R321" s="24">
        <f>$Q321*Inputs!$C$19/12</f>
        <v/>
      </c>
      <c r="S321" s="24">
        <f>MIN(MAX(0,($C321+$F321)-$M321),$R321)</f>
        <v/>
      </c>
      <c r="T321" s="24">
        <f>MIN(MAX(0,($D321+$X321)-$N321),MAX(0,$Q321-$U321))</f>
        <v/>
      </c>
      <c r="U321" s="24">
        <f>MIN(MAX(0,$E321-$I321),$Q321)</f>
        <v/>
      </c>
      <c r="V321" s="24">
        <f>MAX(0,$Q321-$U321)-$T321</f>
        <v/>
      </c>
      <c r="W321" s="24">
        <f>MAX(0,MAX(0,($C321+$F321)-$M321)-$S321)-MIN(MAX(0,$D$3-(MAX(0,$F321-MAX(0,($M321+$S321)-$C321)))),MAX(0,MAX(0,($C321+$F321)-$M321)-$S321))</f>
        <v/>
      </c>
      <c r="X321" s="24">
        <f>IF(Inputs!$C$39=1,$W321,0)</f>
        <v/>
      </c>
      <c r="Y321" s="24">
        <f>IF(Inputs!$C$39=0,$W321,0)+MAX(0,MAX(0,($D321+$X321)-$N321)-$T321)</f>
        <v/>
      </c>
    </row>
    <row r="322">
      <c r="B322" s="22" t="n">
        <v>317</v>
      </c>
      <c r="C322" s="29">
        <f>IF($B322&lt;=Inputs!$C$6+Inputs!$C$11,Cashflow_Asset!$E320-Cashflow_Asset!$K320,0)</f>
        <v/>
      </c>
      <c r="D322" s="29">
        <f>IF($B322&lt;=Inputs!$C$6+Inputs!$C$11,Cashflow_Asset!$F320+Cashflow_Asset!$G320+Cashflow_Asset!$I320,0)</f>
        <v/>
      </c>
      <c r="E322" s="29">
        <f>IF($B322&lt;=Inputs!$C$6+Inputs!$C$11,Cashflow_Asset!$J320,0)</f>
        <v/>
      </c>
      <c r="F322" s="23">
        <f>$G321</f>
        <v/>
      </c>
      <c r="G322" s="24">
        <f>(MAX(0,$F322-MAX(0,($M322+$S322)-$C322)))+MIN(MAX(0,$D$3-(MAX(0,$F322-MAX(0,($M322+$S322)-$C322)))),MAX(0,MAX(0,($C322+$F322)-$M322)-$S322))</f>
        <v/>
      </c>
      <c r="H322" s="23">
        <f>$J321</f>
        <v/>
      </c>
      <c r="I322" s="24">
        <f>MIN($E322,$H322)</f>
        <v/>
      </c>
      <c r="J322" s="24">
        <f>$H322-$I322</f>
        <v/>
      </c>
      <c r="K322" s="23">
        <f>$P321</f>
        <v/>
      </c>
      <c r="L322" s="24">
        <f>$K322*Inputs!$C$18/12</f>
        <v/>
      </c>
      <c r="M322" s="24">
        <f>MIN(($C322+$F322),$L322)</f>
        <v/>
      </c>
      <c r="N322" s="24">
        <f>MIN(($D322+$X322),MAX(0,$K322-$O322))</f>
        <v/>
      </c>
      <c r="O322" s="24">
        <f>MIN(MAX(0,MAX(0,$E322-$I322)-$U322),$K322)</f>
        <v/>
      </c>
      <c r="P322" s="24">
        <f>MAX(0,$K322-$O322)-$N322</f>
        <v/>
      </c>
      <c r="Q322" s="23">
        <f>$V321</f>
        <v/>
      </c>
      <c r="R322" s="24">
        <f>$Q322*Inputs!$C$19/12</f>
        <v/>
      </c>
      <c r="S322" s="24">
        <f>MIN(MAX(0,($C322+$F322)-$M322),$R322)</f>
        <v/>
      </c>
      <c r="T322" s="24">
        <f>MIN(MAX(0,($D322+$X322)-$N322),MAX(0,$Q322-$U322))</f>
        <v/>
      </c>
      <c r="U322" s="24">
        <f>MIN(MAX(0,$E322-$I322),$Q322)</f>
        <v/>
      </c>
      <c r="V322" s="24">
        <f>MAX(0,$Q322-$U322)-$T322</f>
        <v/>
      </c>
      <c r="W322" s="24">
        <f>MAX(0,MAX(0,($C322+$F322)-$M322)-$S322)-MIN(MAX(0,$D$3-(MAX(0,$F322-MAX(0,($M322+$S322)-$C322)))),MAX(0,MAX(0,($C322+$F322)-$M322)-$S322))</f>
        <v/>
      </c>
      <c r="X322" s="24">
        <f>IF(Inputs!$C$39=1,$W322,0)</f>
        <v/>
      </c>
      <c r="Y322" s="24">
        <f>IF(Inputs!$C$39=0,$W322,0)+MAX(0,MAX(0,($D322+$X322)-$N322)-$T322)</f>
        <v/>
      </c>
    </row>
    <row r="323">
      <c r="B323" s="22" t="n">
        <v>318</v>
      </c>
      <c r="C323" s="29">
        <f>IF($B323&lt;=Inputs!$C$6+Inputs!$C$11,Cashflow_Asset!$E321-Cashflow_Asset!$K321,0)</f>
        <v/>
      </c>
      <c r="D323" s="29">
        <f>IF($B323&lt;=Inputs!$C$6+Inputs!$C$11,Cashflow_Asset!$F321+Cashflow_Asset!$G321+Cashflow_Asset!$I321,0)</f>
        <v/>
      </c>
      <c r="E323" s="29">
        <f>IF($B323&lt;=Inputs!$C$6+Inputs!$C$11,Cashflow_Asset!$J321,0)</f>
        <v/>
      </c>
      <c r="F323" s="23">
        <f>$G322</f>
        <v/>
      </c>
      <c r="G323" s="24">
        <f>(MAX(0,$F323-MAX(0,($M323+$S323)-$C323)))+MIN(MAX(0,$D$3-(MAX(0,$F323-MAX(0,($M323+$S323)-$C323)))),MAX(0,MAX(0,($C323+$F323)-$M323)-$S323))</f>
        <v/>
      </c>
      <c r="H323" s="23">
        <f>$J322</f>
        <v/>
      </c>
      <c r="I323" s="24">
        <f>MIN($E323,$H323)</f>
        <v/>
      </c>
      <c r="J323" s="24">
        <f>$H323-$I323</f>
        <v/>
      </c>
      <c r="K323" s="23">
        <f>$P322</f>
        <v/>
      </c>
      <c r="L323" s="24">
        <f>$K323*Inputs!$C$18/12</f>
        <v/>
      </c>
      <c r="M323" s="24">
        <f>MIN(($C323+$F323),$L323)</f>
        <v/>
      </c>
      <c r="N323" s="24">
        <f>MIN(($D323+$X323),MAX(0,$K323-$O323))</f>
        <v/>
      </c>
      <c r="O323" s="24">
        <f>MIN(MAX(0,MAX(0,$E323-$I323)-$U323),$K323)</f>
        <v/>
      </c>
      <c r="P323" s="24">
        <f>MAX(0,$K323-$O323)-$N323</f>
        <v/>
      </c>
      <c r="Q323" s="23">
        <f>$V322</f>
        <v/>
      </c>
      <c r="R323" s="24">
        <f>$Q323*Inputs!$C$19/12</f>
        <v/>
      </c>
      <c r="S323" s="24">
        <f>MIN(MAX(0,($C323+$F323)-$M323),$R323)</f>
        <v/>
      </c>
      <c r="T323" s="24">
        <f>MIN(MAX(0,($D323+$X323)-$N323),MAX(0,$Q323-$U323))</f>
        <v/>
      </c>
      <c r="U323" s="24">
        <f>MIN(MAX(0,$E323-$I323),$Q323)</f>
        <v/>
      </c>
      <c r="V323" s="24">
        <f>MAX(0,$Q323-$U323)-$T323</f>
        <v/>
      </c>
      <c r="W323" s="24">
        <f>MAX(0,MAX(0,($C323+$F323)-$M323)-$S323)-MIN(MAX(0,$D$3-(MAX(0,$F323-MAX(0,($M323+$S323)-$C323)))),MAX(0,MAX(0,($C323+$F323)-$M323)-$S323))</f>
        <v/>
      </c>
      <c r="X323" s="24">
        <f>IF(Inputs!$C$39=1,$W323,0)</f>
        <v/>
      </c>
      <c r="Y323" s="24">
        <f>IF(Inputs!$C$39=0,$W323,0)+MAX(0,MAX(0,($D323+$X323)-$N323)-$T323)</f>
        <v/>
      </c>
    </row>
    <row r="324">
      <c r="B324" s="22" t="n">
        <v>319</v>
      </c>
      <c r="C324" s="29">
        <f>IF($B324&lt;=Inputs!$C$6+Inputs!$C$11,Cashflow_Asset!$E322-Cashflow_Asset!$K322,0)</f>
        <v/>
      </c>
      <c r="D324" s="29">
        <f>IF($B324&lt;=Inputs!$C$6+Inputs!$C$11,Cashflow_Asset!$F322+Cashflow_Asset!$G322+Cashflow_Asset!$I322,0)</f>
        <v/>
      </c>
      <c r="E324" s="29">
        <f>IF($B324&lt;=Inputs!$C$6+Inputs!$C$11,Cashflow_Asset!$J322,0)</f>
        <v/>
      </c>
      <c r="F324" s="23">
        <f>$G323</f>
        <v/>
      </c>
      <c r="G324" s="24">
        <f>(MAX(0,$F324-MAX(0,($M324+$S324)-$C324)))+MIN(MAX(0,$D$3-(MAX(0,$F324-MAX(0,($M324+$S324)-$C324)))),MAX(0,MAX(0,($C324+$F324)-$M324)-$S324))</f>
        <v/>
      </c>
      <c r="H324" s="23">
        <f>$J323</f>
        <v/>
      </c>
      <c r="I324" s="24">
        <f>MIN($E324,$H324)</f>
        <v/>
      </c>
      <c r="J324" s="24">
        <f>$H324-$I324</f>
        <v/>
      </c>
      <c r="K324" s="23">
        <f>$P323</f>
        <v/>
      </c>
      <c r="L324" s="24">
        <f>$K324*Inputs!$C$18/12</f>
        <v/>
      </c>
      <c r="M324" s="24">
        <f>MIN(($C324+$F324),$L324)</f>
        <v/>
      </c>
      <c r="N324" s="24">
        <f>MIN(($D324+$X324),MAX(0,$K324-$O324))</f>
        <v/>
      </c>
      <c r="O324" s="24">
        <f>MIN(MAX(0,MAX(0,$E324-$I324)-$U324),$K324)</f>
        <v/>
      </c>
      <c r="P324" s="24">
        <f>MAX(0,$K324-$O324)-$N324</f>
        <v/>
      </c>
      <c r="Q324" s="23">
        <f>$V323</f>
        <v/>
      </c>
      <c r="R324" s="24">
        <f>$Q324*Inputs!$C$19/12</f>
        <v/>
      </c>
      <c r="S324" s="24">
        <f>MIN(MAX(0,($C324+$F324)-$M324),$R324)</f>
        <v/>
      </c>
      <c r="T324" s="24">
        <f>MIN(MAX(0,($D324+$X324)-$N324),MAX(0,$Q324-$U324))</f>
        <v/>
      </c>
      <c r="U324" s="24">
        <f>MIN(MAX(0,$E324-$I324),$Q324)</f>
        <v/>
      </c>
      <c r="V324" s="24">
        <f>MAX(0,$Q324-$U324)-$T324</f>
        <v/>
      </c>
      <c r="W324" s="24">
        <f>MAX(0,MAX(0,($C324+$F324)-$M324)-$S324)-MIN(MAX(0,$D$3-(MAX(0,$F324-MAX(0,($M324+$S324)-$C324)))),MAX(0,MAX(0,($C324+$F324)-$M324)-$S324))</f>
        <v/>
      </c>
      <c r="X324" s="24">
        <f>IF(Inputs!$C$39=1,$W324,0)</f>
        <v/>
      </c>
      <c r="Y324" s="24">
        <f>IF(Inputs!$C$39=0,$W324,0)+MAX(0,MAX(0,($D324+$X324)-$N324)-$T324)</f>
        <v/>
      </c>
    </row>
    <row r="325">
      <c r="B325" s="22" t="n">
        <v>320</v>
      </c>
      <c r="C325" s="29">
        <f>IF($B325&lt;=Inputs!$C$6+Inputs!$C$11,Cashflow_Asset!$E323-Cashflow_Asset!$K323,0)</f>
        <v/>
      </c>
      <c r="D325" s="29">
        <f>IF($B325&lt;=Inputs!$C$6+Inputs!$C$11,Cashflow_Asset!$F323+Cashflow_Asset!$G323+Cashflow_Asset!$I323,0)</f>
        <v/>
      </c>
      <c r="E325" s="29">
        <f>IF($B325&lt;=Inputs!$C$6+Inputs!$C$11,Cashflow_Asset!$J323,0)</f>
        <v/>
      </c>
      <c r="F325" s="23">
        <f>$G324</f>
        <v/>
      </c>
      <c r="G325" s="24">
        <f>(MAX(0,$F325-MAX(0,($M325+$S325)-$C325)))+MIN(MAX(0,$D$3-(MAX(0,$F325-MAX(0,($M325+$S325)-$C325)))),MAX(0,MAX(0,($C325+$F325)-$M325)-$S325))</f>
        <v/>
      </c>
      <c r="H325" s="23">
        <f>$J324</f>
        <v/>
      </c>
      <c r="I325" s="24">
        <f>MIN($E325,$H325)</f>
        <v/>
      </c>
      <c r="J325" s="24">
        <f>$H325-$I325</f>
        <v/>
      </c>
      <c r="K325" s="23">
        <f>$P324</f>
        <v/>
      </c>
      <c r="L325" s="24">
        <f>$K325*Inputs!$C$18/12</f>
        <v/>
      </c>
      <c r="M325" s="24">
        <f>MIN(($C325+$F325),$L325)</f>
        <v/>
      </c>
      <c r="N325" s="24">
        <f>MIN(($D325+$X325),MAX(0,$K325-$O325))</f>
        <v/>
      </c>
      <c r="O325" s="24">
        <f>MIN(MAX(0,MAX(0,$E325-$I325)-$U325),$K325)</f>
        <v/>
      </c>
      <c r="P325" s="24">
        <f>MAX(0,$K325-$O325)-$N325</f>
        <v/>
      </c>
      <c r="Q325" s="23">
        <f>$V324</f>
        <v/>
      </c>
      <c r="R325" s="24">
        <f>$Q325*Inputs!$C$19/12</f>
        <v/>
      </c>
      <c r="S325" s="24">
        <f>MIN(MAX(0,($C325+$F325)-$M325),$R325)</f>
        <v/>
      </c>
      <c r="T325" s="24">
        <f>MIN(MAX(0,($D325+$X325)-$N325),MAX(0,$Q325-$U325))</f>
        <v/>
      </c>
      <c r="U325" s="24">
        <f>MIN(MAX(0,$E325-$I325),$Q325)</f>
        <v/>
      </c>
      <c r="V325" s="24">
        <f>MAX(0,$Q325-$U325)-$T325</f>
        <v/>
      </c>
      <c r="W325" s="24">
        <f>MAX(0,MAX(0,($C325+$F325)-$M325)-$S325)-MIN(MAX(0,$D$3-(MAX(0,$F325-MAX(0,($M325+$S325)-$C325)))),MAX(0,MAX(0,($C325+$F325)-$M325)-$S325))</f>
        <v/>
      </c>
      <c r="X325" s="24">
        <f>IF(Inputs!$C$39=1,$W325,0)</f>
        <v/>
      </c>
      <c r="Y325" s="24">
        <f>IF(Inputs!$C$39=0,$W325,0)+MAX(0,MAX(0,($D325+$X325)-$N325)-$T325)</f>
        <v/>
      </c>
    </row>
    <row r="326">
      <c r="B326" s="22" t="n">
        <v>321</v>
      </c>
      <c r="C326" s="29">
        <f>IF($B326&lt;=Inputs!$C$6+Inputs!$C$11,Cashflow_Asset!$E324-Cashflow_Asset!$K324,0)</f>
        <v/>
      </c>
      <c r="D326" s="29">
        <f>IF($B326&lt;=Inputs!$C$6+Inputs!$C$11,Cashflow_Asset!$F324+Cashflow_Asset!$G324+Cashflow_Asset!$I324,0)</f>
        <v/>
      </c>
      <c r="E326" s="29">
        <f>IF($B326&lt;=Inputs!$C$6+Inputs!$C$11,Cashflow_Asset!$J324,0)</f>
        <v/>
      </c>
      <c r="F326" s="23">
        <f>$G325</f>
        <v/>
      </c>
      <c r="G326" s="24">
        <f>(MAX(0,$F326-MAX(0,($M326+$S326)-$C326)))+MIN(MAX(0,$D$3-(MAX(0,$F326-MAX(0,($M326+$S326)-$C326)))),MAX(0,MAX(0,($C326+$F326)-$M326)-$S326))</f>
        <v/>
      </c>
      <c r="H326" s="23">
        <f>$J325</f>
        <v/>
      </c>
      <c r="I326" s="24">
        <f>MIN($E326,$H326)</f>
        <v/>
      </c>
      <c r="J326" s="24">
        <f>$H326-$I326</f>
        <v/>
      </c>
      <c r="K326" s="23">
        <f>$P325</f>
        <v/>
      </c>
      <c r="L326" s="24">
        <f>$K326*Inputs!$C$18/12</f>
        <v/>
      </c>
      <c r="M326" s="24">
        <f>MIN(($C326+$F326),$L326)</f>
        <v/>
      </c>
      <c r="N326" s="24">
        <f>MIN(($D326+$X326),MAX(0,$K326-$O326))</f>
        <v/>
      </c>
      <c r="O326" s="24">
        <f>MIN(MAX(0,MAX(0,$E326-$I326)-$U326),$K326)</f>
        <v/>
      </c>
      <c r="P326" s="24">
        <f>MAX(0,$K326-$O326)-$N326</f>
        <v/>
      </c>
      <c r="Q326" s="23">
        <f>$V325</f>
        <v/>
      </c>
      <c r="R326" s="24">
        <f>$Q326*Inputs!$C$19/12</f>
        <v/>
      </c>
      <c r="S326" s="24">
        <f>MIN(MAX(0,($C326+$F326)-$M326),$R326)</f>
        <v/>
      </c>
      <c r="T326" s="24">
        <f>MIN(MAX(0,($D326+$X326)-$N326),MAX(0,$Q326-$U326))</f>
        <v/>
      </c>
      <c r="U326" s="24">
        <f>MIN(MAX(0,$E326-$I326),$Q326)</f>
        <v/>
      </c>
      <c r="V326" s="24">
        <f>MAX(0,$Q326-$U326)-$T326</f>
        <v/>
      </c>
      <c r="W326" s="24">
        <f>MAX(0,MAX(0,($C326+$F326)-$M326)-$S326)-MIN(MAX(0,$D$3-(MAX(0,$F326-MAX(0,($M326+$S326)-$C326)))),MAX(0,MAX(0,($C326+$F326)-$M326)-$S326))</f>
        <v/>
      </c>
      <c r="X326" s="24">
        <f>IF(Inputs!$C$39=1,$W326,0)</f>
        <v/>
      </c>
      <c r="Y326" s="24">
        <f>IF(Inputs!$C$39=0,$W326,0)+MAX(0,MAX(0,($D326+$X326)-$N326)-$T326)</f>
        <v/>
      </c>
    </row>
    <row r="327">
      <c r="B327" s="22" t="n">
        <v>322</v>
      </c>
      <c r="C327" s="29">
        <f>IF($B327&lt;=Inputs!$C$6+Inputs!$C$11,Cashflow_Asset!$E325-Cashflow_Asset!$K325,0)</f>
        <v/>
      </c>
      <c r="D327" s="29">
        <f>IF($B327&lt;=Inputs!$C$6+Inputs!$C$11,Cashflow_Asset!$F325+Cashflow_Asset!$G325+Cashflow_Asset!$I325,0)</f>
        <v/>
      </c>
      <c r="E327" s="29">
        <f>IF($B327&lt;=Inputs!$C$6+Inputs!$C$11,Cashflow_Asset!$J325,0)</f>
        <v/>
      </c>
      <c r="F327" s="23">
        <f>$G326</f>
        <v/>
      </c>
      <c r="G327" s="24">
        <f>(MAX(0,$F327-MAX(0,($M327+$S327)-$C327)))+MIN(MAX(0,$D$3-(MAX(0,$F327-MAX(0,($M327+$S327)-$C327)))),MAX(0,MAX(0,($C327+$F327)-$M327)-$S327))</f>
        <v/>
      </c>
      <c r="H327" s="23">
        <f>$J326</f>
        <v/>
      </c>
      <c r="I327" s="24">
        <f>MIN($E327,$H327)</f>
        <v/>
      </c>
      <c r="J327" s="24">
        <f>$H327-$I327</f>
        <v/>
      </c>
      <c r="K327" s="23">
        <f>$P326</f>
        <v/>
      </c>
      <c r="L327" s="24">
        <f>$K327*Inputs!$C$18/12</f>
        <v/>
      </c>
      <c r="M327" s="24">
        <f>MIN(($C327+$F327),$L327)</f>
        <v/>
      </c>
      <c r="N327" s="24">
        <f>MIN(($D327+$X327),MAX(0,$K327-$O327))</f>
        <v/>
      </c>
      <c r="O327" s="24">
        <f>MIN(MAX(0,MAX(0,$E327-$I327)-$U327),$K327)</f>
        <v/>
      </c>
      <c r="P327" s="24">
        <f>MAX(0,$K327-$O327)-$N327</f>
        <v/>
      </c>
      <c r="Q327" s="23">
        <f>$V326</f>
        <v/>
      </c>
      <c r="R327" s="24">
        <f>$Q327*Inputs!$C$19/12</f>
        <v/>
      </c>
      <c r="S327" s="24">
        <f>MIN(MAX(0,($C327+$F327)-$M327),$R327)</f>
        <v/>
      </c>
      <c r="T327" s="24">
        <f>MIN(MAX(0,($D327+$X327)-$N327),MAX(0,$Q327-$U327))</f>
        <v/>
      </c>
      <c r="U327" s="24">
        <f>MIN(MAX(0,$E327-$I327),$Q327)</f>
        <v/>
      </c>
      <c r="V327" s="24">
        <f>MAX(0,$Q327-$U327)-$T327</f>
        <v/>
      </c>
      <c r="W327" s="24">
        <f>MAX(0,MAX(0,($C327+$F327)-$M327)-$S327)-MIN(MAX(0,$D$3-(MAX(0,$F327-MAX(0,($M327+$S327)-$C327)))),MAX(0,MAX(0,($C327+$F327)-$M327)-$S327))</f>
        <v/>
      </c>
      <c r="X327" s="24">
        <f>IF(Inputs!$C$39=1,$W327,0)</f>
        <v/>
      </c>
      <c r="Y327" s="24">
        <f>IF(Inputs!$C$39=0,$W327,0)+MAX(0,MAX(0,($D327+$X327)-$N327)-$T327)</f>
        <v/>
      </c>
    </row>
    <row r="328">
      <c r="B328" s="22" t="n">
        <v>323</v>
      </c>
      <c r="C328" s="29">
        <f>IF($B328&lt;=Inputs!$C$6+Inputs!$C$11,Cashflow_Asset!$E326-Cashflow_Asset!$K326,0)</f>
        <v/>
      </c>
      <c r="D328" s="29">
        <f>IF($B328&lt;=Inputs!$C$6+Inputs!$C$11,Cashflow_Asset!$F326+Cashflow_Asset!$G326+Cashflow_Asset!$I326,0)</f>
        <v/>
      </c>
      <c r="E328" s="29">
        <f>IF($B328&lt;=Inputs!$C$6+Inputs!$C$11,Cashflow_Asset!$J326,0)</f>
        <v/>
      </c>
      <c r="F328" s="23">
        <f>$G327</f>
        <v/>
      </c>
      <c r="G328" s="24">
        <f>(MAX(0,$F328-MAX(0,($M328+$S328)-$C328)))+MIN(MAX(0,$D$3-(MAX(0,$F328-MAX(0,($M328+$S328)-$C328)))),MAX(0,MAX(0,($C328+$F328)-$M328)-$S328))</f>
        <v/>
      </c>
      <c r="H328" s="23">
        <f>$J327</f>
        <v/>
      </c>
      <c r="I328" s="24">
        <f>MIN($E328,$H328)</f>
        <v/>
      </c>
      <c r="J328" s="24">
        <f>$H328-$I328</f>
        <v/>
      </c>
      <c r="K328" s="23">
        <f>$P327</f>
        <v/>
      </c>
      <c r="L328" s="24">
        <f>$K328*Inputs!$C$18/12</f>
        <v/>
      </c>
      <c r="M328" s="24">
        <f>MIN(($C328+$F328),$L328)</f>
        <v/>
      </c>
      <c r="N328" s="24">
        <f>MIN(($D328+$X328),MAX(0,$K328-$O328))</f>
        <v/>
      </c>
      <c r="O328" s="24">
        <f>MIN(MAX(0,MAX(0,$E328-$I328)-$U328),$K328)</f>
        <v/>
      </c>
      <c r="P328" s="24">
        <f>MAX(0,$K328-$O328)-$N328</f>
        <v/>
      </c>
      <c r="Q328" s="23">
        <f>$V327</f>
        <v/>
      </c>
      <c r="R328" s="24">
        <f>$Q328*Inputs!$C$19/12</f>
        <v/>
      </c>
      <c r="S328" s="24">
        <f>MIN(MAX(0,($C328+$F328)-$M328),$R328)</f>
        <v/>
      </c>
      <c r="T328" s="24">
        <f>MIN(MAX(0,($D328+$X328)-$N328),MAX(0,$Q328-$U328))</f>
        <v/>
      </c>
      <c r="U328" s="24">
        <f>MIN(MAX(0,$E328-$I328),$Q328)</f>
        <v/>
      </c>
      <c r="V328" s="24">
        <f>MAX(0,$Q328-$U328)-$T328</f>
        <v/>
      </c>
      <c r="W328" s="24">
        <f>MAX(0,MAX(0,($C328+$F328)-$M328)-$S328)-MIN(MAX(0,$D$3-(MAX(0,$F328-MAX(0,($M328+$S328)-$C328)))),MAX(0,MAX(0,($C328+$F328)-$M328)-$S328))</f>
        <v/>
      </c>
      <c r="X328" s="24">
        <f>IF(Inputs!$C$39=1,$W328,0)</f>
        <v/>
      </c>
      <c r="Y328" s="24">
        <f>IF(Inputs!$C$39=0,$W328,0)+MAX(0,MAX(0,($D328+$X328)-$N328)-$T328)</f>
        <v/>
      </c>
    </row>
    <row r="329">
      <c r="B329" s="22" t="n">
        <v>324</v>
      </c>
      <c r="C329" s="29">
        <f>IF($B329&lt;=Inputs!$C$6+Inputs!$C$11,Cashflow_Asset!$E327-Cashflow_Asset!$K327,0)</f>
        <v/>
      </c>
      <c r="D329" s="29">
        <f>IF($B329&lt;=Inputs!$C$6+Inputs!$C$11,Cashflow_Asset!$F327+Cashflow_Asset!$G327+Cashflow_Asset!$I327,0)</f>
        <v/>
      </c>
      <c r="E329" s="29">
        <f>IF($B329&lt;=Inputs!$C$6+Inputs!$C$11,Cashflow_Asset!$J327,0)</f>
        <v/>
      </c>
      <c r="F329" s="23">
        <f>$G328</f>
        <v/>
      </c>
      <c r="G329" s="24">
        <f>(MAX(0,$F329-MAX(0,($M329+$S329)-$C329)))+MIN(MAX(0,$D$3-(MAX(0,$F329-MAX(0,($M329+$S329)-$C329)))),MAX(0,MAX(0,($C329+$F329)-$M329)-$S329))</f>
        <v/>
      </c>
      <c r="H329" s="23">
        <f>$J328</f>
        <v/>
      </c>
      <c r="I329" s="24">
        <f>MIN($E329,$H329)</f>
        <v/>
      </c>
      <c r="J329" s="24">
        <f>$H329-$I329</f>
        <v/>
      </c>
      <c r="K329" s="23">
        <f>$P328</f>
        <v/>
      </c>
      <c r="L329" s="24">
        <f>$K329*Inputs!$C$18/12</f>
        <v/>
      </c>
      <c r="M329" s="24">
        <f>MIN(($C329+$F329),$L329)</f>
        <v/>
      </c>
      <c r="N329" s="24">
        <f>MIN(($D329+$X329),MAX(0,$K329-$O329))</f>
        <v/>
      </c>
      <c r="O329" s="24">
        <f>MIN(MAX(0,MAX(0,$E329-$I329)-$U329),$K329)</f>
        <v/>
      </c>
      <c r="P329" s="24">
        <f>MAX(0,$K329-$O329)-$N329</f>
        <v/>
      </c>
      <c r="Q329" s="23">
        <f>$V328</f>
        <v/>
      </c>
      <c r="R329" s="24">
        <f>$Q329*Inputs!$C$19/12</f>
        <v/>
      </c>
      <c r="S329" s="24">
        <f>MIN(MAX(0,($C329+$F329)-$M329),$R329)</f>
        <v/>
      </c>
      <c r="T329" s="24">
        <f>MIN(MAX(0,($D329+$X329)-$N329),MAX(0,$Q329-$U329))</f>
        <v/>
      </c>
      <c r="U329" s="24">
        <f>MIN(MAX(0,$E329-$I329),$Q329)</f>
        <v/>
      </c>
      <c r="V329" s="24">
        <f>MAX(0,$Q329-$U329)-$T329</f>
        <v/>
      </c>
      <c r="W329" s="24">
        <f>MAX(0,MAX(0,($C329+$F329)-$M329)-$S329)-MIN(MAX(0,$D$3-(MAX(0,$F329-MAX(0,($M329+$S329)-$C329)))),MAX(0,MAX(0,($C329+$F329)-$M329)-$S329))</f>
        <v/>
      </c>
      <c r="X329" s="24">
        <f>IF(Inputs!$C$39=1,$W329,0)</f>
        <v/>
      </c>
      <c r="Y329" s="24">
        <f>IF(Inputs!$C$39=0,$W329,0)+MAX(0,MAX(0,($D329+$X329)-$N329)-$T329)</f>
        <v/>
      </c>
    </row>
    <row r="330">
      <c r="B330" s="22" t="n">
        <v>325</v>
      </c>
      <c r="C330" s="29">
        <f>IF($B330&lt;=Inputs!$C$6+Inputs!$C$11,Cashflow_Asset!$E328-Cashflow_Asset!$K328,0)</f>
        <v/>
      </c>
      <c r="D330" s="29">
        <f>IF($B330&lt;=Inputs!$C$6+Inputs!$C$11,Cashflow_Asset!$F328+Cashflow_Asset!$G328+Cashflow_Asset!$I328,0)</f>
        <v/>
      </c>
      <c r="E330" s="29">
        <f>IF($B330&lt;=Inputs!$C$6+Inputs!$C$11,Cashflow_Asset!$J328,0)</f>
        <v/>
      </c>
      <c r="F330" s="23">
        <f>$G329</f>
        <v/>
      </c>
      <c r="G330" s="24">
        <f>(MAX(0,$F330-MAX(0,($M330+$S330)-$C330)))+MIN(MAX(0,$D$3-(MAX(0,$F330-MAX(0,($M330+$S330)-$C330)))),MAX(0,MAX(0,($C330+$F330)-$M330)-$S330))</f>
        <v/>
      </c>
      <c r="H330" s="23">
        <f>$J329</f>
        <v/>
      </c>
      <c r="I330" s="24">
        <f>MIN($E330,$H330)</f>
        <v/>
      </c>
      <c r="J330" s="24">
        <f>$H330-$I330</f>
        <v/>
      </c>
      <c r="K330" s="23">
        <f>$P329</f>
        <v/>
      </c>
      <c r="L330" s="24">
        <f>$K330*Inputs!$C$18/12</f>
        <v/>
      </c>
      <c r="M330" s="24">
        <f>MIN(($C330+$F330),$L330)</f>
        <v/>
      </c>
      <c r="N330" s="24">
        <f>MIN(($D330+$X330),MAX(0,$K330-$O330))</f>
        <v/>
      </c>
      <c r="O330" s="24">
        <f>MIN(MAX(0,MAX(0,$E330-$I330)-$U330),$K330)</f>
        <v/>
      </c>
      <c r="P330" s="24">
        <f>MAX(0,$K330-$O330)-$N330</f>
        <v/>
      </c>
      <c r="Q330" s="23">
        <f>$V329</f>
        <v/>
      </c>
      <c r="R330" s="24">
        <f>$Q330*Inputs!$C$19/12</f>
        <v/>
      </c>
      <c r="S330" s="24">
        <f>MIN(MAX(0,($C330+$F330)-$M330),$R330)</f>
        <v/>
      </c>
      <c r="T330" s="24">
        <f>MIN(MAX(0,($D330+$X330)-$N330),MAX(0,$Q330-$U330))</f>
        <v/>
      </c>
      <c r="U330" s="24">
        <f>MIN(MAX(0,$E330-$I330),$Q330)</f>
        <v/>
      </c>
      <c r="V330" s="24">
        <f>MAX(0,$Q330-$U330)-$T330</f>
        <v/>
      </c>
      <c r="W330" s="24">
        <f>MAX(0,MAX(0,($C330+$F330)-$M330)-$S330)-MIN(MAX(0,$D$3-(MAX(0,$F330-MAX(0,($M330+$S330)-$C330)))),MAX(0,MAX(0,($C330+$F330)-$M330)-$S330))</f>
        <v/>
      </c>
      <c r="X330" s="24">
        <f>IF(Inputs!$C$39=1,$W330,0)</f>
        <v/>
      </c>
      <c r="Y330" s="24">
        <f>IF(Inputs!$C$39=0,$W330,0)+MAX(0,MAX(0,($D330+$X330)-$N330)-$T330)</f>
        <v/>
      </c>
    </row>
    <row r="331">
      <c r="B331" s="22" t="n">
        <v>326</v>
      </c>
      <c r="C331" s="29">
        <f>IF($B331&lt;=Inputs!$C$6+Inputs!$C$11,Cashflow_Asset!$E329-Cashflow_Asset!$K329,0)</f>
        <v/>
      </c>
      <c r="D331" s="29">
        <f>IF($B331&lt;=Inputs!$C$6+Inputs!$C$11,Cashflow_Asset!$F329+Cashflow_Asset!$G329+Cashflow_Asset!$I329,0)</f>
        <v/>
      </c>
      <c r="E331" s="29">
        <f>IF($B331&lt;=Inputs!$C$6+Inputs!$C$11,Cashflow_Asset!$J329,0)</f>
        <v/>
      </c>
      <c r="F331" s="23">
        <f>$G330</f>
        <v/>
      </c>
      <c r="G331" s="24">
        <f>(MAX(0,$F331-MAX(0,($M331+$S331)-$C331)))+MIN(MAX(0,$D$3-(MAX(0,$F331-MAX(0,($M331+$S331)-$C331)))),MAX(0,MAX(0,($C331+$F331)-$M331)-$S331))</f>
        <v/>
      </c>
      <c r="H331" s="23">
        <f>$J330</f>
        <v/>
      </c>
      <c r="I331" s="24">
        <f>MIN($E331,$H331)</f>
        <v/>
      </c>
      <c r="J331" s="24">
        <f>$H331-$I331</f>
        <v/>
      </c>
      <c r="K331" s="23">
        <f>$P330</f>
        <v/>
      </c>
      <c r="L331" s="24">
        <f>$K331*Inputs!$C$18/12</f>
        <v/>
      </c>
      <c r="M331" s="24">
        <f>MIN(($C331+$F331),$L331)</f>
        <v/>
      </c>
      <c r="N331" s="24">
        <f>MIN(($D331+$X331),MAX(0,$K331-$O331))</f>
        <v/>
      </c>
      <c r="O331" s="24">
        <f>MIN(MAX(0,MAX(0,$E331-$I331)-$U331),$K331)</f>
        <v/>
      </c>
      <c r="P331" s="24">
        <f>MAX(0,$K331-$O331)-$N331</f>
        <v/>
      </c>
      <c r="Q331" s="23">
        <f>$V330</f>
        <v/>
      </c>
      <c r="R331" s="24">
        <f>$Q331*Inputs!$C$19/12</f>
        <v/>
      </c>
      <c r="S331" s="24">
        <f>MIN(MAX(0,($C331+$F331)-$M331),$R331)</f>
        <v/>
      </c>
      <c r="T331" s="24">
        <f>MIN(MAX(0,($D331+$X331)-$N331),MAX(0,$Q331-$U331))</f>
        <v/>
      </c>
      <c r="U331" s="24">
        <f>MIN(MAX(0,$E331-$I331),$Q331)</f>
        <v/>
      </c>
      <c r="V331" s="24">
        <f>MAX(0,$Q331-$U331)-$T331</f>
        <v/>
      </c>
      <c r="W331" s="24">
        <f>MAX(0,MAX(0,($C331+$F331)-$M331)-$S331)-MIN(MAX(0,$D$3-(MAX(0,$F331-MAX(0,($M331+$S331)-$C331)))),MAX(0,MAX(0,($C331+$F331)-$M331)-$S331))</f>
        <v/>
      </c>
      <c r="X331" s="24">
        <f>IF(Inputs!$C$39=1,$W331,0)</f>
        <v/>
      </c>
      <c r="Y331" s="24">
        <f>IF(Inputs!$C$39=0,$W331,0)+MAX(0,MAX(0,($D331+$X331)-$N331)-$T331)</f>
        <v/>
      </c>
    </row>
    <row r="332">
      <c r="B332" s="22" t="n">
        <v>327</v>
      </c>
      <c r="C332" s="29">
        <f>IF($B332&lt;=Inputs!$C$6+Inputs!$C$11,Cashflow_Asset!$E330-Cashflow_Asset!$K330,0)</f>
        <v/>
      </c>
      <c r="D332" s="29">
        <f>IF($B332&lt;=Inputs!$C$6+Inputs!$C$11,Cashflow_Asset!$F330+Cashflow_Asset!$G330+Cashflow_Asset!$I330,0)</f>
        <v/>
      </c>
      <c r="E332" s="29">
        <f>IF($B332&lt;=Inputs!$C$6+Inputs!$C$11,Cashflow_Asset!$J330,0)</f>
        <v/>
      </c>
      <c r="F332" s="23">
        <f>$G331</f>
        <v/>
      </c>
      <c r="G332" s="24">
        <f>(MAX(0,$F332-MAX(0,($M332+$S332)-$C332)))+MIN(MAX(0,$D$3-(MAX(0,$F332-MAX(0,($M332+$S332)-$C332)))),MAX(0,MAX(0,($C332+$F332)-$M332)-$S332))</f>
        <v/>
      </c>
      <c r="H332" s="23">
        <f>$J331</f>
        <v/>
      </c>
      <c r="I332" s="24">
        <f>MIN($E332,$H332)</f>
        <v/>
      </c>
      <c r="J332" s="24">
        <f>$H332-$I332</f>
        <v/>
      </c>
      <c r="K332" s="23">
        <f>$P331</f>
        <v/>
      </c>
      <c r="L332" s="24">
        <f>$K332*Inputs!$C$18/12</f>
        <v/>
      </c>
      <c r="M332" s="24">
        <f>MIN(($C332+$F332),$L332)</f>
        <v/>
      </c>
      <c r="N332" s="24">
        <f>MIN(($D332+$X332),MAX(0,$K332-$O332))</f>
        <v/>
      </c>
      <c r="O332" s="24">
        <f>MIN(MAX(0,MAX(0,$E332-$I332)-$U332),$K332)</f>
        <v/>
      </c>
      <c r="P332" s="24">
        <f>MAX(0,$K332-$O332)-$N332</f>
        <v/>
      </c>
      <c r="Q332" s="23">
        <f>$V331</f>
        <v/>
      </c>
      <c r="R332" s="24">
        <f>$Q332*Inputs!$C$19/12</f>
        <v/>
      </c>
      <c r="S332" s="24">
        <f>MIN(MAX(0,($C332+$F332)-$M332),$R332)</f>
        <v/>
      </c>
      <c r="T332" s="24">
        <f>MIN(MAX(0,($D332+$X332)-$N332),MAX(0,$Q332-$U332))</f>
        <v/>
      </c>
      <c r="U332" s="24">
        <f>MIN(MAX(0,$E332-$I332),$Q332)</f>
        <v/>
      </c>
      <c r="V332" s="24">
        <f>MAX(0,$Q332-$U332)-$T332</f>
        <v/>
      </c>
      <c r="W332" s="24">
        <f>MAX(0,MAX(0,($C332+$F332)-$M332)-$S332)-MIN(MAX(0,$D$3-(MAX(0,$F332-MAX(0,($M332+$S332)-$C332)))),MAX(0,MAX(0,($C332+$F332)-$M332)-$S332))</f>
        <v/>
      </c>
      <c r="X332" s="24">
        <f>IF(Inputs!$C$39=1,$W332,0)</f>
        <v/>
      </c>
      <c r="Y332" s="24">
        <f>IF(Inputs!$C$39=0,$W332,0)+MAX(0,MAX(0,($D332+$X332)-$N332)-$T332)</f>
        <v/>
      </c>
    </row>
    <row r="333">
      <c r="B333" s="22" t="n">
        <v>328</v>
      </c>
      <c r="C333" s="29">
        <f>IF($B333&lt;=Inputs!$C$6+Inputs!$C$11,Cashflow_Asset!$E331-Cashflow_Asset!$K331,0)</f>
        <v/>
      </c>
      <c r="D333" s="29">
        <f>IF($B333&lt;=Inputs!$C$6+Inputs!$C$11,Cashflow_Asset!$F331+Cashflow_Asset!$G331+Cashflow_Asset!$I331,0)</f>
        <v/>
      </c>
      <c r="E333" s="29">
        <f>IF($B333&lt;=Inputs!$C$6+Inputs!$C$11,Cashflow_Asset!$J331,0)</f>
        <v/>
      </c>
      <c r="F333" s="23">
        <f>$G332</f>
        <v/>
      </c>
      <c r="G333" s="24">
        <f>(MAX(0,$F333-MAX(0,($M333+$S333)-$C333)))+MIN(MAX(0,$D$3-(MAX(0,$F333-MAX(0,($M333+$S333)-$C333)))),MAX(0,MAX(0,($C333+$F333)-$M333)-$S333))</f>
        <v/>
      </c>
      <c r="H333" s="23">
        <f>$J332</f>
        <v/>
      </c>
      <c r="I333" s="24">
        <f>MIN($E333,$H333)</f>
        <v/>
      </c>
      <c r="J333" s="24">
        <f>$H333-$I333</f>
        <v/>
      </c>
      <c r="K333" s="23">
        <f>$P332</f>
        <v/>
      </c>
      <c r="L333" s="24">
        <f>$K333*Inputs!$C$18/12</f>
        <v/>
      </c>
      <c r="M333" s="24">
        <f>MIN(($C333+$F333),$L333)</f>
        <v/>
      </c>
      <c r="N333" s="24">
        <f>MIN(($D333+$X333),MAX(0,$K333-$O333))</f>
        <v/>
      </c>
      <c r="O333" s="24">
        <f>MIN(MAX(0,MAX(0,$E333-$I333)-$U333),$K333)</f>
        <v/>
      </c>
      <c r="P333" s="24">
        <f>MAX(0,$K333-$O333)-$N333</f>
        <v/>
      </c>
      <c r="Q333" s="23">
        <f>$V332</f>
        <v/>
      </c>
      <c r="R333" s="24">
        <f>$Q333*Inputs!$C$19/12</f>
        <v/>
      </c>
      <c r="S333" s="24">
        <f>MIN(MAX(0,($C333+$F333)-$M333),$R333)</f>
        <v/>
      </c>
      <c r="T333" s="24">
        <f>MIN(MAX(0,($D333+$X333)-$N333),MAX(0,$Q333-$U333))</f>
        <v/>
      </c>
      <c r="U333" s="24">
        <f>MIN(MAX(0,$E333-$I333),$Q333)</f>
        <v/>
      </c>
      <c r="V333" s="24">
        <f>MAX(0,$Q333-$U333)-$T333</f>
        <v/>
      </c>
      <c r="W333" s="24">
        <f>MAX(0,MAX(0,($C333+$F333)-$M333)-$S333)-MIN(MAX(0,$D$3-(MAX(0,$F333-MAX(0,($M333+$S333)-$C333)))),MAX(0,MAX(0,($C333+$F333)-$M333)-$S333))</f>
        <v/>
      </c>
      <c r="X333" s="24">
        <f>IF(Inputs!$C$39=1,$W333,0)</f>
        <v/>
      </c>
      <c r="Y333" s="24">
        <f>IF(Inputs!$C$39=0,$W333,0)+MAX(0,MAX(0,($D333+$X333)-$N333)-$T333)</f>
        <v/>
      </c>
    </row>
    <row r="334">
      <c r="B334" s="22" t="n">
        <v>329</v>
      </c>
      <c r="C334" s="29">
        <f>IF($B334&lt;=Inputs!$C$6+Inputs!$C$11,Cashflow_Asset!$E332-Cashflow_Asset!$K332,0)</f>
        <v/>
      </c>
      <c r="D334" s="29">
        <f>IF($B334&lt;=Inputs!$C$6+Inputs!$C$11,Cashflow_Asset!$F332+Cashflow_Asset!$G332+Cashflow_Asset!$I332,0)</f>
        <v/>
      </c>
      <c r="E334" s="29">
        <f>IF($B334&lt;=Inputs!$C$6+Inputs!$C$11,Cashflow_Asset!$J332,0)</f>
        <v/>
      </c>
      <c r="F334" s="23">
        <f>$G333</f>
        <v/>
      </c>
      <c r="G334" s="24">
        <f>(MAX(0,$F334-MAX(0,($M334+$S334)-$C334)))+MIN(MAX(0,$D$3-(MAX(0,$F334-MAX(0,($M334+$S334)-$C334)))),MAX(0,MAX(0,($C334+$F334)-$M334)-$S334))</f>
        <v/>
      </c>
      <c r="H334" s="23">
        <f>$J333</f>
        <v/>
      </c>
      <c r="I334" s="24">
        <f>MIN($E334,$H334)</f>
        <v/>
      </c>
      <c r="J334" s="24">
        <f>$H334-$I334</f>
        <v/>
      </c>
      <c r="K334" s="23">
        <f>$P333</f>
        <v/>
      </c>
      <c r="L334" s="24">
        <f>$K334*Inputs!$C$18/12</f>
        <v/>
      </c>
      <c r="M334" s="24">
        <f>MIN(($C334+$F334),$L334)</f>
        <v/>
      </c>
      <c r="N334" s="24">
        <f>MIN(($D334+$X334),MAX(0,$K334-$O334))</f>
        <v/>
      </c>
      <c r="O334" s="24">
        <f>MIN(MAX(0,MAX(0,$E334-$I334)-$U334),$K334)</f>
        <v/>
      </c>
      <c r="P334" s="24">
        <f>MAX(0,$K334-$O334)-$N334</f>
        <v/>
      </c>
      <c r="Q334" s="23">
        <f>$V333</f>
        <v/>
      </c>
      <c r="R334" s="24">
        <f>$Q334*Inputs!$C$19/12</f>
        <v/>
      </c>
      <c r="S334" s="24">
        <f>MIN(MAX(0,($C334+$F334)-$M334),$R334)</f>
        <v/>
      </c>
      <c r="T334" s="24">
        <f>MIN(MAX(0,($D334+$X334)-$N334),MAX(0,$Q334-$U334))</f>
        <v/>
      </c>
      <c r="U334" s="24">
        <f>MIN(MAX(0,$E334-$I334),$Q334)</f>
        <v/>
      </c>
      <c r="V334" s="24">
        <f>MAX(0,$Q334-$U334)-$T334</f>
        <v/>
      </c>
      <c r="W334" s="24">
        <f>MAX(0,MAX(0,($C334+$F334)-$M334)-$S334)-MIN(MAX(0,$D$3-(MAX(0,$F334-MAX(0,($M334+$S334)-$C334)))),MAX(0,MAX(0,($C334+$F334)-$M334)-$S334))</f>
        <v/>
      </c>
      <c r="X334" s="24">
        <f>IF(Inputs!$C$39=1,$W334,0)</f>
        <v/>
      </c>
      <c r="Y334" s="24">
        <f>IF(Inputs!$C$39=0,$W334,0)+MAX(0,MAX(0,($D334+$X334)-$N334)-$T334)</f>
        <v/>
      </c>
    </row>
    <row r="335">
      <c r="B335" s="22" t="n">
        <v>330</v>
      </c>
      <c r="C335" s="29">
        <f>IF($B335&lt;=Inputs!$C$6+Inputs!$C$11,Cashflow_Asset!$E333-Cashflow_Asset!$K333,0)</f>
        <v/>
      </c>
      <c r="D335" s="29">
        <f>IF($B335&lt;=Inputs!$C$6+Inputs!$C$11,Cashflow_Asset!$F333+Cashflow_Asset!$G333+Cashflow_Asset!$I333,0)</f>
        <v/>
      </c>
      <c r="E335" s="29">
        <f>IF($B335&lt;=Inputs!$C$6+Inputs!$C$11,Cashflow_Asset!$J333,0)</f>
        <v/>
      </c>
      <c r="F335" s="23">
        <f>$G334</f>
        <v/>
      </c>
      <c r="G335" s="24">
        <f>(MAX(0,$F335-MAX(0,($M335+$S335)-$C335)))+MIN(MAX(0,$D$3-(MAX(0,$F335-MAX(0,($M335+$S335)-$C335)))),MAX(0,MAX(0,($C335+$F335)-$M335)-$S335))</f>
        <v/>
      </c>
      <c r="H335" s="23">
        <f>$J334</f>
        <v/>
      </c>
      <c r="I335" s="24">
        <f>MIN($E335,$H335)</f>
        <v/>
      </c>
      <c r="J335" s="24">
        <f>$H335-$I335</f>
        <v/>
      </c>
      <c r="K335" s="23">
        <f>$P334</f>
        <v/>
      </c>
      <c r="L335" s="24">
        <f>$K335*Inputs!$C$18/12</f>
        <v/>
      </c>
      <c r="M335" s="24">
        <f>MIN(($C335+$F335),$L335)</f>
        <v/>
      </c>
      <c r="N335" s="24">
        <f>MIN(($D335+$X335),MAX(0,$K335-$O335))</f>
        <v/>
      </c>
      <c r="O335" s="24">
        <f>MIN(MAX(0,MAX(0,$E335-$I335)-$U335),$K335)</f>
        <v/>
      </c>
      <c r="P335" s="24">
        <f>MAX(0,$K335-$O335)-$N335</f>
        <v/>
      </c>
      <c r="Q335" s="23">
        <f>$V334</f>
        <v/>
      </c>
      <c r="R335" s="24">
        <f>$Q335*Inputs!$C$19/12</f>
        <v/>
      </c>
      <c r="S335" s="24">
        <f>MIN(MAX(0,($C335+$F335)-$M335),$R335)</f>
        <v/>
      </c>
      <c r="T335" s="24">
        <f>MIN(MAX(0,($D335+$X335)-$N335),MAX(0,$Q335-$U335))</f>
        <v/>
      </c>
      <c r="U335" s="24">
        <f>MIN(MAX(0,$E335-$I335),$Q335)</f>
        <v/>
      </c>
      <c r="V335" s="24">
        <f>MAX(0,$Q335-$U335)-$T335</f>
        <v/>
      </c>
      <c r="W335" s="24">
        <f>MAX(0,MAX(0,($C335+$F335)-$M335)-$S335)-MIN(MAX(0,$D$3-(MAX(0,$F335-MAX(0,($M335+$S335)-$C335)))),MAX(0,MAX(0,($C335+$F335)-$M335)-$S335))</f>
        <v/>
      </c>
      <c r="X335" s="24">
        <f>IF(Inputs!$C$39=1,$W335,0)</f>
        <v/>
      </c>
      <c r="Y335" s="24">
        <f>IF(Inputs!$C$39=0,$W335,0)+MAX(0,MAX(0,($D335+$X335)-$N335)-$T335)</f>
        <v/>
      </c>
    </row>
    <row r="336">
      <c r="B336" s="22" t="n">
        <v>331</v>
      </c>
      <c r="C336" s="29">
        <f>IF($B336&lt;=Inputs!$C$6+Inputs!$C$11,Cashflow_Asset!$E334-Cashflow_Asset!$K334,0)</f>
        <v/>
      </c>
      <c r="D336" s="29">
        <f>IF($B336&lt;=Inputs!$C$6+Inputs!$C$11,Cashflow_Asset!$F334+Cashflow_Asset!$G334+Cashflow_Asset!$I334,0)</f>
        <v/>
      </c>
      <c r="E336" s="29">
        <f>IF($B336&lt;=Inputs!$C$6+Inputs!$C$11,Cashflow_Asset!$J334,0)</f>
        <v/>
      </c>
      <c r="F336" s="23">
        <f>$G335</f>
        <v/>
      </c>
      <c r="G336" s="24">
        <f>(MAX(0,$F336-MAX(0,($M336+$S336)-$C336)))+MIN(MAX(0,$D$3-(MAX(0,$F336-MAX(0,($M336+$S336)-$C336)))),MAX(0,MAX(0,($C336+$F336)-$M336)-$S336))</f>
        <v/>
      </c>
      <c r="H336" s="23">
        <f>$J335</f>
        <v/>
      </c>
      <c r="I336" s="24">
        <f>MIN($E336,$H336)</f>
        <v/>
      </c>
      <c r="J336" s="24">
        <f>$H336-$I336</f>
        <v/>
      </c>
      <c r="K336" s="23">
        <f>$P335</f>
        <v/>
      </c>
      <c r="L336" s="24">
        <f>$K336*Inputs!$C$18/12</f>
        <v/>
      </c>
      <c r="M336" s="24">
        <f>MIN(($C336+$F336),$L336)</f>
        <v/>
      </c>
      <c r="N336" s="24">
        <f>MIN(($D336+$X336),MAX(0,$K336-$O336))</f>
        <v/>
      </c>
      <c r="O336" s="24">
        <f>MIN(MAX(0,MAX(0,$E336-$I336)-$U336),$K336)</f>
        <v/>
      </c>
      <c r="P336" s="24">
        <f>MAX(0,$K336-$O336)-$N336</f>
        <v/>
      </c>
      <c r="Q336" s="23">
        <f>$V335</f>
        <v/>
      </c>
      <c r="R336" s="24">
        <f>$Q336*Inputs!$C$19/12</f>
        <v/>
      </c>
      <c r="S336" s="24">
        <f>MIN(MAX(0,($C336+$F336)-$M336),$R336)</f>
        <v/>
      </c>
      <c r="T336" s="24">
        <f>MIN(MAX(0,($D336+$X336)-$N336),MAX(0,$Q336-$U336))</f>
        <v/>
      </c>
      <c r="U336" s="24">
        <f>MIN(MAX(0,$E336-$I336),$Q336)</f>
        <v/>
      </c>
      <c r="V336" s="24">
        <f>MAX(0,$Q336-$U336)-$T336</f>
        <v/>
      </c>
      <c r="W336" s="24">
        <f>MAX(0,MAX(0,($C336+$F336)-$M336)-$S336)-MIN(MAX(0,$D$3-(MAX(0,$F336-MAX(0,($M336+$S336)-$C336)))),MAX(0,MAX(0,($C336+$F336)-$M336)-$S336))</f>
        <v/>
      </c>
      <c r="X336" s="24">
        <f>IF(Inputs!$C$39=1,$W336,0)</f>
        <v/>
      </c>
      <c r="Y336" s="24">
        <f>IF(Inputs!$C$39=0,$W336,0)+MAX(0,MAX(0,($D336+$X336)-$N336)-$T336)</f>
        <v/>
      </c>
    </row>
    <row r="337">
      <c r="B337" s="22" t="n">
        <v>332</v>
      </c>
      <c r="C337" s="29">
        <f>IF($B337&lt;=Inputs!$C$6+Inputs!$C$11,Cashflow_Asset!$E335-Cashflow_Asset!$K335,0)</f>
        <v/>
      </c>
      <c r="D337" s="29">
        <f>IF($B337&lt;=Inputs!$C$6+Inputs!$C$11,Cashflow_Asset!$F335+Cashflow_Asset!$G335+Cashflow_Asset!$I335,0)</f>
        <v/>
      </c>
      <c r="E337" s="29">
        <f>IF($B337&lt;=Inputs!$C$6+Inputs!$C$11,Cashflow_Asset!$J335,0)</f>
        <v/>
      </c>
      <c r="F337" s="23">
        <f>$G336</f>
        <v/>
      </c>
      <c r="G337" s="24">
        <f>(MAX(0,$F337-MAX(0,($M337+$S337)-$C337)))+MIN(MAX(0,$D$3-(MAX(0,$F337-MAX(0,($M337+$S337)-$C337)))),MAX(0,MAX(0,($C337+$F337)-$M337)-$S337))</f>
        <v/>
      </c>
      <c r="H337" s="23">
        <f>$J336</f>
        <v/>
      </c>
      <c r="I337" s="24">
        <f>MIN($E337,$H337)</f>
        <v/>
      </c>
      <c r="J337" s="24">
        <f>$H337-$I337</f>
        <v/>
      </c>
      <c r="K337" s="23">
        <f>$P336</f>
        <v/>
      </c>
      <c r="L337" s="24">
        <f>$K337*Inputs!$C$18/12</f>
        <v/>
      </c>
      <c r="M337" s="24">
        <f>MIN(($C337+$F337),$L337)</f>
        <v/>
      </c>
      <c r="N337" s="24">
        <f>MIN(($D337+$X337),MAX(0,$K337-$O337))</f>
        <v/>
      </c>
      <c r="O337" s="24">
        <f>MIN(MAX(0,MAX(0,$E337-$I337)-$U337),$K337)</f>
        <v/>
      </c>
      <c r="P337" s="24">
        <f>MAX(0,$K337-$O337)-$N337</f>
        <v/>
      </c>
      <c r="Q337" s="23">
        <f>$V336</f>
        <v/>
      </c>
      <c r="R337" s="24">
        <f>$Q337*Inputs!$C$19/12</f>
        <v/>
      </c>
      <c r="S337" s="24">
        <f>MIN(MAX(0,($C337+$F337)-$M337),$R337)</f>
        <v/>
      </c>
      <c r="T337" s="24">
        <f>MIN(MAX(0,($D337+$X337)-$N337),MAX(0,$Q337-$U337))</f>
        <v/>
      </c>
      <c r="U337" s="24">
        <f>MIN(MAX(0,$E337-$I337),$Q337)</f>
        <v/>
      </c>
      <c r="V337" s="24">
        <f>MAX(0,$Q337-$U337)-$T337</f>
        <v/>
      </c>
      <c r="W337" s="24">
        <f>MAX(0,MAX(0,($C337+$F337)-$M337)-$S337)-MIN(MAX(0,$D$3-(MAX(0,$F337-MAX(0,($M337+$S337)-$C337)))),MAX(0,MAX(0,($C337+$F337)-$M337)-$S337))</f>
        <v/>
      </c>
      <c r="X337" s="24">
        <f>IF(Inputs!$C$39=1,$W337,0)</f>
        <v/>
      </c>
      <c r="Y337" s="24">
        <f>IF(Inputs!$C$39=0,$W337,0)+MAX(0,MAX(0,($D337+$X337)-$N337)-$T337)</f>
        <v/>
      </c>
    </row>
    <row r="338">
      <c r="B338" s="22" t="n">
        <v>333</v>
      </c>
      <c r="C338" s="29">
        <f>IF($B338&lt;=Inputs!$C$6+Inputs!$C$11,Cashflow_Asset!$E336-Cashflow_Asset!$K336,0)</f>
        <v/>
      </c>
      <c r="D338" s="29">
        <f>IF($B338&lt;=Inputs!$C$6+Inputs!$C$11,Cashflow_Asset!$F336+Cashflow_Asset!$G336+Cashflow_Asset!$I336,0)</f>
        <v/>
      </c>
      <c r="E338" s="29">
        <f>IF($B338&lt;=Inputs!$C$6+Inputs!$C$11,Cashflow_Asset!$J336,0)</f>
        <v/>
      </c>
      <c r="F338" s="23">
        <f>$G337</f>
        <v/>
      </c>
      <c r="G338" s="24">
        <f>(MAX(0,$F338-MAX(0,($M338+$S338)-$C338)))+MIN(MAX(0,$D$3-(MAX(0,$F338-MAX(0,($M338+$S338)-$C338)))),MAX(0,MAX(0,($C338+$F338)-$M338)-$S338))</f>
        <v/>
      </c>
      <c r="H338" s="23">
        <f>$J337</f>
        <v/>
      </c>
      <c r="I338" s="24">
        <f>MIN($E338,$H338)</f>
        <v/>
      </c>
      <c r="J338" s="24">
        <f>$H338-$I338</f>
        <v/>
      </c>
      <c r="K338" s="23">
        <f>$P337</f>
        <v/>
      </c>
      <c r="L338" s="24">
        <f>$K338*Inputs!$C$18/12</f>
        <v/>
      </c>
      <c r="M338" s="24">
        <f>MIN(($C338+$F338),$L338)</f>
        <v/>
      </c>
      <c r="N338" s="24">
        <f>MIN(($D338+$X338),MAX(0,$K338-$O338))</f>
        <v/>
      </c>
      <c r="O338" s="24">
        <f>MIN(MAX(0,MAX(0,$E338-$I338)-$U338),$K338)</f>
        <v/>
      </c>
      <c r="P338" s="24">
        <f>MAX(0,$K338-$O338)-$N338</f>
        <v/>
      </c>
      <c r="Q338" s="23">
        <f>$V337</f>
        <v/>
      </c>
      <c r="R338" s="24">
        <f>$Q338*Inputs!$C$19/12</f>
        <v/>
      </c>
      <c r="S338" s="24">
        <f>MIN(MAX(0,($C338+$F338)-$M338),$R338)</f>
        <v/>
      </c>
      <c r="T338" s="24">
        <f>MIN(MAX(0,($D338+$X338)-$N338),MAX(0,$Q338-$U338))</f>
        <v/>
      </c>
      <c r="U338" s="24">
        <f>MIN(MAX(0,$E338-$I338),$Q338)</f>
        <v/>
      </c>
      <c r="V338" s="24">
        <f>MAX(0,$Q338-$U338)-$T338</f>
        <v/>
      </c>
      <c r="W338" s="24">
        <f>MAX(0,MAX(0,($C338+$F338)-$M338)-$S338)-MIN(MAX(0,$D$3-(MAX(0,$F338-MAX(0,($M338+$S338)-$C338)))),MAX(0,MAX(0,($C338+$F338)-$M338)-$S338))</f>
        <v/>
      </c>
      <c r="X338" s="24">
        <f>IF(Inputs!$C$39=1,$W338,0)</f>
        <v/>
      </c>
      <c r="Y338" s="24">
        <f>IF(Inputs!$C$39=0,$W338,0)+MAX(0,MAX(0,($D338+$X338)-$N338)-$T338)</f>
        <v/>
      </c>
    </row>
    <row r="339">
      <c r="B339" s="22" t="n">
        <v>334</v>
      </c>
      <c r="C339" s="29">
        <f>IF($B339&lt;=Inputs!$C$6+Inputs!$C$11,Cashflow_Asset!$E337-Cashflow_Asset!$K337,0)</f>
        <v/>
      </c>
      <c r="D339" s="29">
        <f>IF($B339&lt;=Inputs!$C$6+Inputs!$C$11,Cashflow_Asset!$F337+Cashflow_Asset!$G337+Cashflow_Asset!$I337,0)</f>
        <v/>
      </c>
      <c r="E339" s="29">
        <f>IF($B339&lt;=Inputs!$C$6+Inputs!$C$11,Cashflow_Asset!$J337,0)</f>
        <v/>
      </c>
      <c r="F339" s="23">
        <f>$G338</f>
        <v/>
      </c>
      <c r="G339" s="24">
        <f>(MAX(0,$F339-MAX(0,($M339+$S339)-$C339)))+MIN(MAX(0,$D$3-(MAX(0,$F339-MAX(0,($M339+$S339)-$C339)))),MAX(0,MAX(0,($C339+$F339)-$M339)-$S339))</f>
        <v/>
      </c>
      <c r="H339" s="23">
        <f>$J338</f>
        <v/>
      </c>
      <c r="I339" s="24">
        <f>MIN($E339,$H339)</f>
        <v/>
      </c>
      <c r="J339" s="24">
        <f>$H339-$I339</f>
        <v/>
      </c>
      <c r="K339" s="23">
        <f>$P338</f>
        <v/>
      </c>
      <c r="L339" s="24">
        <f>$K339*Inputs!$C$18/12</f>
        <v/>
      </c>
      <c r="M339" s="24">
        <f>MIN(($C339+$F339),$L339)</f>
        <v/>
      </c>
      <c r="N339" s="24">
        <f>MIN(($D339+$X339),MAX(0,$K339-$O339))</f>
        <v/>
      </c>
      <c r="O339" s="24">
        <f>MIN(MAX(0,MAX(0,$E339-$I339)-$U339),$K339)</f>
        <v/>
      </c>
      <c r="P339" s="24">
        <f>MAX(0,$K339-$O339)-$N339</f>
        <v/>
      </c>
      <c r="Q339" s="23">
        <f>$V338</f>
        <v/>
      </c>
      <c r="R339" s="24">
        <f>$Q339*Inputs!$C$19/12</f>
        <v/>
      </c>
      <c r="S339" s="24">
        <f>MIN(MAX(0,($C339+$F339)-$M339),$R339)</f>
        <v/>
      </c>
      <c r="T339" s="24">
        <f>MIN(MAX(0,($D339+$X339)-$N339),MAX(0,$Q339-$U339))</f>
        <v/>
      </c>
      <c r="U339" s="24">
        <f>MIN(MAX(0,$E339-$I339),$Q339)</f>
        <v/>
      </c>
      <c r="V339" s="24">
        <f>MAX(0,$Q339-$U339)-$T339</f>
        <v/>
      </c>
      <c r="W339" s="24">
        <f>MAX(0,MAX(0,($C339+$F339)-$M339)-$S339)-MIN(MAX(0,$D$3-(MAX(0,$F339-MAX(0,($M339+$S339)-$C339)))),MAX(0,MAX(0,($C339+$F339)-$M339)-$S339))</f>
        <v/>
      </c>
      <c r="X339" s="24">
        <f>IF(Inputs!$C$39=1,$W339,0)</f>
        <v/>
      </c>
      <c r="Y339" s="24">
        <f>IF(Inputs!$C$39=0,$W339,0)+MAX(0,MAX(0,($D339+$X339)-$N339)-$T339)</f>
        <v/>
      </c>
    </row>
    <row r="340">
      <c r="B340" s="22" t="n">
        <v>335</v>
      </c>
      <c r="C340" s="29">
        <f>IF($B340&lt;=Inputs!$C$6+Inputs!$C$11,Cashflow_Asset!$E338-Cashflow_Asset!$K338,0)</f>
        <v/>
      </c>
      <c r="D340" s="29">
        <f>IF($B340&lt;=Inputs!$C$6+Inputs!$C$11,Cashflow_Asset!$F338+Cashflow_Asset!$G338+Cashflow_Asset!$I338,0)</f>
        <v/>
      </c>
      <c r="E340" s="29">
        <f>IF($B340&lt;=Inputs!$C$6+Inputs!$C$11,Cashflow_Asset!$J338,0)</f>
        <v/>
      </c>
      <c r="F340" s="23">
        <f>$G339</f>
        <v/>
      </c>
      <c r="G340" s="24">
        <f>(MAX(0,$F340-MAX(0,($M340+$S340)-$C340)))+MIN(MAX(0,$D$3-(MAX(0,$F340-MAX(0,($M340+$S340)-$C340)))),MAX(0,MAX(0,($C340+$F340)-$M340)-$S340))</f>
        <v/>
      </c>
      <c r="H340" s="23">
        <f>$J339</f>
        <v/>
      </c>
      <c r="I340" s="24">
        <f>MIN($E340,$H340)</f>
        <v/>
      </c>
      <c r="J340" s="24">
        <f>$H340-$I340</f>
        <v/>
      </c>
      <c r="K340" s="23">
        <f>$P339</f>
        <v/>
      </c>
      <c r="L340" s="24">
        <f>$K340*Inputs!$C$18/12</f>
        <v/>
      </c>
      <c r="M340" s="24">
        <f>MIN(($C340+$F340),$L340)</f>
        <v/>
      </c>
      <c r="N340" s="24">
        <f>MIN(($D340+$X340),MAX(0,$K340-$O340))</f>
        <v/>
      </c>
      <c r="O340" s="24">
        <f>MIN(MAX(0,MAX(0,$E340-$I340)-$U340),$K340)</f>
        <v/>
      </c>
      <c r="P340" s="24">
        <f>MAX(0,$K340-$O340)-$N340</f>
        <v/>
      </c>
      <c r="Q340" s="23">
        <f>$V339</f>
        <v/>
      </c>
      <c r="R340" s="24">
        <f>$Q340*Inputs!$C$19/12</f>
        <v/>
      </c>
      <c r="S340" s="24">
        <f>MIN(MAX(0,($C340+$F340)-$M340),$R340)</f>
        <v/>
      </c>
      <c r="T340" s="24">
        <f>MIN(MAX(0,($D340+$X340)-$N340),MAX(0,$Q340-$U340))</f>
        <v/>
      </c>
      <c r="U340" s="24">
        <f>MIN(MAX(0,$E340-$I340),$Q340)</f>
        <v/>
      </c>
      <c r="V340" s="24">
        <f>MAX(0,$Q340-$U340)-$T340</f>
        <v/>
      </c>
      <c r="W340" s="24">
        <f>MAX(0,MAX(0,($C340+$F340)-$M340)-$S340)-MIN(MAX(0,$D$3-(MAX(0,$F340-MAX(0,($M340+$S340)-$C340)))),MAX(0,MAX(0,($C340+$F340)-$M340)-$S340))</f>
        <v/>
      </c>
      <c r="X340" s="24">
        <f>IF(Inputs!$C$39=1,$W340,0)</f>
        <v/>
      </c>
      <c r="Y340" s="24">
        <f>IF(Inputs!$C$39=0,$W340,0)+MAX(0,MAX(0,($D340+$X340)-$N340)-$T340)</f>
        <v/>
      </c>
    </row>
    <row r="341">
      <c r="B341" s="22" t="n">
        <v>336</v>
      </c>
      <c r="C341" s="29">
        <f>IF($B341&lt;=Inputs!$C$6+Inputs!$C$11,Cashflow_Asset!$E339-Cashflow_Asset!$K339,0)</f>
        <v/>
      </c>
      <c r="D341" s="29">
        <f>IF($B341&lt;=Inputs!$C$6+Inputs!$C$11,Cashflow_Asset!$F339+Cashflow_Asset!$G339+Cashflow_Asset!$I339,0)</f>
        <v/>
      </c>
      <c r="E341" s="29">
        <f>IF($B341&lt;=Inputs!$C$6+Inputs!$C$11,Cashflow_Asset!$J339,0)</f>
        <v/>
      </c>
      <c r="F341" s="23">
        <f>$G340</f>
        <v/>
      </c>
      <c r="G341" s="24">
        <f>(MAX(0,$F341-MAX(0,($M341+$S341)-$C341)))+MIN(MAX(0,$D$3-(MAX(0,$F341-MAX(0,($M341+$S341)-$C341)))),MAX(0,MAX(0,($C341+$F341)-$M341)-$S341))</f>
        <v/>
      </c>
      <c r="H341" s="23">
        <f>$J340</f>
        <v/>
      </c>
      <c r="I341" s="24">
        <f>MIN($E341,$H341)</f>
        <v/>
      </c>
      <c r="J341" s="24">
        <f>$H341-$I341</f>
        <v/>
      </c>
      <c r="K341" s="23">
        <f>$P340</f>
        <v/>
      </c>
      <c r="L341" s="24">
        <f>$K341*Inputs!$C$18/12</f>
        <v/>
      </c>
      <c r="M341" s="24">
        <f>MIN(($C341+$F341),$L341)</f>
        <v/>
      </c>
      <c r="N341" s="24">
        <f>MIN(($D341+$X341),MAX(0,$K341-$O341))</f>
        <v/>
      </c>
      <c r="O341" s="24">
        <f>MIN(MAX(0,MAX(0,$E341-$I341)-$U341),$K341)</f>
        <v/>
      </c>
      <c r="P341" s="24">
        <f>MAX(0,$K341-$O341)-$N341</f>
        <v/>
      </c>
      <c r="Q341" s="23">
        <f>$V340</f>
        <v/>
      </c>
      <c r="R341" s="24">
        <f>$Q341*Inputs!$C$19/12</f>
        <v/>
      </c>
      <c r="S341" s="24">
        <f>MIN(MAX(0,($C341+$F341)-$M341),$R341)</f>
        <v/>
      </c>
      <c r="T341" s="24">
        <f>MIN(MAX(0,($D341+$X341)-$N341),MAX(0,$Q341-$U341))</f>
        <v/>
      </c>
      <c r="U341" s="24">
        <f>MIN(MAX(0,$E341-$I341),$Q341)</f>
        <v/>
      </c>
      <c r="V341" s="24">
        <f>MAX(0,$Q341-$U341)-$T341</f>
        <v/>
      </c>
      <c r="W341" s="24">
        <f>MAX(0,MAX(0,($C341+$F341)-$M341)-$S341)-MIN(MAX(0,$D$3-(MAX(0,$F341-MAX(0,($M341+$S341)-$C341)))),MAX(0,MAX(0,($C341+$F341)-$M341)-$S341))</f>
        <v/>
      </c>
      <c r="X341" s="24">
        <f>IF(Inputs!$C$39=1,$W341,0)</f>
        <v/>
      </c>
      <c r="Y341" s="24">
        <f>IF(Inputs!$C$39=0,$W341,0)+MAX(0,MAX(0,($D341+$X341)-$N341)-$T341)</f>
        <v/>
      </c>
    </row>
    <row r="342">
      <c r="B342" s="22" t="n">
        <v>337</v>
      </c>
      <c r="C342" s="29">
        <f>IF($B342&lt;=Inputs!$C$6+Inputs!$C$11,Cashflow_Asset!$E340-Cashflow_Asset!$K340,0)</f>
        <v/>
      </c>
      <c r="D342" s="29">
        <f>IF($B342&lt;=Inputs!$C$6+Inputs!$C$11,Cashflow_Asset!$F340+Cashflow_Asset!$G340+Cashflow_Asset!$I340,0)</f>
        <v/>
      </c>
      <c r="E342" s="29">
        <f>IF($B342&lt;=Inputs!$C$6+Inputs!$C$11,Cashflow_Asset!$J340,0)</f>
        <v/>
      </c>
      <c r="F342" s="23">
        <f>$G341</f>
        <v/>
      </c>
      <c r="G342" s="24">
        <f>(MAX(0,$F342-MAX(0,($M342+$S342)-$C342)))+MIN(MAX(0,$D$3-(MAX(0,$F342-MAX(0,($M342+$S342)-$C342)))),MAX(0,MAX(0,($C342+$F342)-$M342)-$S342))</f>
        <v/>
      </c>
      <c r="H342" s="23">
        <f>$J341</f>
        <v/>
      </c>
      <c r="I342" s="24">
        <f>MIN($E342,$H342)</f>
        <v/>
      </c>
      <c r="J342" s="24">
        <f>$H342-$I342</f>
        <v/>
      </c>
      <c r="K342" s="23">
        <f>$P341</f>
        <v/>
      </c>
      <c r="L342" s="24">
        <f>$K342*Inputs!$C$18/12</f>
        <v/>
      </c>
      <c r="M342" s="24">
        <f>MIN(($C342+$F342),$L342)</f>
        <v/>
      </c>
      <c r="N342" s="24">
        <f>MIN(($D342+$X342),MAX(0,$K342-$O342))</f>
        <v/>
      </c>
      <c r="O342" s="24">
        <f>MIN(MAX(0,MAX(0,$E342-$I342)-$U342),$K342)</f>
        <v/>
      </c>
      <c r="P342" s="24">
        <f>MAX(0,$K342-$O342)-$N342</f>
        <v/>
      </c>
      <c r="Q342" s="23">
        <f>$V341</f>
        <v/>
      </c>
      <c r="R342" s="24">
        <f>$Q342*Inputs!$C$19/12</f>
        <v/>
      </c>
      <c r="S342" s="24">
        <f>MIN(MAX(0,($C342+$F342)-$M342),$R342)</f>
        <v/>
      </c>
      <c r="T342" s="24">
        <f>MIN(MAX(0,($D342+$X342)-$N342),MAX(0,$Q342-$U342))</f>
        <v/>
      </c>
      <c r="U342" s="24">
        <f>MIN(MAX(0,$E342-$I342),$Q342)</f>
        <v/>
      </c>
      <c r="V342" s="24">
        <f>MAX(0,$Q342-$U342)-$T342</f>
        <v/>
      </c>
      <c r="W342" s="24">
        <f>MAX(0,MAX(0,($C342+$F342)-$M342)-$S342)-MIN(MAX(0,$D$3-(MAX(0,$F342-MAX(0,($M342+$S342)-$C342)))),MAX(0,MAX(0,($C342+$F342)-$M342)-$S342))</f>
        <v/>
      </c>
      <c r="X342" s="24">
        <f>IF(Inputs!$C$39=1,$W342,0)</f>
        <v/>
      </c>
      <c r="Y342" s="24">
        <f>IF(Inputs!$C$39=0,$W342,0)+MAX(0,MAX(0,($D342+$X342)-$N342)-$T342)</f>
        <v/>
      </c>
    </row>
    <row r="343">
      <c r="B343" s="22" t="n">
        <v>338</v>
      </c>
      <c r="C343" s="29">
        <f>IF($B343&lt;=Inputs!$C$6+Inputs!$C$11,Cashflow_Asset!$E341-Cashflow_Asset!$K341,0)</f>
        <v/>
      </c>
      <c r="D343" s="29">
        <f>IF($B343&lt;=Inputs!$C$6+Inputs!$C$11,Cashflow_Asset!$F341+Cashflow_Asset!$G341+Cashflow_Asset!$I341,0)</f>
        <v/>
      </c>
      <c r="E343" s="29">
        <f>IF($B343&lt;=Inputs!$C$6+Inputs!$C$11,Cashflow_Asset!$J341,0)</f>
        <v/>
      </c>
      <c r="F343" s="23">
        <f>$G342</f>
        <v/>
      </c>
      <c r="G343" s="24">
        <f>(MAX(0,$F343-MAX(0,($M343+$S343)-$C343)))+MIN(MAX(0,$D$3-(MAX(0,$F343-MAX(0,($M343+$S343)-$C343)))),MAX(0,MAX(0,($C343+$F343)-$M343)-$S343))</f>
        <v/>
      </c>
      <c r="H343" s="23">
        <f>$J342</f>
        <v/>
      </c>
      <c r="I343" s="24">
        <f>MIN($E343,$H343)</f>
        <v/>
      </c>
      <c r="J343" s="24">
        <f>$H343-$I343</f>
        <v/>
      </c>
      <c r="K343" s="23">
        <f>$P342</f>
        <v/>
      </c>
      <c r="L343" s="24">
        <f>$K343*Inputs!$C$18/12</f>
        <v/>
      </c>
      <c r="M343" s="24">
        <f>MIN(($C343+$F343),$L343)</f>
        <v/>
      </c>
      <c r="N343" s="24">
        <f>MIN(($D343+$X343),MAX(0,$K343-$O343))</f>
        <v/>
      </c>
      <c r="O343" s="24">
        <f>MIN(MAX(0,MAX(0,$E343-$I343)-$U343),$K343)</f>
        <v/>
      </c>
      <c r="P343" s="24">
        <f>MAX(0,$K343-$O343)-$N343</f>
        <v/>
      </c>
      <c r="Q343" s="23">
        <f>$V342</f>
        <v/>
      </c>
      <c r="R343" s="24">
        <f>$Q343*Inputs!$C$19/12</f>
        <v/>
      </c>
      <c r="S343" s="24">
        <f>MIN(MAX(0,($C343+$F343)-$M343),$R343)</f>
        <v/>
      </c>
      <c r="T343" s="24">
        <f>MIN(MAX(0,($D343+$X343)-$N343),MAX(0,$Q343-$U343))</f>
        <v/>
      </c>
      <c r="U343" s="24">
        <f>MIN(MAX(0,$E343-$I343),$Q343)</f>
        <v/>
      </c>
      <c r="V343" s="24">
        <f>MAX(0,$Q343-$U343)-$T343</f>
        <v/>
      </c>
      <c r="W343" s="24">
        <f>MAX(0,MAX(0,($C343+$F343)-$M343)-$S343)-MIN(MAX(0,$D$3-(MAX(0,$F343-MAX(0,($M343+$S343)-$C343)))),MAX(0,MAX(0,($C343+$F343)-$M343)-$S343))</f>
        <v/>
      </c>
      <c r="X343" s="24">
        <f>IF(Inputs!$C$39=1,$W343,0)</f>
        <v/>
      </c>
      <c r="Y343" s="24">
        <f>IF(Inputs!$C$39=0,$W343,0)+MAX(0,MAX(0,($D343+$X343)-$N343)-$T343)</f>
        <v/>
      </c>
    </row>
    <row r="344">
      <c r="B344" s="22" t="n">
        <v>339</v>
      </c>
      <c r="C344" s="29">
        <f>IF($B344&lt;=Inputs!$C$6+Inputs!$C$11,Cashflow_Asset!$E342-Cashflow_Asset!$K342,0)</f>
        <v/>
      </c>
      <c r="D344" s="29">
        <f>IF($B344&lt;=Inputs!$C$6+Inputs!$C$11,Cashflow_Asset!$F342+Cashflow_Asset!$G342+Cashflow_Asset!$I342,0)</f>
        <v/>
      </c>
      <c r="E344" s="29">
        <f>IF($B344&lt;=Inputs!$C$6+Inputs!$C$11,Cashflow_Asset!$J342,0)</f>
        <v/>
      </c>
      <c r="F344" s="23">
        <f>$G343</f>
        <v/>
      </c>
      <c r="G344" s="24">
        <f>(MAX(0,$F344-MAX(0,($M344+$S344)-$C344)))+MIN(MAX(0,$D$3-(MAX(0,$F344-MAX(0,($M344+$S344)-$C344)))),MAX(0,MAX(0,($C344+$F344)-$M344)-$S344))</f>
        <v/>
      </c>
      <c r="H344" s="23">
        <f>$J343</f>
        <v/>
      </c>
      <c r="I344" s="24">
        <f>MIN($E344,$H344)</f>
        <v/>
      </c>
      <c r="J344" s="24">
        <f>$H344-$I344</f>
        <v/>
      </c>
      <c r="K344" s="23">
        <f>$P343</f>
        <v/>
      </c>
      <c r="L344" s="24">
        <f>$K344*Inputs!$C$18/12</f>
        <v/>
      </c>
      <c r="M344" s="24">
        <f>MIN(($C344+$F344),$L344)</f>
        <v/>
      </c>
      <c r="N344" s="24">
        <f>MIN(($D344+$X344),MAX(0,$K344-$O344))</f>
        <v/>
      </c>
      <c r="O344" s="24">
        <f>MIN(MAX(0,MAX(0,$E344-$I344)-$U344),$K344)</f>
        <v/>
      </c>
      <c r="P344" s="24">
        <f>MAX(0,$K344-$O344)-$N344</f>
        <v/>
      </c>
      <c r="Q344" s="23">
        <f>$V343</f>
        <v/>
      </c>
      <c r="R344" s="24">
        <f>$Q344*Inputs!$C$19/12</f>
        <v/>
      </c>
      <c r="S344" s="24">
        <f>MIN(MAX(0,($C344+$F344)-$M344),$R344)</f>
        <v/>
      </c>
      <c r="T344" s="24">
        <f>MIN(MAX(0,($D344+$X344)-$N344),MAX(0,$Q344-$U344))</f>
        <v/>
      </c>
      <c r="U344" s="24">
        <f>MIN(MAX(0,$E344-$I344),$Q344)</f>
        <v/>
      </c>
      <c r="V344" s="24">
        <f>MAX(0,$Q344-$U344)-$T344</f>
        <v/>
      </c>
      <c r="W344" s="24">
        <f>MAX(0,MAX(0,($C344+$F344)-$M344)-$S344)-MIN(MAX(0,$D$3-(MAX(0,$F344-MAX(0,($M344+$S344)-$C344)))),MAX(0,MAX(0,($C344+$F344)-$M344)-$S344))</f>
        <v/>
      </c>
      <c r="X344" s="24">
        <f>IF(Inputs!$C$39=1,$W344,0)</f>
        <v/>
      </c>
      <c r="Y344" s="24">
        <f>IF(Inputs!$C$39=0,$W344,0)+MAX(0,MAX(0,($D344+$X344)-$N344)-$T344)</f>
        <v/>
      </c>
    </row>
    <row r="345">
      <c r="B345" s="22" t="n">
        <v>340</v>
      </c>
      <c r="C345" s="29">
        <f>IF($B345&lt;=Inputs!$C$6+Inputs!$C$11,Cashflow_Asset!$E343-Cashflow_Asset!$K343,0)</f>
        <v/>
      </c>
      <c r="D345" s="29">
        <f>IF($B345&lt;=Inputs!$C$6+Inputs!$C$11,Cashflow_Asset!$F343+Cashflow_Asset!$G343+Cashflow_Asset!$I343,0)</f>
        <v/>
      </c>
      <c r="E345" s="29">
        <f>IF($B345&lt;=Inputs!$C$6+Inputs!$C$11,Cashflow_Asset!$J343,0)</f>
        <v/>
      </c>
      <c r="F345" s="23">
        <f>$G344</f>
        <v/>
      </c>
      <c r="G345" s="24">
        <f>(MAX(0,$F345-MAX(0,($M345+$S345)-$C345)))+MIN(MAX(0,$D$3-(MAX(0,$F345-MAX(0,($M345+$S345)-$C345)))),MAX(0,MAX(0,($C345+$F345)-$M345)-$S345))</f>
        <v/>
      </c>
      <c r="H345" s="23">
        <f>$J344</f>
        <v/>
      </c>
      <c r="I345" s="24">
        <f>MIN($E345,$H345)</f>
        <v/>
      </c>
      <c r="J345" s="24">
        <f>$H345-$I345</f>
        <v/>
      </c>
      <c r="K345" s="23">
        <f>$P344</f>
        <v/>
      </c>
      <c r="L345" s="24">
        <f>$K345*Inputs!$C$18/12</f>
        <v/>
      </c>
      <c r="M345" s="24">
        <f>MIN(($C345+$F345),$L345)</f>
        <v/>
      </c>
      <c r="N345" s="24">
        <f>MIN(($D345+$X345),MAX(0,$K345-$O345))</f>
        <v/>
      </c>
      <c r="O345" s="24">
        <f>MIN(MAX(0,MAX(0,$E345-$I345)-$U345),$K345)</f>
        <v/>
      </c>
      <c r="P345" s="24">
        <f>MAX(0,$K345-$O345)-$N345</f>
        <v/>
      </c>
      <c r="Q345" s="23">
        <f>$V344</f>
        <v/>
      </c>
      <c r="R345" s="24">
        <f>$Q345*Inputs!$C$19/12</f>
        <v/>
      </c>
      <c r="S345" s="24">
        <f>MIN(MAX(0,($C345+$F345)-$M345),$R345)</f>
        <v/>
      </c>
      <c r="T345" s="24">
        <f>MIN(MAX(0,($D345+$X345)-$N345),MAX(0,$Q345-$U345))</f>
        <v/>
      </c>
      <c r="U345" s="24">
        <f>MIN(MAX(0,$E345-$I345),$Q345)</f>
        <v/>
      </c>
      <c r="V345" s="24">
        <f>MAX(0,$Q345-$U345)-$T345</f>
        <v/>
      </c>
      <c r="W345" s="24">
        <f>MAX(0,MAX(0,($C345+$F345)-$M345)-$S345)-MIN(MAX(0,$D$3-(MAX(0,$F345-MAX(0,($M345+$S345)-$C345)))),MAX(0,MAX(0,($C345+$F345)-$M345)-$S345))</f>
        <v/>
      </c>
      <c r="X345" s="24">
        <f>IF(Inputs!$C$39=1,$W345,0)</f>
        <v/>
      </c>
      <c r="Y345" s="24">
        <f>IF(Inputs!$C$39=0,$W345,0)+MAX(0,MAX(0,($D345+$X345)-$N345)-$T345)</f>
        <v/>
      </c>
    </row>
    <row r="346">
      <c r="B346" s="22" t="n">
        <v>341</v>
      </c>
      <c r="C346" s="29">
        <f>IF($B346&lt;=Inputs!$C$6+Inputs!$C$11,Cashflow_Asset!$E344-Cashflow_Asset!$K344,0)</f>
        <v/>
      </c>
      <c r="D346" s="29">
        <f>IF($B346&lt;=Inputs!$C$6+Inputs!$C$11,Cashflow_Asset!$F344+Cashflow_Asset!$G344+Cashflow_Asset!$I344,0)</f>
        <v/>
      </c>
      <c r="E346" s="29">
        <f>IF($B346&lt;=Inputs!$C$6+Inputs!$C$11,Cashflow_Asset!$J344,0)</f>
        <v/>
      </c>
      <c r="F346" s="23">
        <f>$G345</f>
        <v/>
      </c>
      <c r="G346" s="24">
        <f>(MAX(0,$F346-MAX(0,($M346+$S346)-$C346)))+MIN(MAX(0,$D$3-(MAX(0,$F346-MAX(0,($M346+$S346)-$C346)))),MAX(0,MAX(0,($C346+$F346)-$M346)-$S346))</f>
        <v/>
      </c>
      <c r="H346" s="23">
        <f>$J345</f>
        <v/>
      </c>
      <c r="I346" s="24">
        <f>MIN($E346,$H346)</f>
        <v/>
      </c>
      <c r="J346" s="24">
        <f>$H346-$I346</f>
        <v/>
      </c>
      <c r="K346" s="23">
        <f>$P345</f>
        <v/>
      </c>
      <c r="L346" s="24">
        <f>$K346*Inputs!$C$18/12</f>
        <v/>
      </c>
      <c r="M346" s="24">
        <f>MIN(($C346+$F346),$L346)</f>
        <v/>
      </c>
      <c r="N346" s="24">
        <f>MIN(($D346+$X346),MAX(0,$K346-$O346))</f>
        <v/>
      </c>
      <c r="O346" s="24">
        <f>MIN(MAX(0,MAX(0,$E346-$I346)-$U346),$K346)</f>
        <v/>
      </c>
      <c r="P346" s="24">
        <f>MAX(0,$K346-$O346)-$N346</f>
        <v/>
      </c>
      <c r="Q346" s="23">
        <f>$V345</f>
        <v/>
      </c>
      <c r="R346" s="24">
        <f>$Q346*Inputs!$C$19/12</f>
        <v/>
      </c>
      <c r="S346" s="24">
        <f>MIN(MAX(0,($C346+$F346)-$M346),$R346)</f>
        <v/>
      </c>
      <c r="T346" s="24">
        <f>MIN(MAX(0,($D346+$X346)-$N346),MAX(0,$Q346-$U346))</f>
        <v/>
      </c>
      <c r="U346" s="24">
        <f>MIN(MAX(0,$E346-$I346),$Q346)</f>
        <v/>
      </c>
      <c r="V346" s="24">
        <f>MAX(0,$Q346-$U346)-$T346</f>
        <v/>
      </c>
      <c r="W346" s="24">
        <f>MAX(0,MAX(0,($C346+$F346)-$M346)-$S346)-MIN(MAX(0,$D$3-(MAX(0,$F346-MAX(0,($M346+$S346)-$C346)))),MAX(0,MAX(0,($C346+$F346)-$M346)-$S346))</f>
        <v/>
      </c>
      <c r="X346" s="24">
        <f>IF(Inputs!$C$39=1,$W346,0)</f>
        <v/>
      </c>
      <c r="Y346" s="24">
        <f>IF(Inputs!$C$39=0,$W346,0)+MAX(0,MAX(0,($D346+$X346)-$N346)-$T346)</f>
        <v/>
      </c>
    </row>
    <row r="347">
      <c r="B347" s="22" t="n">
        <v>342</v>
      </c>
      <c r="C347" s="29">
        <f>IF($B347&lt;=Inputs!$C$6+Inputs!$C$11,Cashflow_Asset!$E345-Cashflow_Asset!$K345,0)</f>
        <v/>
      </c>
      <c r="D347" s="29">
        <f>IF($B347&lt;=Inputs!$C$6+Inputs!$C$11,Cashflow_Asset!$F345+Cashflow_Asset!$G345+Cashflow_Asset!$I345,0)</f>
        <v/>
      </c>
      <c r="E347" s="29">
        <f>IF($B347&lt;=Inputs!$C$6+Inputs!$C$11,Cashflow_Asset!$J345,0)</f>
        <v/>
      </c>
      <c r="F347" s="23">
        <f>$G346</f>
        <v/>
      </c>
      <c r="G347" s="24">
        <f>(MAX(0,$F347-MAX(0,($M347+$S347)-$C347)))+MIN(MAX(0,$D$3-(MAX(0,$F347-MAX(0,($M347+$S347)-$C347)))),MAX(0,MAX(0,($C347+$F347)-$M347)-$S347))</f>
        <v/>
      </c>
      <c r="H347" s="23">
        <f>$J346</f>
        <v/>
      </c>
      <c r="I347" s="24">
        <f>MIN($E347,$H347)</f>
        <v/>
      </c>
      <c r="J347" s="24">
        <f>$H347-$I347</f>
        <v/>
      </c>
      <c r="K347" s="23">
        <f>$P346</f>
        <v/>
      </c>
      <c r="L347" s="24">
        <f>$K347*Inputs!$C$18/12</f>
        <v/>
      </c>
      <c r="M347" s="24">
        <f>MIN(($C347+$F347),$L347)</f>
        <v/>
      </c>
      <c r="N347" s="24">
        <f>MIN(($D347+$X347),MAX(0,$K347-$O347))</f>
        <v/>
      </c>
      <c r="O347" s="24">
        <f>MIN(MAX(0,MAX(0,$E347-$I347)-$U347),$K347)</f>
        <v/>
      </c>
      <c r="P347" s="24">
        <f>MAX(0,$K347-$O347)-$N347</f>
        <v/>
      </c>
      <c r="Q347" s="23">
        <f>$V346</f>
        <v/>
      </c>
      <c r="R347" s="24">
        <f>$Q347*Inputs!$C$19/12</f>
        <v/>
      </c>
      <c r="S347" s="24">
        <f>MIN(MAX(0,($C347+$F347)-$M347),$R347)</f>
        <v/>
      </c>
      <c r="T347" s="24">
        <f>MIN(MAX(0,($D347+$X347)-$N347),MAX(0,$Q347-$U347))</f>
        <v/>
      </c>
      <c r="U347" s="24">
        <f>MIN(MAX(0,$E347-$I347),$Q347)</f>
        <v/>
      </c>
      <c r="V347" s="24">
        <f>MAX(0,$Q347-$U347)-$T347</f>
        <v/>
      </c>
      <c r="W347" s="24">
        <f>MAX(0,MAX(0,($C347+$F347)-$M347)-$S347)-MIN(MAX(0,$D$3-(MAX(0,$F347-MAX(0,($M347+$S347)-$C347)))),MAX(0,MAX(0,($C347+$F347)-$M347)-$S347))</f>
        <v/>
      </c>
      <c r="X347" s="24">
        <f>IF(Inputs!$C$39=1,$W347,0)</f>
        <v/>
      </c>
      <c r="Y347" s="24">
        <f>IF(Inputs!$C$39=0,$W347,0)+MAX(0,MAX(0,($D347+$X347)-$N347)-$T347)</f>
        <v/>
      </c>
    </row>
    <row r="348">
      <c r="B348" s="22" t="n">
        <v>343</v>
      </c>
      <c r="C348" s="29">
        <f>IF($B348&lt;=Inputs!$C$6+Inputs!$C$11,Cashflow_Asset!$E346-Cashflow_Asset!$K346,0)</f>
        <v/>
      </c>
      <c r="D348" s="29">
        <f>IF($B348&lt;=Inputs!$C$6+Inputs!$C$11,Cashflow_Asset!$F346+Cashflow_Asset!$G346+Cashflow_Asset!$I346,0)</f>
        <v/>
      </c>
      <c r="E348" s="29">
        <f>IF($B348&lt;=Inputs!$C$6+Inputs!$C$11,Cashflow_Asset!$J346,0)</f>
        <v/>
      </c>
      <c r="F348" s="23">
        <f>$G347</f>
        <v/>
      </c>
      <c r="G348" s="24">
        <f>(MAX(0,$F348-MAX(0,($M348+$S348)-$C348)))+MIN(MAX(0,$D$3-(MAX(0,$F348-MAX(0,($M348+$S348)-$C348)))),MAX(0,MAX(0,($C348+$F348)-$M348)-$S348))</f>
        <v/>
      </c>
      <c r="H348" s="23">
        <f>$J347</f>
        <v/>
      </c>
      <c r="I348" s="24">
        <f>MIN($E348,$H348)</f>
        <v/>
      </c>
      <c r="J348" s="24">
        <f>$H348-$I348</f>
        <v/>
      </c>
      <c r="K348" s="23">
        <f>$P347</f>
        <v/>
      </c>
      <c r="L348" s="24">
        <f>$K348*Inputs!$C$18/12</f>
        <v/>
      </c>
      <c r="M348" s="24">
        <f>MIN(($C348+$F348),$L348)</f>
        <v/>
      </c>
      <c r="N348" s="24">
        <f>MIN(($D348+$X348),MAX(0,$K348-$O348))</f>
        <v/>
      </c>
      <c r="O348" s="24">
        <f>MIN(MAX(0,MAX(0,$E348-$I348)-$U348),$K348)</f>
        <v/>
      </c>
      <c r="P348" s="24">
        <f>MAX(0,$K348-$O348)-$N348</f>
        <v/>
      </c>
      <c r="Q348" s="23">
        <f>$V347</f>
        <v/>
      </c>
      <c r="R348" s="24">
        <f>$Q348*Inputs!$C$19/12</f>
        <v/>
      </c>
      <c r="S348" s="24">
        <f>MIN(MAX(0,($C348+$F348)-$M348),$R348)</f>
        <v/>
      </c>
      <c r="T348" s="24">
        <f>MIN(MAX(0,($D348+$X348)-$N348),MAX(0,$Q348-$U348))</f>
        <v/>
      </c>
      <c r="U348" s="24">
        <f>MIN(MAX(0,$E348-$I348),$Q348)</f>
        <v/>
      </c>
      <c r="V348" s="24">
        <f>MAX(0,$Q348-$U348)-$T348</f>
        <v/>
      </c>
      <c r="W348" s="24">
        <f>MAX(0,MAX(0,($C348+$F348)-$M348)-$S348)-MIN(MAX(0,$D$3-(MAX(0,$F348-MAX(0,($M348+$S348)-$C348)))),MAX(0,MAX(0,($C348+$F348)-$M348)-$S348))</f>
        <v/>
      </c>
      <c r="X348" s="24">
        <f>IF(Inputs!$C$39=1,$W348,0)</f>
        <v/>
      </c>
      <c r="Y348" s="24">
        <f>IF(Inputs!$C$39=0,$W348,0)+MAX(0,MAX(0,($D348+$X348)-$N348)-$T348)</f>
        <v/>
      </c>
    </row>
    <row r="349">
      <c r="B349" s="22" t="n">
        <v>344</v>
      </c>
      <c r="C349" s="29">
        <f>IF($B349&lt;=Inputs!$C$6+Inputs!$C$11,Cashflow_Asset!$E347-Cashflow_Asset!$K347,0)</f>
        <v/>
      </c>
      <c r="D349" s="29">
        <f>IF($B349&lt;=Inputs!$C$6+Inputs!$C$11,Cashflow_Asset!$F347+Cashflow_Asset!$G347+Cashflow_Asset!$I347,0)</f>
        <v/>
      </c>
      <c r="E349" s="29">
        <f>IF($B349&lt;=Inputs!$C$6+Inputs!$C$11,Cashflow_Asset!$J347,0)</f>
        <v/>
      </c>
      <c r="F349" s="23">
        <f>$G348</f>
        <v/>
      </c>
      <c r="G349" s="24">
        <f>(MAX(0,$F349-MAX(0,($M349+$S349)-$C349)))+MIN(MAX(0,$D$3-(MAX(0,$F349-MAX(0,($M349+$S349)-$C349)))),MAX(0,MAX(0,($C349+$F349)-$M349)-$S349))</f>
        <v/>
      </c>
      <c r="H349" s="23">
        <f>$J348</f>
        <v/>
      </c>
      <c r="I349" s="24">
        <f>MIN($E349,$H349)</f>
        <v/>
      </c>
      <c r="J349" s="24">
        <f>$H349-$I349</f>
        <v/>
      </c>
      <c r="K349" s="23">
        <f>$P348</f>
        <v/>
      </c>
      <c r="L349" s="24">
        <f>$K349*Inputs!$C$18/12</f>
        <v/>
      </c>
      <c r="M349" s="24">
        <f>MIN(($C349+$F349),$L349)</f>
        <v/>
      </c>
      <c r="N349" s="24">
        <f>MIN(($D349+$X349),MAX(0,$K349-$O349))</f>
        <v/>
      </c>
      <c r="O349" s="24">
        <f>MIN(MAX(0,MAX(0,$E349-$I349)-$U349),$K349)</f>
        <v/>
      </c>
      <c r="P349" s="24">
        <f>MAX(0,$K349-$O349)-$N349</f>
        <v/>
      </c>
      <c r="Q349" s="23">
        <f>$V348</f>
        <v/>
      </c>
      <c r="R349" s="24">
        <f>$Q349*Inputs!$C$19/12</f>
        <v/>
      </c>
      <c r="S349" s="24">
        <f>MIN(MAX(0,($C349+$F349)-$M349),$R349)</f>
        <v/>
      </c>
      <c r="T349" s="24">
        <f>MIN(MAX(0,($D349+$X349)-$N349),MAX(0,$Q349-$U349))</f>
        <v/>
      </c>
      <c r="U349" s="24">
        <f>MIN(MAX(0,$E349-$I349),$Q349)</f>
        <v/>
      </c>
      <c r="V349" s="24">
        <f>MAX(0,$Q349-$U349)-$T349</f>
        <v/>
      </c>
      <c r="W349" s="24">
        <f>MAX(0,MAX(0,($C349+$F349)-$M349)-$S349)-MIN(MAX(0,$D$3-(MAX(0,$F349-MAX(0,($M349+$S349)-$C349)))),MAX(0,MAX(0,($C349+$F349)-$M349)-$S349))</f>
        <v/>
      </c>
      <c r="X349" s="24">
        <f>IF(Inputs!$C$39=1,$W349,0)</f>
        <v/>
      </c>
      <c r="Y349" s="24">
        <f>IF(Inputs!$C$39=0,$W349,0)+MAX(0,MAX(0,($D349+$X349)-$N349)-$T349)</f>
        <v/>
      </c>
    </row>
    <row r="350">
      <c r="B350" s="22" t="n">
        <v>345</v>
      </c>
      <c r="C350" s="29">
        <f>IF($B350&lt;=Inputs!$C$6+Inputs!$C$11,Cashflow_Asset!$E348-Cashflow_Asset!$K348,0)</f>
        <v/>
      </c>
      <c r="D350" s="29">
        <f>IF($B350&lt;=Inputs!$C$6+Inputs!$C$11,Cashflow_Asset!$F348+Cashflow_Asset!$G348+Cashflow_Asset!$I348,0)</f>
        <v/>
      </c>
      <c r="E350" s="29">
        <f>IF($B350&lt;=Inputs!$C$6+Inputs!$C$11,Cashflow_Asset!$J348,0)</f>
        <v/>
      </c>
      <c r="F350" s="23">
        <f>$G349</f>
        <v/>
      </c>
      <c r="G350" s="24">
        <f>(MAX(0,$F350-MAX(0,($M350+$S350)-$C350)))+MIN(MAX(0,$D$3-(MAX(0,$F350-MAX(0,($M350+$S350)-$C350)))),MAX(0,MAX(0,($C350+$F350)-$M350)-$S350))</f>
        <v/>
      </c>
      <c r="H350" s="23">
        <f>$J349</f>
        <v/>
      </c>
      <c r="I350" s="24">
        <f>MIN($E350,$H350)</f>
        <v/>
      </c>
      <c r="J350" s="24">
        <f>$H350-$I350</f>
        <v/>
      </c>
      <c r="K350" s="23">
        <f>$P349</f>
        <v/>
      </c>
      <c r="L350" s="24">
        <f>$K350*Inputs!$C$18/12</f>
        <v/>
      </c>
      <c r="M350" s="24">
        <f>MIN(($C350+$F350),$L350)</f>
        <v/>
      </c>
      <c r="N350" s="24">
        <f>MIN(($D350+$X350),MAX(0,$K350-$O350))</f>
        <v/>
      </c>
      <c r="O350" s="24">
        <f>MIN(MAX(0,MAX(0,$E350-$I350)-$U350),$K350)</f>
        <v/>
      </c>
      <c r="P350" s="24">
        <f>MAX(0,$K350-$O350)-$N350</f>
        <v/>
      </c>
      <c r="Q350" s="23">
        <f>$V349</f>
        <v/>
      </c>
      <c r="R350" s="24">
        <f>$Q350*Inputs!$C$19/12</f>
        <v/>
      </c>
      <c r="S350" s="24">
        <f>MIN(MAX(0,($C350+$F350)-$M350),$R350)</f>
        <v/>
      </c>
      <c r="T350" s="24">
        <f>MIN(MAX(0,($D350+$X350)-$N350),MAX(0,$Q350-$U350))</f>
        <v/>
      </c>
      <c r="U350" s="24">
        <f>MIN(MAX(0,$E350-$I350),$Q350)</f>
        <v/>
      </c>
      <c r="V350" s="24">
        <f>MAX(0,$Q350-$U350)-$T350</f>
        <v/>
      </c>
      <c r="W350" s="24">
        <f>MAX(0,MAX(0,($C350+$F350)-$M350)-$S350)-MIN(MAX(0,$D$3-(MAX(0,$F350-MAX(0,($M350+$S350)-$C350)))),MAX(0,MAX(0,($C350+$F350)-$M350)-$S350))</f>
        <v/>
      </c>
      <c r="X350" s="24">
        <f>IF(Inputs!$C$39=1,$W350,0)</f>
        <v/>
      </c>
      <c r="Y350" s="24">
        <f>IF(Inputs!$C$39=0,$W350,0)+MAX(0,MAX(0,($D350+$X350)-$N350)-$T350)</f>
        <v/>
      </c>
    </row>
    <row r="351">
      <c r="B351" s="22" t="n">
        <v>346</v>
      </c>
      <c r="C351" s="29">
        <f>IF($B351&lt;=Inputs!$C$6+Inputs!$C$11,Cashflow_Asset!$E349-Cashflow_Asset!$K349,0)</f>
        <v/>
      </c>
      <c r="D351" s="29">
        <f>IF($B351&lt;=Inputs!$C$6+Inputs!$C$11,Cashflow_Asset!$F349+Cashflow_Asset!$G349+Cashflow_Asset!$I349,0)</f>
        <v/>
      </c>
      <c r="E351" s="29">
        <f>IF($B351&lt;=Inputs!$C$6+Inputs!$C$11,Cashflow_Asset!$J349,0)</f>
        <v/>
      </c>
      <c r="F351" s="23">
        <f>$G350</f>
        <v/>
      </c>
      <c r="G351" s="24">
        <f>(MAX(0,$F351-MAX(0,($M351+$S351)-$C351)))+MIN(MAX(0,$D$3-(MAX(0,$F351-MAX(0,($M351+$S351)-$C351)))),MAX(0,MAX(0,($C351+$F351)-$M351)-$S351))</f>
        <v/>
      </c>
      <c r="H351" s="23">
        <f>$J350</f>
        <v/>
      </c>
      <c r="I351" s="24">
        <f>MIN($E351,$H351)</f>
        <v/>
      </c>
      <c r="J351" s="24">
        <f>$H351-$I351</f>
        <v/>
      </c>
      <c r="K351" s="23">
        <f>$P350</f>
        <v/>
      </c>
      <c r="L351" s="24">
        <f>$K351*Inputs!$C$18/12</f>
        <v/>
      </c>
      <c r="M351" s="24">
        <f>MIN(($C351+$F351),$L351)</f>
        <v/>
      </c>
      <c r="N351" s="24">
        <f>MIN(($D351+$X351),MAX(0,$K351-$O351))</f>
        <v/>
      </c>
      <c r="O351" s="24">
        <f>MIN(MAX(0,MAX(0,$E351-$I351)-$U351),$K351)</f>
        <v/>
      </c>
      <c r="P351" s="24">
        <f>MAX(0,$K351-$O351)-$N351</f>
        <v/>
      </c>
      <c r="Q351" s="23">
        <f>$V350</f>
        <v/>
      </c>
      <c r="R351" s="24">
        <f>$Q351*Inputs!$C$19/12</f>
        <v/>
      </c>
      <c r="S351" s="24">
        <f>MIN(MAX(0,($C351+$F351)-$M351),$R351)</f>
        <v/>
      </c>
      <c r="T351" s="24">
        <f>MIN(MAX(0,($D351+$X351)-$N351),MAX(0,$Q351-$U351))</f>
        <v/>
      </c>
      <c r="U351" s="24">
        <f>MIN(MAX(0,$E351-$I351),$Q351)</f>
        <v/>
      </c>
      <c r="V351" s="24">
        <f>MAX(0,$Q351-$U351)-$T351</f>
        <v/>
      </c>
      <c r="W351" s="24">
        <f>MAX(0,MAX(0,($C351+$F351)-$M351)-$S351)-MIN(MAX(0,$D$3-(MAX(0,$F351-MAX(0,($M351+$S351)-$C351)))),MAX(0,MAX(0,($C351+$F351)-$M351)-$S351))</f>
        <v/>
      </c>
      <c r="X351" s="24">
        <f>IF(Inputs!$C$39=1,$W351,0)</f>
        <v/>
      </c>
      <c r="Y351" s="24">
        <f>IF(Inputs!$C$39=0,$W351,0)+MAX(0,MAX(0,($D351+$X351)-$N351)-$T351)</f>
        <v/>
      </c>
    </row>
    <row r="352">
      <c r="B352" s="22" t="n">
        <v>347</v>
      </c>
      <c r="C352" s="29">
        <f>IF($B352&lt;=Inputs!$C$6+Inputs!$C$11,Cashflow_Asset!$E350-Cashflow_Asset!$K350,0)</f>
        <v/>
      </c>
      <c r="D352" s="29">
        <f>IF($B352&lt;=Inputs!$C$6+Inputs!$C$11,Cashflow_Asset!$F350+Cashflow_Asset!$G350+Cashflow_Asset!$I350,0)</f>
        <v/>
      </c>
      <c r="E352" s="29">
        <f>IF($B352&lt;=Inputs!$C$6+Inputs!$C$11,Cashflow_Asset!$J350,0)</f>
        <v/>
      </c>
      <c r="F352" s="23">
        <f>$G351</f>
        <v/>
      </c>
      <c r="G352" s="24">
        <f>(MAX(0,$F352-MAX(0,($M352+$S352)-$C352)))+MIN(MAX(0,$D$3-(MAX(0,$F352-MAX(0,($M352+$S352)-$C352)))),MAX(0,MAX(0,($C352+$F352)-$M352)-$S352))</f>
        <v/>
      </c>
      <c r="H352" s="23">
        <f>$J351</f>
        <v/>
      </c>
      <c r="I352" s="24">
        <f>MIN($E352,$H352)</f>
        <v/>
      </c>
      <c r="J352" s="24">
        <f>$H352-$I352</f>
        <v/>
      </c>
      <c r="K352" s="23">
        <f>$P351</f>
        <v/>
      </c>
      <c r="L352" s="24">
        <f>$K352*Inputs!$C$18/12</f>
        <v/>
      </c>
      <c r="M352" s="24">
        <f>MIN(($C352+$F352),$L352)</f>
        <v/>
      </c>
      <c r="N352" s="24">
        <f>MIN(($D352+$X352),MAX(0,$K352-$O352))</f>
        <v/>
      </c>
      <c r="O352" s="24">
        <f>MIN(MAX(0,MAX(0,$E352-$I352)-$U352),$K352)</f>
        <v/>
      </c>
      <c r="P352" s="24">
        <f>MAX(0,$K352-$O352)-$N352</f>
        <v/>
      </c>
      <c r="Q352" s="23">
        <f>$V351</f>
        <v/>
      </c>
      <c r="R352" s="24">
        <f>$Q352*Inputs!$C$19/12</f>
        <v/>
      </c>
      <c r="S352" s="24">
        <f>MIN(MAX(0,($C352+$F352)-$M352),$R352)</f>
        <v/>
      </c>
      <c r="T352" s="24">
        <f>MIN(MAX(0,($D352+$X352)-$N352),MAX(0,$Q352-$U352))</f>
        <v/>
      </c>
      <c r="U352" s="24">
        <f>MIN(MAX(0,$E352-$I352),$Q352)</f>
        <v/>
      </c>
      <c r="V352" s="24">
        <f>MAX(0,$Q352-$U352)-$T352</f>
        <v/>
      </c>
      <c r="W352" s="24">
        <f>MAX(0,MAX(0,($C352+$F352)-$M352)-$S352)-MIN(MAX(0,$D$3-(MAX(0,$F352-MAX(0,($M352+$S352)-$C352)))),MAX(0,MAX(0,($C352+$F352)-$M352)-$S352))</f>
        <v/>
      </c>
      <c r="X352" s="24">
        <f>IF(Inputs!$C$39=1,$W352,0)</f>
        <v/>
      </c>
      <c r="Y352" s="24">
        <f>IF(Inputs!$C$39=0,$W352,0)+MAX(0,MAX(0,($D352+$X352)-$N352)-$T352)</f>
        <v/>
      </c>
    </row>
    <row r="353">
      <c r="B353" s="22" t="n">
        <v>348</v>
      </c>
      <c r="C353" s="29">
        <f>IF($B353&lt;=Inputs!$C$6+Inputs!$C$11,Cashflow_Asset!$E351-Cashflow_Asset!$K351,0)</f>
        <v/>
      </c>
      <c r="D353" s="29">
        <f>IF($B353&lt;=Inputs!$C$6+Inputs!$C$11,Cashflow_Asset!$F351+Cashflow_Asset!$G351+Cashflow_Asset!$I351,0)</f>
        <v/>
      </c>
      <c r="E353" s="29">
        <f>IF($B353&lt;=Inputs!$C$6+Inputs!$C$11,Cashflow_Asset!$J351,0)</f>
        <v/>
      </c>
      <c r="F353" s="23">
        <f>$G352</f>
        <v/>
      </c>
      <c r="G353" s="24">
        <f>(MAX(0,$F353-MAX(0,($M353+$S353)-$C353)))+MIN(MAX(0,$D$3-(MAX(0,$F353-MAX(0,($M353+$S353)-$C353)))),MAX(0,MAX(0,($C353+$F353)-$M353)-$S353))</f>
        <v/>
      </c>
      <c r="H353" s="23">
        <f>$J352</f>
        <v/>
      </c>
      <c r="I353" s="24">
        <f>MIN($E353,$H353)</f>
        <v/>
      </c>
      <c r="J353" s="24">
        <f>$H353-$I353</f>
        <v/>
      </c>
      <c r="K353" s="23">
        <f>$P352</f>
        <v/>
      </c>
      <c r="L353" s="24">
        <f>$K353*Inputs!$C$18/12</f>
        <v/>
      </c>
      <c r="M353" s="24">
        <f>MIN(($C353+$F353),$L353)</f>
        <v/>
      </c>
      <c r="N353" s="24">
        <f>MIN(($D353+$X353),MAX(0,$K353-$O353))</f>
        <v/>
      </c>
      <c r="O353" s="24">
        <f>MIN(MAX(0,MAX(0,$E353-$I353)-$U353),$K353)</f>
        <v/>
      </c>
      <c r="P353" s="24">
        <f>MAX(0,$K353-$O353)-$N353</f>
        <v/>
      </c>
      <c r="Q353" s="23">
        <f>$V352</f>
        <v/>
      </c>
      <c r="R353" s="24">
        <f>$Q353*Inputs!$C$19/12</f>
        <v/>
      </c>
      <c r="S353" s="24">
        <f>MIN(MAX(0,($C353+$F353)-$M353),$R353)</f>
        <v/>
      </c>
      <c r="T353" s="24">
        <f>MIN(MAX(0,($D353+$X353)-$N353),MAX(0,$Q353-$U353))</f>
        <v/>
      </c>
      <c r="U353" s="24">
        <f>MIN(MAX(0,$E353-$I353),$Q353)</f>
        <v/>
      </c>
      <c r="V353" s="24">
        <f>MAX(0,$Q353-$U353)-$T353</f>
        <v/>
      </c>
      <c r="W353" s="24">
        <f>MAX(0,MAX(0,($C353+$F353)-$M353)-$S353)-MIN(MAX(0,$D$3-(MAX(0,$F353-MAX(0,($M353+$S353)-$C353)))),MAX(0,MAX(0,($C353+$F353)-$M353)-$S353))</f>
        <v/>
      </c>
      <c r="X353" s="24">
        <f>IF(Inputs!$C$39=1,$W353,0)</f>
        <v/>
      </c>
      <c r="Y353" s="24">
        <f>IF(Inputs!$C$39=0,$W353,0)+MAX(0,MAX(0,($D353+$X353)-$N353)-$T353)</f>
        <v/>
      </c>
    </row>
    <row r="354">
      <c r="B354" s="22" t="n">
        <v>349</v>
      </c>
      <c r="C354" s="29">
        <f>IF($B354&lt;=Inputs!$C$6+Inputs!$C$11,Cashflow_Asset!$E352-Cashflow_Asset!$K352,0)</f>
        <v/>
      </c>
      <c r="D354" s="29">
        <f>IF($B354&lt;=Inputs!$C$6+Inputs!$C$11,Cashflow_Asset!$F352+Cashflow_Asset!$G352+Cashflow_Asset!$I352,0)</f>
        <v/>
      </c>
      <c r="E354" s="29">
        <f>IF($B354&lt;=Inputs!$C$6+Inputs!$C$11,Cashflow_Asset!$J352,0)</f>
        <v/>
      </c>
      <c r="F354" s="23">
        <f>$G353</f>
        <v/>
      </c>
      <c r="G354" s="24">
        <f>(MAX(0,$F354-MAX(0,($M354+$S354)-$C354)))+MIN(MAX(0,$D$3-(MAX(0,$F354-MAX(0,($M354+$S354)-$C354)))),MAX(0,MAX(0,($C354+$F354)-$M354)-$S354))</f>
        <v/>
      </c>
      <c r="H354" s="23">
        <f>$J353</f>
        <v/>
      </c>
      <c r="I354" s="24">
        <f>MIN($E354,$H354)</f>
        <v/>
      </c>
      <c r="J354" s="24">
        <f>$H354-$I354</f>
        <v/>
      </c>
      <c r="K354" s="23">
        <f>$P353</f>
        <v/>
      </c>
      <c r="L354" s="24">
        <f>$K354*Inputs!$C$18/12</f>
        <v/>
      </c>
      <c r="M354" s="24">
        <f>MIN(($C354+$F354),$L354)</f>
        <v/>
      </c>
      <c r="N354" s="24">
        <f>MIN(($D354+$X354),MAX(0,$K354-$O354))</f>
        <v/>
      </c>
      <c r="O354" s="24">
        <f>MIN(MAX(0,MAX(0,$E354-$I354)-$U354),$K354)</f>
        <v/>
      </c>
      <c r="P354" s="24">
        <f>MAX(0,$K354-$O354)-$N354</f>
        <v/>
      </c>
      <c r="Q354" s="23">
        <f>$V353</f>
        <v/>
      </c>
      <c r="R354" s="24">
        <f>$Q354*Inputs!$C$19/12</f>
        <v/>
      </c>
      <c r="S354" s="24">
        <f>MIN(MAX(0,($C354+$F354)-$M354),$R354)</f>
        <v/>
      </c>
      <c r="T354" s="24">
        <f>MIN(MAX(0,($D354+$X354)-$N354),MAX(0,$Q354-$U354))</f>
        <v/>
      </c>
      <c r="U354" s="24">
        <f>MIN(MAX(0,$E354-$I354),$Q354)</f>
        <v/>
      </c>
      <c r="V354" s="24">
        <f>MAX(0,$Q354-$U354)-$T354</f>
        <v/>
      </c>
      <c r="W354" s="24">
        <f>MAX(0,MAX(0,($C354+$F354)-$M354)-$S354)-MIN(MAX(0,$D$3-(MAX(0,$F354-MAX(0,($M354+$S354)-$C354)))),MAX(0,MAX(0,($C354+$F354)-$M354)-$S354))</f>
        <v/>
      </c>
      <c r="X354" s="24">
        <f>IF(Inputs!$C$39=1,$W354,0)</f>
        <v/>
      </c>
      <c r="Y354" s="24">
        <f>IF(Inputs!$C$39=0,$W354,0)+MAX(0,MAX(0,($D354+$X354)-$N354)-$T354)</f>
        <v/>
      </c>
    </row>
    <row r="355">
      <c r="B355" s="22" t="n">
        <v>350</v>
      </c>
      <c r="C355" s="29">
        <f>IF($B355&lt;=Inputs!$C$6+Inputs!$C$11,Cashflow_Asset!$E353-Cashflow_Asset!$K353,0)</f>
        <v/>
      </c>
      <c r="D355" s="29">
        <f>IF($B355&lt;=Inputs!$C$6+Inputs!$C$11,Cashflow_Asset!$F353+Cashflow_Asset!$G353+Cashflow_Asset!$I353,0)</f>
        <v/>
      </c>
      <c r="E355" s="29">
        <f>IF($B355&lt;=Inputs!$C$6+Inputs!$C$11,Cashflow_Asset!$J353,0)</f>
        <v/>
      </c>
      <c r="F355" s="23">
        <f>$G354</f>
        <v/>
      </c>
      <c r="G355" s="24">
        <f>(MAX(0,$F355-MAX(0,($M355+$S355)-$C355)))+MIN(MAX(0,$D$3-(MAX(0,$F355-MAX(0,($M355+$S355)-$C355)))),MAX(0,MAX(0,($C355+$F355)-$M355)-$S355))</f>
        <v/>
      </c>
      <c r="H355" s="23">
        <f>$J354</f>
        <v/>
      </c>
      <c r="I355" s="24">
        <f>MIN($E355,$H355)</f>
        <v/>
      </c>
      <c r="J355" s="24">
        <f>$H355-$I355</f>
        <v/>
      </c>
      <c r="K355" s="23">
        <f>$P354</f>
        <v/>
      </c>
      <c r="L355" s="24">
        <f>$K355*Inputs!$C$18/12</f>
        <v/>
      </c>
      <c r="M355" s="24">
        <f>MIN(($C355+$F355),$L355)</f>
        <v/>
      </c>
      <c r="N355" s="24">
        <f>MIN(($D355+$X355),MAX(0,$K355-$O355))</f>
        <v/>
      </c>
      <c r="O355" s="24">
        <f>MIN(MAX(0,MAX(0,$E355-$I355)-$U355),$K355)</f>
        <v/>
      </c>
      <c r="P355" s="24">
        <f>MAX(0,$K355-$O355)-$N355</f>
        <v/>
      </c>
      <c r="Q355" s="23">
        <f>$V354</f>
        <v/>
      </c>
      <c r="R355" s="24">
        <f>$Q355*Inputs!$C$19/12</f>
        <v/>
      </c>
      <c r="S355" s="24">
        <f>MIN(MAX(0,($C355+$F355)-$M355),$R355)</f>
        <v/>
      </c>
      <c r="T355" s="24">
        <f>MIN(MAX(0,($D355+$X355)-$N355),MAX(0,$Q355-$U355))</f>
        <v/>
      </c>
      <c r="U355" s="24">
        <f>MIN(MAX(0,$E355-$I355),$Q355)</f>
        <v/>
      </c>
      <c r="V355" s="24">
        <f>MAX(0,$Q355-$U355)-$T355</f>
        <v/>
      </c>
      <c r="W355" s="24">
        <f>MAX(0,MAX(0,($C355+$F355)-$M355)-$S355)-MIN(MAX(0,$D$3-(MAX(0,$F355-MAX(0,($M355+$S355)-$C355)))),MAX(0,MAX(0,($C355+$F355)-$M355)-$S355))</f>
        <v/>
      </c>
      <c r="X355" s="24">
        <f>IF(Inputs!$C$39=1,$W355,0)</f>
        <v/>
      </c>
      <c r="Y355" s="24">
        <f>IF(Inputs!$C$39=0,$W355,0)+MAX(0,MAX(0,($D355+$X355)-$N355)-$T355)</f>
        <v/>
      </c>
    </row>
    <row r="356">
      <c r="B356" s="22" t="n">
        <v>351</v>
      </c>
      <c r="C356" s="29">
        <f>IF($B356&lt;=Inputs!$C$6+Inputs!$C$11,Cashflow_Asset!$E354-Cashflow_Asset!$K354,0)</f>
        <v/>
      </c>
      <c r="D356" s="29">
        <f>IF($B356&lt;=Inputs!$C$6+Inputs!$C$11,Cashflow_Asset!$F354+Cashflow_Asset!$G354+Cashflow_Asset!$I354,0)</f>
        <v/>
      </c>
      <c r="E356" s="29">
        <f>IF($B356&lt;=Inputs!$C$6+Inputs!$C$11,Cashflow_Asset!$J354,0)</f>
        <v/>
      </c>
      <c r="F356" s="23">
        <f>$G355</f>
        <v/>
      </c>
      <c r="G356" s="24">
        <f>(MAX(0,$F356-MAX(0,($M356+$S356)-$C356)))+MIN(MAX(0,$D$3-(MAX(0,$F356-MAX(0,($M356+$S356)-$C356)))),MAX(0,MAX(0,($C356+$F356)-$M356)-$S356))</f>
        <v/>
      </c>
      <c r="H356" s="23">
        <f>$J355</f>
        <v/>
      </c>
      <c r="I356" s="24">
        <f>MIN($E356,$H356)</f>
        <v/>
      </c>
      <c r="J356" s="24">
        <f>$H356-$I356</f>
        <v/>
      </c>
      <c r="K356" s="23">
        <f>$P355</f>
        <v/>
      </c>
      <c r="L356" s="24">
        <f>$K356*Inputs!$C$18/12</f>
        <v/>
      </c>
      <c r="M356" s="24">
        <f>MIN(($C356+$F356),$L356)</f>
        <v/>
      </c>
      <c r="N356" s="24">
        <f>MIN(($D356+$X356),MAX(0,$K356-$O356))</f>
        <v/>
      </c>
      <c r="O356" s="24">
        <f>MIN(MAX(0,MAX(0,$E356-$I356)-$U356),$K356)</f>
        <v/>
      </c>
      <c r="P356" s="24">
        <f>MAX(0,$K356-$O356)-$N356</f>
        <v/>
      </c>
      <c r="Q356" s="23">
        <f>$V355</f>
        <v/>
      </c>
      <c r="R356" s="24">
        <f>$Q356*Inputs!$C$19/12</f>
        <v/>
      </c>
      <c r="S356" s="24">
        <f>MIN(MAX(0,($C356+$F356)-$M356),$R356)</f>
        <v/>
      </c>
      <c r="T356" s="24">
        <f>MIN(MAX(0,($D356+$X356)-$N356),MAX(0,$Q356-$U356))</f>
        <v/>
      </c>
      <c r="U356" s="24">
        <f>MIN(MAX(0,$E356-$I356),$Q356)</f>
        <v/>
      </c>
      <c r="V356" s="24">
        <f>MAX(0,$Q356-$U356)-$T356</f>
        <v/>
      </c>
      <c r="W356" s="24">
        <f>MAX(0,MAX(0,($C356+$F356)-$M356)-$S356)-MIN(MAX(0,$D$3-(MAX(0,$F356-MAX(0,($M356+$S356)-$C356)))),MAX(0,MAX(0,($C356+$F356)-$M356)-$S356))</f>
        <v/>
      </c>
      <c r="X356" s="24">
        <f>IF(Inputs!$C$39=1,$W356,0)</f>
        <v/>
      </c>
      <c r="Y356" s="24">
        <f>IF(Inputs!$C$39=0,$W356,0)+MAX(0,MAX(0,($D356+$X356)-$N356)-$T356)</f>
        <v/>
      </c>
    </row>
    <row r="357">
      <c r="B357" s="22" t="n">
        <v>352</v>
      </c>
      <c r="C357" s="29">
        <f>IF($B357&lt;=Inputs!$C$6+Inputs!$C$11,Cashflow_Asset!$E355-Cashflow_Asset!$K355,0)</f>
        <v/>
      </c>
      <c r="D357" s="29">
        <f>IF($B357&lt;=Inputs!$C$6+Inputs!$C$11,Cashflow_Asset!$F355+Cashflow_Asset!$G355+Cashflow_Asset!$I355,0)</f>
        <v/>
      </c>
      <c r="E357" s="29">
        <f>IF($B357&lt;=Inputs!$C$6+Inputs!$C$11,Cashflow_Asset!$J355,0)</f>
        <v/>
      </c>
      <c r="F357" s="23">
        <f>$G356</f>
        <v/>
      </c>
      <c r="G357" s="24">
        <f>(MAX(0,$F357-MAX(0,($M357+$S357)-$C357)))+MIN(MAX(0,$D$3-(MAX(0,$F357-MAX(0,($M357+$S357)-$C357)))),MAX(0,MAX(0,($C357+$F357)-$M357)-$S357))</f>
        <v/>
      </c>
      <c r="H357" s="23">
        <f>$J356</f>
        <v/>
      </c>
      <c r="I357" s="24">
        <f>MIN($E357,$H357)</f>
        <v/>
      </c>
      <c r="J357" s="24">
        <f>$H357-$I357</f>
        <v/>
      </c>
      <c r="K357" s="23">
        <f>$P356</f>
        <v/>
      </c>
      <c r="L357" s="24">
        <f>$K357*Inputs!$C$18/12</f>
        <v/>
      </c>
      <c r="M357" s="24">
        <f>MIN(($C357+$F357),$L357)</f>
        <v/>
      </c>
      <c r="N357" s="24">
        <f>MIN(($D357+$X357),MAX(0,$K357-$O357))</f>
        <v/>
      </c>
      <c r="O357" s="24">
        <f>MIN(MAX(0,MAX(0,$E357-$I357)-$U357),$K357)</f>
        <v/>
      </c>
      <c r="P357" s="24">
        <f>MAX(0,$K357-$O357)-$N357</f>
        <v/>
      </c>
      <c r="Q357" s="23">
        <f>$V356</f>
        <v/>
      </c>
      <c r="R357" s="24">
        <f>$Q357*Inputs!$C$19/12</f>
        <v/>
      </c>
      <c r="S357" s="24">
        <f>MIN(MAX(0,($C357+$F357)-$M357),$R357)</f>
        <v/>
      </c>
      <c r="T357" s="24">
        <f>MIN(MAX(0,($D357+$X357)-$N357),MAX(0,$Q357-$U357))</f>
        <v/>
      </c>
      <c r="U357" s="24">
        <f>MIN(MAX(0,$E357-$I357),$Q357)</f>
        <v/>
      </c>
      <c r="V357" s="24">
        <f>MAX(0,$Q357-$U357)-$T357</f>
        <v/>
      </c>
      <c r="W357" s="24">
        <f>MAX(0,MAX(0,($C357+$F357)-$M357)-$S357)-MIN(MAX(0,$D$3-(MAX(0,$F357-MAX(0,($M357+$S357)-$C357)))),MAX(0,MAX(0,($C357+$F357)-$M357)-$S357))</f>
        <v/>
      </c>
      <c r="X357" s="24">
        <f>IF(Inputs!$C$39=1,$W357,0)</f>
        <v/>
      </c>
      <c r="Y357" s="24">
        <f>IF(Inputs!$C$39=0,$W357,0)+MAX(0,MAX(0,($D357+$X357)-$N357)-$T357)</f>
        <v/>
      </c>
    </row>
    <row r="358">
      <c r="B358" s="22" t="n">
        <v>353</v>
      </c>
      <c r="C358" s="29">
        <f>IF($B358&lt;=Inputs!$C$6+Inputs!$C$11,Cashflow_Asset!$E356-Cashflow_Asset!$K356,0)</f>
        <v/>
      </c>
      <c r="D358" s="29">
        <f>IF($B358&lt;=Inputs!$C$6+Inputs!$C$11,Cashflow_Asset!$F356+Cashflow_Asset!$G356+Cashflow_Asset!$I356,0)</f>
        <v/>
      </c>
      <c r="E358" s="29">
        <f>IF($B358&lt;=Inputs!$C$6+Inputs!$C$11,Cashflow_Asset!$J356,0)</f>
        <v/>
      </c>
      <c r="F358" s="23">
        <f>$G357</f>
        <v/>
      </c>
      <c r="G358" s="24">
        <f>(MAX(0,$F358-MAX(0,($M358+$S358)-$C358)))+MIN(MAX(0,$D$3-(MAX(0,$F358-MAX(0,($M358+$S358)-$C358)))),MAX(0,MAX(0,($C358+$F358)-$M358)-$S358))</f>
        <v/>
      </c>
      <c r="H358" s="23">
        <f>$J357</f>
        <v/>
      </c>
      <c r="I358" s="24">
        <f>MIN($E358,$H358)</f>
        <v/>
      </c>
      <c r="J358" s="24">
        <f>$H358-$I358</f>
        <v/>
      </c>
      <c r="K358" s="23">
        <f>$P357</f>
        <v/>
      </c>
      <c r="L358" s="24">
        <f>$K358*Inputs!$C$18/12</f>
        <v/>
      </c>
      <c r="M358" s="24">
        <f>MIN(($C358+$F358),$L358)</f>
        <v/>
      </c>
      <c r="N358" s="24">
        <f>MIN(($D358+$X358),MAX(0,$K358-$O358))</f>
        <v/>
      </c>
      <c r="O358" s="24">
        <f>MIN(MAX(0,MAX(0,$E358-$I358)-$U358),$K358)</f>
        <v/>
      </c>
      <c r="P358" s="24">
        <f>MAX(0,$K358-$O358)-$N358</f>
        <v/>
      </c>
      <c r="Q358" s="23">
        <f>$V357</f>
        <v/>
      </c>
      <c r="R358" s="24">
        <f>$Q358*Inputs!$C$19/12</f>
        <v/>
      </c>
      <c r="S358" s="24">
        <f>MIN(MAX(0,($C358+$F358)-$M358),$R358)</f>
        <v/>
      </c>
      <c r="T358" s="24">
        <f>MIN(MAX(0,($D358+$X358)-$N358),MAX(0,$Q358-$U358))</f>
        <v/>
      </c>
      <c r="U358" s="24">
        <f>MIN(MAX(0,$E358-$I358),$Q358)</f>
        <v/>
      </c>
      <c r="V358" s="24">
        <f>MAX(0,$Q358-$U358)-$T358</f>
        <v/>
      </c>
      <c r="W358" s="24">
        <f>MAX(0,MAX(0,($C358+$F358)-$M358)-$S358)-MIN(MAX(0,$D$3-(MAX(0,$F358-MAX(0,($M358+$S358)-$C358)))),MAX(0,MAX(0,($C358+$F358)-$M358)-$S358))</f>
        <v/>
      </c>
      <c r="X358" s="24">
        <f>IF(Inputs!$C$39=1,$W358,0)</f>
        <v/>
      </c>
      <c r="Y358" s="24">
        <f>IF(Inputs!$C$39=0,$W358,0)+MAX(0,MAX(0,($D358+$X358)-$N358)-$T358)</f>
        <v/>
      </c>
    </row>
    <row r="359">
      <c r="B359" s="22" t="n">
        <v>354</v>
      </c>
      <c r="C359" s="29">
        <f>IF($B359&lt;=Inputs!$C$6+Inputs!$C$11,Cashflow_Asset!$E357-Cashflow_Asset!$K357,0)</f>
        <v/>
      </c>
      <c r="D359" s="29">
        <f>IF($B359&lt;=Inputs!$C$6+Inputs!$C$11,Cashflow_Asset!$F357+Cashflow_Asset!$G357+Cashflow_Asset!$I357,0)</f>
        <v/>
      </c>
      <c r="E359" s="29">
        <f>IF($B359&lt;=Inputs!$C$6+Inputs!$C$11,Cashflow_Asset!$J357,0)</f>
        <v/>
      </c>
      <c r="F359" s="23">
        <f>$G358</f>
        <v/>
      </c>
      <c r="G359" s="24">
        <f>(MAX(0,$F359-MAX(0,($M359+$S359)-$C359)))+MIN(MAX(0,$D$3-(MAX(0,$F359-MAX(0,($M359+$S359)-$C359)))),MAX(0,MAX(0,($C359+$F359)-$M359)-$S359))</f>
        <v/>
      </c>
      <c r="H359" s="23">
        <f>$J358</f>
        <v/>
      </c>
      <c r="I359" s="24">
        <f>MIN($E359,$H359)</f>
        <v/>
      </c>
      <c r="J359" s="24">
        <f>$H359-$I359</f>
        <v/>
      </c>
      <c r="K359" s="23">
        <f>$P358</f>
        <v/>
      </c>
      <c r="L359" s="24">
        <f>$K359*Inputs!$C$18/12</f>
        <v/>
      </c>
      <c r="M359" s="24">
        <f>MIN(($C359+$F359),$L359)</f>
        <v/>
      </c>
      <c r="N359" s="24">
        <f>MIN(($D359+$X359),MAX(0,$K359-$O359))</f>
        <v/>
      </c>
      <c r="O359" s="24">
        <f>MIN(MAX(0,MAX(0,$E359-$I359)-$U359),$K359)</f>
        <v/>
      </c>
      <c r="P359" s="24">
        <f>MAX(0,$K359-$O359)-$N359</f>
        <v/>
      </c>
      <c r="Q359" s="23">
        <f>$V358</f>
        <v/>
      </c>
      <c r="R359" s="24">
        <f>$Q359*Inputs!$C$19/12</f>
        <v/>
      </c>
      <c r="S359" s="24">
        <f>MIN(MAX(0,($C359+$F359)-$M359),$R359)</f>
        <v/>
      </c>
      <c r="T359" s="24">
        <f>MIN(MAX(0,($D359+$X359)-$N359),MAX(0,$Q359-$U359))</f>
        <v/>
      </c>
      <c r="U359" s="24">
        <f>MIN(MAX(0,$E359-$I359),$Q359)</f>
        <v/>
      </c>
      <c r="V359" s="24">
        <f>MAX(0,$Q359-$U359)-$T359</f>
        <v/>
      </c>
      <c r="W359" s="24">
        <f>MAX(0,MAX(0,($C359+$F359)-$M359)-$S359)-MIN(MAX(0,$D$3-(MAX(0,$F359-MAX(0,($M359+$S359)-$C359)))),MAX(0,MAX(0,($C359+$F359)-$M359)-$S359))</f>
        <v/>
      </c>
      <c r="X359" s="24">
        <f>IF(Inputs!$C$39=1,$W359,0)</f>
        <v/>
      </c>
      <c r="Y359" s="24">
        <f>IF(Inputs!$C$39=0,$W359,0)+MAX(0,MAX(0,($D359+$X359)-$N359)-$T359)</f>
        <v/>
      </c>
    </row>
    <row r="360">
      <c r="B360" s="22" t="n">
        <v>355</v>
      </c>
      <c r="C360" s="29">
        <f>IF($B360&lt;=Inputs!$C$6+Inputs!$C$11,Cashflow_Asset!$E358-Cashflow_Asset!$K358,0)</f>
        <v/>
      </c>
      <c r="D360" s="29">
        <f>IF($B360&lt;=Inputs!$C$6+Inputs!$C$11,Cashflow_Asset!$F358+Cashflow_Asset!$G358+Cashflow_Asset!$I358,0)</f>
        <v/>
      </c>
      <c r="E360" s="29">
        <f>IF($B360&lt;=Inputs!$C$6+Inputs!$C$11,Cashflow_Asset!$J358,0)</f>
        <v/>
      </c>
      <c r="F360" s="23">
        <f>$G359</f>
        <v/>
      </c>
      <c r="G360" s="24">
        <f>(MAX(0,$F360-MAX(0,($M360+$S360)-$C360)))+MIN(MAX(0,$D$3-(MAX(0,$F360-MAX(0,($M360+$S360)-$C360)))),MAX(0,MAX(0,($C360+$F360)-$M360)-$S360))</f>
        <v/>
      </c>
      <c r="H360" s="23">
        <f>$J359</f>
        <v/>
      </c>
      <c r="I360" s="24">
        <f>MIN($E360,$H360)</f>
        <v/>
      </c>
      <c r="J360" s="24">
        <f>$H360-$I360</f>
        <v/>
      </c>
      <c r="K360" s="23">
        <f>$P359</f>
        <v/>
      </c>
      <c r="L360" s="24">
        <f>$K360*Inputs!$C$18/12</f>
        <v/>
      </c>
      <c r="M360" s="24">
        <f>MIN(($C360+$F360),$L360)</f>
        <v/>
      </c>
      <c r="N360" s="24">
        <f>MIN(($D360+$X360),MAX(0,$K360-$O360))</f>
        <v/>
      </c>
      <c r="O360" s="24">
        <f>MIN(MAX(0,MAX(0,$E360-$I360)-$U360),$K360)</f>
        <v/>
      </c>
      <c r="P360" s="24">
        <f>MAX(0,$K360-$O360)-$N360</f>
        <v/>
      </c>
      <c r="Q360" s="23">
        <f>$V359</f>
        <v/>
      </c>
      <c r="R360" s="24">
        <f>$Q360*Inputs!$C$19/12</f>
        <v/>
      </c>
      <c r="S360" s="24">
        <f>MIN(MAX(0,($C360+$F360)-$M360),$R360)</f>
        <v/>
      </c>
      <c r="T360" s="24">
        <f>MIN(MAX(0,($D360+$X360)-$N360),MAX(0,$Q360-$U360))</f>
        <v/>
      </c>
      <c r="U360" s="24">
        <f>MIN(MAX(0,$E360-$I360),$Q360)</f>
        <v/>
      </c>
      <c r="V360" s="24">
        <f>MAX(0,$Q360-$U360)-$T360</f>
        <v/>
      </c>
      <c r="W360" s="24">
        <f>MAX(0,MAX(0,($C360+$F360)-$M360)-$S360)-MIN(MAX(0,$D$3-(MAX(0,$F360-MAX(0,($M360+$S360)-$C360)))),MAX(0,MAX(0,($C360+$F360)-$M360)-$S360))</f>
        <v/>
      </c>
      <c r="X360" s="24">
        <f>IF(Inputs!$C$39=1,$W360,0)</f>
        <v/>
      </c>
      <c r="Y360" s="24">
        <f>IF(Inputs!$C$39=0,$W360,0)+MAX(0,MAX(0,($D360+$X360)-$N360)-$T360)</f>
        <v/>
      </c>
    </row>
    <row r="361">
      <c r="B361" s="22" t="n">
        <v>356</v>
      </c>
      <c r="C361" s="29">
        <f>IF($B361&lt;=Inputs!$C$6+Inputs!$C$11,Cashflow_Asset!$E359-Cashflow_Asset!$K359,0)</f>
        <v/>
      </c>
      <c r="D361" s="29">
        <f>IF($B361&lt;=Inputs!$C$6+Inputs!$C$11,Cashflow_Asset!$F359+Cashflow_Asset!$G359+Cashflow_Asset!$I359,0)</f>
        <v/>
      </c>
      <c r="E361" s="29">
        <f>IF($B361&lt;=Inputs!$C$6+Inputs!$C$11,Cashflow_Asset!$J359,0)</f>
        <v/>
      </c>
      <c r="F361" s="23">
        <f>$G360</f>
        <v/>
      </c>
      <c r="G361" s="24">
        <f>(MAX(0,$F361-MAX(0,($M361+$S361)-$C361)))+MIN(MAX(0,$D$3-(MAX(0,$F361-MAX(0,($M361+$S361)-$C361)))),MAX(0,MAX(0,($C361+$F361)-$M361)-$S361))</f>
        <v/>
      </c>
      <c r="H361" s="23">
        <f>$J360</f>
        <v/>
      </c>
      <c r="I361" s="24">
        <f>MIN($E361,$H361)</f>
        <v/>
      </c>
      <c r="J361" s="24">
        <f>$H361-$I361</f>
        <v/>
      </c>
      <c r="K361" s="23">
        <f>$P360</f>
        <v/>
      </c>
      <c r="L361" s="24">
        <f>$K361*Inputs!$C$18/12</f>
        <v/>
      </c>
      <c r="M361" s="24">
        <f>MIN(($C361+$F361),$L361)</f>
        <v/>
      </c>
      <c r="N361" s="24">
        <f>MIN(($D361+$X361),MAX(0,$K361-$O361))</f>
        <v/>
      </c>
      <c r="O361" s="24">
        <f>MIN(MAX(0,MAX(0,$E361-$I361)-$U361),$K361)</f>
        <v/>
      </c>
      <c r="P361" s="24">
        <f>MAX(0,$K361-$O361)-$N361</f>
        <v/>
      </c>
      <c r="Q361" s="23">
        <f>$V360</f>
        <v/>
      </c>
      <c r="R361" s="24">
        <f>$Q361*Inputs!$C$19/12</f>
        <v/>
      </c>
      <c r="S361" s="24">
        <f>MIN(MAX(0,($C361+$F361)-$M361),$R361)</f>
        <v/>
      </c>
      <c r="T361" s="24">
        <f>MIN(MAX(0,($D361+$X361)-$N361),MAX(0,$Q361-$U361))</f>
        <v/>
      </c>
      <c r="U361" s="24">
        <f>MIN(MAX(0,$E361-$I361),$Q361)</f>
        <v/>
      </c>
      <c r="V361" s="24">
        <f>MAX(0,$Q361-$U361)-$T361</f>
        <v/>
      </c>
      <c r="W361" s="24">
        <f>MAX(0,MAX(0,($C361+$F361)-$M361)-$S361)-MIN(MAX(0,$D$3-(MAX(0,$F361-MAX(0,($M361+$S361)-$C361)))),MAX(0,MAX(0,($C361+$F361)-$M361)-$S361))</f>
        <v/>
      </c>
      <c r="X361" s="24">
        <f>IF(Inputs!$C$39=1,$W361,0)</f>
        <v/>
      </c>
      <c r="Y361" s="24">
        <f>IF(Inputs!$C$39=0,$W361,0)+MAX(0,MAX(0,($D361+$X361)-$N361)-$T361)</f>
        <v/>
      </c>
    </row>
    <row r="362">
      <c r="B362" s="22" t="n">
        <v>357</v>
      </c>
      <c r="C362" s="29">
        <f>IF($B362&lt;=Inputs!$C$6+Inputs!$C$11,Cashflow_Asset!$E360-Cashflow_Asset!$K360,0)</f>
        <v/>
      </c>
      <c r="D362" s="29">
        <f>IF($B362&lt;=Inputs!$C$6+Inputs!$C$11,Cashflow_Asset!$F360+Cashflow_Asset!$G360+Cashflow_Asset!$I360,0)</f>
        <v/>
      </c>
      <c r="E362" s="29">
        <f>IF($B362&lt;=Inputs!$C$6+Inputs!$C$11,Cashflow_Asset!$J360,0)</f>
        <v/>
      </c>
      <c r="F362" s="23">
        <f>$G361</f>
        <v/>
      </c>
      <c r="G362" s="24">
        <f>(MAX(0,$F362-MAX(0,($M362+$S362)-$C362)))+MIN(MAX(0,$D$3-(MAX(0,$F362-MAX(0,($M362+$S362)-$C362)))),MAX(0,MAX(0,($C362+$F362)-$M362)-$S362))</f>
        <v/>
      </c>
      <c r="H362" s="23">
        <f>$J361</f>
        <v/>
      </c>
      <c r="I362" s="24">
        <f>MIN($E362,$H362)</f>
        <v/>
      </c>
      <c r="J362" s="24">
        <f>$H362-$I362</f>
        <v/>
      </c>
      <c r="K362" s="23">
        <f>$P361</f>
        <v/>
      </c>
      <c r="L362" s="24">
        <f>$K362*Inputs!$C$18/12</f>
        <v/>
      </c>
      <c r="M362" s="24">
        <f>MIN(($C362+$F362),$L362)</f>
        <v/>
      </c>
      <c r="N362" s="24">
        <f>MIN(($D362+$X362),MAX(0,$K362-$O362))</f>
        <v/>
      </c>
      <c r="O362" s="24">
        <f>MIN(MAX(0,MAX(0,$E362-$I362)-$U362),$K362)</f>
        <v/>
      </c>
      <c r="P362" s="24">
        <f>MAX(0,$K362-$O362)-$N362</f>
        <v/>
      </c>
      <c r="Q362" s="23">
        <f>$V361</f>
        <v/>
      </c>
      <c r="R362" s="24">
        <f>$Q362*Inputs!$C$19/12</f>
        <v/>
      </c>
      <c r="S362" s="24">
        <f>MIN(MAX(0,($C362+$F362)-$M362),$R362)</f>
        <v/>
      </c>
      <c r="T362" s="24">
        <f>MIN(MAX(0,($D362+$X362)-$N362),MAX(0,$Q362-$U362))</f>
        <v/>
      </c>
      <c r="U362" s="24">
        <f>MIN(MAX(0,$E362-$I362),$Q362)</f>
        <v/>
      </c>
      <c r="V362" s="24">
        <f>MAX(0,$Q362-$U362)-$T362</f>
        <v/>
      </c>
      <c r="W362" s="24">
        <f>MAX(0,MAX(0,($C362+$F362)-$M362)-$S362)-MIN(MAX(0,$D$3-(MAX(0,$F362-MAX(0,($M362+$S362)-$C362)))),MAX(0,MAX(0,($C362+$F362)-$M362)-$S362))</f>
        <v/>
      </c>
      <c r="X362" s="24">
        <f>IF(Inputs!$C$39=1,$W362,0)</f>
        <v/>
      </c>
      <c r="Y362" s="24">
        <f>IF(Inputs!$C$39=0,$W362,0)+MAX(0,MAX(0,($D362+$X362)-$N362)-$T362)</f>
        <v/>
      </c>
    </row>
    <row r="363">
      <c r="B363" s="22" t="n">
        <v>358</v>
      </c>
      <c r="C363" s="29">
        <f>IF($B363&lt;=Inputs!$C$6+Inputs!$C$11,Cashflow_Asset!$E361-Cashflow_Asset!$K361,0)</f>
        <v/>
      </c>
      <c r="D363" s="29">
        <f>IF($B363&lt;=Inputs!$C$6+Inputs!$C$11,Cashflow_Asset!$F361+Cashflow_Asset!$G361+Cashflow_Asset!$I361,0)</f>
        <v/>
      </c>
      <c r="E363" s="29">
        <f>IF($B363&lt;=Inputs!$C$6+Inputs!$C$11,Cashflow_Asset!$J361,0)</f>
        <v/>
      </c>
      <c r="F363" s="23">
        <f>$G362</f>
        <v/>
      </c>
      <c r="G363" s="24">
        <f>(MAX(0,$F363-MAX(0,($M363+$S363)-$C363)))+MIN(MAX(0,$D$3-(MAX(0,$F363-MAX(0,($M363+$S363)-$C363)))),MAX(0,MAX(0,($C363+$F363)-$M363)-$S363))</f>
        <v/>
      </c>
      <c r="H363" s="23">
        <f>$J362</f>
        <v/>
      </c>
      <c r="I363" s="24">
        <f>MIN($E363,$H363)</f>
        <v/>
      </c>
      <c r="J363" s="24">
        <f>$H363-$I363</f>
        <v/>
      </c>
      <c r="K363" s="23">
        <f>$P362</f>
        <v/>
      </c>
      <c r="L363" s="24">
        <f>$K363*Inputs!$C$18/12</f>
        <v/>
      </c>
      <c r="M363" s="24">
        <f>MIN(($C363+$F363),$L363)</f>
        <v/>
      </c>
      <c r="N363" s="24">
        <f>MIN(($D363+$X363),MAX(0,$K363-$O363))</f>
        <v/>
      </c>
      <c r="O363" s="24">
        <f>MIN(MAX(0,MAX(0,$E363-$I363)-$U363),$K363)</f>
        <v/>
      </c>
      <c r="P363" s="24">
        <f>MAX(0,$K363-$O363)-$N363</f>
        <v/>
      </c>
      <c r="Q363" s="23">
        <f>$V362</f>
        <v/>
      </c>
      <c r="R363" s="24">
        <f>$Q363*Inputs!$C$19/12</f>
        <v/>
      </c>
      <c r="S363" s="24">
        <f>MIN(MAX(0,($C363+$F363)-$M363),$R363)</f>
        <v/>
      </c>
      <c r="T363" s="24">
        <f>MIN(MAX(0,($D363+$X363)-$N363),MAX(0,$Q363-$U363))</f>
        <v/>
      </c>
      <c r="U363" s="24">
        <f>MIN(MAX(0,$E363-$I363),$Q363)</f>
        <v/>
      </c>
      <c r="V363" s="24">
        <f>MAX(0,$Q363-$U363)-$T363</f>
        <v/>
      </c>
      <c r="W363" s="24">
        <f>MAX(0,MAX(0,($C363+$F363)-$M363)-$S363)-MIN(MAX(0,$D$3-(MAX(0,$F363-MAX(0,($M363+$S363)-$C363)))),MAX(0,MAX(0,($C363+$F363)-$M363)-$S363))</f>
        <v/>
      </c>
      <c r="X363" s="24">
        <f>IF(Inputs!$C$39=1,$W363,0)</f>
        <v/>
      </c>
      <c r="Y363" s="24">
        <f>IF(Inputs!$C$39=0,$W363,0)+MAX(0,MAX(0,($D363+$X363)-$N363)-$T363)</f>
        <v/>
      </c>
    </row>
    <row r="364">
      <c r="B364" s="22" t="n">
        <v>359</v>
      </c>
      <c r="C364" s="29">
        <f>IF($B364&lt;=Inputs!$C$6+Inputs!$C$11,Cashflow_Asset!$E362-Cashflow_Asset!$K362,0)</f>
        <v/>
      </c>
      <c r="D364" s="29">
        <f>IF($B364&lt;=Inputs!$C$6+Inputs!$C$11,Cashflow_Asset!$F362+Cashflow_Asset!$G362+Cashflow_Asset!$I362,0)</f>
        <v/>
      </c>
      <c r="E364" s="29">
        <f>IF($B364&lt;=Inputs!$C$6+Inputs!$C$11,Cashflow_Asset!$J362,0)</f>
        <v/>
      </c>
      <c r="F364" s="23">
        <f>$G363</f>
        <v/>
      </c>
      <c r="G364" s="24">
        <f>(MAX(0,$F364-MAX(0,($M364+$S364)-$C364)))+MIN(MAX(0,$D$3-(MAX(0,$F364-MAX(0,($M364+$S364)-$C364)))),MAX(0,MAX(0,($C364+$F364)-$M364)-$S364))</f>
        <v/>
      </c>
      <c r="H364" s="23">
        <f>$J363</f>
        <v/>
      </c>
      <c r="I364" s="24">
        <f>MIN($E364,$H364)</f>
        <v/>
      </c>
      <c r="J364" s="24">
        <f>$H364-$I364</f>
        <v/>
      </c>
      <c r="K364" s="23">
        <f>$P363</f>
        <v/>
      </c>
      <c r="L364" s="24">
        <f>$K364*Inputs!$C$18/12</f>
        <v/>
      </c>
      <c r="M364" s="24">
        <f>MIN(($C364+$F364),$L364)</f>
        <v/>
      </c>
      <c r="N364" s="24">
        <f>MIN(($D364+$X364),MAX(0,$K364-$O364))</f>
        <v/>
      </c>
      <c r="O364" s="24">
        <f>MIN(MAX(0,MAX(0,$E364-$I364)-$U364),$K364)</f>
        <v/>
      </c>
      <c r="P364" s="24">
        <f>MAX(0,$K364-$O364)-$N364</f>
        <v/>
      </c>
      <c r="Q364" s="23">
        <f>$V363</f>
        <v/>
      </c>
      <c r="R364" s="24">
        <f>$Q364*Inputs!$C$19/12</f>
        <v/>
      </c>
      <c r="S364" s="24">
        <f>MIN(MAX(0,($C364+$F364)-$M364),$R364)</f>
        <v/>
      </c>
      <c r="T364" s="24">
        <f>MIN(MAX(0,($D364+$X364)-$N364),MAX(0,$Q364-$U364))</f>
        <v/>
      </c>
      <c r="U364" s="24">
        <f>MIN(MAX(0,$E364-$I364),$Q364)</f>
        <v/>
      </c>
      <c r="V364" s="24">
        <f>MAX(0,$Q364-$U364)-$T364</f>
        <v/>
      </c>
      <c r="W364" s="24">
        <f>MAX(0,MAX(0,($C364+$F364)-$M364)-$S364)-MIN(MAX(0,$D$3-(MAX(0,$F364-MAX(0,($M364+$S364)-$C364)))),MAX(0,MAX(0,($C364+$F364)-$M364)-$S364))</f>
        <v/>
      </c>
      <c r="X364" s="24">
        <f>IF(Inputs!$C$39=1,$W364,0)</f>
        <v/>
      </c>
      <c r="Y364" s="24">
        <f>IF(Inputs!$C$39=0,$W364,0)+MAX(0,MAX(0,($D364+$X364)-$N364)-$T364)</f>
        <v/>
      </c>
    </row>
    <row r="365">
      <c r="B365" s="22" t="n">
        <v>360</v>
      </c>
      <c r="C365" s="29">
        <f>IF($B365&lt;=Inputs!$C$6+Inputs!$C$11,Cashflow_Asset!$E363-Cashflow_Asset!$K363,0)</f>
        <v/>
      </c>
      <c r="D365" s="29">
        <f>IF($B365&lt;=Inputs!$C$6+Inputs!$C$11,Cashflow_Asset!$F363+Cashflow_Asset!$G363+Cashflow_Asset!$I363,0)</f>
        <v/>
      </c>
      <c r="E365" s="29">
        <f>IF($B365&lt;=Inputs!$C$6+Inputs!$C$11,Cashflow_Asset!$J363,0)</f>
        <v/>
      </c>
      <c r="F365" s="23">
        <f>$G364</f>
        <v/>
      </c>
      <c r="G365" s="24">
        <f>(MAX(0,$F365-MAX(0,($M365+$S365)-$C365)))+MIN(MAX(0,$D$3-(MAX(0,$F365-MAX(0,($M365+$S365)-$C365)))),MAX(0,MAX(0,($C365+$F365)-$M365)-$S365))</f>
        <v/>
      </c>
      <c r="H365" s="23">
        <f>$J364</f>
        <v/>
      </c>
      <c r="I365" s="24">
        <f>MIN($E365,$H365)</f>
        <v/>
      </c>
      <c r="J365" s="24">
        <f>$H365-$I365</f>
        <v/>
      </c>
      <c r="K365" s="23">
        <f>$P364</f>
        <v/>
      </c>
      <c r="L365" s="24">
        <f>$K365*Inputs!$C$18/12</f>
        <v/>
      </c>
      <c r="M365" s="24">
        <f>MIN(($C365+$F365),$L365)</f>
        <v/>
      </c>
      <c r="N365" s="24">
        <f>MIN(($D365+$X365),MAX(0,$K365-$O365))</f>
        <v/>
      </c>
      <c r="O365" s="24">
        <f>MIN(MAX(0,MAX(0,$E365-$I365)-$U365),$K365)</f>
        <v/>
      </c>
      <c r="P365" s="24">
        <f>MAX(0,$K365-$O365)-$N365</f>
        <v/>
      </c>
      <c r="Q365" s="23">
        <f>$V364</f>
        <v/>
      </c>
      <c r="R365" s="24">
        <f>$Q365*Inputs!$C$19/12</f>
        <v/>
      </c>
      <c r="S365" s="24">
        <f>MIN(MAX(0,($C365+$F365)-$M365),$R365)</f>
        <v/>
      </c>
      <c r="T365" s="24">
        <f>MIN(MAX(0,($D365+$X365)-$N365),MAX(0,$Q365-$U365))</f>
        <v/>
      </c>
      <c r="U365" s="24">
        <f>MIN(MAX(0,$E365-$I365),$Q365)</f>
        <v/>
      </c>
      <c r="V365" s="24">
        <f>MAX(0,$Q365-$U365)-$T365</f>
        <v/>
      </c>
      <c r="W365" s="24">
        <f>MAX(0,MAX(0,($C365+$F365)-$M365)-$S365)-MIN(MAX(0,$D$3-(MAX(0,$F365-MAX(0,($M365+$S365)-$C365)))),MAX(0,MAX(0,($C365+$F365)-$M365)-$S365))</f>
        <v/>
      </c>
      <c r="X365" s="24">
        <f>IF(Inputs!$C$39=1,$W365,0)</f>
        <v/>
      </c>
      <c r="Y365" s="24">
        <f>IF(Inputs!$C$39=0,$W365,0)+MAX(0,MAX(0,($D365+$X365)-$N365)-$T365)</f>
        <v/>
      </c>
    </row>
  </sheetData>
  <mergeCells count="1">
    <mergeCell ref="B1:Z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J1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6" customWidth="1" min="2" max="2"/>
    <col width="26" customWidth="1" min="3" max="3"/>
    <col width="26" customWidth="1" min="4" max="4"/>
    <col width="6" customWidth="1" min="5" max="5"/>
    <col width="6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22" customHeight="1">
      <c r="B1" s="1" t="inlineStr">
        <is>
          <t>Tranche metrics, credit enhancement &amp; rating tests</t>
        </is>
      </c>
      <c r="C1" s="2" t="n"/>
      <c r="D1" s="2" t="n"/>
      <c r="E1" s="2" t="n"/>
      <c r="F1" s="2" t="n"/>
      <c r="G1" s="2" t="n"/>
      <c r="H1" s="2" t="n"/>
      <c r="I1" s="2" t="n"/>
      <c r="J1" s="2" t="n"/>
    </row>
    <row r="2"/>
    <row r="3" ht="18" customHeight="1">
      <c r="B3" s="7" t="inlineStr">
        <is>
          <t>Key deal-level outputs</t>
        </is>
      </c>
      <c r="H3" s="18" t="inlineStr">
        <is>
          <t>Equity cashflows (for IRR)</t>
        </is>
      </c>
    </row>
    <row r="4">
      <c r="B4" t="inlineStr">
        <is>
          <t>Pool balance</t>
        </is>
      </c>
      <c r="C4" s="26">
        <f>Inputs!$C$4</f>
        <v/>
      </c>
      <c r="H4" s="6" t="inlineStr">
        <is>
          <t>t=0</t>
        </is>
      </c>
      <c r="I4" s="26">
        <f>-Cashflow_Waterfall!$N$3</f>
        <v/>
      </c>
    </row>
    <row r="5">
      <c r="B5" t="inlineStr">
        <is>
          <t>Reserve cash (t0)</t>
        </is>
      </c>
      <c r="C5" s="26">
        <f>Inputs!$C$4*Inputs!$C$20</f>
        <v/>
      </c>
      <c r="H5" s="30" t="n">
        <v>1</v>
      </c>
      <c r="I5" s="26">
        <f>Cashflow_Waterfall!$Y$6</f>
        <v/>
      </c>
    </row>
    <row r="6">
      <c r="B6" t="inlineStr">
        <is>
          <t>Total assets (t0)</t>
        </is>
      </c>
      <c r="C6" s="26">
        <f>Inputs!$C$4*(1+Inputs!$C$20)</f>
        <v/>
      </c>
      <c r="H6" s="30" t="n">
        <v>2</v>
      </c>
      <c r="I6" s="26">
        <f>Cashflow_Waterfall!$Y$7</f>
        <v/>
      </c>
    </row>
    <row r="7">
      <c r="B7" t="inlineStr">
        <is>
          <t>E(L) % (from asset engine)</t>
        </is>
      </c>
      <c r="C7" s="13">
        <f>Cashflow_Asset!$P$8</f>
        <v/>
      </c>
      <c r="H7" s="30" t="n">
        <v>3</v>
      </c>
      <c r="I7" s="26">
        <f>Cashflow_Waterfall!$Y$8</f>
        <v/>
      </c>
    </row>
    <row r="8">
      <c r="B8" t="inlineStr">
        <is>
          <t>Expected loss amount</t>
        </is>
      </c>
      <c r="C8" s="26">
        <f>SUM(Cashflow_Asset!$J$4:$J$364)</f>
        <v/>
      </c>
      <c r="H8" s="30" t="n">
        <v>4</v>
      </c>
      <c r="I8" s="26">
        <f>Cashflow_Waterfall!$Y$9</f>
        <v/>
      </c>
    </row>
    <row r="9">
      <c r="H9" s="30" t="n">
        <v>5</v>
      </c>
      <c r="I9" s="26">
        <f>Cashflow_Waterfall!$Y$10</f>
        <v/>
      </c>
    </row>
    <row r="10" ht="18" customHeight="1">
      <c r="B10" s="7" t="inlineStr">
        <is>
          <t>Capital stack @ closing (from waterfall setup)</t>
        </is>
      </c>
      <c r="H10" s="30" t="n">
        <v>6</v>
      </c>
      <c r="I10" s="26">
        <f>Cashflow_Waterfall!$Y$11</f>
        <v/>
      </c>
    </row>
    <row r="11">
      <c r="B11" s="6" t="inlineStr">
        <is>
          <t>Class A initial</t>
        </is>
      </c>
      <c r="C11" s="26">
        <f>Cashflow_Waterfall!$J$3</f>
        <v/>
      </c>
      <c r="H11" s="30" t="n">
        <v>7</v>
      </c>
      <c r="I11" s="26">
        <f>Cashflow_Waterfall!$Y$12</f>
        <v/>
      </c>
    </row>
    <row r="12">
      <c r="B12" s="6" t="inlineStr">
        <is>
          <t>Class B initial</t>
        </is>
      </c>
      <c r="C12" s="26">
        <f>Cashflow_Waterfall!$L$3</f>
        <v/>
      </c>
      <c r="H12" s="30" t="n">
        <v>8</v>
      </c>
      <c r="I12" s="26">
        <f>Cashflow_Waterfall!$Y$13</f>
        <v/>
      </c>
    </row>
    <row r="13">
      <c r="B13" s="6" t="inlineStr">
        <is>
          <t>Equity cushion initial</t>
        </is>
      </c>
      <c r="C13" s="26">
        <f>Cashflow_Waterfall!$N$3</f>
        <v/>
      </c>
      <c r="H13" s="30" t="n">
        <v>9</v>
      </c>
      <c r="I13" s="26">
        <f>Cashflow_Waterfall!$Y$14</f>
        <v/>
      </c>
    </row>
    <row r="14">
      <c r="B14" s="6" t="inlineStr">
        <is>
          <t>Check: assets - (A+B+equity)</t>
        </is>
      </c>
      <c r="C14" s="26">
        <f>Cashflow_Waterfall!$F$3-(Cashflow_Waterfall!$J$3+Cashflow_Waterfall!$L$3+Cashflow_Waterfall!$N$3)</f>
        <v/>
      </c>
      <c r="H14" s="30" t="n">
        <v>10</v>
      </c>
      <c r="I14" s="26">
        <f>Cashflow_Waterfall!$Y$15</f>
        <v/>
      </c>
    </row>
    <row r="15">
      <c r="H15" s="30" t="n">
        <v>11</v>
      </c>
      <c r="I15" s="26">
        <f>Cashflow_Waterfall!$Y$16</f>
        <v/>
      </c>
    </row>
    <row r="16" ht="18" customHeight="1">
      <c r="B16" s="7" t="inlineStr">
        <is>
          <t>Credit enhancement (CE) ratios (BOTE-style)</t>
        </is>
      </c>
      <c r="H16" s="30" t="n">
        <v>12</v>
      </c>
      <c r="I16" s="26">
        <f>Cashflow_Waterfall!$Y$17</f>
        <v/>
      </c>
    </row>
    <row r="17">
      <c r="B17" s="6" t="inlineStr">
        <is>
          <t>CE for Class A (t0): (Total assets - Class A) / Pool</t>
        </is>
      </c>
      <c r="C17" s="13">
        <f>(Cashflow_Waterfall!$F$3-Cashflow_Waterfall!$J$3)/Inputs!$C$4</f>
        <v/>
      </c>
      <c r="H17" s="30" t="n">
        <v>13</v>
      </c>
      <c r="I17" s="26">
        <f>Cashflow_Waterfall!$Y$18</f>
        <v/>
      </c>
    </row>
    <row r="18">
      <c r="B18" s="6" t="inlineStr">
        <is>
          <t>CE for Class B (t0): (Total assets - A - B) / Pool</t>
        </is>
      </c>
      <c r="C18" s="13">
        <f>(Cashflow_Waterfall!$F$3-Cashflow_Waterfall!$J$3-Cashflow_Waterfall!$L$3)/Inputs!$C$4</f>
        <v/>
      </c>
      <c r="H18" s="30" t="n">
        <v>14</v>
      </c>
      <c r="I18" s="26">
        <f>Cashflow_Waterfall!$Y$19</f>
        <v/>
      </c>
    </row>
    <row r="19">
      <c r="B19" s="6" t="inlineStr">
        <is>
          <t>CE/E(L) for Class A</t>
        </is>
      </c>
      <c r="C19" s="31">
        <f>$C$17/$C$6</f>
        <v/>
      </c>
      <c r="H19" s="30" t="n">
        <v>15</v>
      </c>
      <c r="I19" s="26">
        <f>Cashflow_Waterfall!$Y$20</f>
        <v/>
      </c>
    </row>
    <row r="20">
      <c r="B20" s="6" t="inlineStr">
        <is>
          <t>CE/E(L) for Class B</t>
        </is>
      </c>
      <c r="C20" s="31">
        <f>$C$18/$C$6</f>
        <v/>
      </c>
      <c r="H20" s="30" t="n">
        <v>16</v>
      </c>
      <c r="I20" s="26">
        <f>Cashflow_Waterfall!$Y$21</f>
        <v/>
      </c>
    </row>
    <row r="21">
      <c r="H21" s="30" t="n">
        <v>17</v>
      </c>
      <c r="I21" s="26">
        <f>Cashflow_Waterfall!$Y$22</f>
        <v/>
      </c>
    </row>
    <row r="22">
      <c r="B22" s="6" t="inlineStr">
        <is>
          <t>Target factor for Class A (from Inputs)</t>
        </is>
      </c>
      <c r="C22" s="32">
        <f>Inputs!$C$34</f>
        <v/>
      </c>
      <c r="H22" s="30" t="n">
        <v>18</v>
      </c>
      <c r="I22" s="26">
        <f>Cashflow_Waterfall!$Y$23</f>
        <v/>
      </c>
    </row>
    <row r="23">
      <c r="B23" s="6" t="inlineStr">
        <is>
          <t>Pass? (Class A)</t>
        </is>
      </c>
      <c r="C23" s="33">
        <f>IF($C$19&gt;=$C$22,"PASS","FAIL")</f>
        <v/>
      </c>
      <c r="H23" s="30" t="n">
        <v>19</v>
      </c>
      <c r="I23" s="26">
        <f>Cashflow_Waterfall!$Y$24</f>
        <v/>
      </c>
    </row>
    <row r="24">
      <c r="B24" s="6" t="inlineStr">
        <is>
          <t>Target factor for Class B (from Inputs)</t>
        </is>
      </c>
      <c r="C24" s="32">
        <f>Inputs!$C$35</f>
        <v/>
      </c>
      <c r="H24" s="30" t="n">
        <v>20</v>
      </c>
      <c r="I24" s="26">
        <f>Cashflow_Waterfall!$Y$25</f>
        <v/>
      </c>
    </row>
    <row r="25">
      <c r="B25" s="6" t="inlineStr">
        <is>
          <t>Pass? (Class B)</t>
        </is>
      </c>
      <c r="C25" s="33">
        <f>IF($C$20&gt;=$C$24,"PASS","FAIL")</f>
        <v/>
      </c>
      <c r="H25" s="30" t="n">
        <v>21</v>
      </c>
      <c r="I25" s="26">
        <f>Cashflow_Waterfall!$Y$26</f>
        <v/>
      </c>
    </row>
    <row r="26">
      <c r="H26" s="30" t="n">
        <v>22</v>
      </c>
      <c r="I26" s="26">
        <f>Cashflow_Waterfall!$Y$27</f>
        <v/>
      </c>
    </row>
    <row r="27" ht="18" customHeight="1">
      <c r="B27" s="7" t="inlineStr">
        <is>
          <t>Economics</t>
        </is>
      </c>
      <c r="H27" s="30" t="n">
        <v>23</v>
      </c>
      <c r="I27" s="26">
        <f>Cashflow_Waterfall!$Y$28</f>
        <v/>
      </c>
    </row>
    <row r="28">
      <c r="B28" s="6" t="inlineStr">
        <is>
          <t>WA note coupon (A,B)</t>
        </is>
      </c>
      <c r="C28" s="13">
        <f>(Cashflow_Waterfall!$J$3*Inputs!$C$18+Cashflow_Waterfall!$L$3*Inputs!$C$19)/(Cashflow_Waterfall!$J$3+Cashflow_Waterfall!$L$3)</f>
        <v/>
      </c>
      <c r="H28" s="30" t="n">
        <v>24</v>
      </c>
      <c r="I28" s="26">
        <f>Cashflow_Waterfall!$Y$29</f>
        <v/>
      </c>
    </row>
    <row r="29">
      <c r="B29" s="6" t="inlineStr">
        <is>
          <t>Equity initial investment (assumed = equity cushion)</t>
        </is>
      </c>
      <c r="C29" s="26">
        <f>Cashflow_Waterfall!$N$3</f>
        <v/>
      </c>
      <c r="H29" s="30" t="n">
        <v>25</v>
      </c>
      <c r="I29" s="26">
        <f>Cashflow_Waterfall!$Y$30</f>
        <v/>
      </c>
    </row>
    <row r="30">
      <c r="H30" s="30" t="n">
        <v>26</v>
      </c>
      <c r="I30" s="26">
        <f>Cashflow_Waterfall!$Y$31</f>
        <v/>
      </c>
    </row>
    <row r="31">
      <c r="H31" s="30" t="n">
        <v>27</v>
      </c>
      <c r="I31" s="26">
        <f>Cashflow_Waterfall!$Y$32</f>
        <v/>
      </c>
    </row>
    <row r="32">
      <c r="H32" s="30" t="n">
        <v>28</v>
      </c>
      <c r="I32" s="26">
        <f>Cashflow_Waterfall!$Y$33</f>
        <v/>
      </c>
    </row>
    <row r="33">
      <c r="H33" s="30" t="n">
        <v>29</v>
      </c>
      <c r="I33" s="26">
        <f>Cashflow_Waterfall!$Y$34</f>
        <v/>
      </c>
    </row>
    <row r="34">
      <c r="H34" s="30" t="n">
        <v>30</v>
      </c>
      <c r="I34" s="26">
        <f>Cashflow_Waterfall!$Y$35</f>
        <v/>
      </c>
    </row>
    <row r="35">
      <c r="H35" s="30" t="n">
        <v>31</v>
      </c>
      <c r="I35" s="26">
        <f>Cashflow_Waterfall!$Y$36</f>
        <v/>
      </c>
    </row>
    <row r="36">
      <c r="H36" s="30" t="n">
        <v>32</v>
      </c>
      <c r="I36" s="26">
        <f>Cashflow_Waterfall!$Y$37</f>
        <v/>
      </c>
    </row>
    <row r="37">
      <c r="H37" s="30" t="n">
        <v>33</v>
      </c>
      <c r="I37" s="26">
        <f>Cashflow_Waterfall!$Y$38</f>
        <v/>
      </c>
    </row>
    <row r="38">
      <c r="H38" s="30" t="n">
        <v>34</v>
      </c>
      <c r="I38" s="26">
        <f>Cashflow_Waterfall!$Y$39</f>
        <v/>
      </c>
    </row>
    <row r="39">
      <c r="H39" s="30" t="n">
        <v>35</v>
      </c>
      <c r="I39" s="26">
        <f>Cashflow_Waterfall!$Y$40</f>
        <v/>
      </c>
    </row>
    <row r="40">
      <c r="H40" s="30" t="n">
        <v>36</v>
      </c>
      <c r="I40" s="26">
        <f>Cashflow_Waterfall!$Y$41</f>
        <v/>
      </c>
    </row>
    <row r="41">
      <c r="H41" s="30" t="n">
        <v>37</v>
      </c>
      <c r="I41" s="26">
        <f>Cashflow_Waterfall!$Y$42</f>
        <v/>
      </c>
    </row>
    <row r="42">
      <c r="H42" s="30" t="n">
        <v>38</v>
      </c>
      <c r="I42" s="26">
        <f>Cashflow_Waterfall!$Y$43</f>
        <v/>
      </c>
    </row>
    <row r="43">
      <c r="H43" s="30" t="n">
        <v>39</v>
      </c>
      <c r="I43" s="26">
        <f>Cashflow_Waterfall!$Y$44</f>
        <v/>
      </c>
    </row>
    <row r="44">
      <c r="H44" s="30" t="n">
        <v>40</v>
      </c>
      <c r="I44" s="26">
        <f>Cashflow_Waterfall!$Y$45</f>
        <v/>
      </c>
    </row>
    <row r="45">
      <c r="H45" s="30" t="n">
        <v>41</v>
      </c>
      <c r="I45" s="26">
        <f>Cashflow_Waterfall!$Y$46</f>
        <v/>
      </c>
    </row>
    <row r="46">
      <c r="H46" s="30" t="n">
        <v>42</v>
      </c>
      <c r="I46" s="26">
        <f>Cashflow_Waterfall!$Y$47</f>
        <v/>
      </c>
    </row>
    <row r="47">
      <c r="H47" s="30" t="n">
        <v>43</v>
      </c>
      <c r="I47" s="26">
        <f>Cashflow_Waterfall!$Y$48</f>
        <v/>
      </c>
    </row>
    <row r="48">
      <c r="H48" s="30" t="n">
        <v>44</v>
      </c>
      <c r="I48" s="26">
        <f>Cashflow_Waterfall!$Y$49</f>
        <v/>
      </c>
    </row>
    <row r="49">
      <c r="H49" s="30" t="n">
        <v>45</v>
      </c>
      <c r="I49" s="26">
        <f>Cashflow_Waterfall!$Y$50</f>
        <v/>
      </c>
    </row>
    <row r="50">
      <c r="H50" s="30" t="n">
        <v>46</v>
      </c>
      <c r="I50" s="26">
        <f>Cashflow_Waterfall!$Y$51</f>
        <v/>
      </c>
    </row>
    <row r="51">
      <c r="H51" s="30" t="n">
        <v>47</v>
      </c>
      <c r="I51" s="26">
        <f>Cashflow_Waterfall!$Y$52</f>
        <v/>
      </c>
    </row>
    <row r="52">
      <c r="H52" s="30" t="n">
        <v>48</v>
      </c>
      <c r="I52" s="26">
        <f>Cashflow_Waterfall!$Y$53</f>
        <v/>
      </c>
    </row>
    <row r="53">
      <c r="H53" s="30" t="n">
        <v>49</v>
      </c>
      <c r="I53" s="26">
        <f>Cashflow_Waterfall!$Y$54</f>
        <v/>
      </c>
    </row>
    <row r="54">
      <c r="H54" s="30" t="n">
        <v>50</v>
      </c>
      <c r="I54" s="26">
        <f>Cashflow_Waterfall!$Y$55</f>
        <v/>
      </c>
    </row>
    <row r="55">
      <c r="H55" s="30" t="n">
        <v>51</v>
      </c>
      <c r="I55" s="26">
        <f>Cashflow_Waterfall!$Y$56</f>
        <v/>
      </c>
    </row>
    <row r="56">
      <c r="H56" s="30" t="n">
        <v>52</v>
      </c>
      <c r="I56" s="26">
        <f>Cashflow_Waterfall!$Y$57</f>
        <v/>
      </c>
    </row>
    <row r="57">
      <c r="H57" s="30" t="n">
        <v>53</v>
      </c>
      <c r="I57" s="26">
        <f>Cashflow_Waterfall!$Y$58</f>
        <v/>
      </c>
    </row>
    <row r="58">
      <c r="H58" s="30" t="n">
        <v>54</v>
      </c>
      <c r="I58" s="26">
        <f>Cashflow_Waterfall!$Y$59</f>
        <v/>
      </c>
    </row>
    <row r="59">
      <c r="H59" s="30" t="n">
        <v>55</v>
      </c>
      <c r="I59" s="26">
        <f>Cashflow_Waterfall!$Y$60</f>
        <v/>
      </c>
    </row>
    <row r="60">
      <c r="H60" s="30" t="n">
        <v>56</v>
      </c>
      <c r="I60" s="26">
        <f>Cashflow_Waterfall!$Y$61</f>
        <v/>
      </c>
    </row>
    <row r="61">
      <c r="H61" s="30" t="n">
        <v>57</v>
      </c>
      <c r="I61" s="26">
        <f>Cashflow_Waterfall!$Y$62</f>
        <v/>
      </c>
    </row>
    <row r="62">
      <c r="H62" s="30" t="n">
        <v>58</v>
      </c>
      <c r="I62" s="26">
        <f>Cashflow_Waterfall!$Y$63</f>
        <v/>
      </c>
    </row>
    <row r="63">
      <c r="H63" s="30" t="n">
        <v>59</v>
      </c>
      <c r="I63" s="26">
        <f>Cashflow_Waterfall!$Y$64</f>
        <v/>
      </c>
    </row>
    <row r="64">
      <c r="H64" s="30" t="n">
        <v>60</v>
      </c>
      <c r="I64" s="26">
        <f>Cashflow_Waterfall!$Y$65</f>
        <v/>
      </c>
    </row>
    <row r="65">
      <c r="H65" s="30" t="n">
        <v>61</v>
      </c>
      <c r="I65" s="26">
        <f>Cashflow_Waterfall!$Y$66</f>
        <v/>
      </c>
    </row>
    <row r="66">
      <c r="H66" s="30" t="n">
        <v>62</v>
      </c>
      <c r="I66" s="26">
        <f>Cashflow_Waterfall!$Y$67</f>
        <v/>
      </c>
    </row>
    <row r="67">
      <c r="H67" s="30" t="n">
        <v>63</v>
      </c>
      <c r="I67" s="26">
        <f>Cashflow_Waterfall!$Y$68</f>
        <v/>
      </c>
    </row>
    <row r="68">
      <c r="H68" s="30" t="n">
        <v>64</v>
      </c>
      <c r="I68" s="26">
        <f>Cashflow_Waterfall!$Y$69</f>
        <v/>
      </c>
    </row>
    <row r="69">
      <c r="H69" s="30" t="n">
        <v>65</v>
      </c>
      <c r="I69" s="26">
        <f>Cashflow_Waterfall!$Y$70</f>
        <v/>
      </c>
    </row>
    <row r="70">
      <c r="H70" s="30" t="n">
        <v>66</v>
      </c>
      <c r="I70" s="26">
        <f>Cashflow_Waterfall!$Y$71</f>
        <v/>
      </c>
    </row>
    <row r="71">
      <c r="H71" s="30" t="n">
        <v>67</v>
      </c>
      <c r="I71" s="26">
        <f>Cashflow_Waterfall!$Y$72</f>
        <v/>
      </c>
    </row>
    <row r="72">
      <c r="H72" s="30" t="n">
        <v>68</v>
      </c>
      <c r="I72" s="26">
        <f>Cashflow_Waterfall!$Y$73</f>
        <v/>
      </c>
    </row>
    <row r="73">
      <c r="H73" s="30" t="n">
        <v>69</v>
      </c>
      <c r="I73" s="26">
        <f>Cashflow_Waterfall!$Y$74</f>
        <v/>
      </c>
    </row>
    <row r="74">
      <c r="H74" s="30" t="n">
        <v>70</v>
      </c>
      <c r="I74" s="26">
        <f>Cashflow_Waterfall!$Y$75</f>
        <v/>
      </c>
    </row>
    <row r="75">
      <c r="H75" s="30" t="n">
        <v>71</v>
      </c>
      <c r="I75" s="26">
        <f>Cashflow_Waterfall!$Y$76</f>
        <v/>
      </c>
    </row>
    <row r="76">
      <c r="H76" s="30" t="n">
        <v>72</v>
      </c>
      <c r="I76" s="26">
        <f>Cashflow_Waterfall!$Y$77</f>
        <v/>
      </c>
    </row>
    <row r="77">
      <c r="H77" s="30" t="n">
        <v>73</v>
      </c>
      <c r="I77" s="26">
        <f>Cashflow_Waterfall!$Y$78</f>
        <v/>
      </c>
    </row>
    <row r="78">
      <c r="H78" s="30" t="n">
        <v>74</v>
      </c>
      <c r="I78" s="26">
        <f>Cashflow_Waterfall!$Y$79</f>
        <v/>
      </c>
    </row>
    <row r="79">
      <c r="H79" s="30" t="n">
        <v>75</v>
      </c>
      <c r="I79" s="26">
        <f>Cashflow_Waterfall!$Y$80</f>
        <v/>
      </c>
    </row>
    <row r="80">
      <c r="H80" s="30" t="n">
        <v>76</v>
      </c>
      <c r="I80" s="26">
        <f>Cashflow_Waterfall!$Y$81</f>
        <v/>
      </c>
    </row>
    <row r="81">
      <c r="H81" s="30" t="n">
        <v>77</v>
      </c>
      <c r="I81" s="26">
        <f>Cashflow_Waterfall!$Y$82</f>
        <v/>
      </c>
    </row>
    <row r="82">
      <c r="H82" s="30" t="n">
        <v>78</v>
      </c>
      <c r="I82" s="26">
        <f>Cashflow_Waterfall!$Y$83</f>
        <v/>
      </c>
    </row>
    <row r="83">
      <c r="H83" s="30" t="n">
        <v>79</v>
      </c>
      <c r="I83" s="26">
        <f>Cashflow_Waterfall!$Y$84</f>
        <v/>
      </c>
    </row>
    <row r="84">
      <c r="H84" s="30" t="n">
        <v>80</v>
      </c>
      <c r="I84" s="26">
        <f>Cashflow_Waterfall!$Y$85</f>
        <v/>
      </c>
    </row>
    <row r="85">
      <c r="H85" s="30" t="n">
        <v>81</v>
      </c>
      <c r="I85" s="26">
        <f>Cashflow_Waterfall!$Y$86</f>
        <v/>
      </c>
    </row>
    <row r="86">
      <c r="H86" s="30" t="n">
        <v>82</v>
      </c>
      <c r="I86" s="26">
        <f>Cashflow_Waterfall!$Y$87</f>
        <v/>
      </c>
    </row>
    <row r="87">
      <c r="H87" s="30" t="n">
        <v>83</v>
      </c>
      <c r="I87" s="26">
        <f>Cashflow_Waterfall!$Y$88</f>
        <v/>
      </c>
    </row>
    <row r="88">
      <c r="H88" s="30" t="n">
        <v>84</v>
      </c>
      <c r="I88" s="26">
        <f>Cashflow_Waterfall!$Y$89</f>
        <v/>
      </c>
    </row>
    <row r="89">
      <c r="H89" s="30" t="n">
        <v>85</v>
      </c>
      <c r="I89" s="26">
        <f>Cashflow_Waterfall!$Y$90</f>
        <v/>
      </c>
    </row>
    <row r="90">
      <c r="H90" s="30" t="n">
        <v>86</v>
      </c>
      <c r="I90" s="26">
        <f>Cashflow_Waterfall!$Y$91</f>
        <v/>
      </c>
    </row>
    <row r="91">
      <c r="H91" s="30" t="n">
        <v>87</v>
      </c>
      <c r="I91" s="26">
        <f>Cashflow_Waterfall!$Y$92</f>
        <v/>
      </c>
    </row>
    <row r="92">
      <c r="H92" s="30" t="n">
        <v>88</v>
      </c>
      <c r="I92" s="26">
        <f>Cashflow_Waterfall!$Y$93</f>
        <v/>
      </c>
    </row>
    <row r="93">
      <c r="H93" s="30" t="n">
        <v>89</v>
      </c>
      <c r="I93" s="26">
        <f>Cashflow_Waterfall!$Y$94</f>
        <v/>
      </c>
    </row>
    <row r="94">
      <c r="H94" s="30" t="n">
        <v>90</v>
      </c>
      <c r="I94" s="26">
        <f>Cashflow_Waterfall!$Y$95</f>
        <v/>
      </c>
    </row>
    <row r="95">
      <c r="H95" s="30" t="n">
        <v>91</v>
      </c>
      <c r="I95" s="26">
        <f>Cashflow_Waterfall!$Y$96</f>
        <v/>
      </c>
    </row>
    <row r="96">
      <c r="H96" s="30" t="n">
        <v>92</v>
      </c>
      <c r="I96" s="26">
        <f>Cashflow_Waterfall!$Y$97</f>
        <v/>
      </c>
    </row>
    <row r="97">
      <c r="H97" s="30" t="n">
        <v>93</v>
      </c>
      <c r="I97" s="26">
        <f>Cashflow_Waterfall!$Y$98</f>
        <v/>
      </c>
    </row>
    <row r="98">
      <c r="H98" s="30" t="n">
        <v>94</v>
      </c>
      <c r="I98" s="26">
        <f>Cashflow_Waterfall!$Y$99</f>
        <v/>
      </c>
    </row>
    <row r="99">
      <c r="H99" s="30" t="n">
        <v>95</v>
      </c>
      <c r="I99" s="26">
        <f>Cashflow_Waterfall!$Y$100</f>
        <v/>
      </c>
    </row>
    <row r="100">
      <c r="H100" s="30" t="n">
        <v>96</v>
      </c>
      <c r="I100" s="26">
        <f>Cashflow_Waterfall!$Y$101</f>
        <v/>
      </c>
    </row>
    <row r="101">
      <c r="H101" s="30" t="n">
        <v>97</v>
      </c>
      <c r="I101" s="26">
        <f>Cashflow_Waterfall!$Y$102</f>
        <v/>
      </c>
    </row>
    <row r="102">
      <c r="H102" s="30" t="n">
        <v>98</v>
      </c>
      <c r="I102" s="26">
        <f>Cashflow_Waterfall!$Y$103</f>
        <v/>
      </c>
    </row>
    <row r="103">
      <c r="H103" s="30" t="n">
        <v>99</v>
      </c>
      <c r="I103" s="26">
        <f>Cashflow_Waterfall!$Y$104</f>
        <v/>
      </c>
    </row>
    <row r="104">
      <c r="H104" s="30" t="n">
        <v>100</v>
      </c>
      <c r="I104" s="26">
        <f>Cashflow_Waterfall!$Y$105</f>
        <v/>
      </c>
    </row>
    <row r="105">
      <c r="H105" s="30" t="n">
        <v>101</v>
      </c>
      <c r="I105" s="26">
        <f>Cashflow_Waterfall!$Y$106</f>
        <v/>
      </c>
    </row>
    <row r="106">
      <c r="H106" s="30" t="n">
        <v>102</v>
      </c>
      <c r="I106" s="26">
        <f>Cashflow_Waterfall!$Y$107</f>
        <v/>
      </c>
    </row>
    <row r="107">
      <c r="H107" s="30" t="n">
        <v>103</v>
      </c>
      <c r="I107" s="26">
        <f>Cashflow_Waterfall!$Y$108</f>
        <v/>
      </c>
    </row>
    <row r="108">
      <c r="H108" s="30" t="n">
        <v>104</v>
      </c>
      <c r="I108" s="26">
        <f>Cashflow_Waterfall!$Y$109</f>
        <v/>
      </c>
    </row>
    <row r="109">
      <c r="H109" s="30" t="n">
        <v>105</v>
      </c>
      <c r="I109" s="26">
        <f>Cashflow_Waterfall!$Y$110</f>
        <v/>
      </c>
    </row>
    <row r="110">
      <c r="H110" s="30" t="n">
        <v>106</v>
      </c>
      <c r="I110" s="26">
        <f>Cashflow_Waterfall!$Y$111</f>
        <v/>
      </c>
    </row>
    <row r="111">
      <c r="H111" s="30" t="n">
        <v>107</v>
      </c>
      <c r="I111" s="26">
        <f>Cashflow_Waterfall!$Y$112</f>
        <v/>
      </c>
    </row>
    <row r="112">
      <c r="H112" s="30" t="n">
        <v>108</v>
      </c>
      <c r="I112" s="26">
        <f>Cashflow_Waterfall!$Y$113</f>
        <v/>
      </c>
    </row>
    <row r="113">
      <c r="H113" s="30" t="n">
        <v>109</v>
      </c>
      <c r="I113" s="26">
        <f>Cashflow_Waterfall!$Y$114</f>
        <v/>
      </c>
    </row>
    <row r="114">
      <c r="H114" s="30" t="n">
        <v>110</v>
      </c>
      <c r="I114" s="26">
        <f>Cashflow_Waterfall!$Y$115</f>
        <v/>
      </c>
    </row>
    <row r="115">
      <c r="H115" s="30" t="n">
        <v>111</v>
      </c>
      <c r="I115" s="26">
        <f>Cashflow_Waterfall!$Y$116</f>
        <v/>
      </c>
    </row>
    <row r="116">
      <c r="H116" s="30" t="n">
        <v>112</v>
      </c>
      <c r="I116" s="26">
        <f>Cashflow_Waterfall!$Y$117</f>
        <v/>
      </c>
    </row>
    <row r="117">
      <c r="H117" s="30" t="n">
        <v>113</v>
      </c>
      <c r="I117" s="26">
        <f>Cashflow_Waterfall!$Y$118</f>
        <v/>
      </c>
    </row>
    <row r="118">
      <c r="H118" s="30" t="n">
        <v>114</v>
      </c>
      <c r="I118" s="26">
        <f>Cashflow_Waterfall!$Y$119</f>
        <v/>
      </c>
    </row>
    <row r="119">
      <c r="H119" s="30" t="n">
        <v>115</v>
      </c>
      <c r="I119" s="26">
        <f>Cashflow_Waterfall!$Y$120</f>
        <v/>
      </c>
    </row>
    <row r="120">
      <c r="H120" s="30" t="n">
        <v>116</v>
      </c>
      <c r="I120" s="26">
        <f>Cashflow_Waterfall!$Y$121</f>
        <v/>
      </c>
    </row>
    <row r="121">
      <c r="H121" s="30" t="n">
        <v>117</v>
      </c>
      <c r="I121" s="26">
        <f>Cashflow_Waterfall!$Y$122</f>
        <v/>
      </c>
    </row>
    <row r="122">
      <c r="H122" s="30" t="n">
        <v>118</v>
      </c>
      <c r="I122" s="26">
        <f>Cashflow_Waterfall!$Y$123</f>
        <v/>
      </c>
    </row>
    <row r="123">
      <c r="H123" s="30" t="n">
        <v>119</v>
      </c>
      <c r="I123" s="26">
        <f>Cashflow_Waterfall!$Y$124</f>
        <v/>
      </c>
    </row>
    <row r="124">
      <c r="H124" s="30" t="n">
        <v>120</v>
      </c>
      <c r="I124" s="26">
        <f>Cashflow_Waterfall!$Y$125</f>
        <v/>
      </c>
    </row>
    <row r="125"/>
    <row r="126">
      <c r="H126" s="6" t="inlineStr">
        <is>
          <t>Monthly IRR</t>
        </is>
      </c>
      <c r="I126" s="34">
        <f>IRR($I$4:$I$124)</f>
        <v/>
      </c>
    </row>
    <row r="127">
      <c r="H127" s="6" t="inlineStr">
        <is>
          <t>Annualised IRR</t>
        </is>
      </c>
      <c r="I127" s="35">
        <f>(1+$I$126)^12-1</f>
        <v/>
      </c>
    </row>
  </sheetData>
  <mergeCells count="5">
    <mergeCell ref="B10:D10"/>
    <mergeCell ref="B3:D3"/>
    <mergeCell ref="B27:D27"/>
    <mergeCell ref="B1:J1"/>
    <mergeCell ref="B16:D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F3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4" customWidth="1" min="2" max="2"/>
    <col width="34" customWidth="1" min="3" max="3"/>
    <col width="34" customWidth="1" min="4" max="4"/>
    <col width="34" customWidth="1" min="5" max="5"/>
    <col width="34" customWidth="1" min="6" max="6"/>
  </cols>
  <sheetData>
    <row r="1" ht="22" customHeight="1">
      <c r="B1" s="1" t="inlineStr">
        <is>
          <t>Optimisation (use Excel Solver)</t>
        </is>
      </c>
      <c r="C1" s="2" t="n"/>
      <c r="D1" s="2" t="n"/>
      <c r="E1" s="2" t="n"/>
      <c r="F1" s="2" t="n"/>
    </row>
    <row r="3">
      <c r="B3" s="6" t="inlineStr">
        <is>
          <t>What is optimised here?</t>
        </is>
      </c>
      <c r="C3" s="36" t="inlineStr">
        <is>
          <t>You choose an objective and run Solver to change the BLUE decision variables on the Inputs sheet.</t>
        </is>
      </c>
    </row>
    <row r="5" ht="18" customHeight="1">
      <c r="B5" s="7" t="inlineStr">
        <is>
          <t>Objective candidates (pick ONE for Solver)</t>
        </is>
      </c>
    </row>
    <row r="6">
      <c r="B6" s="6" t="inlineStr">
        <is>
          <t>1) Minimise WA note coupon (A,B)</t>
        </is>
      </c>
      <c r="C6" s="13">
        <f>Tranche_Metrics!$C$28</f>
        <v/>
      </c>
    </row>
    <row r="7">
      <c r="B7" s="6" t="inlineStr">
        <is>
          <t>2) Maximise Equity annual IRR</t>
        </is>
      </c>
      <c r="C7" s="13">
        <f>Tranche_Metrics!$I$127</f>
        <v/>
      </c>
    </row>
    <row r="9" ht="18" customHeight="1">
      <c r="B9" s="7" t="inlineStr">
        <is>
          <t>Decision variables (edit on Inputs sheet)</t>
        </is>
      </c>
    </row>
    <row r="10">
      <c r="B10" t="inlineStr">
        <is>
          <t>Class A % of NoteBase</t>
        </is>
      </c>
      <c r="C10" s="13">
        <f>Inputs!$C$15</f>
        <v/>
      </c>
    </row>
    <row r="11">
      <c r="B11" t="inlineStr">
        <is>
          <t>Class B % of NoteBase</t>
        </is>
      </c>
      <c r="C11" s="13">
        <f>Inputs!$C$16</f>
        <v/>
      </c>
    </row>
    <row r="12">
      <c r="B12" t="inlineStr">
        <is>
          <t>Class A coupon</t>
        </is>
      </c>
      <c r="C12" s="13">
        <f>Inputs!$C$18</f>
        <v/>
      </c>
    </row>
    <row r="13">
      <c r="B13" t="inlineStr">
        <is>
          <t>Class B coupon</t>
        </is>
      </c>
      <c r="C13" s="13">
        <f>Inputs!$C$19</f>
        <v/>
      </c>
    </row>
    <row r="14">
      <c r="B14" t="inlineStr">
        <is>
          <t>Reserve %</t>
        </is>
      </c>
      <c r="C14" s="13">
        <f>Inputs!$C$20</f>
        <v/>
      </c>
    </row>
    <row r="15">
      <c r="B15" t="inlineStr">
        <is>
          <t>OC %</t>
        </is>
      </c>
      <c r="C15" s="13">
        <f>Inputs!$C$21</f>
        <v/>
      </c>
    </row>
    <row r="16">
      <c r="B16" t="inlineStr">
        <is>
          <t>Turbo (0/1)</t>
        </is>
      </c>
      <c r="C16" s="27">
        <f>Inputs!$C$39</f>
        <v/>
      </c>
    </row>
    <row r="18" ht="18" customHeight="1">
      <c r="B18" s="7" t="inlineStr">
        <is>
          <t>Constraint checks (Solver constraints reference these)</t>
        </is>
      </c>
    </row>
    <row r="19">
      <c r="B19" s="6" t="inlineStr">
        <is>
          <t>A% + B%</t>
        </is>
      </c>
      <c r="C19" s="17">
        <f>Inputs!$C$15+Inputs!$C$16</f>
        <v/>
      </c>
      <c r="D19" s="9" t="inlineStr">
        <is>
          <t>&lt;= 1.00</t>
        </is>
      </c>
      <c r="E19" s="33">
        <f>IF($C19&lt;=1,"OK","FAIL")</f>
        <v/>
      </c>
    </row>
    <row r="20">
      <c r="B20" s="6" t="inlineStr">
        <is>
          <t>Equity cushion (must be &gt;= 0)</t>
        </is>
      </c>
      <c r="C20" s="17">
        <f>Cashflow_Waterfall!$N$3</f>
        <v/>
      </c>
      <c r="D20" s="9" t="inlineStr">
        <is>
          <t>&gt;= 0</t>
        </is>
      </c>
      <c r="E20" s="33">
        <f>IF($C20&gt;=0,"OK","FAIL")</f>
        <v/>
      </c>
    </row>
    <row r="21">
      <c r="B21" s="6" t="inlineStr">
        <is>
          <t>Class A CE/E(L) &gt;= target</t>
        </is>
      </c>
      <c r="C21" s="17">
        <f>Tranche_Metrics!$C$19</f>
        <v/>
      </c>
      <c r="D21" s="9" t="inlineStr">
        <is>
          <t>&gt;= Tranche_Metrics target</t>
        </is>
      </c>
      <c r="E21" s="17">
        <f>Tranche_Metrics!$C$23</f>
        <v/>
      </c>
    </row>
    <row r="22">
      <c r="B22" s="6" t="inlineStr">
        <is>
          <t>Class B CE/E(L) &gt;= target</t>
        </is>
      </c>
      <c r="C22" s="17">
        <f>Tranche_Metrics!$C$20</f>
        <v/>
      </c>
      <c r="D22" s="9" t="inlineStr">
        <is>
          <t>&gt;= Tranche_Metrics target</t>
        </is>
      </c>
      <c r="E22" s="17">
        <f>Tranche_Metrics!$C$25</f>
        <v/>
      </c>
    </row>
    <row r="23">
      <c r="B23" s="6" t="inlineStr">
        <is>
          <t>Excess spread (annual) = WAC - servicing - WA coupons</t>
        </is>
      </c>
      <c r="C23" s="13">
        <f>Inputs!$C$5-Inputs!$C$7-(Tranche_Metrics!$C$28)</f>
        <v/>
      </c>
      <c r="D23" s="9" t="inlineStr">
        <is>
          <t>&gt;= 0</t>
        </is>
      </c>
      <c r="E23" s="33">
        <f>IF($C23&gt;=0,"OK","FAIL")</f>
        <v/>
      </c>
    </row>
    <row r="25" ht="18" customHeight="1">
      <c r="B25" s="7" t="inlineStr">
        <is>
          <t>Solver setup (example)</t>
        </is>
      </c>
    </row>
    <row r="26">
      <c r="B26" s="36" t="inlineStr">
        <is>
          <t>Open Excel → Data → Solver.</t>
        </is>
      </c>
    </row>
    <row r="27">
      <c r="B27" s="36" t="inlineStr">
        <is>
          <t>Set Objective: choose either cell C6 (minimise WA note coupon) or C7 (maximise Equity IRR).</t>
        </is>
      </c>
    </row>
    <row r="28">
      <c r="B28" s="36" t="inlineStr">
        <is>
          <t>To minimise WA coupon: set 'Min'. To maximise IRR: set 'Max'.</t>
        </is>
      </c>
    </row>
    <row r="29">
      <c r="B29" s="36" t="inlineStr">
        <is>
          <t>By Changing Variable Cells: Inputs!C16:C21 (and Inputs!C18:C19). Optional: Inputs!C39 for turbo.</t>
        </is>
      </c>
    </row>
    <row r="30">
      <c r="B30" s="36" t="inlineStr">
        <is>
          <t>Add Constraints (minimum set):</t>
        </is>
      </c>
    </row>
    <row r="31">
      <c r="B31" s="36" t="inlineStr">
        <is>
          <t xml:space="preserve">  • Inputs!C16 + Inputs!C17 &lt;= 1</t>
        </is>
      </c>
    </row>
    <row r="32">
      <c r="B32" s="36" t="inlineStr">
        <is>
          <t xml:space="preserve">  • Cashflow_Waterfall!N3 &gt;= 0</t>
        </is>
      </c>
    </row>
    <row r="33">
      <c r="B33" s="36" t="inlineStr">
        <is>
          <t xml:space="preserve">  • Tranche_Metrics CE/E(L) for A &gt;= factor target (Inputs provides the factor via rating lookup)</t>
        </is>
      </c>
    </row>
    <row r="34">
      <c r="B34" s="36" t="inlineStr">
        <is>
          <t xml:space="preserve">  • Tranche_Metrics CE/E(L) for B &gt;= factor target</t>
        </is>
      </c>
    </row>
    <row r="35">
      <c r="B35" s="36" t="inlineStr">
        <is>
          <t xml:space="preserve">  • (Optional) Excess spread &gt;= 0</t>
        </is>
      </c>
    </row>
    <row r="36">
      <c r="B36" s="36" t="inlineStr">
        <is>
          <t>Choose a solving method (GRG Nonlinear is usually fine here) and click Solve.</t>
        </is>
      </c>
    </row>
  </sheetData>
  <mergeCells count="5">
    <mergeCell ref="B25:F25"/>
    <mergeCell ref="B18:F18"/>
    <mergeCell ref="B5:F5"/>
    <mergeCell ref="B1:F1"/>
    <mergeCell ref="B9:F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2026-01-29T01:52:00Z</dcterms:created>
  <dcterms:modified xmlns:dcterms="http://purl.org/dc/terms/" xmlns:xsi="http://www.w3.org/2001/XMLSchema-instance" xsi:type="dcterms:W3CDTF">2026-01-29T02:01:23Z</dcterms:modified>
</cp:coreProperties>
</file>