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f74ed91a1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621dacfeb944ce"/>
    <x:sheet xmlns:r="http://schemas.openxmlformats.org/officeDocument/2006/relationships" name="Inputs" sheetId="2" r:id="R1c11524289c6447a"/>
    <x:sheet xmlns:r="http://schemas.openxmlformats.org/officeDocument/2006/relationships" name="Cashflow_Asset" sheetId="3" r:id="Ra12d5ffe1aed4d34"/>
    <x:sheet xmlns:r="http://schemas.openxmlformats.org/officeDocument/2006/relationships" name="Cashflow_Waterfall" sheetId="4" r:id="R144f23e6860a4f84"/>
    <x:sheet xmlns:r="http://schemas.openxmlformats.org/officeDocument/2006/relationships" name="Liability_Book" sheetId="5" r:id="R34af0eaf7ed549c1"/>
    <x:sheet xmlns:r="http://schemas.openxmlformats.org/officeDocument/2006/relationships" name="Tranche_Metrics" sheetId="6" r:id="R5fda90e398b74682"/>
    <x:sheet xmlns:r="http://schemas.openxmlformats.org/officeDocument/2006/relationships" name="Optimisation" sheetId="7" r:id="R658112ff69b2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%"/>
    <x:numFmt numFmtId="165" formatCode="$#,##0"/>
    <x:numFmt numFmtId="166" formatCode="0.0%"/>
    <x:numFmt numFmtId="167" formatCode="$#,##0_);[Red]($#,##0);&quot;-&quot;_);_(@_)"/>
  </x:numFmts>
  <x:fonts count="1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2"/>
    </x:font>
    <x:font>
      <x:sz val="11"/>
    </x:font>
    <x:font>
      <x:b/>
    </x:font>
    <x:font>
      <x:b/>
      <x:color rgb="001F4E79"/>
    </x:font>
    <x:font>
      <x:color rgb="000000FF"/>
    </x:font>
    <x:font>
      <x:color rgb="00666666"/>
    </x:font>
    <x:font>
      <x:color rgb="00008000"/>
    </x:font>
    <x:font>
      <x:color rgb="00000000"/>
    </x:font>
    <x:font>
      <x:b/>
      <x:sz val="14"/>
    </x:font>
    <x:font/>
    <x:font>
      <x:i/>
      <x:color rgb="0040404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F00"/>
      </x:patternFill>
    </x:fill>
  </x:fills>
  <x:borders count="7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  <x:border>
      <x:left/>
      <x:right/>
      <x:top style="thin">
        <x:color rgb="00A0A0A0"/>
      </x:top>
      <x:bottom/>
      <x:diagonal/>
    </x:border>
    <x:border>
      <x:left/>
      <x:right style="thin">
        <x:color rgb="00A0A0A0"/>
      </x:right>
      <x:top style="thin">
        <x:color rgb="00A0A0A0"/>
      </x:top>
      <x:bottom/>
      <x:diagonal/>
    </x:border>
    <x:border>
      <x:left/>
      <x:right style="thin">
        <x:color rgb="00A0A0A0"/>
      </x:right>
      <x:top style="thin">
        <x:color rgb="00A0A0A0"/>
      </x:top>
      <x:bottom style="thin">
        <x:color rgb="00A0A0A0"/>
      </x:bottom>
      <x:diagonal/>
    </x:border>
    <x:border>
      <x:left/>
      <x:right/>
      <x:top style="thin">
        <x:color rgb="00A0A0A0"/>
      </x:top>
      <x:bottom style="thin">
        <x:color rgb="00A0A0A0"/>
      </x:bottom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2" borderId="1" xfId="0" applyAlignment="1">
      <x:alignment horizontal="left" vertical="center"/>
    </x:xf>
    <x:xf numFmtId="0" fontId="0" fillId="0" borderId="1" xfId="0"/>
    <x:xf numFmtId="0" fontId="2" fillId="0" borderId="0" xfId="0" applyAlignment="1">
      <x:alignment horizontal="left" vertical="top"/>
    </x:xf>
    <x:xf numFmtId="0" fontId="3" fillId="0" borderId="0" xfId="0" applyAlignment="1">
      <x:alignment horizontal="left" vertical="top" wrapText="1"/>
    </x:xf>
    <x:xf numFmtId="0" fontId="2" fillId="0" borderId="0" xfId="0"/>
    <x:xf numFmtId="0" fontId="4" fillId="0" borderId="0" xfId="0"/>
    <x:xf numFmtId="0" fontId="5" fillId="3" borderId="0" xfId="0" applyAlignment="1">
      <x:alignment horizontal="left" vertical="center"/>
    </x:xf>
    <x:xf numFmtId="3" fontId="6" fillId="4" borderId="0" xfId="0"/>
    <x:xf numFmtId="0" fontId="7" fillId="0" borderId="0" xfId="0"/>
    <x:xf numFmtId="10" fontId="6" fillId="4" borderId="0" xfId="0"/>
    <x:xf numFmtId="1" fontId="6" fillId="4" borderId="0" xfId="0"/>
    <x:xf numFmtId="10" fontId="0" fillId="0" borderId="0" xfId="0"/>
    <x:xf numFmtId="10" fontId="8" fillId="0" borderId="0" xfId="0"/>
    <x:xf numFmtId="0" fontId="6" fillId="4" borderId="0" xfId="0"/>
    <x:xf numFmtId="0" fontId="4" fillId="3" borderId="1" xfId="0"/>
    <x:xf numFmtId="2" fontId="0" fillId="0" borderId="0" xfId="0"/>
    <x:xf numFmtId="0" fontId="8" fillId="0" borderId="0" xfId="0"/>
    <x:xf numFmtId="0" fontId="5" fillId="0" borderId="0" xfId="0"/>
    <x:xf numFmtId="164" fontId="8" fillId="0" borderId="0" xfId="0"/>
    <x:xf numFmtId="0" fontId="5" fillId="3" borderId="1" xfId="0" applyAlignment="1">
      <x:alignment horizontal="center"/>
    </x:xf>
    <x:xf numFmtId="0" fontId="5" fillId="3" borderId="1" xfId="0" applyAlignment="1">
      <x:alignment horizontal="right"/>
    </x:xf>
    <x:xf numFmtId="1" fontId="0" fillId="0" borderId="1" xfId="0" applyAlignment="1">
      <x:alignment horizontal="center"/>
    </x:xf>
    <x:xf numFmtId="3" fontId="9" fillId="0" borderId="1" xfId="0" applyAlignment="1">
      <x:alignment horizontal="right"/>
    </x:xf>
    <x:xf numFmtId="3" fontId="0" fillId="0" borderId="1" xfId="0" applyAlignment="1">
      <x:alignment horizontal="right"/>
    </x:xf>
    <x:xf numFmtId="3" fontId="0" fillId="0" borderId="0" xfId="0"/>
    <x:xf numFmtId="3" fontId="8" fillId="0" borderId="0" xfId="0"/>
    <x:xf numFmtId="1" fontId="8" fillId="0" borderId="0" xfId="0"/>
    <x:xf numFmtId="0" fontId="5" fillId="3" borderId="1" xfId="0" applyAlignment="1">
      <x:alignment horizontal="center" wrapText="1"/>
    </x:xf>
    <x:xf numFmtId="3" fontId="8" fillId="0" borderId="1" xfId="0" applyAlignment="1">
      <x:alignment horizontal="right"/>
    </x:xf>
    <x:xf numFmtId="1" fontId="0" fillId="0" borderId="0" xfId="0"/>
    <x:xf numFmtId="2" fontId="9" fillId="0" borderId="0" xfId="0"/>
    <x:xf numFmtId="2" fontId="8" fillId="0" borderId="0" xfId="0"/>
    <x:xf numFmtId="0" fontId="9" fillId="0" borderId="0" xfId="0"/>
    <x:xf numFmtId="164" fontId="9" fillId="0" borderId="0" xfId="0"/>
    <x:xf numFmtId="10" fontId="9" fillId="0" borderId="0" xfId="0"/>
    <x:xf numFmtId="0" fontId="0" fillId="0" borderId="0" xfId="0" applyAlignment="1">
      <x:alignment wrapText="1"/>
    </x:xf>
    <x:xf numFmtId="0" fontId="0" fillId="0" borderId="4" xfId="0"/>
    <x:xf numFmtId="0" fontId="0" fillId="0" borderId="5" xfId="0"/>
    <x:xf numFmtId="0" fontId="10" fillId="0" borderId="0" xfId="0"/>
    <x:xf numFmtId="0" fontId="11" fillId="0" borderId="0" xfId="0" applyAlignment="1">
      <x:alignment horizontal="left"/>
    </x:xf>
    <x:xf numFmtId="165" fontId="8" fillId="0" borderId="0" xfId="0"/>
    <x:xf numFmtId="166" fontId="8" fillId="0" borderId="0" xfId="0"/>
    <x:xf numFmtId="167" fontId="8" fillId="0" borderId="0" xfId="0"/>
    <x:xf numFmtId="0" fontId="12" fillId="0" borderId="0" xfId="0"/>
    <x:xf numFmtId="0" fontId="1" fillId="2" borderId="6" xfId="0" applyAlignment="1">
      <x:alignment horizontal="center" wrapText="1"/>
    </x:xf>
    <x:xf numFmtId="1" fontId="0" fillId="0" borderId="6" xfId="0" applyAlignment="1">
      <x:alignment horizontal="center"/>
    </x:xf>
    <x:xf numFmtId="167" fontId="0" fillId="0" borderId="6" xfId="0" applyAlignment="1">
      <x:alignment horizontal="right"/>
    </x:xf>
    <x:xf numFmtId="0" fontId="1" fillId="2" borderId="6" xfId="0" applyAlignment="1">
      <x:alignment horizontal="center"/>
    </x:xf>
    <x:xf numFmtId="0" fontId="0" fillId="0" borderId="6" xfId="0"/>
    <x:xf numFmtId="10" fontId="0" fillId="0" borderId="6" xfId="0"/>
    <x:xf numFmtId="2" fontId="0" fillId="0" borderId="6" xfId="0"/>
    <x:xf numFmtId="167" fontId="0" fillId="0" borderId="6" xfId="0"/>
    <x:xf numFmtId="1" fontId="0" fillId="0" borderId="6" xfId="0"/>
    <x:xf numFmtId="0" fontId="11" fillId="0" borderId="0" xfId="0"/>
    <x:xf numFmtId="1" fontId="6" fillId="0" borderId="0" xfId="0"/>
    <x:xf numFmtId="0" fontId="0" fillId="0" borderId="0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9ac6c8eb549f7" /><Relationship Type="http://schemas.openxmlformats.org/officeDocument/2006/relationships/theme" Target="/xl/theme/theme1.xml" Id="Rd9db545da5b24430" /><Relationship Type="http://schemas.openxmlformats.org/officeDocument/2006/relationships/sharedStrings" Target="/xl/sharedStrings.xml" Id="Raaf3d9d8df26457b" /><Relationship Type="http://schemas.openxmlformats.org/officeDocument/2006/relationships/worksheet" Target="/xl/worksheets/sheet1.xml" Id="R70621dacfeb944ce" /><Relationship Type="http://schemas.openxmlformats.org/officeDocument/2006/relationships/worksheet" Target="/xl/worksheets/sheet2.xml" Id="R1c11524289c6447a" /><Relationship Type="http://schemas.openxmlformats.org/officeDocument/2006/relationships/worksheet" Target="/xl/worksheets/sheet3.xml" Id="Ra12d5ffe1aed4d34" /><Relationship Type="http://schemas.openxmlformats.org/officeDocument/2006/relationships/worksheet" Target="/xl/worksheets/sheet4.xml" Id="R144f23e6860a4f84" /><Relationship Type="http://schemas.openxmlformats.org/officeDocument/2006/relationships/worksheet" Target="/xl/worksheets/sheet5.xml" Id="R34af0eaf7ed549c1" /><Relationship Type="http://schemas.openxmlformats.org/officeDocument/2006/relationships/worksheet" Target="/xl/worksheets/sheet6.xml" Id="R5fda90e398b74682" /><Relationship Type="http://schemas.openxmlformats.org/officeDocument/2006/relationships/worksheet" Target="/xl/worksheets/sheet7.xml" Id="R658112ff69b243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42" customWidth="1"/>
    <x:col min="3" max="3" width="110" customWidth="1"/>
  </x:cols>
  <x:sheetData>
    <x:row r="1" ht="22" customHeight="1">
      <x:c r="B1" s="1" t="inlineStr">
        <x:is>
          <x:t xml:space="preserve">Tranching Framework &amp; Optimisation — Excel Model (no macros)</x:t>
        </x:is>
      </x:c>
      <x:c r="C1" s="37" t="n"/>
    </x:row>
    <x:row r="3" ht="48" customHeight="1">
      <x:c r="B3" s="3" t="inlineStr">
        <x:is>
          <x:t xml:space="preserve">What this workbook does</x:t>
        </x:is>
      </x:c>
      <x:c r="C3" s="4" t="inlineStr">
        <x:is>
          <x:t xml:space="preserve">Implements a transparent tranching / credit-enhancement framework (BOTE-style) and a cashflow engine for a simple amortising pool. Includes an optimisation worksheet set up for Excel Solver (you run Solver in Excel).</x:t>
        </x:is>
      </x:c>
    </x:row>
    <x:row r="4" ht="64" customHeight="1">
      <x:c r="B4" s="3" t="inlineStr">
        <x:is>
          <x:t xml:space="preserve">How to use (quick)</x:t>
        </x:is>
      </x:c>
      <x:c r="C4" s="4" t="inlineStr">
        <x:is>
          <x:t xml:space="preserve">1) Go to Inputs and edit BLUE cells.
2) Review Cashflow_Asset and Cashflow_Waterfall for monthly results.
3) Check Tranche_Metrics for credit enhancement (CE), expected loss (E(L)), and rating-factor tests.
4) Go to Optimisation and follow the Solver setup instructions to size tranches / coupons to your objective.
</x:t>
        </x:is>
      </x:c>
    </x:row>
    <x:row r="5" ht="48" customHeight="1">
      <x:c r="B5" s="3" t="inlineStr">
        <x:is>
          <x:t xml:space="preserve">Model scope / limitations</x:t>
        </x:is>
      </x:c>
      <x:c r="C5" s="4" t="inlineStr">
        <x:is>
          <x:t xml:space="preserve">This is a simplified template intended for learning and prototyping. It assumes: a homogeneous amortising pool, CPR/CDR style prepay/default, single recovery lag, sequential-pay waterfall, and simple reserve mechanics. For complex structures (multiple triggers, pro-rata, turbo, step-ups, etc.), extend the waterfall logic.</x:t>
        </x:is>
      </x:c>
    </x:row>
    <x:row r="6" ht="64" customHeight="1">
      <x:c r="B6" s="3" t="inlineStr">
        <x:is>
          <x:t xml:space="preserve">Color conventions</x:t>
        </x:is>
      </x:c>
      <x:c r="C6" s="4" t="inlineStr">
        <x:is>
          <x:t xml:space="preserve">BLUE text = user inputs.
BLACK text = formulas.
GREEN text = links across sheets.
YELLOW fill = key assumptions.</x:t>
        </x:is>
      </x:c>
    </x:row>
    <x:row r="8">
      <x:c r="B8" s="5" t="inlineStr">
        <x:is>
          <x:t xml:space="preserve">Sheets</x:t>
        </x:is>
      </x:c>
    </x:row>
    <x:row r="9">
      <x:c r="B9" s="6" t="inlineStr">
        <x:is>
          <x:t xml:space="preserve">Inputs</x:t>
        </x:is>
      </x:c>
      <x:c r="C9" t="inlineStr">
        <x:is>
          <x:t xml:space="preserve">Deal/pool assumptions, tranche design variables, rating-factor table.</x:t>
        </x:is>
      </x:c>
    </x:row>
    <x:row r="10">
      <x:c r="B10" s="6" t="inlineStr">
        <x:is>
          <x:t xml:space="preserve">Cashflow_Asset</x:t>
        </x:is>
      </x:c>
      <x:c r="C10" t="inlineStr">
        <x:is>
          <x:t xml:space="preserve">Monthly pool cashflows: scheduled amortisation, prepayments, defaults, recoveries, fees.</x:t>
        </x:is>
      </x:c>
    </x:row>
    <x:row r="11">
      <x:c r="B11" s="6" t="inlineStr">
        <x:is>
          <x:t xml:space="preserve">Cashflow_Waterfall</x:t>
        </x:is>
      </x:c>
      <x:c r="C11" t="inlineStr">
        <x:is>
          <x:t xml:space="preserve">Monthly liability waterfall: interest, principal paydown, reserve, residual to equity.</x:t>
        </x:is>
      </x:c>
    </x:row>
    <x:row r="12">
      <x:c r="B12" s="6" t="inlineStr">
        <x:is>
          <x:t xml:space="preserve">Tranche_Metrics</x:t>
        </x:is>
      </x:c>
      <x:c r="C12" t="inlineStr">
        <x:is>
          <x:t xml:space="preserve">Credit enhancement, BOTE-style tests, PV metrics and IRRs.</x:t>
        </x:is>
      </x:c>
    </x:row>
    <x:row r="13">
      <x:c r="B13" s="6" t="inlineStr">
        <x:is>
          <x:t xml:space="preserve">Optimisation</x:t>
        </x:is>
      </x:c>
      <x:c r="C13" t="inlineStr">
        <x:is>
          <x:t xml:space="preserve">Solver-ready objective &amp; constraints with instructions.</x:t>
        </x:is>
      </x:c>
    </x:row>
  </x:sheetData>
  <x:mergeCells>
    <x:mergeCell ref="B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34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</x:cols>
  <x:sheetData>
    <x:row r="1" ht="22" customHeight="1">
      <x:c r="B1" s="1" t="inlineStr">
        <x:is>
          <x:t xml:space="preserve">Inputs (edit BLUE cells)</x:t>
        </x:is>
      </x:c>
      <x:c r="C1" s="38" t="n"/>
      <x:c r="D1" s="38" t="n"/>
      <x:c r="E1" s="38" t="n"/>
      <x:c r="F1" s="38" t="n"/>
      <x:c r="G1" s="38" t="n"/>
      <x:c r="H1" s="38" t="n"/>
      <x:c r="I1" s="37" t="n"/>
    </x:row>
    <x:row r="3" ht="18" customHeight="1">
      <x:c r="B3" s="7" t="inlineStr">
        <x:is>
          <x:t xml:space="preserve">Pool assumptions</x:t>
        </x:is>
      </x:c>
    </x:row>
    <x:row r="4">
      <x:c r="B4" t="inlineStr">
        <x:is>
          <x:t xml:space="preserve">Initial Pool Balance</x:t>
        </x:is>
      </x:c>
      <x:c r="C4" s="8" t="n">
        <x:v>100000000</x:v>
      </x:c>
      <x:c r="D4" s="9" t="inlineStr">
        <x:is>
          <x:t xml:space="preserve">Currency</x:t>
        </x:is>
      </x:c>
    </x:row>
    <x:row r="5">
      <x:c r="B5" t="inlineStr">
        <x:is>
          <x:t xml:space="preserve">WAC (annual) %</x:t>
        </x:is>
      </x:c>
      <x:c r="C5" s="10" t="n">
        <x:v>0.12</x:v>
      </x:c>
      <x:c r="D5" s="9" t="inlineStr">
        <x:is>
          <x:t xml:space="preserve">Decimal</x:t>
        </x:is>
      </x:c>
    </x:row>
    <x:row r="6">
      <x:c r="B6" t="inlineStr">
        <x:is>
          <x:t xml:space="preserve">WAM (months)</x:t>
        </x:is>
      </x:c>
      <x:c r="C6" s="11" t="n">
        <x:v>60</x:v>
      </x:c>
      <x:c r="D6" s="9" t="inlineStr">
        <x:is>
          <x:t xml:space="preserve">Months</x:t>
        </x:is>
      </x:c>
    </x:row>
    <x:row r="7">
      <x:c r="B7" t="inlineStr">
        <x:is>
          <x:t xml:space="preserve">Servicing fee (annual) %</x:t>
        </x:is>
      </x:c>
      <x:c r="C7" s="10" t="n">
        <x:v>0.01</x:v>
      </x:c>
      <x:c r="D7" s="9" t="inlineStr">
        <x:is>
          <x:t xml:space="preserve">Decimal</x:t>
        </x:is>
      </x:c>
    </x:row>
    <x:row r="8">
      <x:c r="B8" t="inlineStr">
        <x:is>
          <x:t xml:space="preserve">CPR (annual) %</x:t>
        </x:is>
      </x:c>
      <x:c r="C8" s="10" t="n">
        <x:v>0.06</x:v>
      </x:c>
      <x:c r="D8" s="9" t="inlineStr">
        <x:is>
          <x:t xml:space="preserve">Decimal</x:t>
        </x:is>
      </x:c>
    </x:row>
    <x:row r="9">
      <x:c r="B9" t="inlineStr">
        <x:is>
          <x:t xml:space="preserve">CDR (annual) %</x:t>
        </x:is>
      </x:c>
      <x:c r="C9" s="10" t="n">
        <x:v>0.03</x:v>
      </x:c>
      <x:c r="D9" s="9" t="inlineStr">
        <x:is>
          <x:t xml:space="preserve">Decimal</x:t>
        </x:is>
      </x:c>
    </x:row>
    <x:row r="10">
      <x:c r="B10" t="inlineStr">
        <x:is>
          <x:t xml:space="preserve">Severity (loss given default) %</x:t>
        </x:is>
      </x:c>
      <x:c r="C10" s="10" t="n">
        <x:v>0.6</x:v>
      </x:c>
      <x:c r="D10" s="9" t="inlineStr">
        <x:is>
          <x:t xml:space="preserve">Decimal</x:t>
        </x:is>
      </x:c>
    </x:row>
    <x:row r="11">
      <x:c r="B11" t="inlineStr">
        <x:is>
          <x:t xml:space="preserve">Recovery lag (months)</x:t>
        </x:is>
      </x:c>
      <x:c r="C11" s="11" t="n">
        <x:v>6</x:v>
      </x:c>
      <x:c r="D11" s="9" t="inlineStr">
        <x:is>
          <x:t xml:space="preserve">Months</x:t>
        </x:is>
      </x:c>
    </x:row>
    <x:row r="12">
      <x:c r="B12" t="inlineStr">
        <x:is>
          <x:t xml:space="preserve">Discount rate for PV (annual) %</x:t>
        </x:is>
      </x:c>
      <x:c r="C12" s="10" t="n">
        <x:v>0.08</x:v>
      </x:c>
      <x:c r="D12" s="9" t="inlineStr">
        <x:is>
          <x:t xml:space="preserve">Decimal</x:t>
        </x:is>
      </x:c>
    </x:row>
    <x:row r="13">
      <x:c r="C13" s="12" t="n"/>
    </x:row>
    <x:row r="14" ht="18" customHeight="1">
      <x:c r="B14" s="7" t="inlineStr">
        <x:is>
          <x:t xml:space="preserve">Tranche design variables (decision variables for Solver)</x:t>
        </x:is>
      </x:c>
    </x:row>
    <x:row r="15">
      <x:c r="B15" t="inlineStr">
        <x:is>
          <x:t xml:space="preserve">Class A % of NoteBase</x:t>
        </x:is>
      </x:c>
      <x:c r="C15" s="10" t="n">
        <x:v>0.8</x:v>
      </x:c>
      <x:c r="D15" s="9" t="inlineStr">
        <x:is>
          <x:t xml:space="preserve">Decision var</x:t>
        </x:is>
      </x:c>
    </x:row>
    <x:row r="16">
      <x:c r="B16" t="inlineStr">
        <x:is>
          <x:t xml:space="preserve">Class B % of NoteBase</x:t>
        </x:is>
      </x:c>
      <x:c r="C16" s="11" t="n">
        <x:v>0.15</x:v>
      </x:c>
      <x:c r="D16" s="9" t="inlineStr">
        <x:is>
          <x:t xml:space="preserve">Decision var</x:t>
        </x:is>
      </x:c>
    </x:row>
    <x:row r="17">
      <x:c r="B17" t="inlineStr">
        <x:is>
          <x:t xml:space="preserve">Residual % (unused NoteBase)</x:t>
        </x:is>
      </x:c>
      <x:c r="C17" s="13">
        <x:f>MAX(0,1-$C$15-$C$16)</x:f>
        <x:v>0.04999999999999996</x:v>
      </x:c>
      <x:c r="D17" s="9" t="inlineStr">
        <x:is>
          <x:t xml:space="preserve">Residual = 1 - A - B</x:t>
        </x:is>
      </x:c>
    </x:row>
    <x:row r="18">
      <x:c r="B18" t="inlineStr">
        <x:is>
          <x:t xml:space="preserve">Class A coupon (annual) %</x:t>
        </x:is>
      </x:c>
      <x:c r="C18" s="14" t="n">
        <x:v>0.055</x:v>
      </x:c>
      <x:c r="D18" s="9" t="inlineStr">
        <x:is>
          <x:t xml:space="preserve">Decision var</x:t>
        </x:is>
      </x:c>
    </x:row>
    <x:row r="19">
      <x:c r="B19" t="inlineStr">
        <x:is>
          <x:t xml:space="preserve">Class B coupon (annual) %</x:t>
        </x:is>
      </x:c>
      <x:c r="C19" s="14" t="n">
        <x:v>0.095</x:v>
      </x:c>
      <x:c r="D19" s="9" t="inlineStr">
        <x:is>
          <x:t xml:space="preserve">Decision var</x:t>
        </x:is>
      </x:c>
    </x:row>
    <x:row r="20">
      <x:c r="B20" t="inlineStr">
        <x:is>
          <x:t xml:space="preserve">Reserve fund (initial) % of pool</x:t>
        </x:is>
      </x:c>
      <x:c r="C20" s="14" t="n">
        <x:v>0.01</x:v>
      </x:c>
      <x:c r="D20" s="9" t="inlineStr">
        <x:is>
          <x:t xml:space="preserve">Decision var</x:t>
        </x:is>
      </x:c>
    </x:row>
    <x:row r="21">
      <x:c r="B21" t="inlineStr">
        <x:is>
          <x:t xml:space="preserve">Overcollateralisation (OC) % of pool</x:t>
        </x:is>
      </x:c>
      <x:c r="C21" s="14" t="n">
        <x:v>0</x:v>
      </x:c>
      <x:c r="D21" s="9" t="inlineStr">
        <x:is>
          <x:t xml:space="preserve">Decision var</x:t>
        </x:is>
      </x:c>
    </x:row>
    <x:row r="22">
      <x:c r="B22" s="54" t="inlineStr">
        <x:is>
          <x:t xml:space="preserve">Turbo excess interest to principal? (1=yes,0=no)</x:t>
        </x:is>
      </x:c>
      <x:c r="C22" s="55" t="n">
        <x:v>1</x:v>
      </x:c>
    </x:row>
    <x:row r="23" ht="18" customHeight="1">
      <x:c r="B23" s="7" t="inlineStr">
        <x:is>
          <x:t xml:space="preserve">Target rating factors (BOTE-style: CE / E(L))</x:t>
        </x:is>
      </x:c>
    </x:row>
    <x:row r="24">
      <x:c r="B24" s="15" t="inlineStr">
        <x:is>
          <x:t xml:space="preserve">Rating</x:t>
        </x:is>
      </x:c>
      <x:c r="C24" s="15" t="inlineStr">
        <x:is>
          <x:t xml:space="preserve">Factor n</x:t>
        </x:is>
      </x:c>
      <x:c r="D24" s="15" t="inlineStr">
        <x:is>
          <x:t xml:space="preserve">Notes</x:t>
        </x:is>
      </x:c>
    </x:row>
    <x:row r="25">
      <x:c r="B25" t="inlineStr">
        <x:is>
          <x:t xml:space="preserve">AAA</x:t>
        </x:is>
      </x:c>
      <x:c r="C25" s="16" t="n">
        <x:v>5</x:v>
      </x:c>
      <x:c r="D25" t="inlineStr">
        <x:is>
          <x:t xml:space="preserve">Illustrative factor</x:t>
        </x:is>
      </x:c>
    </x:row>
    <x:row r="26">
      <x:c r="B26" t="inlineStr">
        <x:is>
          <x:t xml:space="preserve">AA</x:t>
        </x:is>
      </x:c>
      <x:c r="C26" s="16" t="n">
        <x:v>4</x:v>
      </x:c>
      <x:c r="D26" t="inlineStr">
        <x:is>
          <x:t xml:space="preserve">Illustrative factor</x:t>
        </x:is>
      </x:c>
    </x:row>
    <x:row r="27">
      <x:c r="B27" t="inlineStr">
        <x:is>
          <x:t xml:space="preserve">A</x:t>
        </x:is>
      </x:c>
      <x:c r="C27" s="16" t="n">
        <x:v>3</x:v>
      </x:c>
      <x:c r="D27" t="inlineStr">
        <x:is>
          <x:t xml:space="preserve">Illustrative factor</x:t>
        </x:is>
      </x:c>
    </x:row>
    <x:row r="28">
      <x:c r="B28" t="inlineStr">
        <x:is>
          <x:t xml:space="preserve">BBB</x:t>
        </x:is>
      </x:c>
      <x:c r="C28" s="16" t="n">
        <x:v>1.75</x:v>
      </x:c>
      <x:c r="D28" t="inlineStr">
        <x:is>
          <x:t xml:space="preserve">Illustrative mid-point</x:t>
        </x:is>
      </x:c>
    </x:row>
    <x:row r="29">
      <x:c r="B29" t="inlineStr">
        <x:is>
          <x:t xml:space="preserve">BB</x:t>
        </x:is>
      </x:c>
      <x:c r="C29" s="16" t="n">
        <x:v>1.25</x:v>
      </x:c>
      <x:c r="D29" t="inlineStr">
        <x:is>
          <x:t xml:space="preserve">Illustrative</x:t>
        </x:is>
      </x:c>
    </x:row>
    <x:row r="31" ht="18" customHeight="1">
      <x:c r="B31" s="7" t="inlineStr">
        <x:is>
          <x:t xml:space="preserve">Chosen rating targets for constraints</x:t>
        </x:is>
      </x:c>
    </x:row>
    <x:row r="32">
      <x:c r="B32" t="inlineStr">
        <x:is>
          <x:t xml:space="preserve">Target rating for Class A</x:t>
        </x:is>
      </x:c>
      <x:c r="C32" s="14" t="inlineStr">
        <x:is>
          <x:t xml:space="preserve">AAA</x:t>
        </x:is>
      </x:c>
      <x:c r="D32" s="9" t="inlineStr">
        <x:is>
          <x:t xml:space="preserve">Set factor via lookup</x:t>
        </x:is>
      </x:c>
    </x:row>
    <x:row r="33">
      <x:c r="B33" t="inlineStr">
        <x:is>
          <x:t xml:space="preserve">Target rating for Class B</x:t>
        </x:is>
      </x:c>
      <x:c r="C33" s="14" t="inlineStr">
        <x:is>
          <x:t xml:space="preserve">BBB</x:t>
        </x:is>
      </x:c>
      <x:c r="D33" s="9" t="inlineStr">
        <x:is>
          <x:t xml:space="preserve">Set factor via lookup</x:t>
        </x:is>
      </x:c>
    </x:row>
    <x:row r="34">
      <x:c r="B34" t="inlineStr">
        <x:is>
          <x:t xml:space="preserve">Factor for Class A</x:t>
        </x:is>
      </x:c>
      <x:c r="C34" s="17" t="str">
        <x:f>INDEX($C$25:$C$29,MATCH($C$32,$B$25:$B$29,0))</x:f>
        <x:v>5</x:v>
      </x:c>
    </x:row>
    <x:row r="35">
      <x:c r="B35" t="inlineStr">
        <x:is>
          <x:t xml:space="preserve">Factor for Class B</x:t>
        </x:is>
      </x:c>
      <x:c r="C35" s="17" t="str">
        <x:f>INDEX($C$25:$C$29,MATCH($C$33,$B$25:$B$29,0))</x:f>
        <x:v>1.75</x:v>
      </x:c>
    </x:row>
    <x:row r="38" ht="18" customHeight="1">
      <x:c r="B38" s="7" t="inlineStr">
        <x:is>
          <x:t xml:space="preserve">Waterfall toggles</x:t>
        </x:is>
      </x:c>
    </x:row>
    <x:row r="39">
      <x:c r="B39" t="inlineStr">
        <x:is>
          <x:t xml:space="preserve">Turbo: use excess interest to pay down Class A (1=yes,0=no)</x:t>
        </x:is>
      </x:c>
      <x:c r="C39" s="11" t="n">
        <x:v>1</x:v>
      </x:c>
      <x:c r="D39" s="9" t="inlineStr">
        <x:is>
          <x:t xml:space="preserve">Decision var (optional)</x:t>
        </x:is>
      </x:c>
    </x:row>
  </x:sheetData>
  <x:mergeCells>
    <x:mergeCell ref="B38:F38"/>
    <x:mergeCell ref="B3:F3"/>
    <x:mergeCell ref="B31:F31"/>
    <x:mergeCell ref="B23:F23"/>
    <x:mergeCell ref="B14:I14"/>
    <x:mergeCell ref="B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</x:cols>
  <x:sheetData>
    <x:row r="1" ht="22" customHeight="1">
      <x:c r="B1" s="1" t="inlineStr">
        <x:is>
          <x:t xml:space="preserve">Asset cashflow engine (monthly)</x:t>
        </x:is>
      </x:c>
      <x:c r="C1" s="38" t="n"/>
      <x:c r="D1" s="38" t="n"/>
      <x:c r="E1" s="38" t="n"/>
      <x:c r="F1" s="38" t="n"/>
      <x:c r="G1" s="38" t="n"/>
      <x:c r="H1" s="38" t="n"/>
      <x:c r="I1" s="38" t="n"/>
      <x:c r="J1" s="38" t="n"/>
      <x:c r="K1" s="38" t="n"/>
      <x:c r="L1" s="38" t="n"/>
      <x:c r="M1" s="37" t="n"/>
    </x:row>
    <x:row r="2">
      <x:c r="B2" s="18" t="inlineStr">
        <x:is>
          <x:t xml:space="preserve">Parameters (linked)</x:t>
        </x:is>
      </x:c>
      <x:c r="C2" s="19">
        <x:f>Inputs!$C$5/12</x:f>
        <x:v>0.01</x:v>
      </x:c>
      <x:c r="D2" s="9" t="inlineStr">
        <x:is>
          <x:t xml:space="preserve">Monthly rate (WAC/12)</x:t>
        </x:is>
      </x:c>
      <x:c r="E2" s="19">
        <x:f>1-(1-Inputs!$C$8)^(1/12)</x:f>
        <x:v>0.005143012831822946</x:v>
      </x:c>
      <x:c r="F2" s="9" t="inlineStr">
        <x:is>
          <x:t xml:space="preserve">SMM</x:t>
        </x:is>
      </x:c>
      <x:c r="G2" s="19">
        <x:f>1-(1-Inputs!$C$9)^(1/12)</x:f>
        <x:v>0.002535048613836688</x:v>
      </x:c>
      <x:c r="H2" s="9" t="inlineStr">
        <x:is>
          <x:t xml:space="preserve">MDR</x:t>
        </x:is>
      </x:c>
      <x:c r="I2" s="13">
        <x:f>Inputs!$C$10</x:f>
        <x:v>0.6</x:v>
      </x:c>
      <x:c r="J2" s="9" t="inlineStr">
        <x:is>
          <x:t xml:space="preserve">Severity</x:t>
        </x:is>
      </x:c>
      <x:c r="K2" s="17">
        <x:f>Inputs!$C$11</x:f>
        <x:v>6</x:v>
      </x:c>
      <x:c r="L2" s="9" t="inlineStr">
        <x:is>
          <x:t xml:space="preserve">Recovery lag (m)</x:t>
        </x:is>
      </x:c>
    </x:row>
    <x:row r="3">
      <x:c r="B3" s="20" t="inlineStr">
        <x:is>
          <x:t xml:space="preserve">Month</x:t>
        </x:is>
      </x:c>
      <x:c r="C3" s="21" t="inlineStr">
        <x:is>
          <x:t xml:space="preserve">Beg Bal</x:t>
        </x:is>
      </x:c>
      <x:c r="D3" s="21" t="inlineStr">
        <x:is>
          <x:t xml:space="preserve">Sched Pmt</x:t>
        </x:is>
      </x:c>
      <x:c r="E3" s="21" t="inlineStr">
        <x:is>
          <x:t xml:space="preserve">Interest</x:t>
        </x:is>
      </x:c>
      <x:c r="F3" s="21" t="inlineStr">
        <x:is>
          <x:t xml:space="preserve">Sched Prin</x:t>
        </x:is>
      </x:c>
      <x:c r="G3" s="21" t="inlineStr">
        <x:is>
          <x:t xml:space="preserve">Prepay</x:t>
        </x:is>
      </x:c>
      <x:c r="H3" s="21" t="inlineStr">
        <x:is>
          <x:t xml:space="preserve">Default</x:t>
        </x:is>
      </x:c>
      <x:c r="I3" s="21" t="inlineStr">
        <x:is>
          <x:t xml:space="preserve">Recovery</x:t>
        </x:is>
      </x:c>
      <x:c r="J3" s="21" t="inlineStr">
        <x:is>
          <x:t xml:space="preserve">Loss</x:t>
        </x:is>
      </x:c>
      <x:c r="K3" s="21" t="inlineStr">
        <x:is>
          <x:t xml:space="preserve">Serv Fee</x:t>
        </x:is>
      </x:c>
      <x:c r="L3" s="21" t="inlineStr">
        <x:is>
          <x:t xml:space="preserve">Net Cash</x:t>
        </x:is>
      </x:c>
      <x:c r="M3" s="21" t="inlineStr">
        <x:is>
          <x:t xml:space="preserve">End Bal</x:t>
        </x:is>
      </x:c>
      <x:c r="O3" s="18" t="inlineStr">
        <x:is>
          <x:t xml:space="preserve">Summary</x:t>
        </x:is>
      </x:c>
    </x:row>
    <x:row r="4">
      <x:c r="B4" s="22" t="n">
        <x:v>1</x:v>
      </x:c>
      <x:c r="C4" s="23">
        <x:f>Inputs!$C$4</x:f>
        <x:v>100000000</x:v>
      </x:c>
      <x:c r="D4" s="24">
        <x:f>IF($B4&lt;=Inputs!$C$6,-PMT(Inputs!$C$5/12,Inputs!$C$6,Inputs!$C$4),0)</x:f>
        <x:v>2224444.768490176</x:v>
      </x:c>
      <x:c r="E4" s="24">
        <x:f>IF($B4&lt;=Inputs!$C$6+Inputs!$C$11,$C4*Inputs!$C$5/12,0)</x:f>
        <x:v>1000000</x:v>
      </x:c>
      <x:c r="F4" s="24">
        <x:f>IF($B4&lt;=Inputs!$C$6,MAX(0,$D4-$E4),0)</x:f>
        <x:v>1224444.7684901762</x:v>
      </x:c>
      <x:c r="G4" s="24">
        <x:f>IF($B4&lt;=Inputs!$C$6,MAX(0,($C4-$F4))*(1-(1-Inputs!$C$8)^(1/12)),0)</x:f>
        <x:v>508003.94802609115</x:v>
      </x:c>
      <x:c r="H4" s="24">
        <x:f>IF($B4&lt;=Inputs!$C$6,MAX(0,($C4-$F4-$G4))*(1-(1-Inputs!$C$9)^(1/12)),0)</x:f>
        <x:v>249113.01966632108</x:v>
      </x:c>
      <x:c r="I4" s="24">
        <x:f>IF($B4&gt;Inputs!$C$11,INDEX($H$4:$H$1000,ROW()-Inputs!$C$11-3)*(1-Inputs!$C$10),0)</x:f>
        <x:v>0</x:v>
      </x:c>
      <x:c r="J4" s="24">
        <x:f>$H4*Inputs!$C$10</x:f>
        <x:v>149467.81179979263</x:v>
      </x:c>
      <x:c r="K4" s="24">
        <x:f>IF($B4&lt;=Inputs!$C$6+Inputs!$C$11,$C4*Inputs!$C$7/12,0)</x:f>
        <x:v>83333.33333333334</x:v>
      </x:c>
      <x:c r="L4" s="24">
        <x:f>IF($B4&lt;=Inputs!$C$6+Inputs!$C$11,$E4+$F4+$G4+$I4-$K4,0)</x:f>
        <x:v>2649115.383182934</x:v>
      </x:c>
      <x:c r="M4" s="24">
        <x:f>IF($B4&lt;=Inputs!$C$6,MAX(0,$C4-$F4-$G4-$H4),0)</x:f>
        <x:v>98018438.26381741</x:v>
      </x:c>
      <x:c r="O4" s="6" t="inlineStr">
        <x:is>
          <x:t xml:space="preserve">Cum Gross Defaults</x:t>
        </x:is>
      </x:c>
      <x:c r="P4" s="25">
        <x:f>SUM($H4:$H363)</x:f>
        <x:v>6062454.288703826</x:v>
      </x:c>
    </x:row>
    <x:row r="5">
      <x:c r="B5" s="22" t="n">
        <x:v>2</x:v>
      </x:c>
      <x:c r="C5" s="23">
        <x:f>IF($B5&lt;=Inputs!$C$6+Inputs!$C$11,$M4,"")</x:f>
        <x:v>98018438.26381741</x:v>
      </x:c>
      <x:c r="D5" s="24">
        <x:f>IF($B5&lt;=Inputs!$C$6,-PMT(Inputs!$C$5/12,Inputs!$C$6,Inputs!$C$4),0)</x:f>
        <x:v>2224444.768490176</x:v>
      </x:c>
      <x:c r="E5" s="24">
        <x:f>IF($B5&lt;=Inputs!$C$6+Inputs!$C$11,$C5*Inputs!$C$5/12,0)</x:f>
        <x:v>980184.3826381741</x:v>
      </x:c>
      <x:c r="F5" s="24">
        <x:f>IF($B5&lt;=Inputs!$C$6,MAX(0,$D5-$E5),0)</x:f>
        <x:v>1244260.385852002</x:v>
      </x:c>
      <x:c r="G5" s="24">
        <x:f>IF($B5&lt;=Inputs!$C$6,MAX(0,($C5-$F5))*(1-(1-Inputs!$C$8)^(1/12)),0)</x:f>
        <x:v>497710.8386154924</x:v>
      </x:c>
      <x:c r="H5" s="24">
        <x:f>IF($B5&lt;=Inputs!$C$6,MAX(0,($C5-$F5-$G5))*(1-(1-Inputs!$C$9)^(1/12)),0)</x:f>
        <x:v>244065.52431319756</x:v>
      </x:c>
      <x:c r="I5" s="24">
        <x:f>IF($B5&gt;Inputs!$C$11,INDEX($H$4:$H$1000,ROW()-Inputs!$C$11-3)*(1-Inputs!$C$10),0)</x:f>
        <x:v>0</x:v>
      </x:c>
      <x:c r="J5" s="24">
        <x:f>$H5*Inputs!$C$10</x:f>
        <x:v>146439.31458791852</x:v>
      </x:c>
      <x:c r="K5" s="24">
        <x:f>IF($B5&lt;=Inputs!$C$6+Inputs!$C$11,$C5*Inputs!$C$7/12,0)</x:f>
        <x:v>81682.03188651452</x:v>
      </x:c>
      <x:c r="L5" s="24">
        <x:f>IF($B5&lt;=Inputs!$C$6+Inputs!$C$11,$E5+$F5+$G5+$I5-$K5,0)</x:f>
        <x:v>2640473.575219154</x:v>
      </x:c>
      <x:c r="M5" s="24">
        <x:f>IF($B5&lt;=Inputs!$C$6,MAX(0,$C5-$F5-$G5-$H5),0)</x:f>
        <x:v>96032401.51503672</x:v>
      </x:c>
      <x:c r="O5" s="6" t="inlineStr">
        <x:is>
          <x:t xml:space="preserve">Cum Losses (gross)</x:t>
        </x:is>
      </x:c>
      <x:c r="P5" s="25">
        <x:f>SUM($J4:$J363)</x:f>
        <x:v>3637472.5732222944</x:v>
      </x:c>
    </x:row>
    <x:row r="6">
      <x:c r="B6" s="22" t="n">
        <x:v>3</x:v>
      </x:c>
      <x:c r="C6" s="23">
        <x:f>IF($B6&lt;=Inputs!$C$6+Inputs!$C$11,$M5,"")</x:f>
        <x:v>96032401.51503672</x:v>
      </x:c>
      <x:c r="D6" s="24">
        <x:f>IF($B6&lt;=Inputs!$C$6,-PMT(Inputs!$C$5/12,Inputs!$C$6,Inputs!$C$4),0)</x:f>
        <x:v>2224444.768490176</x:v>
      </x:c>
      <x:c r="E6" s="24">
        <x:f>IF($B6&lt;=Inputs!$C$6+Inputs!$C$11,$C6*Inputs!$C$5/12,0)</x:f>
        <x:v>960324.0151503672</x:v>
      </x:c>
      <x:c r="F6" s="24">
        <x:f>IF($B6&lt;=Inputs!$C$6,MAX(0,$D6-$E6),0)</x:f>
        <x:v>1264120.753339809</x:v>
      </x:c>
      <x:c r="G6" s="24">
        <x:f>IF($B6&lt;=Inputs!$C$6,MAX(0,($C6-$F6))*(1-(1-Inputs!$C$8)^(1/12)),0)</x:f>
        <x:v>487394.48400720686</x:v>
      </x:c>
      <x:c r="H6" s="24">
        <x:f>IF($B6&lt;=Inputs!$C$6,MAX(0,($C6-$F6-$G6))*(1-(1-Inputs!$C$9)^(1/12)),0)</x:f>
        <x:v>239006.63006955167</x:v>
      </x:c>
      <x:c r="I6" s="24">
        <x:f>IF($B6&gt;Inputs!$C$11,INDEX($H$4:$H$1000,ROW()-Inputs!$C$11-3)*(1-Inputs!$C$10),0)</x:f>
        <x:v>0</x:v>
      </x:c>
      <x:c r="J6" s="24">
        <x:f>$H6*Inputs!$C$10</x:f>
        <x:v>143403.978041731</x:v>
      </x:c>
      <x:c r="K6" s="24">
        <x:f>IF($B6&lt;=Inputs!$C$6+Inputs!$C$11,$C6*Inputs!$C$7/12,0)</x:f>
        <x:v>80027.0012625306</x:v>
      </x:c>
      <x:c r="L6" s="24">
        <x:f>IF($B6&lt;=Inputs!$C$6+Inputs!$C$11,$E6+$F6+$G6+$I6-$K6,0)</x:f>
        <x:v>2631812.2512348522</x:v>
      </x:c>
      <x:c r="M6" s="24">
        <x:f>IF($B6&lt;=Inputs!$C$6,MAX(0,$C6-$F6-$G6-$H6),0)</x:f>
        <x:v>94041879.64762014</x:v>
      </x:c>
      <x:c r="O6" s="6" t="inlineStr">
        <x:is>
          <x:t xml:space="preserve">Cum Recoveries</x:t>
        </x:is>
      </x:c>
      <x:c r="P6" s="25">
        <x:f>SUM($I4:$I363)</x:f>
        <x:v>2380209.738639936</x:v>
      </x:c>
    </x:row>
    <x:row r="7">
      <x:c r="B7" s="22" t="n">
        <x:v>4</x:v>
      </x:c>
      <x:c r="C7" s="23">
        <x:f>IF($B7&lt;=Inputs!$C$6+Inputs!$C$11,$M6,"")</x:f>
        <x:v>94041879.64762014</x:v>
      </x:c>
      <x:c r="D7" s="24">
        <x:f>IF($B7&lt;=Inputs!$C$6,-PMT(Inputs!$C$5/12,Inputs!$C$6,Inputs!$C$4),0)</x:f>
        <x:v>2224444.768490176</x:v>
      </x:c>
      <x:c r="E7" s="24">
        <x:f>IF($B7&lt;=Inputs!$C$6+Inputs!$C$11,$C7*Inputs!$C$5/12,0)</x:f>
        <x:v>940418.7964762014</x:v>
      </x:c>
      <x:c r="F7" s="24">
        <x:f>IF($B7&lt;=Inputs!$C$6,MAX(0,$D7-$E7),0)</x:f>
        <x:v>1284025.9720139748</x:v>
      </x:c>
      <x:c r="G7" s="24">
        <x:f>IF($B7&lt;=Inputs!$C$6,MAX(0,($C7-$F7))*(1-(1-Inputs!$C$8)^(1/12)),0)</x:f>
        <x:v>477054.8317059977</x:v>
      </x:c>
      <x:c r="H7" s="24">
        <x:f>IF($B7&lt;=Inputs!$C$6,MAX(0,($C7-$F7-$G7))*(1-(1-Inputs!$C$9)^(1/12)),0)</x:f>
        <x:v>233936.31119297133</x:v>
      </x:c>
      <x:c r="I7" s="24">
        <x:f>IF($B7&gt;Inputs!$C$11,INDEX($H$4:$H$1000,ROW()-Inputs!$C$11-3)*(1-Inputs!$C$10),0)</x:f>
        <x:v>0</x:v>
      </x:c>
      <x:c r="J7" s="24">
        <x:f>$H7*Inputs!$C$10</x:f>
        <x:v>140361.7867157828</x:v>
      </x:c>
      <x:c r="K7" s="24">
        <x:f>IF($B7&lt;=Inputs!$C$6+Inputs!$C$11,$C7*Inputs!$C$7/12,0)</x:f>
        <x:v>78368.23303968346</x:v>
      </x:c>
      <x:c r="L7" s="24">
        <x:f>IF($B7&lt;=Inputs!$C$6+Inputs!$C$11,$E7+$F7+$G7+$I7-$K7,0)</x:f>
        <x:v>2623131.36715649</x:v>
      </x:c>
      <x:c r="M7" s="24">
        <x:f>IF($B7&lt;=Inputs!$C$6,MAX(0,$C7-$F7-$G7-$H7),0)</x:f>
        <x:v>92046862.53270718</x:v>
      </x:c>
      <x:c r="O7" s="6" t="inlineStr">
        <x:is>
          <x:t xml:space="preserve">Cum Expected Loss (net)</x:t>
        </x:is>
      </x:c>
      <x:c r="P7" s="25">
        <x:f>SUM($J4:$J363)</x:f>
        <x:v>3637472.5732222944</x:v>
      </x:c>
    </x:row>
    <x:row r="8">
      <x:c r="B8" s="22" t="n">
        <x:v>5</x:v>
      </x:c>
      <x:c r="C8" s="23">
        <x:f>IF($B8&lt;=Inputs!$C$6+Inputs!$C$11,$M7,"")</x:f>
        <x:v>92046862.53270718</x:v>
      </x:c>
      <x:c r="D8" s="24">
        <x:f>IF($B8&lt;=Inputs!$C$6,-PMT(Inputs!$C$5/12,Inputs!$C$6,Inputs!$C$4),0)</x:f>
        <x:v>2224444.768490176</x:v>
      </x:c>
      <x:c r="E8" s="24">
        <x:f>IF($B8&lt;=Inputs!$C$6+Inputs!$C$11,$C8*Inputs!$C$5/12,0)</x:f>
        <x:v>920468.6253270719</x:v>
      </x:c>
      <x:c r="F8" s="24">
        <x:f>IF($B8&lt;=Inputs!$C$6,MAX(0,$D8-$E8),0)</x:f>
        <x:v>1303976.1431631043</x:v>
      </x:c>
      <x:c r="G8" s="24">
        <x:f>IF($B8&lt;=Inputs!$C$6,MAX(0,($C8-$F8))*(1-(1-Inputs!$C$8)^(1/12)),0)</x:f>
        <x:v>466691.829098077</x:v>
      </x:c>
      <x:c r="H8" s="24">
        <x:f>IF($B8&lt;=Inputs!$C$6,MAX(0,($C8-$F8-$G8))*(1-(1-Inputs!$C$9)^(1/12)),0)</x:f>
        <x:v>228854.5418829098</x:v>
      </x:c>
      <x:c r="I8" s="24">
        <x:f>IF($B8&gt;Inputs!$C$11,INDEX($H$4:$H$1000,ROW()-Inputs!$C$11-3)*(1-Inputs!$C$10),0)</x:f>
        <x:v>0</x:v>
      </x:c>
      <x:c r="J8" s="24">
        <x:f>$H8*Inputs!$C$10</x:f>
        <x:v>137312.72512974587</x:v>
      </x:c>
      <x:c r="K8" s="24">
        <x:f>IF($B8&lt;=Inputs!$C$6+Inputs!$C$11,$C8*Inputs!$C$7/12,0)</x:f>
        <x:v>76705.718777256</x:v>
      </x:c>
      <x:c r="L8" s="24">
        <x:f>IF($B8&lt;=Inputs!$C$6+Inputs!$C$11,$E8+$F8+$G8+$I8-$K8,0)</x:f>
        <x:v>2614430.878810997</x:v>
      </x:c>
      <x:c r="M8" s="24">
        <x:f>IF($B8&lt;=Inputs!$C$6,MAX(0,$C8-$F8-$G8-$H8),0)</x:f>
        <x:v>90047340.0185631</x:v>
      </x:c>
      <x:c r="O8" s="6" t="inlineStr">
        <x:is>
          <x:t xml:space="preserve">E(L) % of initial</x:t>
        </x:is>
      </x:c>
      <x:c r="P8" s="12">
        <x:f>$P7/Inputs!$C$4</x:f>
        <x:v>0.036374725732222946</x:v>
      </x:c>
    </x:row>
    <x:row r="9">
      <x:c r="B9" s="22" t="n">
        <x:v>6</x:v>
      </x:c>
      <x:c r="C9" s="23">
        <x:f>IF($B9&lt;=Inputs!$C$6+Inputs!$C$11,$M8,"")</x:f>
        <x:v>90047340.0185631</x:v>
      </x:c>
      <x:c r="D9" s="24">
        <x:f>IF($B9&lt;=Inputs!$C$6,-PMT(Inputs!$C$5/12,Inputs!$C$6,Inputs!$C$4),0)</x:f>
        <x:v>2224444.768490176</x:v>
      </x:c>
      <x:c r="E9" s="24">
        <x:f>IF($B9&lt;=Inputs!$C$6+Inputs!$C$11,$C9*Inputs!$C$5/12,0)</x:f>
        <x:v>900473.4001856311</x:v>
      </x:c>
      <x:c r="F9" s="24">
        <x:f>IF($B9&lt;=Inputs!$C$6,MAX(0,$D9-$E9),0)</x:f>
        <x:v>1323971.368304545</x:v>
      </x:c>
      <x:c r="G9" s="24">
        <x:f>IF($B9&lt;=Inputs!$C$6,MAX(0,($C9-$F9))*(1-(1-Inputs!$C$8)^(1/12)),0)</x:f>
        <x:v>456305.4234508375</x:v>
      </x:c>
      <x:c r="H9" s="24">
        <x:f>IF($B9&lt;=Inputs!$C$6,MAX(0,($C9-$F9-$G9))*(1-(1-Inputs!$C$9)^(1/12)),0)</x:f>
        <x:v>223761.29628055418</x:v>
      </x:c>
      <x:c r="I9" s="24">
        <x:f>IF($B9&gt;Inputs!$C$11,INDEX($H$4:$H$1000,ROW()-Inputs!$C$11-3)*(1-Inputs!$C$10),0)</x:f>
        <x:v>0</x:v>
      </x:c>
      <x:c r="J9" s="24">
        <x:f>$H9*Inputs!$C$10</x:f>
        <x:v>134256.7777683325</x:v>
      </x:c>
      <x:c r="K9" s="24">
        <x:f>IF($B9&lt;=Inputs!$C$6+Inputs!$C$11,$C9*Inputs!$C$7/12,0)</x:f>
        <x:v>75039.45001546927</x:v>
      </x:c>
      <x:c r="L9" s="24">
        <x:f>IF($B9&lt;=Inputs!$C$6+Inputs!$C$11,$E9+$F9+$G9+$I9-$K9,0)</x:f>
        <x:v>2605710.741925544</x:v>
      </x:c>
      <x:c r="M9" s="24">
        <x:f>IF($B9&lt;=Inputs!$C$6,MAX(0,$C9-$F9-$G9-$H9),0)</x:f>
        <x:v>88043301.93052717</x:v>
      </x:c>
      <x:c r="O9" s="6" t="inlineStr">
        <x:is>
          <x:t xml:space="preserve">Pool Avg Life (yrs)</x:t>
        </x:is>
      </x:c>
      <x:c r="P9" s="16">
        <x:f>SUMPRODUCT($B4:$B363,($F4:$F363+$G4:$G363+$H4:$H363)) / (SUM($F4:$F363)+SUM($G4:$G363)+SUM($H4:$H363)) / 12</x:f>
        <x:v>2.0345821442914755</x:v>
      </x:c>
    </x:row>
    <x:row r="10">
      <x:c r="B10" s="22" t="n">
        <x:v>7</x:v>
      </x:c>
      <x:c r="C10" s="23">
        <x:f>IF($B10&lt;=Inputs!$C$6+Inputs!$C$11,$M9,"")</x:f>
        <x:v>88043301.93052717</x:v>
      </x:c>
      <x:c r="D10" s="24">
        <x:f>IF($B10&lt;=Inputs!$C$6,-PMT(Inputs!$C$5/12,Inputs!$C$6,Inputs!$C$4),0)</x:f>
        <x:v>2224444.768490176</x:v>
      </x:c>
      <x:c r="E10" s="24">
        <x:f>IF($B10&lt;=Inputs!$C$6+Inputs!$C$11,$C10*Inputs!$C$5/12,0)</x:f>
        <x:v>880433.0193052717</x:v>
      </x:c>
      <x:c r="F10" s="24">
        <x:f>IF($B10&lt;=Inputs!$C$6,MAX(0,$D10-$E10),0)</x:f>
        <x:v>1344011.7491849046</x:v>
      </x:c>
      <x:c r="G10" s="24">
        <x:f>IF($B10&lt;=Inputs!$C$6,MAX(0,($C10-$F10))*(1-(1-Inputs!$C$8)^(1/12)),0)</x:f>
        <x:v>445895.5619125844</x:v>
      </x:c>
      <x:c r="H10" s="24">
        <x:f>IF($B10&lt;=Inputs!$C$6,MAX(0,($C10-$F10-$G10))*(1-(1-Inputs!$C$9)^(1/12)),0)</x:f>
        <x:v>218656.54846869403</x:v>
      </x:c>
      <x:c r="I10" s="24">
        <x:f>IF($B10&gt;Inputs!$C$11,INDEX($H$4:$H$1000,ROW()-Inputs!$C$11-3)*(1-Inputs!$C$10),0)</x:f>
        <x:v>99645.20786652844</x:v>
      </x:c>
      <x:c r="J10" s="24">
        <x:f>$H10*Inputs!$C$10</x:f>
        <x:v>131193.92908121643</x:v>
      </x:c>
      <x:c r="K10" s="24">
        <x:f>IF($B10&lt;=Inputs!$C$6+Inputs!$C$11,$C10*Inputs!$C$7/12,0)</x:f>
        <x:v>73369.41827543931</x:v>
      </x:c>
      <x:c r="L10" s="24">
        <x:f>IF($B10&lt;=Inputs!$C$6+Inputs!$C$11,$E10+$F10+$G10+$I10-$K10,0)</x:f>
        <x:v>2696616.11999385</x:v>
      </x:c>
      <x:c r="M10" s="24">
        <x:f>IF($B10&lt;=Inputs!$C$6,MAX(0,$C10-$F10-$G10-$H10),0)</x:f>
        <x:v>86034738.07096098</x:v>
      </x:c>
    </x:row>
    <x:row r="11">
      <x:c r="B11" s="22" t="n">
        <x:v>8</x:v>
      </x:c>
      <x:c r="C11" s="23">
        <x:f>IF($B11&lt;=Inputs!$C$6+Inputs!$C$11,$M10,"")</x:f>
        <x:v>86034738.07096098</x:v>
      </x:c>
      <x:c r="D11" s="24">
        <x:f>IF($B11&lt;=Inputs!$C$6,-PMT(Inputs!$C$5/12,Inputs!$C$6,Inputs!$C$4),0)</x:f>
        <x:v>2224444.768490176</x:v>
      </x:c>
      <x:c r="E11" s="24">
        <x:f>IF($B11&lt;=Inputs!$C$6+Inputs!$C$11,$C11*Inputs!$C$5/12,0)</x:f>
        <x:v>860347.3807096098</x:v>
      </x:c>
      <x:c r="F11" s="24">
        <x:f>IF($B11&lt;=Inputs!$C$6,MAX(0,$D11-$E11),0)</x:f>
        <x:v>1364097.3877805662</x:v>
      </x:c>
      <x:c r="G11" s="24">
        <x:f>IF($B11&lt;=Inputs!$C$6,MAX(0,($C11-$F11))*(1-(1-Inputs!$C$8)^(1/12)),0)</x:f>
        <x:v>435462.1915122669</x:v>
      </x:c>
      <x:c r="H11" s="24">
        <x:f>IF($B11&lt;=Inputs!$C$6,MAX(0,($C11-$F11-$G11))*(1-(1-Inputs!$C$9)^(1/12)),0)</x:f>
        <x:v>213540.27247158933</x:v>
      </x:c>
      <x:c r="I11" s="24">
        <x:f>IF($B11&gt;Inputs!$C$11,INDEX($H$4:$H$1000,ROW()-Inputs!$C$11-3)*(1-Inputs!$C$10),0)</x:f>
        <x:v>97626.20972527903</x:v>
      </x:c>
      <x:c r="J11" s="24">
        <x:f>$H11*Inputs!$C$10</x:f>
        <x:v>128124.16348295359</x:v>
      </x:c>
      <x:c r="K11" s="24">
        <x:f>IF($B11&lt;=Inputs!$C$6+Inputs!$C$11,$C11*Inputs!$C$7/12,0)</x:f>
        <x:v>71695.61505913416</x:v>
      </x:c>
      <x:c r="L11" s="24">
        <x:f>IF($B11&lt;=Inputs!$C$6+Inputs!$C$11,$E11+$F11+$G11+$I11-$K11,0)</x:f>
        <x:v>2685837.5546685876</x:v>
      </x:c>
      <x:c r="M11" s="24">
        <x:f>IF($B11&lt;=Inputs!$C$6,MAX(0,$C11-$F11-$G11-$H11),0)</x:f>
        <x:v>84021638.21919656</x:v>
      </x:c>
    </x:row>
    <x:row r="12">
      <x:c r="B12" s="22" t="n">
        <x:v>9</x:v>
      </x:c>
      <x:c r="C12" s="23">
        <x:f>IF($B12&lt;=Inputs!$C$6+Inputs!$C$11,$M11,"")</x:f>
        <x:v>84021638.21919656</x:v>
      </x:c>
      <x:c r="D12" s="24">
        <x:f>IF($B12&lt;=Inputs!$C$6,-PMT(Inputs!$C$5/12,Inputs!$C$6,Inputs!$C$4),0)</x:f>
        <x:v>2224444.768490176</x:v>
      </x:c>
      <x:c r="E12" s="24">
        <x:f>IF($B12&lt;=Inputs!$C$6+Inputs!$C$11,$C12*Inputs!$C$5/12,0)</x:f>
        <x:v>840216.3821919656</x:v>
      </x:c>
      <x:c r="F12" s="24">
        <x:f>IF($B12&lt;=Inputs!$C$6,MAX(0,$D12-$E12),0)</x:f>
        <x:v>1384228.3862982106</x:v>
      </x:c>
      <x:c r="G12" s="24">
        <x:f>IF($B12&lt;=Inputs!$C$6,MAX(0,($C12-$F12))*(1-(1-Inputs!$C$8)^(1/12)),0)</x:f>
        <x:v>425005.2591592079</x:v>
      </x:c>
      <x:c r="H12" s="24">
        <x:f>IF($B12&lt;=Inputs!$C$6,MAX(0,($C12-$F12-$G12))*(1-(1-Inputs!$C$9)^(1/12)),0)</x:f>
        <x:v>208412.4422548384</x:v>
      </x:c>
      <x:c r="I12" s="24">
        <x:f>IF($B12&gt;Inputs!$C$11,INDEX($H$4:$H$1000,ROW()-Inputs!$C$11-3)*(1-Inputs!$C$10),0)</x:f>
        <x:v>95602.65202782067</x:v>
      </x:c>
      <x:c r="J12" s="24">
        <x:f>$H12*Inputs!$C$10</x:f>
        <x:v>125047.46535290303</x:v>
      </x:c>
      <x:c r="K12" s="24">
        <x:f>IF($B12&lt;=Inputs!$C$6+Inputs!$C$11,$C12*Inputs!$C$7/12,0)</x:f>
        <x:v>70018.03184933047</x:v>
      </x:c>
      <x:c r="L12" s="24">
        <x:f>IF($B12&lt;=Inputs!$C$6+Inputs!$C$11,$E12+$F12+$G12+$I12-$K12,0)</x:f>
        <x:v>2675034.6478278744</x:v>
      </x:c>
      <x:c r="M12" s="24">
        <x:f>IF($B12&lt;=Inputs!$C$6,MAX(0,$C12-$F12-$G12-$H12),0)</x:f>
        <x:v>82003992.1314843</x:v>
      </x:c>
    </x:row>
    <x:row r="13">
      <x:c r="B13" s="22" t="n">
        <x:v>10</x:v>
      </x:c>
      <x:c r="C13" s="23">
        <x:f>IF($B13&lt;=Inputs!$C$6+Inputs!$C$11,$M12,"")</x:f>
        <x:v>82003992.1314843</x:v>
      </x:c>
      <x:c r="D13" s="24">
        <x:f>IF($B13&lt;=Inputs!$C$6,-PMT(Inputs!$C$5/12,Inputs!$C$6,Inputs!$C$4),0)</x:f>
        <x:v>2224444.768490176</x:v>
      </x:c>
      <x:c r="E13" s="24">
        <x:f>IF($B13&lt;=Inputs!$C$6+Inputs!$C$11,$C13*Inputs!$C$5/12,0)</x:f>
        <x:v>820039.921314843</x:v>
      </x:c>
      <x:c r="F13" s="24">
        <x:f>IF($B13&lt;=Inputs!$C$6,MAX(0,$D13-$E13),0)</x:f>
        <x:v>1404404.8471753332</x:v>
      </x:c>
      <x:c r="G13" s="24">
        <x:f>IF($B13&lt;=Inputs!$C$6,MAX(0,($C13-$F13))*(1-(1-Inputs!$C$8)^(1/12)),0)</x:f>
        <x:v>414524.7116428346</x:v>
      </x:c>
      <x:c r="H13" s="24">
        <x:f>IF($B13&lt;=Inputs!$C$6,MAX(0,($C13-$F13-$G13))*(1-(1-Inputs!$C$9)^(1/12)),0)</x:f>
        <x:v>203273.03172524538</x:v>
      </x:c>
      <x:c r="I13" s="24">
        <x:f>IF($B13&gt;Inputs!$C$11,INDEX($H$4:$H$1000,ROW()-Inputs!$C$11-3)*(1-Inputs!$C$10),0)</x:f>
        <x:v>93574.52447718853</x:v>
      </x:c>
      <x:c r="J13" s="24">
        <x:f>$H13*Inputs!$C$10</x:f>
        <x:v>121963.81903514723</x:v>
      </x:c>
      <x:c r="K13" s="24">
        <x:f>IF($B13&lt;=Inputs!$C$6+Inputs!$C$11,$C13*Inputs!$C$7/12,0)</x:f>
        <x:v>68336.66010957025</x:v>
      </x:c>
      <x:c r="L13" s="24">
        <x:f>IF($B13&lt;=Inputs!$C$6+Inputs!$C$11,$E13+$F13+$G13+$I13-$K13,0)</x:f>
        <x:v>2664207.344500629</x:v>
      </x:c>
      <x:c r="M13" s="24">
        <x:f>IF($B13&lt;=Inputs!$C$6,MAX(0,$C13-$F13-$G13-$H13),0)</x:f>
        <x:v>79981789.5409409</x:v>
      </x:c>
    </x:row>
    <x:row r="14">
      <x:c r="B14" s="22" t="n">
        <x:v>11</x:v>
      </x:c>
      <x:c r="C14" s="23">
        <x:f>IF($B14&lt;=Inputs!$C$6+Inputs!$C$11,$M13,"")</x:f>
        <x:v>79981789.5409409</x:v>
      </x:c>
      <x:c r="D14" s="24">
        <x:f>IF($B14&lt;=Inputs!$C$6,-PMT(Inputs!$C$5/12,Inputs!$C$6,Inputs!$C$4),0)</x:f>
        <x:v>2224444.768490176</x:v>
      </x:c>
      <x:c r="E14" s="24">
        <x:f>IF($B14&lt;=Inputs!$C$6+Inputs!$C$11,$C14*Inputs!$C$5/12,0)</x:f>
        <x:v>799817.895409409</x:v>
      </x:c>
      <x:c r="F14" s="24">
        <x:f>IF($B14&lt;=Inputs!$C$6,MAX(0,$D14-$E14),0)</x:f>
        <x:v>1424626.8730807672</x:v>
      </x:c>
      <x:c r="G14" s="24">
        <x:f>IF($B14&lt;=Inputs!$C$6,MAX(0,($C14-$F14))*(1-(1-Inputs!$C$8)^(1/12)),0)</x:f>
        <x:v>404020.4956324072</x:v>
      </x:c>
      <x:c r="H14" s="24">
        <x:f>IF($B14&lt;=Inputs!$C$6,MAX(0,($C14-$F14-$G14))*(1-(1-Inputs!$C$9)^(1/12)),0)</x:f>
        <x:v>198122.0147306875</x:v>
      </x:c>
      <x:c r="I14" s="24">
        <x:f>IF($B14&gt;Inputs!$C$11,INDEX($H$4:$H$1000,ROW()-Inputs!$C$11-3)*(1-Inputs!$C$10),0)</x:f>
        <x:v>91541.81675316393</x:v>
      </x:c>
      <x:c r="J14" s="24">
        <x:f>$H14*Inputs!$C$10</x:f>
        <x:v>118873.20883841248</x:v>
      </x:c>
      <x:c r="K14" s="24">
        <x:f>IF($B14&lt;=Inputs!$C$6+Inputs!$C$11,$C14*Inputs!$C$7/12,0)</x:f>
        <x:v>66651.49128411742</x:v>
      </x:c>
      <x:c r="L14" s="24">
        <x:f>IF($B14&lt;=Inputs!$C$6+Inputs!$C$11,$E14+$F14+$G14+$I14-$K14,0)</x:f>
        <x:v>2653355.58959163</x:v>
      </x:c>
      <x:c r="M14" s="24">
        <x:f>IF($B14&lt;=Inputs!$C$6,MAX(0,$C14-$F14-$G14-$H14),0)</x:f>
        <x:v>77955020.15749703</x:v>
      </x:c>
    </x:row>
    <x:row r="15">
      <x:c r="B15" s="22" t="n">
        <x:v>12</x:v>
      </x:c>
      <x:c r="C15" s="23">
        <x:f>IF($B15&lt;=Inputs!$C$6+Inputs!$C$11,$M14,"")</x:f>
        <x:v>77955020.15749703</x:v>
      </x:c>
      <x:c r="D15" s="24">
        <x:f>IF($B15&lt;=Inputs!$C$6,-PMT(Inputs!$C$5/12,Inputs!$C$6,Inputs!$C$4),0)</x:f>
        <x:v>2224444.768490176</x:v>
      </x:c>
      <x:c r="E15" s="24">
        <x:f>IF($B15&lt;=Inputs!$C$6+Inputs!$C$11,$C15*Inputs!$C$5/12,0)</x:f>
        <x:v>779550.2015749704</x:v>
      </x:c>
      <x:c r="F15" s="24">
        <x:f>IF($B15&lt;=Inputs!$C$6,MAX(0,$D15-$E15),0)</x:f>
        <x:v>1444894.5669152057</x:v>
      </x:c>
      <x:c r="G15" s="24">
        <x:f>IF($B15&lt;=Inputs!$C$6,MAX(0,($C15-$F15))*(1-(1-Inputs!$C$8)^(1/12)),0)</x:f>
        <x:v>393492.55767674756</x:v>
      </x:c>
      <x:c r="H15" s="24">
        <x:f>IF($B15&lt;=Inputs!$C$6,MAX(0,($C15-$F15-$G15))*(1-(1-Inputs!$C$9)^(1/12)),0)</x:f>
        <x:v>192959.36505998188</x:v>
      </x:c>
      <x:c r="I15" s="24">
        <x:f>IF($B15&gt;Inputs!$C$11,INDEX($H$4:$H$1000,ROW()-Inputs!$C$11-3)*(1-Inputs!$C$10),0)</x:f>
        <x:v>89504.51851222168</x:v>
      </x:c>
      <x:c r="J15" s="24">
        <x:f>$H15*Inputs!$C$10</x:f>
        <x:v>115775.61903598912</x:v>
      </x:c>
      <x:c r="K15" s="24">
        <x:f>IF($B15&lt;=Inputs!$C$6+Inputs!$C$11,$C15*Inputs!$C$7/12,0)</x:f>
        <x:v>64962.5167979142</x:v>
      </x:c>
      <x:c r="L15" s="24">
        <x:f>IF($B15&lt;=Inputs!$C$6+Inputs!$C$11,$E15+$F15+$G15+$I15-$K15,0)</x:f>
        <x:v>2642479.327881231</x:v>
      </x:c>
      <x:c r="M15" s="24">
        <x:f>IF($B15&lt;=Inputs!$C$6,MAX(0,$C15-$F15-$G15-$H15),0)</x:f>
        <x:v>75923673.6678451</x:v>
      </x:c>
    </x:row>
    <x:row r="16">
      <x:c r="B16" s="22" t="n">
        <x:v>13</x:v>
      </x:c>
      <x:c r="C16" s="23">
        <x:f>IF($B16&lt;=Inputs!$C$6+Inputs!$C$11,$M15,"")</x:f>
        <x:v>75923673.6678451</x:v>
      </x:c>
      <x:c r="D16" s="24">
        <x:f>IF($B16&lt;=Inputs!$C$6,-PMT(Inputs!$C$5/12,Inputs!$C$6,Inputs!$C$4),0)</x:f>
        <x:v>2224444.768490176</x:v>
      </x:c>
      <x:c r="E16" s="24">
        <x:f>IF($B16&lt;=Inputs!$C$6+Inputs!$C$11,$C16*Inputs!$C$5/12,0)</x:f>
        <x:v>759236.7366784511</x:v>
      </x:c>
      <x:c r="F16" s="24">
        <x:f>IF($B16&lt;=Inputs!$C$6,MAX(0,$D16-$E16),0)</x:f>
        <x:v>1465208.031811725</x:v>
      </x:c>
      <x:c r="G16" s="24">
        <x:f>IF($B16&lt;=Inputs!$C$6,MAX(0,($C16-$F16))*(1-(1-Inputs!$C$8)^(1/12)),0)</x:f>
        <x:v>382940.84420396754</x:v>
      </x:c>
      <x:c r="H16" s="24">
        <x:f>IF($B16&lt;=Inputs!$C$6,MAX(0,($C16-$F16-$G16))*(1-(1-Inputs!$C$9)^(1/12)),0)</x:f>
        <x:v>187785.05644275233</x:v>
      </x:c>
      <x:c r="I16" s="24">
        <x:f>IF($B16&gt;Inputs!$C$11,INDEX($H$4:$H$1000,ROW()-Inputs!$C$11-3)*(1-Inputs!$C$10),0)</x:f>
        <x:v>87462.61938747762</x:v>
      </x:c>
      <x:c r="J16" s="24">
        <x:f>$H16*Inputs!$C$10</x:f>
        <x:v>112671.03386565139</x:v>
      </x:c>
      <x:c r="K16" s="24">
        <x:f>IF($B16&lt;=Inputs!$C$6+Inputs!$C$11,$C16*Inputs!$C$7/12,0)</x:f>
        <x:v>63269.728056537584</x:v>
      </x:c>
      <x:c r="L16" s="24">
        <x:f>IF($B16&lt;=Inputs!$C$6+Inputs!$C$11,$E16+$F16+$G16+$I16-$K16,0)</x:f>
        <x:v>2631578.504025084</x:v>
      </x:c>
      <x:c r="M16" s="24">
        <x:f>IF($B16&lt;=Inputs!$C$6,MAX(0,$C16-$F16-$G16-$H16),0)</x:f>
        <x:v>73887739.73538665</x:v>
      </x:c>
    </x:row>
    <x:row r="17">
      <x:c r="B17" s="22" t="n">
        <x:v>14</x:v>
      </x:c>
      <x:c r="C17" s="23">
        <x:f>IF($B17&lt;=Inputs!$C$6+Inputs!$C$11,$M16,"")</x:f>
        <x:v>73887739.73538665</x:v>
      </x:c>
      <x:c r="D17" s="24">
        <x:f>IF($B17&lt;=Inputs!$C$6,-PMT(Inputs!$C$5/12,Inputs!$C$6,Inputs!$C$4),0)</x:f>
        <x:v>2224444.768490176</x:v>
      </x:c>
      <x:c r="E17" s="24">
        <x:f>IF($B17&lt;=Inputs!$C$6+Inputs!$C$11,$C17*Inputs!$C$5/12,0)</x:f>
        <x:v>738877.3973538666</x:v>
      </x:c>
      <x:c r="F17" s="24">
        <x:f>IF($B17&lt;=Inputs!$C$6,MAX(0,$D17-$E17),0)</x:f>
        <x:v>1485567.3711363096</x:v>
      </x:c>
      <x:c r="G17" s="24">
        <x:f>IF($B17&lt;=Inputs!$C$6,MAX(0,($C17-$F17))*(1-(1-Inputs!$C$8)^(1/12)),0)</x:f>
        <x:v>372365.30152119626</x:v>
      </x:c>
      <x:c r="H17" s="24">
        <x:f>IF($B17&lt;=Inputs!$C$6,MAX(0,($C17-$F17-$G17))*(1-(1-Inputs!$C$9)^(1/12)),0)</x:f>
        <x:v>182599.0625492956</x:v>
      </x:c>
      <x:c r="I17" s="24">
        <x:f>IF($B17&gt;Inputs!$C$11,INDEX($H$4:$H$1000,ROW()-Inputs!$C$11-3)*(1-Inputs!$C$10),0)</x:f>
        <x:v>85416.10898863574</x:v>
      </x:c>
      <x:c r="J17" s="24">
        <x:f>$H17*Inputs!$C$10</x:f>
        <x:v>109559.43752957736</x:v>
      </x:c>
      <x:c r="K17" s="24">
        <x:f>IF($B17&lt;=Inputs!$C$6+Inputs!$C$11,$C17*Inputs!$C$7/12,0)</x:f>
        <x:v>61573.11644615555</x:v>
      </x:c>
      <x:c r="L17" s="24">
        <x:f>IF($B17&lt;=Inputs!$C$6+Inputs!$C$11,$E17+$F17+$G17+$I17-$K17,0)</x:f>
        <x:v>2620653.062553853</x:v>
      </x:c>
      <x:c r="M17" s="24">
        <x:f>IF($B17&lt;=Inputs!$C$6,MAX(0,$C17-$F17-$G17-$H17),0)</x:f>
        <x:v>71847208.00017986</x:v>
      </x:c>
    </x:row>
    <x:row r="18">
      <x:c r="B18" s="22" t="n">
        <x:v>15</x:v>
      </x:c>
      <x:c r="C18" s="23">
        <x:f>IF($B18&lt;=Inputs!$C$6+Inputs!$C$11,$M17,"")</x:f>
        <x:v>71847208.00017986</x:v>
      </x:c>
      <x:c r="D18" s="24">
        <x:f>IF($B18&lt;=Inputs!$C$6,-PMT(Inputs!$C$5/12,Inputs!$C$6,Inputs!$C$4),0)</x:f>
        <x:v>2224444.768490176</x:v>
      </x:c>
      <x:c r="E18" s="24">
        <x:f>IF($B18&lt;=Inputs!$C$6+Inputs!$C$11,$C18*Inputs!$C$5/12,0)</x:f>
        <x:v>718472.0800017986</x:v>
      </x:c>
      <x:c r="F18" s="24">
        <x:f>IF($B18&lt;=Inputs!$C$6,MAX(0,$D18-$E18),0)</x:f>
        <x:v>1505972.6884883777</x:v>
      </x:c>
      <x:c r="G18" s="24">
        <x:f>IF($B18&lt;=Inputs!$C$6,MAX(0,($C18-$F18))*(1-(1-Inputs!$C$8)^(1/12)),0)</x:f>
        <x:v>361765.8758143066</x:v>
      </x:c>
      <x:c r="H18" s="24">
        <x:f>IF($B18&lt;=Inputs!$C$6,MAX(0,($C18-$F18-$G18))*(1-(1-Inputs!$C$9)^(1/12)),0)</x:f>
        <x:v>177401.3569904473</x:v>
      </x:c>
      <x:c r="I18" s="24">
        <x:f>IF($B18&gt;Inputs!$C$11,INDEX($H$4:$H$1000,ROW()-Inputs!$C$11-3)*(1-Inputs!$C$10),0)</x:f>
        <x:v>83364.97690193536</x:v>
      </x:c>
      <x:c r="J18" s="24">
        <x:f>$H18*Inputs!$C$10</x:f>
        <x:v>106440.81419426837</x:v>
      </x:c>
      <x:c r="K18" s="24">
        <x:f>IF($B18&lt;=Inputs!$C$6+Inputs!$C$11,$C18*Inputs!$C$7/12,0)</x:f>
        <x:v>59872.67333348322</x:v>
      </x:c>
      <x:c r="L18" s="24">
        <x:f>IF($B18&lt;=Inputs!$C$6+Inputs!$C$11,$E18+$F18+$G18+$I18-$K18,0)</x:f>
        <x:v>2609702.947872935</x:v>
      </x:c>
      <x:c r="M18" s="24">
        <x:f>IF($B18&lt;=Inputs!$C$6,MAX(0,$C18-$F18-$G18-$H18),0)</x:f>
        <x:v>69802068.07888673</x:v>
      </x:c>
    </x:row>
    <x:row r="19">
      <x:c r="B19" s="22" t="n">
        <x:v>16</x:v>
      </x:c>
      <x:c r="C19" s="23">
        <x:f>IF($B19&lt;=Inputs!$C$6+Inputs!$C$11,$M18,"")</x:f>
        <x:v>69802068.07888673</x:v>
      </x:c>
      <x:c r="D19" s="24">
        <x:f>IF($B19&lt;=Inputs!$C$6,-PMT(Inputs!$C$5/12,Inputs!$C$6,Inputs!$C$4),0)</x:f>
        <x:v>2224444.768490176</x:v>
      </x:c>
      <x:c r="E19" s="24">
        <x:f>IF($B19&lt;=Inputs!$C$6+Inputs!$C$11,$C19*Inputs!$C$5/12,0)</x:f>
        <x:v>698020.6807888673</x:v>
      </x:c>
      <x:c r="F19" s="24">
        <x:f>IF($B19&lt;=Inputs!$C$6,MAX(0,$D19-$E19),0)</x:f>
        <x:v>1526424.087701309</x:v>
      </x:c>
      <x:c r="G19" s="24">
        <x:f>IF($B19&lt;=Inputs!$C$6,MAX(0,($C19-$F19))*(1-(1-Inputs!$C$8)^(1/12)),0)</x:f>
        <x:v>351142.5131476419</x:v>
      </x:c>
      <x:c r="H19" s="24">
        <x:f>IF($B19&lt;=Inputs!$C$6,MAX(0,($C19-$F19-$G19))*(1-(1-Inputs!$C$9)^(1/12)),0)</x:f>
        <x:v>172191.91331744776</x:v>
      </x:c>
      <x:c r="I19" s="24">
        <x:f>IF($B19&gt;Inputs!$C$11,INDEX($H$4:$H$1000,ROW()-Inputs!$C$11-3)*(1-Inputs!$C$10),0)</x:f>
        <x:v>81309.21269009815</x:v>
      </x:c>
      <x:c r="J19" s="24">
        <x:f>$H19*Inputs!$C$10</x:f>
        <x:v>103315.14799046866</x:v>
      </x:c>
      <x:c r="K19" s="24">
        <x:f>IF($B19&lt;=Inputs!$C$6+Inputs!$C$11,$C19*Inputs!$C$7/12,0)</x:f>
        <x:v>58168.390065738946</x:v>
      </x:c>
      <x:c r="L19" s="24">
        <x:f>IF($B19&lt;=Inputs!$C$6+Inputs!$C$11,$E19+$F19+$G19+$I19-$K19,0)</x:f>
        <x:v>2598728.1042621774</x:v>
      </x:c>
      <x:c r="M19" s="24">
        <x:f>IF($B19&lt;=Inputs!$C$6,MAX(0,$C19-$F19-$G19-$H19),0)</x:f>
        <x:v>67752309.56472035</x:v>
      </x:c>
    </x:row>
    <x:row r="20">
      <x:c r="B20" s="22" t="n">
        <x:v>17</x:v>
      </x:c>
      <x:c r="C20" s="23">
        <x:f>IF($B20&lt;=Inputs!$C$6+Inputs!$C$11,$M19,"")</x:f>
        <x:v>67752309.56472035</x:v>
      </x:c>
      <x:c r="D20" s="24">
        <x:f>IF($B20&lt;=Inputs!$C$6,-PMT(Inputs!$C$5/12,Inputs!$C$6,Inputs!$C$4),0)</x:f>
        <x:v>2224444.768490176</x:v>
      </x:c>
      <x:c r="E20" s="24">
        <x:f>IF($B20&lt;=Inputs!$C$6+Inputs!$C$11,$C20*Inputs!$C$5/12,0)</x:f>
        <x:v>677523.0956472035</x:v>
      </x:c>
      <x:c r="F20" s="24">
        <x:f>IF($B20&lt;=Inputs!$C$6,MAX(0,$D20-$E20),0)</x:f>
        <x:v>1546921.6728429727</x:v>
      </x:c>
      <x:c r="G20" s="24">
        <x:f>IF($B20&lt;=Inputs!$C$6,MAX(0,($C20-$F20))*(1-(1-Inputs!$C$8)^(1/12)),0)</x:f>
        <x:v>340495.1594637409</x:v>
      </x:c>
      <x:c r="H20" s="24">
        <x:f>IF($B20&lt;=Inputs!$C$6,MAX(0,($C20-$F20-$G20))*(1-(1-Inputs!$C$9)^(1/12)),0)</x:f>
        <x:v>166970.7050218073</x:v>
      </x:c>
      <x:c r="I20" s="24">
        <x:f>IF($B20&gt;Inputs!$C$11,INDEX($H$4:$H$1000,ROW()-Inputs!$C$11-3)*(1-Inputs!$C$10),0)</x:f>
        <x:v>79248.805892275</x:v>
      </x:c>
      <x:c r="J20" s="24">
        <x:f>$H20*Inputs!$C$10</x:f>
        <x:v>100182.42301308438</x:v>
      </x:c>
      <x:c r="K20" s="24">
        <x:f>IF($B20&lt;=Inputs!$C$6+Inputs!$C$11,$C20*Inputs!$C$7/12,0)</x:f>
        <x:v>56460.257970600294</x:v>
      </x:c>
      <x:c r="L20" s="24">
        <x:f>IF($B20&lt;=Inputs!$C$6+Inputs!$C$11,$E20+$F20+$G20+$I20-$K20,0)</x:f>
        <x:v>2587728.475875592</x:v>
      </x:c>
      <x:c r="M20" s="24">
        <x:f>IF($B20&lt;=Inputs!$C$6,MAX(0,$C20-$F20-$G20-$H20),0)</x:f>
        <x:v>65697922.02739183</x:v>
      </x:c>
    </x:row>
    <x:row r="21">
      <x:c r="B21" s="22" t="n">
        <x:v>18</x:v>
      </x:c>
      <x:c r="C21" s="23">
        <x:f>IF($B21&lt;=Inputs!$C$6+Inputs!$C$11,$M20,"")</x:f>
        <x:v>65697922.02739183</x:v>
      </x:c>
      <x:c r="D21" s="24">
        <x:f>IF($B21&lt;=Inputs!$C$6,-PMT(Inputs!$C$5/12,Inputs!$C$6,Inputs!$C$4),0)</x:f>
        <x:v>2224444.768490176</x:v>
      </x:c>
      <x:c r="E21" s="24">
        <x:f>IF($B21&lt;=Inputs!$C$6+Inputs!$C$11,$C21*Inputs!$C$5/12,0)</x:f>
        <x:v>656979.2202739184</x:v>
      </x:c>
      <x:c r="F21" s="24">
        <x:f>IF($B21&lt;=Inputs!$C$6,MAX(0,$D21-$E21),0)</x:f>
        <x:v>1567465.5482162577</x:v>
      </x:c>
      <x:c r="G21" s="24">
        <x:f>IF($B21&lt;=Inputs!$C$6,MAX(0,($C21-$F21))*(1-(1-Inputs!$C$8)^(1/12)),0)</x:f>
        <x:v>329823.76058306295</x:v>
      </x:c>
      <x:c r="H21" s="24">
        <x:f>IF($B21&lt;=Inputs!$C$6,MAX(0,($C21-$F21-$G21))*(1-(1-Inputs!$C$9)^(1/12)),0)</x:f>
        <x:v>161737.70553517155</x:v>
      </x:c>
      <x:c r="I21" s="24">
        <x:f>IF($B21&gt;Inputs!$C$11,INDEX($H$4:$H$1000,ROW()-Inputs!$C$11-3)*(1-Inputs!$C$10),0)</x:f>
        <x:v>77183.74602399276</x:v>
      </x:c>
      <x:c r="J21" s="24">
        <x:f>$H21*Inputs!$C$10</x:f>
        <x:v>97042.62332110293</x:v>
      </x:c>
      <x:c r="K21" s="24">
        <x:f>IF($B21&lt;=Inputs!$C$6+Inputs!$C$11,$C21*Inputs!$C$7/12,0)</x:f>
        <x:v>54748.26835615986</x:v>
      </x:c>
      <x:c r="L21" s="24">
        <x:f>IF($B21&lt;=Inputs!$C$6+Inputs!$C$11,$E21+$F21+$G21+$I21-$K21,0)</x:f>
        <x:v>2576704.006741072</x:v>
      </x:c>
      <x:c r="M21" s="24">
        <x:f>IF($B21&lt;=Inputs!$C$6,MAX(0,$C21-$F21-$G21-$H21),0)</x:f>
        <x:v>63638895.01305733</x:v>
      </x:c>
    </x:row>
    <x:row r="22">
      <x:c r="B22" s="22" t="n">
        <x:v>19</x:v>
      </x:c>
      <x:c r="C22" s="23">
        <x:f>IF($B22&lt;=Inputs!$C$6+Inputs!$C$11,$M21,"")</x:f>
        <x:v>63638895.01305733</x:v>
      </x:c>
      <x:c r="D22" s="24">
        <x:f>IF($B22&lt;=Inputs!$C$6,-PMT(Inputs!$C$5/12,Inputs!$C$6,Inputs!$C$4),0)</x:f>
        <x:v>2224444.768490176</x:v>
      </x:c>
      <x:c r="E22" s="24">
        <x:f>IF($B22&lt;=Inputs!$C$6+Inputs!$C$11,$C22*Inputs!$C$5/12,0)</x:f>
        <x:v>636388.9501305734</x:v>
      </x:c>
      <x:c r="F22" s="24">
        <x:f>IF($B22&lt;=Inputs!$C$6,MAX(0,$D22-$E22),0)</x:f>
        <x:v>1588055.8183596027</x:v>
      </x:c>
      <x:c r="G22" s="24">
        <x:f>IF($B22&lt;=Inputs!$C$6,MAX(0,($C22-$F22))*(1-(1-Inputs!$C$8)^(1/12)),0)</x:f>
        <x:v>319128.2622037126</x:v>
      </x:c>
      <x:c r="H22" s="24">
        <x:f>IF($B22&lt;=Inputs!$C$6,MAX(0,($C22-$F22-$G22))*(1-(1-Inputs!$C$9)^(1/12)),0)</x:f>
        <x:v>156492.88822918604</x:v>
      </x:c>
      <x:c r="I22" s="24">
        <x:f>IF($B22&gt;Inputs!$C$11,INDEX($H$4:$H$1000,ROW()-Inputs!$C$11-3)*(1-Inputs!$C$10),0)</x:f>
        <x:v>75114.02257710094</x:v>
      </x:c>
      <x:c r="J22" s="24">
        <x:f>$H22*Inputs!$C$10</x:f>
        <x:v>93895.73293751162</x:v>
      </x:c>
      <x:c r="K22" s="24">
        <x:f>IF($B22&lt;=Inputs!$C$6+Inputs!$C$11,$C22*Inputs!$C$7/12,0)</x:f>
        <x:v>53032.41251088111</x:v>
      </x:c>
      <x:c r="L22" s="24">
        <x:f>IF($B22&lt;=Inputs!$C$6+Inputs!$C$11,$E22+$F22+$G22+$I22-$K22,0)</x:f>
        <x:v>2565654.6407601084</x:v>
      </x:c>
      <x:c r="M22" s="24">
        <x:f>IF($B22&lt;=Inputs!$C$6,MAX(0,$C22-$F22-$G22-$H22),0)</x:f>
        <x:v>61575218.04426482</x:v>
      </x:c>
    </x:row>
    <x:row r="23">
      <x:c r="B23" s="22" t="n">
        <x:v>20</x:v>
      </x:c>
      <x:c r="C23" s="23">
        <x:f>IF($B23&lt;=Inputs!$C$6+Inputs!$C$11,$M22,"")</x:f>
        <x:v>61575218.04426482</x:v>
      </x:c>
      <x:c r="D23" s="24">
        <x:f>IF($B23&lt;=Inputs!$C$6,-PMT(Inputs!$C$5/12,Inputs!$C$6,Inputs!$C$4),0)</x:f>
        <x:v>2224444.768490176</x:v>
      </x:c>
      <x:c r="E23" s="24">
        <x:f>IF($B23&lt;=Inputs!$C$6+Inputs!$C$11,$C23*Inputs!$C$5/12,0)</x:f>
        <x:v>615752.1804426482</x:v>
      </x:c>
      <x:c r="F23" s="24">
        <x:f>IF($B23&lt;=Inputs!$C$6,MAX(0,$D23-$E23),0)</x:f>
        <x:v>1608692.588047528</x:v>
      </x:c>
      <x:c r="G23" s="24">
        <x:f>IF($B23&lt;=Inputs!$C$6,MAX(0,($C23-$F23))*(1-(1-Inputs!$C$8)^(1/12)),0)</x:f>
        <x:v>308408.6099011629</x:v>
      </x:c>
      <x:c r="H23" s="24">
        <x:f>IF($B23&lt;=Inputs!$C$6,MAX(0,($C23-$F23-$G23))*(1-(1-Inputs!$C$9)^(1/12)),0)</x:f>
        <x:v>151236.22641536087</x:v>
      </x:c>
      <x:c r="I23" s="24">
        <x:f>IF($B23&gt;Inputs!$C$11,INDEX($H$4:$H$1000,ROW()-Inputs!$C$11-3)*(1-Inputs!$C$10),0)</x:f>
        <x:v>73039.62501971824</x:v>
      </x:c>
      <x:c r="J23" s="24">
        <x:f>$H23*Inputs!$C$10</x:f>
        <x:v>90741.73584921652</x:v>
      </x:c>
      <x:c r="K23" s="24">
        <x:f>IF($B23&lt;=Inputs!$C$6+Inputs!$C$11,$C23*Inputs!$C$7/12,0)</x:f>
        <x:v>51312.68170355402</x:v>
      </x:c>
      <x:c r="L23" s="24">
        <x:f>IF($B23&lt;=Inputs!$C$6+Inputs!$C$11,$E23+$F23+$G23+$I23-$K23,0)</x:f>
        <x:v>2554580.3217075034</x:v>
      </x:c>
      <x:c r="M23" s="24">
        <x:f>IF($B23&lt;=Inputs!$C$6,MAX(0,$C23-$F23-$G23-$H23),0)</x:f>
        <x:v>59506880.61990078</x:v>
      </x:c>
    </x:row>
    <x:row r="24">
      <x:c r="B24" s="22" t="n">
        <x:v>21</x:v>
      </x:c>
      <x:c r="C24" s="23">
        <x:f>IF($B24&lt;=Inputs!$C$6+Inputs!$C$11,$M23,"")</x:f>
        <x:v>59506880.61990078</x:v>
      </x:c>
      <x:c r="D24" s="24">
        <x:f>IF($B24&lt;=Inputs!$C$6,-PMT(Inputs!$C$5/12,Inputs!$C$6,Inputs!$C$4),0)</x:f>
        <x:v>2224444.768490176</x:v>
      </x:c>
      <x:c r="E24" s="24">
        <x:f>IF($B24&lt;=Inputs!$C$6+Inputs!$C$11,$C24*Inputs!$C$5/12,0)</x:f>
        <x:v>595068.8061990078</x:v>
      </x:c>
      <x:c r="F24" s="24">
        <x:f>IF($B24&lt;=Inputs!$C$6,MAX(0,$D24-$E24),0)</x:f>
        <x:v>1629375.9622911685</x:v>
      </x:c>
      <x:c r="G24" s="24">
        <x:f>IF($B24&lt;=Inputs!$C$6,MAX(0,($C24-$F24))*(1-(1-Inputs!$C$8)^(1/12)),0)</x:f>
        <x:v>297664.7491279786</x:v>
      </x:c>
      <x:c r="H24" s="24">
        <x:f>IF($B24&lt;=Inputs!$C$6,MAX(0,($C24-$F24-$G24))*(1-(1-Inputs!$C$9)^(1/12)),0)</x:f>
        <x:v>145967.69334493479</x:v>
      </x:c>
      <x:c r="I24" s="24">
        <x:f>IF($B24&gt;Inputs!$C$11,INDEX($H$4:$H$1000,ROW()-Inputs!$C$11-3)*(1-Inputs!$C$10),0)</x:f>
        <x:v>70960.54279617892</x:v>
      </x:c>
      <x:c r="J24" s="24">
        <x:f>$H24*Inputs!$C$10</x:f>
        <x:v>87580.61600696087</x:v>
      </x:c>
      <x:c r="K24" s="24">
        <x:f>IF($B24&lt;=Inputs!$C$6+Inputs!$C$11,$C24*Inputs!$C$7/12,0)</x:f>
        <x:v>49589.06718325065</x:v>
      </x:c>
      <x:c r="L24" s="24">
        <x:f>IF($B24&lt;=Inputs!$C$6+Inputs!$C$11,$E24+$F24+$G24+$I24-$K24,0)</x:f>
        <x:v>2543480.993231083</x:v>
      </x:c>
      <x:c r="M24" s="24">
        <x:f>IF($B24&lt;=Inputs!$C$6,MAX(0,$C24-$F24-$G24-$H24),0)</x:f>
        <x:v>57433872.2151367</x:v>
      </x:c>
    </x:row>
    <x:row r="25">
      <x:c r="B25" s="22" t="n">
        <x:v>22</x:v>
      </x:c>
      <x:c r="C25" s="23">
        <x:f>IF($B25&lt;=Inputs!$C$6+Inputs!$C$11,$M24,"")</x:f>
        <x:v>57433872.2151367</x:v>
      </x:c>
      <x:c r="D25" s="24">
        <x:f>IF($B25&lt;=Inputs!$C$6,-PMT(Inputs!$C$5/12,Inputs!$C$6,Inputs!$C$4),0)</x:f>
        <x:v>2224444.768490176</x:v>
      </x:c>
      <x:c r="E25" s="24">
        <x:f>IF($B25&lt;=Inputs!$C$6+Inputs!$C$11,$C25*Inputs!$C$5/12,0)</x:f>
        <x:v>574338.722151367</x:v>
      </x:c>
      <x:c r="F25" s="24">
        <x:f>IF($B25&lt;=Inputs!$C$6,MAX(0,$D25-$E25),0)</x:f>
        <x:v>1650106.0463388092</x:v>
      </x:c>
      <x:c r="G25" s="24">
        <x:f>IF($B25&lt;=Inputs!$C$6,MAX(0,($C25-$F25))*(1-(1-Inputs!$C$8)^(1/12)),0)</x:f>
        <x:v>286896.6252135383</x:v>
      </x:c>
      <x:c r="H25" s="24">
        <x:f>IF($B25&lt;=Inputs!$C$6,MAX(0,($C25-$F25-$G25))*(1-(1-Inputs!$C$9)^(1/12)),0)</x:f>
        <x:v>140687.262208739</x:v>
      </x:c>
      <x:c r="I25" s="24">
        <x:f>IF($B25&gt;Inputs!$C$11,INDEX($H$4:$H$1000,ROW()-Inputs!$C$11-3)*(1-Inputs!$C$10),0)</x:f>
        <x:v>68876.7653269791</x:v>
      </x:c>
      <x:c r="J25" s="24">
        <x:f>$H25*Inputs!$C$10</x:f>
        <x:v>84412.3573252434</x:v>
      </x:c>
      <x:c r="K25" s="24">
        <x:f>IF($B25&lt;=Inputs!$C$6+Inputs!$C$11,$C25*Inputs!$C$7/12,0)</x:f>
        <x:v>47861.56017928058</x:v>
      </x:c>
      <x:c r="L25" s="24">
        <x:f>IF($B25&lt;=Inputs!$C$6+Inputs!$C$11,$E25+$F25+$G25+$I25-$K25,0)</x:f>
        <x:v>2532356.598851413</x:v>
      </x:c>
      <x:c r="M25" s="24">
        <x:f>IF($B25&lt;=Inputs!$C$6,MAX(0,$C25-$F25-$G25-$H25),0)</x:f>
        <x:v>55356182.28137561</x:v>
      </x:c>
    </x:row>
    <x:row r="26">
      <x:c r="B26" s="22" t="n">
        <x:v>23</x:v>
      </x:c>
      <x:c r="C26" s="23">
        <x:f>IF($B26&lt;=Inputs!$C$6+Inputs!$C$11,$M25,"")</x:f>
        <x:v>55356182.28137561</x:v>
      </x:c>
      <x:c r="D26" s="24">
        <x:f>IF($B26&lt;=Inputs!$C$6,-PMT(Inputs!$C$5/12,Inputs!$C$6,Inputs!$C$4),0)</x:f>
        <x:v>2224444.768490176</x:v>
      </x:c>
      <x:c r="E26" s="24">
        <x:f>IF($B26&lt;=Inputs!$C$6+Inputs!$C$11,$C26*Inputs!$C$5/12,0)</x:f>
        <x:v>553561.8228137561</x:v>
      </x:c>
      <x:c r="F26" s="24">
        <x:f>IF($B26&lt;=Inputs!$C$6,MAX(0,$D26-$E26),0)</x:f>
        <x:v>1670882.9456764201</x:v>
      </x:c>
      <x:c r="G26" s="24">
        <x:f>IF($B26&lt;=Inputs!$C$6,MAX(0,($C26-$F26))*(1-(1-Inputs!$C$8)^(1/12)),0)</x:f>
        <x:v>276104.1833637568</x:v>
      </x:c>
      <x:c r="H26" s="24">
        <x:f>IF($B26&lt;=Inputs!$C$6,MAX(0,($C26-$F26-$G26))*(1-(1-Inputs!$C$9)^(1/12)),0)</x:f>
        <x:v>135394.90613706107</x:v>
      </x:c>
      <x:c r="I26" s="24">
        <x:f>IF($B26&gt;Inputs!$C$11,INDEX($H$4:$H$1000,ROW()-Inputs!$C$11-3)*(1-Inputs!$C$10),0)</x:f>
        <x:v>66788.28200872293</x:v>
      </x:c>
      <x:c r="J26" s="24">
        <x:f>$H26*Inputs!$C$10</x:f>
        <x:v>81236.94368223664</x:v>
      </x:c>
      <x:c r="K26" s="24">
        <x:f>IF($B26&lt;=Inputs!$C$6+Inputs!$C$11,$C26*Inputs!$C$7/12,0)</x:f>
        <x:v>46130.151901146346</x:v>
      </x:c>
      <x:c r="L26" s="24">
        <x:f>IF($B26&lt;=Inputs!$C$6+Inputs!$C$11,$E26+$F26+$G26+$I26-$K26,0)</x:f>
        <x:v>2521207.0819615093</x:v>
      </x:c>
      <x:c r="M26" s="24">
        <x:f>IF($B26&lt;=Inputs!$C$6,MAX(0,$C26-$F26-$G26-$H26),0)</x:f>
        <x:v>53273800.24619836</x:v>
      </x:c>
    </x:row>
    <x:row r="27">
      <x:c r="B27" s="22" t="n">
        <x:v>24</x:v>
      </x:c>
      <x:c r="C27" s="23">
        <x:f>IF($B27&lt;=Inputs!$C$6+Inputs!$C$11,$M26,"")</x:f>
        <x:v>53273800.24619836</x:v>
      </x:c>
      <x:c r="D27" s="24">
        <x:f>IF($B27&lt;=Inputs!$C$6,-PMT(Inputs!$C$5/12,Inputs!$C$6,Inputs!$C$4),0)</x:f>
        <x:v>2224444.768490176</x:v>
      </x:c>
      <x:c r="E27" s="24">
        <x:f>IF($B27&lt;=Inputs!$C$6+Inputs!$C$11,$C27*Inputs!$C$5/12,0)</x:f>
        <x:v>532738.0024619836</x:v>
      </x:c>
      <x:c r="F27" s="24">
        <x:f>IF($B27&lt;=Inputs!$C$6,MAX(0,$D27-$E27),0)</x:f>
        <x:v>1691706.7660281926</x:v>
      </x:c>
      <x:c r="G27" s="24">
        <x:f>IF($B27&lt;=Inputs!$C$6,MAX(0,($C27-$F27))*(1-(1-Inputs!$C$8)^(1/12)),0)</x:f>
        <x:v>265287.3686608059</x:v>
      </x:c>
      <x:c r="H27" s="24">
        <x:f>IF($B27&lt;=Inputs!$C$6,MAX(0,($C27-$F27-$G27))*(1-(1-Inputs!$C$9)^(1/12)),0)</x:f>
        <x:v>130090.59819950788</x:v>
      </x:c>
      <x:c r="I27" s="24">
        <x:f>IF($B27&gt;Inputs!$C$11,INDEX($H$4:$H$1000,ROW()-Inputs!$C$11-3)*(1-Inputs!$C$10),0)</x:f>
        <x:v>64695.08221406862</x:v>
      </x:c>
      <x:c r="J27" s="24">
        <x:f>$H27*Inputs!$C$10</x:f>
        <x:v>78054.35891970473</x:v>
      </x:c>
      <x:c r="K27" s="24">
        <x:f>IF($B27&lt;=Inputs!$C$6+Inputs!$C$11,$C27*Inputs!$C$7/12,0)</x:f>
        <x:v>44394.83353849864</x:v>
      </x:c>
      <x:c r="L27" s="24">
        <x:f>IF($B27&lt;=Inputs!$C$6+Inputs!$C$11,$E27+$F27+$G27+$I27-$K27,0)</x:f>
        <x:v>2510032.385826552</x:v>
      </x:c>
      <x:c r="M27" s="24">
        <x:f>IF($B27&lt;=Inputs!$C$6,MAX(0,$C27-$F27-$G27-$H27),0)</x:f>
        <x:v>51186715.51330985</x:v>
      </x:c>
    </x:row>
    <x:row r="28">
      <x:c r="B28" s="22" t="n">
        <x:v>25</x:v>
      </x:c>
      <x:c r="C28" s="23">
        <x:f>IF($B28&lt;=Inputs!$C$6+Inputs!$C$11,$M27,"")</x:f>
        <x:v>51186715.51330985</x:v>
      </x:c>
      <x:c r="D28" s="24">
        <x:f>IF($B28&lt;=Inputs!$C$6,-PMT(Inputs!$C$5/12,Inputs!$C$6,Inputs!$C$4),0)</x:f>
        <x:v>2224444.768490176</x:v>
      </x:c>
      <x:c r="E28" s="24">
        <x:f>IF($B28&lt;=Inputs!$C$6+Inputs!$C$11,$C28*Inputs!$C$5/12,0)</x:f>
        <x:v>511867.15513309854</x:v>
      </x:c>
      <x:c r="F28" s="24">
        <x:f>IF($B28&lt;=Inputs!$C$6,MAX(0,$D28-$E28),0)</x:f>
        <x:v>1712577.6133570776</x:v>
      </x:c>
      <x:c r="G28" s="24">
        <x:f>IF($B28&lt;=Inputs!$C$6,MAX(0,($C28-$F28))*(1-(1-Inputs!$C$8)^(1/12)),0)</x:f>
        <x:v>254446.12606283507</x:v>
      </x:c>
      <x:c r="H28" s="24">
        <x:f>IF($B28&lt;=Inputs!$C$6,MAX(0,($C28-$F28-$G28))*(1-(1-Inputs!$C$9)^(1/12)),0)</x:f>
        <x:v>124774.31140486873</x:v>
      </x:c>
      <x:c r="I28" s="24">
        <x:f>IF($B28&gt;Inputs!$C$11,INDEX($H$4:$H$1000,ROW()-Inputs!$C$11-3)*(1-Inputs!$C$10),0)</x:f>
        <x:v>62597.15529167442</x:v>
      </x:c>
      <x:c r="J28" s="24">
        <x:f>$H28*Inputs!$C$10</x:f>
        <x:v>74864.58684292123</x:v>
      </x:c>
      <x:c r="K28" s="24">
        <x:f>IF($B28&lt;=Inputs!$C$6+Inputs!$C$11,$C28*Inputs!$C$7/12,0)</x:f>
        <x:v>42655.596261091545</x:v>
      </x:c>
      <x:c r="L28" s="24">
        <x:f>IF($B28&lt;=Inputs!$C$6+Inputs!$C$11,$E28+$F28+$G28+$I28-$K28,0)</x:f>
        <x:v>2498832.453583594</x:v>
      </x:c>
      <x:c r="M28" s="24">
        <x:f>IF($B28&lt;=Inputs!$C$6,MAX(0,$C28-$F28-$G28-$H28),0)</x:f>
        <x:v>49094917.462485075</x:v>
      </x:c>
    </x:row>
    <x:row r="29">
      <x:c r="B29" s="22" t="n">
        <x:v>26</x:v>
      </x:c>
      <x:c r="C29" s="23">
        <x:f>IF($B29&lt;=Inputs!$C$6+Inputs!$C$11,$M28,"")</x:f>
        <x:v>49094917.462485075</x:v>
      </x:c>
      <x:c r="D29" s="24">
        <x:f>IF($B29&lt;=Inputs!$C$6,-PMT(Inputs!$C$5/12,Inputs!$C$6,Inputs!$C$4),0)</x:f>
        <x:v>2224444.768490176</x:v>
      </x:c>
      <x:c r="E29" s="24">
        <x:f>IF($B29&lt;=Inputs!$C$6+Inputs!$C$11,$C29*Inputs!$C$5/12,0)</x:f>
        <x:v>490949.17462485074</x:v>
      </x:c>
      <x:c r="F29" s="24">
        <x:f>IF($B29&lt;=Inputs!$C$6,MAX(0,$D29-$E29),0)</x:f>
        <x:v>1733495.5938653254</x:v>
      </x:c>
      <x:c r="G29" s="24">
        <x:f>IF($B29&lt;=Inputs!$C$6,MAX(0,($C29-$F29))*(1-(1-Inputs!$C$8)^(1/12)),0)</x:f>
        <x:v>243580.40040369125</x:v>
      </x:c>
      <x:c r="H29" s="24">
        <x:f>IF($B29&lt;=Inputs!$C$6,MAX(0,($C29-$F29-$G29))*(1-(1-Inputs!$C$9)^(1/12)),0)</x:f>
        <x:v>119446.01870097792</x:v>
      </x:c>
      <x:c r="I29" s="24">
        <x:f>IF($B29&gt;Inputs!$C$11,INDEX($H$4:$H$1000,ROW()-Inputs!$C$11-3)*(1-Inputs!$C$10),0)</x:f>
        <x:v>60494.49056614435</x:v>
      </x:c>
      <x:c r="J29" s="24">
        <x:f>$H29*Inputs!$C$10</x:f>
        <x:v>71667.61122058675</x:v>
      </x:c>
      <x:c r="K29" s="24">
        <x:f>IF($B29&lt;=Inputs!$C$6+Inputs!$C$11,$C29*Inputs!$C$7/12,0)</x:f>
        <x:v>40912.43121873756</x:v>
      </x:c>
      <x:c r="L29" s="24">
        <x:f>IF($B29&lt;=Inputs!$C$6+Inputs!$C$11,$E29+$F29+$G29+$I29-$K29,0)</x:f>
        <x:v>2487607.228241274</x:v>
      </x:c>
      <x:c r="M29" s="24">
        <x:f>IF($B29&lt;=Inputs!$C$6,MAX(0,$C29-$F29-$G29-$H29),0)</x:f>
        <x:v>46998395.449515074</x:v>
      </x:c>
    </x:row>
    <x:row r="30">
      <x:c r="B30" s="22" t="n">
        <x:v>27</x:v>
      </x:c>
      <x:c r="C30" s="23">
        <x:f>IF($B30&lt;=Inputs!$C$6+Inputs!$C$11,$M29,"")</x:f>
        <x:v>46998395.449515074</x:v>
      </x:c>
      <x:c r="D30" s="24">
        <x:f>IF($B30&lt;=Inputs!$C$6,-PMT(Inputs!$C$5/12,Inputs!$C$6,Inputs!$C$4),0)</x:f>
        <x:v>2224444.768490176</x:v>
      </x:c>
      <x:c r="E30" s="24">
        <x:f>IF($B30&lt;=Inputs!$C$6+Inputs!$C$11,$C30*Inputs!$C$5/12,0)</x:f>
        <x:v>469983.95449515077</x:v>
      </x:c>
      <x:c r="F30" s="24">
        <x:f>IF($B30&lt;=Inputs!$C$6,MAX(0,$D30-$E30),0)</x:f>
        <x:v>1754460.8139950254</x:v>
      </x:c>
      <x:c r="G30" s="24">
        <x:f>IF($B30&lt;=Inputs!$C$6,MAX(0,($C30-$F30))*(1-(1-Inputs!$C$8)^(1/12)),0)</x:f>
        <x:v>232690.13639263823</x:v>
      </x:c>
      <x:c r="H30" s="24">
        <x:f>IF($B30&lt;=Inputs!$C$6,MAX(0,($C30-$F30-$G30))*(1-(1-Inputs!$C$9)^(1/12)),0)</x:f>
        <x:v>114105.69297457718</x:v>
      </x:c>
      <x:c r="I30" s="24">
        <x:f>IF($B30&gt;Inputs!$C$11,INDEX($H$4:$H$1000,ROW()-Inputs!$C$11-3)*(1-Inputs!$C$10),0)</x:f>
        <x:v>58387.07733797392</x:v>
      </x:c>
      <x:c r="J30" s="24">
        <x:f>$H30*Inputs!$C$10</x:f>
        <x:v>68463.4157847463</x:v>
      </x:c>
      <x:c r="K30" s="24">
        <x:f>IF($B30&lt;=Inputs!$C$6+Inputs!$C$11,$C30*Inputs!$C$7/12,0)</x:f>
        <x:v>39165.32954126257</x:v>
      </x:c>
      <x:c r="L30" s="24">
        <x:f>IF($B30&lt;=Inputs!$C$6+Inputs!$C$11,$E30+$F30+$G30+$I30-$K30,0)</x:f>
        <x:v>2476356.6526795253</x:v>
      </x:c>
      <x:c r="M30" s="24">
        <x:f>IF($B30&lt;=Inputs!$C$6,MAX(0,$C30-$F30-$G30-$H30),0)</x:f>
        <x:v>44897138.806152835</x:v>
      </x:c>
    </x:row>
    <x:row r="31">
      <x:c r="B31" s="22" t="n">
        <x:v>28</x:v>
      </x:c>
      <x:c r="C31" s="23">
        <x:f>IF($B31&lt;=Inputs!$C$6+Inputs!$C$11,$M30,"")</x:f>
        <x:v>44897138.806152835</x:v>
      </x:c>
      <x:c r="D31" s="24">
        <x:f>IF($B31&lt;=Inputs!$C$6,-PMT(Inputs!$C$5/12,Inputs!$C$6,Inputs!$C$4),0)</x:f>
        <x:v>2224444.768490176</x:v>
      </x:c>
      <x:c r="E31" s="24">
        <x:f>IF($B31&lt;=Inputs!$C$6+Inputs!$C$11,$C31*Inputs!$C$5/12,0)</x:f>
        <x:v>448971.3880615284</x:v>
      </x:c>
      <x:c r="F31" s="24">
        <x:f>IF($B31&lt;=Inputs!$C$6,MAX(0,$D31-$E31),0)</x:f>
        <x:v>1775473.3804286479</x:v>
      </x:c>
      <x:c r="G31" s="24">
        <x:f>IF($B31&lt;=Inputs!$C$6,MAX(0,($C31-$F31))*(1-(1-Inputs!$C$8)^(1/12)),0)</x:f>
        <x:v>221775.2786140754</x:v>
      </x:c>
      <x:c r="H31" s="24">
        <x:f>IF($B31&lt;=Inputs!$C$6,MAX(0,($C31-$F31-$G31))*(1-(1-Inputs!$C$9)^(1/12)),0)</x:f>
        <x:v>108753.30705117768</x:v>
      </x:c>
      <x:c r="I31" s="24">
        <x:f>IF($B31&gt;Inputs!$C$11,INDEX($H$4:$H$1000,ROW()-Inputs!$C$11-3)*(1-Inputs!$C$10),0)</x:f>
        <x:v>56274.904883495605</x:v>
      </x:c>
      <x:c r="J31" s="24">
        <x:f>$H31*Inputs!$C$10</x:f>
        <x:v>65251.9842307066</x:v>
      </x:c>
      <x:c r="K31" s="24">
        <x:f>IF($B31&lt;=Inputs!$C$6+Inputs!$C$11,$C31*Inputs!$C$7/12,0)</x:f>
        <x:v>37414.282338460696</x:v>
      </x:c>
      <x:c r="L31" s="24">
        <x:f>IF($B31&lt;=Inputs!$C$6+Inputs!$C$11,$E31+$F31+$G31+$I31-$K31,0)</x:f>
        <x:v>2465080.669649286</x:v>
      </x:c>
      <x:c r="M31" s="24">
        <x:f>IF($B31&lt;=Inputs!$C$6,MAX(0,$C31-$F31-$G31-$H31),0)</x:f>
        <x:v>42791136.84005894</x:v>
      </x:c>
    </x:row>
    <x:row r="32">
      <x:c r="B32" s="22" t="n">
        <x:v>29</x:v>
      </x:c>
      <x:c r="C32" s="23">
        <x:f>IF($B32&lt;=Inputs!$C$6+Inputs!$C$11,$M31,"")</x:f>
        <x:v>42791136.84005894</x:v>
      </x:c>
      <x:c r="D32" s="24">
        <x:f>IF($B32&lt;=Inputs!$C$6,-PMT(Inputs!$C$5/12,Inputs!$C$6,Inputs!$C$4),0)</x:f>
        <x:v>2224444.768490176</x:v>
      </x:c>
      <x:c r="E32" s="24">
        <x:f>IF($B32&lt;=Inputs!$C$6+Inputs!$C$11,$C32*Inputs!$C$5/12,0)</x:f>
        <x:v>427911.3684005894</x:v>
      </x:c>
      <x:c r="F32" s="24">
        <x:f>IF($B32&lt;=Inputs!$C$6,MAX(0,$D32-$E32),0)</x:f>
        <x:v>1796533.4000895869</x:v>
      </x:c>
      <x:c r="G32" s="24">
        <x:f>IF($B32&lt;=Inputs!$C$6,MAX(0,($C32-$F32))*(1-(1-Inputs!$C$8)^(1/12)),0)</x:f>
        <x:v>210835.77152725548</x:v>
      </x:c>
      <x:c r="H32" s="24">
        <x:f>IF($B32&lt;=Inputs!$C$6,MAX(0,($C32-$F32-$G32))*(1-(1-Inputs!$C$9)^(1/12)),0)</x:f>
        <x:v>103388.83369492168</x:v>
      </x:c>
      <x:c r="I32" s="24">
        <x:f>IF($B32&gt;Inputs!$C$11,INDEX($H$4:$H$1000,ROW()-Inputs!$C$11-3)*(1-Inputs!$C$10),0)</x:f>
        <x:v>54157.96245482443</x:v>
      </x:c>
      <x:c r="J32" s="24">
        <x:f>$H32*Inputs!$C$10</x:f>
        <x:v>62033.300216953</x:v>
      </x:c>
      <x:c r="K32" s="24">
        <x:f>IF($B32&lt;=Inputs!$C$6+Inputs!$C$11,$C32*Inputs!$C$7/12,0)</x:f>
        <x:v>35659.280700049116</x:v>
      </x:c>
      <x:c r="L32" s="24">
        <x:f>IF($B32&lt;=Inputs!$C$6+Inputs!$C$11,$E32+$F32+$G32+$I32-$K32,0)</x:f>
        <x:v>2453779.221772207</x:v>
      </x:c>
      <x:c r="M32" s="24">
        <x:f>IF($B32&lt;=Inputs!$C$6,MAX(0,$C32-$F32-$G32-$H32),0)</x:f>
        <x:v>40680378.83474718</x:v>
      </x:c>
    </x:row>
    <x:row r="33">
      <x:c r="B33" s="22" t="n">
        <x:v>30</x:v>
      </x:c>
      <x:c r="C33" s="23">
        <x:f>IF($B33&lt;=Inputs!$C$6+Inputs!$C$11,$M32,"")</x:f>
        <x:v>40680378.83474718</x:v>
      </x:c>
      <x:c r="D33" s="24">
        <x:f>IF($B33&lt;=Inputs!$C$6,-PMT(Inputs!$C$5/12,Inputs!$C$6,Inputs!$C$4),0)</x:f>
        <x:v>2224444.768490176</x:v>
      </x:c>
      <x:c r="E33" s="24">
        <x:f>IF($B33&lt;=Inputs!$C$6+Inputs!$C$11,$C33*Inputs!$C$5/12,0)</x:f>
        <x:v>406803.7883474718</x:v>
      </x:c>
      <x:c r="F33" s="24">
        <x:f>IF($B33&lt;=Inputs!$C$6,MAX(0,$D33-$E33),0)</x:f>
        <x:v>1817640.9801427044</x:v>
      </x:c>
      <x:c r="G33" s="24">
        <x:f>IF($B33&lt;=Inputs!$C$6,MAX(0,($C33-$F33))*(1-(1-Inputs!$C$8)^(1/12)),0)</x:f>
        <x:v>199871.55946600216</x:v>
      </x:c>
      <x:c r="H33" s="24">
        <x:f>IF($B33&lt;=Inputs!$C$6,MAX(0,($C33-$F33-$G33))*(1-(1-Inputs!$C$9)^(1/12)),0)</x:f>
        <x:v>98012.24560844398</x:v>
      </x:c>
      <x:c r="I33" s="24">
        <x:f>IF($B33&gt;Inputs!$C$11,INDEX($H$4:$H$1000,ROW()-Inputs!$C$11-3)*(1-Inputs!$C$10),0)</x:f>
        <x:v>52036.23927980315</x:v>
      </x:c>
      <x:c r="J33" s="24">
        <x:f>$H33*Inputs!$C$10</x:f>
        <x:v>58807.34736506639</x:v>
      </x:c>
      <x:c r="K33" s="24">
        <x:f>IF($B33&lt;=Inputs!$C$6+Inputs!$C$11,$C33*Inputs!$C$7/12,0)</x:f>
        <x:v>33900.31569562265</x:v>
      </x:c>
      <x:c r="L33" s="24">
        <x:f>IF($B33&lt;=Inputs!$C$6+Inputs!$C$11,$E33+$F33+$G33+$I33-$K33,0)</x:f>
        <x:v>2442452.251540359</x:v>
      </x:c>
      <x:c r="M33" s="24">
        <x:f>IF($B33&lt;=Inputs!$C$6,MAX(0,$C33-$F33-$G33-$H33),0)</x:f>
        <x:v>38564854.04953003</x:v>
      </x:c>
    </x:row>
    <x:row r="34">
      <x:c r="B34" s="22" t="n">
        <x:v>31</x:v>
      </x:c>
      <x:c r="C34" s="23">
        <x:f>IF($B34&lt;=Inputs!$C$6+Inputs!$C$11,$M33,"")</x:f>
        <x:v>38564854.04953003</x:v>
      </x:c>
      <x:c r="D34" s="24">
        <x:f>IF($B34&lt;=Inputs!$C$6,-PMT(Inputs!$C$5/12,Inputs!$C$6,Inputs!$C$4),0)</x:f>
        <x:v>2224444.768490176</x:v>
      </x:c>
      <x:c r="E34" s="24">
        <x:f>IF($B34&lt;=Inputs!$C$6+Inputs!$C$11,$C34*Inputs!$C$5/12,0)</x:f>
        <x:v>385648.5404953003</x:v>
      </x:c>
      <x:c r="F34" s="24">
        <x:f>IF($B34&lt;=Inputs!$C$6,MAX(0,$D34-$E34),0)</x:f>
        <x:v>1838796.227994876</x:v>
      </x:c>
      <x:c r="G34" s="24">
        <x:f>IF($B34&lt;=Inputs!$C$6,MAX(0,($C34-$F34))*(1-(1-Inputs!$C$8)^(1/12)),0)</x:f>
        <x:v>188882.5866384268</x:v>
      </x:c>
      <x:c r="H34" s="24">
        <x:f>IF($B34&lt;=Inputs!$C$6,MAX(0,($C34-$F34-$G34))*(1-(1-Inputs!$C$9)^(1/12)),0)</x:f>
        <x:v>92623.51543273311</x:v>
      </x:c>
      <x:c r="I34" s="24">
        <x:f>IF($B34&gt;Inputs!$C$11,INDEX($H$4:$H$1000,ROW()-Inputs!$C$11-3)*(1-Inputs!$C$10),0)</x:f>
        <x:v>49909.72456194749</x:v>
      </x:c>
      <x:c r="J34" s="24">
        <x:f>$H34*Inputs!$C$10</x:f>
        <x:v>55574.10925963987</x:v>
      </x:c>
      <x:c r="K34" s="24">
        <x:f>IF($B34&lt;=Inputs!$C$6+Inputs!$C$11,$C34*Inputs!$C$7/12,0)</x:f>
        <x:v>32137.37837460836</x:v>
      </x:c>
      <x:c r="L34" s="24">
        <x:f>IF($B34&lt;=Inputs!$C$6+Inputs!$C$11,$E34+$F34+$G34+$I34-$K34,0)</x:f>
        <x:v>2431099.701315942</x:v>
      </x:c>
      <x:c r="M34" s="24">
        <x:f>IF($B34&lt;=Inputs!$C$6,MAX(0,$C34-$F34-$G34-$H34),0)</x:f>
        <x:v>36444551.719464</x:v>
      </x:c>
    </x:row>
    <x:row r="35">
      <x:c r="B35" s="22" t="n">
        <x:v>32</x:v>
      </x:c>
      <x:c r="C35" s="23">
        <x:f>IF($B35&lt;=Inputs!$C$6+Inputs!$C$11,$M34,"")</x:f>
        <x:v>36444551.719464</x:v>
      </x:c>
      <x:c r="D35" s="24">
        <x:f>IF($B35&lt;=Inputs!$C$6,-PMT(Inputs!$C$5/12,Inputs!$C$6,Inputs!$C$4),0)</x:f>
        <x:v>2224444.768490176</x:v>
      </x:c>
      <x:c r="E35" s="24">
        <x:f>IF($B35&lt;=Inputs!$C$6+Inputs!$C$11,$C35*Inputs!$C$5/12,0)</x:f>
        <x:v>364445.51719463995</x:v>
      </x:c>
      <x:c r="F35" s="24">
        <x:f>IF($B35&lt;=Inputs!$C$6,MAX(0,$D35-$E35),0)</x:f>
        <x:v>1859999.2512955363</x:v>
      </x:c>
      <x:c r="G35" s="24">
        <x:f>IF($B35&lt;=Inputs!$C$6,MAX(0,($C35-$F35))*(1-(1-Inputs!$C$8)^(1/12)),0)</x:f>
        <x:v>177868.79712664435</x:v>
      </x:c>
      <x:c r="H35" s="24">
        <x:f>IF($B35&lt;=Inputs!$C$6,MAX(0,($C35-$F35-$G35))*(1-(1-Inputs!$C$9)^(1/12)),0)</x:f>
        <x:v>87222.61574699196</x:v>
      </x:c>
      <x:c r="I35" s="24">
        <x:f>IF($B35&gt;Inputs!$C$11,INDEX($H$4:$H$1000,ROW()-Inputs!$C$11-3)*(1-Inputs!$C$10),0)</x:f>
        <x:v>47778.40748039117</x:v>
      </x:c>
      <x:c r="J35" s="24">
        <x:f>$H35*Inputs!$C$10</x:f>
        <x:v>52333.56944819517</x:v>
      </x:c>
      <x:c r="K35" s="24">
        <x:f>IF($B35&lt;=Inputs!$C$6+Inputs!$C$11,$C35*Inputs!$C$7/12,0)</x:f>
        <x:v>30370.45976622</x:v>
      </x:c>
      <x:c r="L35" s="24">
        <x:f>IF($B35&lt;=Inputs!$C$6+Inputs!$C$11,$E35+$F35+$G35+$I35-$K35,0)</x:f>
        <x:v>2419721.513330992</x:v>
      </x:c>
      <x:c r="M35" s="24">
        <x:f>IF($B35&lt;=Inputs!$C$6,MAX(0,$C35-$F35-$G35-$H35),0)</x:f>
        <x:v>34319461.05529483</x:v>
      </x:c>
    </x:row>
    <x:row r="36">
      <x:c r="B36" s="22" t="n">
        <x:v>33</x:v>
      </x:c>
      <x:c r="C36" s="23">
        <x:f>IF($B36&lt;=Inputs!$C$6+Inputs!$C$11,$M35,"")</x:f>
        <x:v>34319461.05529483</x:v>
      </x:c>
      <x:c r="D36" s="24">
        <x:f>IF($B36&lt;=Inputs!$C$6,-PMT(Inputs!$C$5/12,Inputs!$C$6,Inputs!$C$4),0)</x:f>
        <x:v>2224444.768490176</x:v>
      </x:c>
      <x:c r="E36" s="24">
        <x:f>IF($B36&lt;=Inputs!$C$6+Inputs!$C$11,$C36*Inputs!$C$5/12,0)</x:f>
        <x:v>343194.61055294826</x:v>
      </x:c>
      <x:c r="F36" s="24">
        <x:f>IF($B36&lt;=Inputs!$C$6,MAX(0,$D36-$E36),0)</x:f>
        <x:v>1881250.157937228</x:v>
      </x:c>
      <x:c r="G36" s="24">
        <x:f>IF($B36&lt;=Inputs!$C$6,MAX(0,($C36-$F36))*(1-(1-Inputs!$C$8)^(1/12)),0)</x:f>
        <x:v>166830.13488648905</x:v>
      </x:c>
      <x:c r="H36" s="24">
        <x:f>IF($B36&lt;=Inputs!$C$6,MAX(0,($C36-$F36-$G36))*(1-(1-Inputs!$C$9)^(1/12)),0)</x:f>
        <x:v>81809.51906849834</x:v>
      </x:c>
      <x:c r="I36" s="24">
        <x:f>IF($B36&gt;Inputs!$C$11,INDEX($H$4:$H$1000,ROW()-Inputs!$C$11-3)*(1-Inputs!$C$10),0)</x:f>
        <x:v>45642.27718983087</x:v>
      </x:c>
      <x:c r="J36" s="24">
        <x:f>$H36*Inputs!$C$10</x:f>
        <x:v>49085.711441099</x:v>
      </x:c>
      <x:c r="K36" s="24">
        <x:f>IF($B36&lt;=Inputs!$C$6+Inputs!$C$11,$C36*Inputs!$C$7/12,0)</x:f>
        <x:v>28599.550879412356</x:v>
      </x:c>
      <x:c r="L36" s="24">
        <x:f>IF($B36&lt;=Inputs!$C$6+Inputs!$C$11,$E36+$F36+$G36+$I36-$K36,0)</x:f>
        <x:v>2408317.629687084</x:v>
      </x:c>
      <x:c r="M36" s="24">
        <x:f>IF($B36&lt;=Inputs!$C$6,MAX(0,$C36-$F36-$G36-$H36),0)</x:f>
        <x:v>32189571.24340261</x:v>
      </x:c>
    </x:row>
    <x:row r="37">
      <x:c r="B37" s="22" t="n">
        <x:v>34</x:v>
      </x:c>
      <x:c r="C37" s="23">
        <x:f>IF($B37&lt;=Inputs!$C$6+Inputs!$C$11,$M36,"")</x:f>
        <x:v>32189571.24340261</x:v>
      </x:c>
      <x:c r="D37" s="24">
        <x:f>IF($B37&lt;=Inputs!$C$6,-PMT(Inputs!$C$5/12,Inputs!$C$6,Inputs!$C$4),0)</x:f>
        <x:v>2224444.768490176</x:v>
      </x:c>
      <x:c r="E37" s="24">
        <x:f>IF($B37&lt;=Inputs!$C$6+Inputs!$C$11,$C37*Inputs!$C$5/12,0)</x:f>
        <x:v>321895.7124340261</x:v>
      </x:c>
      <x:c r="F37" s="24">
        <x:f>IF($B37&lt;=Inputs!$C$6,MAX(0,$D37-$E37),0)</x:f>
        <x:v>1902549.05605615</x:v>
      </x:c>
      <x:c r="G37" s="24">
        <x:f>IF($B37&lt;=Inputs!$C$6,MAX(0,($C37-$F37))*(1-(1-Inputs!$C$8)^(1/12)),0)</x:f>
        <x:v>155766.54374722912</x:v>
      </x:c>
      <x:c r="H37" s="24">
        <x:f>IF($B37&lt;=Inputs!$C$6,MAX(0,($C37-$F37-$G37))*(1-(1-Inputs!$C$9)^(1/12)),0)</x:f>
        <x:v>76384.19785246512</x:v>
      </x:c>
      <x:c r="I37" s="24">
        <x:f>IF($B37&gt;Inputs!$C$11,INDEX($H$4:$H$1000,ROW()-Inputs!$C$11-3)*(1-Inputs!$C$10),0)</x:f>
        <x:v>43501.322820471076</x:v>
      </x:c>
      <x:c r="J37" s="24">
        <x:f>$H37*Inputs!$C$10</x:f>
        <x:v>45830.51871147907</x:v>
      </x:c>
      <x:c r="K37" s="24">
        <x:f>IF($B37&lt;=Inputs!$C$6+Inputs!$C$11,$C37*Inputs!$C$7/12,0)</x:f>
        <x:v>26824.64270283551</x:v>
      </x:c>
      <x:c r="L37" s="24">
        <x:f>IF($B37&lt;=Inputs!$C$6+Inputs!$C$11,$E37+$F37+$G37+$I37-$K37,0)</x:f>
        <x:v>2396887.9923550407</x:v>
      </x:c>
      <x:c r="M37" s="24">
        <x:f>IF($B37&lt;=Inputs!$C$6,MAX(0,$C37-$F37-$G37-$H37),0)</x:f>
        <x:v>30054871.44574677</x:v>
      </x:c>
    </x:row>
    <x:row r="38">
      <x:c r="B38" s="22" t="n">
        <x:v>35</x:v>
      </x:c>
      <x:c r="C38" s="23">
        <x:f>IF($B38&lt;=Inputs!$C$6+Inputs!$C$11,$M37,"")</x:f>
        <x:v>30054871.44574677</x:v>
      </x:c>
      <x:c r="D38" s="24">
        <x:f>IF($B38&lt;=Inputs!$C$6,-PMT(Inputs!$C$5/12,Inputs!$C$6,Inputs!$C$4),0)</x:f>
        <x:v>2224444.768490176</x:v>
      </x:c>
      <x:c r="E38" s="24">
        <x:f>IF($B38&lt;=Inputs!$C$6+Inputs!$C$11,$C38*Inputs!$C$5/12,0)</x:f>
        <x:v>300548.71445746766</x:v>
      </x:c>
      <x:c r="F38" s="24">
        <x:f>IF($B38&lt;=Inputs!$C$6,MAX(0,$D38-$E38),0)</x:f>
        <x:v>1923896.0540327085</x:v>
      </x:c>
      <x:c r="G38" s="24">
        <x:f>IF($B38&lt;=Inputs!$C$6,MAX(0,($C38-$F38))*(1-(1-Inputs!$C$8)^(1/12)),0)</x:f>
        <x:v>144677.96741128093</x:v>
      </x:c>
      <x:c r="H38" s="24">
        <x:f>IF($B38&lt;=Inputs!$C$6,MAX(0,($C38-$F38-$G38))*(1-(1-Inputs!$C$9)^(1/12)),0)</x:f>
        <x:v>70946.62449190003</x:v>
      </x:c>
      <x:c r="I38" s="24">
        <x:f>IF($B38&gt;Inputs!$C$11,INDEX($H$4:$H$1000,ROW()-Inputs!$C$11-3)*(1-Inputs!$C$10),0)</x:f>
        <x:v>41355.533477968675</x:v>
      </x:c>
      <x:c r="J38" s="24">
        <x:f>$H38*Inputs!$C$10</x:f>
        <x:v>42567.974695140016</x:v>
      </x:c>
      <x:c r="K38" s="24">
        <x:f>IF($B38&lt;=Inputs!$C$6+Inputs!$C$11,$C38*Inputs!$C$7/12,0)</x:f>
        <x:v>25045.726204788974</x:v>
      </x:c>
      <x:c r="L38" s="24">
        <x:f>IF($B38&lt;=Inputs!$C$6+Inputs!$C$11,$E38+$F38+$G38+$I38-$K38,0)</x:f>
        <x:v>2385432.543174637</x:v>
      </x:c>
      <x:c r="M38" s="24">
        <x:f>IF($B38&lt;=Inputs!$C$6,MAX(0,$C38-$F38-$G38-$H38),0)</x:f>
        <x:v>27915350.79981088</x:v>
      </x:c>
    </x:row>
    <x:row r="39">
      <x:c r="B39" s="22" t="n">
        <x:v>36</x:v>
      </x:c>
      <x:c r="C39" s="23">
        <x:f>IF($B39&lt;=Inputs!$C$6+Inputs!$C$11,$M38,"")</x:f>
        <x:v>27915350.79981088</x:v>
      </x:c>
      <x:c r="D39" s="24">
        <x:f>IF($B39&lt;=Inputs!$C$6,-PMT(Inputs!$C$5/12,Inputs!$C$6,Inputs!$C$4),0)</x:f>
        <x:v>2224444.768490176</x:v>
      </x:c>
      <x:c r="E39" s="24">
        <x:f>IF($B39&lt;=Inputs!$C$6+Inputs!$C$11,$C39*Inputs!$C$5/12,0)</x:f>
        <x:v>279153.5079981088</x:v>
      </x:c>
      <x:c r="F39" s="24">
        <x:f>IF($B39&lt;=Inputs!$C$6,MAX(0,$D39-$E39),0)</x:f>
        <x:v>1945291.2604920673</x:v>
      </x:c>
      <x:c r="G39" s="24">
        <x:f>IF($B39&lt;=Inputs!$C$6,MAX(0,($C39-$F39))*(1-(1-Inputs!$C$8)^(1/12)),0)</x:f>
        <x:v>133564.34945392256</x:v>
      </x:c>
      <x:c r="H39" s="24">
        <x:f>IF($B39&lt;=Inputs!$C$6,MAX(0,($C39-$F39-$G39))*(1-(1-Inputs!$C$9)^(1/12)),0)</x:f>
        <x:v>65496.77131746524</x:v>
      </x:c>
      <x:c r="I39" s="24">
        <x:f>IF($B39&gt;Inputs!$C$11,INDEX($H$4:$H$1000,ROW()-Inputs!$C$11-3)*(1-Inputs!$C$10),0)</x:f>
        <x:v>39204.89824337759</x:v>
      </x:c>
      <x:c r="J39" s="24">
        <x:f>$H39*Inputs!$C$10</x:f>
        <x:v>39298.06279047914</x:v>
      </x:c>
      <x:c r="K39" s="24">
        <x:f>IF($B39&lt;=Inputs!$C$6+Inputs!$C$11,$C39*Inputs!$C$7/12,0)</x:f>
        <x:v>23262.792333175734</x:v>
      </x:c>
      <x:c r="L39" s="24">
        <x:f>IF($B39&lt;=Inputs!$C$6+Inputs!$C$11,$E39+$F39+$G39+$I39-$K39,0)</x:f>
        <x:v>2373951.2238543</x:v>
      </x:c>
      <x:c r="M39" s="24">
        <x:f>IF($B39&lt;=Inputs!$C$6,MAX(0,$C39-$F39-$G39-$H39),0)</x:f>
        <x:v>25770998.41854742</x:v>
      </x:c>
    </x:row>
    <x:row r="40">
      <x:c r="B40" s="22" t="n">
        <x:v>37</x:v>
      </x:c>
      <x:c r="C40" s="23">
        <x:f>IF($B40&lt;=Inputs!$C$6+Inputs!$C$11,$M39,"")</x:f>
        <x:v>25770998.41854742</x:v>
      </x:c>
      <x:c r="D40" s="24">
        <x:f>IF($B40&lt;=Inputs!$C$6,-PMT(Inputs!$C$5/12,Inputs!$C$6,Inputs!$C$4),0)</x:f>
        <x:v>2224444.768490176</x:v>
      </x:c>
      <x:c r="E40" s="24">
        <x:f>IF($B40&lt;=Inputs!$C$6+Inputs!$C$11,$C40*Inputs!$C$5/12,0)</x:f>
        <x:v>257709.98418547423</x:v>
      </x:c>
      <x:c r="F40" s="24">
        <x:f>IF($B40&lt;=Inputs!$C$6,MAX(0,$D40-$E40),0)</x:f>
        <x:v>1966734.784304702</x:v>
      </x:c>
      <x:c r="G40" s="24">
        <x:f>IF($B40&lt;=Inputs!$C$6,MAX(0,($C40-$F40))*(1-(1-Inputs!$C$8)^(1/12)),0)</x:f>
        <x:v>122425.63332300664</x:v>
      </x:c>
      <x:c r="H40" s="24">
        <x:f>IF($B40&lt;=Inputs!$C$6,MAX(0,($C40-$F40-$G40))*(1-(1-Inputs!$C$9)^(1/12)),0)</x:f>
        <x:v>60034.61059733652</x:v>
      </x:c>
      <x:c r="I40" s="24">
        <x:f>IF($B40&gt;Inputs!$C$11,INDEX($H$4:$H$1000,ROW()-Inputs!$C$11-3)*(1-Inputs!$C$10),0)</x:f>
        <x:v>37049.406173093244</x:v>
      </x:c>
      <x:c r="J40" s="24">
        <x:f>$H40*Inputs!$C$10</x:f>
        <x:v>36020.76635840191</x:v>
      </x:c>
      <x:c r="K40" s="24">
        <x:f>IF($B40&lt;=Inputs!$C$6+Inputs!$C$11,$C40*Inputs!$C$7/12,0)</x:f>
        <x:v>21475.832015456184</x:v>
      </x:c>
      <x:c r="L40" s="24">
        <x:f>IF($B40&lt;=Inputs!$C$6+Inputs!$C$11,$E40+$F40+$G40+$I40-$K40,0)</x:f>
        <x:v>2362443.97597082</x:v>
      </x:c>
      <x:c r="M40" s="24">
        <x:f>IF($B40&lt;=Inputs!$C$6,MAX(0,$C40-$F40-$G40-$H40),0)</x:f>
        <x:v>23621803.39032238</x:v>
      </x:c>
    </x:row>
    <x:row r="41">
      <x:c r="B41" s="22" t="n">
        <x:v>38</x:v>
      </x:c>
      <x:c r="C41" s="23">
        <x:f>IF($B41&lt;=Inputs!$C$6+Inputs!$C$11,$M40,"")</x:f>
        <x:v>23621803.39032238</x:v>
      </x:c>
      <x:c r="D41" s="24">
        <x:f>IF($B41&lt;=Inputs!$C$6,-PMT(Inputs!$C$5/12,Inputs!$C$6,Inputs!$C$4),0)</x:f>
        <x:v>2224444.768490176</x:v>
      </x:c>
      <x:c r="E41" s="24">
        <x:f>IF($B41&lt;=Inputs!$C$6+Inputs!$C$11,$C41*Inputs!$C$5/12,0)</x:f>
        <x:v>236218.0339032238</x:v>
      </x:c>
      <x:c r="F41" s="24">
        <x:f>IF($B41&lt;=Inputs!$C$6,MAX(0,$D41-$E41),0)</x:f>
        <x:v>1988226.7345869523</x:v>
      </x:c>
      <x:c r="G41" s="24">
        <x:f>IF($B41&lt;=Inputs!$C$6,MAX(0,($C41-$F41))*(1-(1-Inputs!$C$8)^(1/12)),0)</x:f>
        <x:v>111261.76233867263</x:v>
      </x:c>
      <x:c r="H41" s="24">
        <x:f>IF($B41&lt;=Inputs!$C$6,MAX(0,($C41-$F41-$G41))*(1-(1-Inputs!$C$9)^(1/12)),0)</x:f>
        <x:v>54560.114537062145</x:v>
      </x:c>
      <x:c r="I41" s="24">
        <x:f>IF($B41&gt;Inputs!$C$11,INDEX($H$4:$H$1000,ROW()-Inputs!$C$11-3)*(1-Inputs!$C$10),0)</x:f>
        <x:v>34889.046298796784</x:v>
      </x:c>
      <x:c r="J41" s="24">
        <x:f>$H41*Inputs!$C$10</x:f>
        <x:v>32736.068722237287</x:v>
      </x:c>
      <x:c r="K41" s="24">
        <x:f>IF($B41&lt;=Inputs!$C$6+Inputs!$C$11,$C41*Inputs!$C$7/12,0)</x:f>
        <x:v>19684.836158601986</x:v>
      </x:c>
      <x:c r="L41" s="24">
        <x:f>IF($B41&lt;=Inputs!$C$6+Inputs!$C$11,$E41+$F41+$G41+$I41-$K41,0)</x:f>
        <x:v>2350910.7409690437</x:v>
      </x:c>
      <x:c r="M41" s="24">
        <x:f>IF($B41&lt;=Inputs!$C$6,MAX(0,$C41-$F41-$G41-$H41),0)</x:f>
        <x:v>21467754.77885969</x:v>
      </x:c>
    </x:row>
    <x:row r="42">
      <x:c r="B42" s="22" t="n">
        <x:v>39</x:v>
      </x:c>
      <x:c r="C42" s="23">
        <x:f>IF($B42&lt;=Inputs!$C$6+Inputs!$C$11,$M41,"")</x:f>
        <x:v>21467754.77885969</x:v>
      </x:c>
      <x:c r="D42" s="24">
        <x:f>IF($B42&lt;=Inputs!$C$6,-PMT(Inputs!$C$5/12,Inputs!$C$6,Inputs!$C$4),0)</x:f>
        <x:v>2224444.768490176</x:v>
      </x:c>
      <x:c r="E42" s="24">
        <x:f>IF($B42&lt;=Inputs!$C$6+Inputs!$C$11,$C42*Inputs!$C$5/12,0)</x:f>
        <x:v>214677.54778859692</x:v>
      </x:c>
      <x:c r="F42" s="24">
        <x:f>IF($B42&lt;=Inputs!$C$6,MAX(0,$D42-$E42),0)</x:f>
        <x:v>2009767.2207015792</x:v>
      </x:c>
      <x:c r="G42" s="24">
        <x:f>IF($B42&lt;=Inputs!$C$6,MAX(0,($C42-$F42))*(1-(1-Inputs!$C$8)^(1/12)),0)</x:f>
        <x:v>100072.6796930584</x:v>
      </x:c>
      <x:c r="H42" s="24">
        <x:f>IF($B42&lt;=Inputs!$C$6,MAX(0,($C42-$F42-$G42))*(1-(1-Inputs!$C$9)^(1/12)),0)</x:f>
        <x:v>49073.25527942143</x:v>
      </x:c>
      <x:c r="I42" s="24">
        <x:f>IF($B42&gt;Inputs!$C$11,INDEX($H$4:$H$1000,ROW()-Inputs!$C$11-3)*(1-Inputs!$C$10),0)</x:f>
        <x:v>32723.807627399336</x:v>
      </x:c>
      <x:c r="J42" s="24">
        <x:f>$H42*Inputs!$C$10</x:f>
        <x:v>29443.953167652857</x:v>
      </x:c>
      <x:c r="K42" s="24">
        <x:f>IF($B42&lt;=Inputs!$C$6+Inputs!$C$11,$C42*Inputs!$C$7/12,0)</x:f>
        <x:v>17889.79564904974</x:v>
      </x:c>
      <x:c r="L42" s="24">
        <x:f>IF($B42&lt;=Inputs!$C$6+Inputs!$C$11,$E42+$F42+$G42+$I42-$K42,0)</x:f>
        <x:v>2339351.4601615844</x:v>
      </x:c>
      <x:c r="M42" s="24">
        <x:f>IF($B42&lt;=Inputs!$C$6,MAX(0,$C42-$F42-$G42-$H42),0)</x:f>
        <x:v>19308841.62318563</x:v>
      </x:c>
    </x:row>
    <x:row r="43">
      <x:c r="B43" s="22" t="n">
        <x:v>40</x:v>
      </x:c>
      <x:c r="C43" s="23">
        <x:f>IF($B43&lt;=Inputs!$C$6+Inputs!$C$11,$M42,"")</x:f>
        <x:v>19308841.62318563</x:v>
      </x:c>
      <x:c r="D43" s="24">
        <x:f>IF($B43&lt;=Inputs!$C$6,-PMT(Inputs!$C$5/12,Inputs!$C$6,Inputs!$C$4),0)</x:f>
        <x:v>2224444.768490176</x:v>
      </x:c>
      <x:c r="E43" s="24">
        <x:f>IF($B43&lt;=Inputs!$C$6+Inputs!$C$11,$C43*Inputs!$C$5/12,0)</x:f>
        <x:v>193088.4162318563</x:v>
      </x:c>
      <x:c r="F43" s="24">
        <x:f>IF($B43&lt;=Inputs!$C$6,MAX(0,$D43-$E43),0)</x:f>
        <x:v>2031356.35225832</x:v>
      </x:c>
      <x:c r="G43" s="24">
        <x:f>IF($B43&lt;=Inputs!$C$6,MAX(0,($C43-$F43))*(1-(1-Inputs!$C$8)^(1/12)),0)</x:f>
        <x:v>88858.3284500111</x:v>
      </x:c>
      <x:c r="H43" s="24">
        <x:f>IF($B43&lt;=Inputs!$C$6,MAX(0,($C43-$F43-$G43))*(1-(1-Inputs!$C$9)^(1/12)),0)</x:f>
        <x:v>43574.00490428302</x:v>
      </x:c>
      <x:c r="I43" s="24">
        <x:f>IF($B43&gt;Inputs!$C$11,INDEX($H$4:$H$1000,ROW()-Inputs!$C$11-3)*(1-Inputs!$C$10),0)</x:f>
        <x:v>30553.67914098605</x:v>
      </x:c>
      <x:c r="J43" s="24">
        <x:f>$H43*Inputs!$C$10</x:f>
        <x:v>26144.402942569814</x:v>
      </x:c>
      <x:c r="K43" s="24">
        <x:f>IF($B43&lt;=Inputs!$C$6+Inputs!$C$11,$C43*Inputs!$C$7/12,0)</x:f>
        <x:v>16090.701352654694</x:v>
      </x:c>
      <x:c r="L43" s="24">
        <x:f>IF($B43&lt;=Inputs!$C$6+Inputs!$C$11,$E43+$F43+$G43+$I43-$K43,0)</x:f>
        <x:v>2327766.0747285187</x:v>
      </x:c>
      <x:c r="M43" s="24">
        <x:f>IF($B43&lt;=Inputs!$C$6,MAX(0,$C43-$F43-$G43-$H43),0)</x:f>
        <x:v>17145052.937573016</x:v>
      </x:c>
    </x:row>
    <x:row r="44">
      <x:c r="B44" s="22" t="n">
        <x:v>41</x:v>
      </x:c>
      <x:c r="C44" s="23">
        <x:f>IF($B44&lt;=Inputs!$C$6+Inputs!$C$11,$M43,"")</x:f>
        <x:v>17145052.937573016</x:v>
      </x:c>
      <x:c r="D44" s="24">
        <x:f>IF($B44&lt;=Inputs!$C$6,-PMT(Inputs!$C$5/12,Inputs!$C$6,Inputs!$C$4),0)</x:f>
        <x:v>2224444.768490176</x:v>
      </x:c>
      <x:c r="E44" s="24">
        <x:f>IF($B44&lt;=Inputs!$C$6+Inputs!$C$11,$C44*Inputs!$C$5/12,0)</x:f>
        <x:v>171450.52937573017</x:v>
      </x:c>
      <x:c r="F44" s="24">
        <x:f>IF($B44&lt;=Inputs!$C$6,MAX(0,$D44-$E44),0)</x:f>
        <x:v>2052994.239114446</x:v>
      </x:c>
      <x:c r="G44" s="24">
        <x:f>IF($B44&lt;=Inputs!$C$6,MAX(0,($C44-$F44))*(1-(1-Inputs!$C$8)^(1/12)),0)</x:f>
        <x:v>77618.65154479754</x:v>
      </x:c>
      <x:c r="H44" s="24">
        <x:f>IF($B44&lt;=Inputs!$C$6,MAX(0,($C44-$F44-$G44))*(1-(1-Inputs!$C$9)^(1/12)),0)</x:f>
        <x:v>38062.33542846281</x:v>
      </x:c>
      <x:c r="I44" s="24">
        <x:f>IF($B44&gt;Inputs!$C$11,INDEX($H$4:$H$1000,ROW()-Inputs!$C$11-3)*(1-Inputs!$C$10),0)</x:f>
        <x:v>28378.649796760015</x:v>
      </x:c>
      <x:c r="J44" s="24">
        <x:f>$H44*Inputs!$C$10</x:f>
        <x:v>22837.401257077683</x:v>
      </x:c>
      <x:c r="K44" s="24">
        <x:f>IF($B44&lt;=Inputs!$C$6+Inputs!$C$11,$C44*Inputs!$C$7/12,0)</x:f>
        <x:v>14287.54411464418</x:v>
      </x:c>
      <x:c r="L44" s="24">
        <x:f>IF($B44&lt;=Inputs!$C$6+Inputs!$C$11,$E44+$F44+$G44+$I44-$K44,0)</x:f>
        <x:v>2316154.52571709</x:v>
      </x:c>
      <x:c r="M44" s="24">
        <x:f>IF($B44&lt;=Inputs!$C$6,MAX(0,$C44-$F44-$G44-$H44),0)</x:f>
        <x:v>14976377.711485308</x:v>
      </x:c>
    </x:row>
    <x:row r="45">
      <x:c r="B45" s="22" t="n">
        <x:v>42</x:v>
      </x:c>
      <x:c r="C45" s="23">
        <x:f>IF($B45&lt;=Inputs!$C$6+Inputs!$C$11,$M44,"")</x:f>
        <x:v>14976377.711485308</x:v>
      </x:c>
      <x:c r="D45" s="24">
        <x:f>IF($B45&lt;=Inputs!$C$6,-PMT(Inputs!$C$5/12,Inputs!$C$6,Inputs!$C$4),0)</x:f>
        <x:v>2224444.768490176</x:v>
      </x:c>
      <x:c r="E45" s="24">
        <x:f>IF($B45&lt;=Inputs!$C$6+Inputs!$C$11,$C45*Inputs!$C$5/12,0)</x:f>
        <x:v>149763.7771148531</x:v>
      </x:c>
      <x:c r="F45" s="24">
        <x:f>IF($B45&lt;=Inputs!$C$6,MAX(0,$D45-$E45),0)</x:f>
        <x:v>2074680.9913753232</x:v>
      </x:c>
      <x:c r="G45" s="24">
        <x:f>IF($B45&lt;=Inputs!$C$6,MAX(0,($C45-$F45))*(1-(1-Inputs!$C$8)^(1/12)),0)</x:f>
        <x:v>66353.59178381367</x:v>
      </x:c>
      <x:c r="H45" s="24">
        <x:f>IF($B45&lt;=Inputs!$C$6,MAX(0,($C45-$F45-$G45))*(1-(1-Inputs!$C$9)^(1/12)),0)</x:f>
        <x:v>32538.218805581513</x:v>
      </x:c>
      <x:c r="I45" s="24">
        <x:f>IF($B45&gt;Inputs!$C$11,INDEX($H$4:$H$1000,ROW()-Inputs!$C$11-3)*(1-Inputs!$C$10),0)</x:f>
        <x:v>26198.708526986098</x:v>
      </x:c>
      <x:c r="J45" s="24">
        <x:f>$H45*Inputs!$C$10</x:f>
        <x:v>19522.931283348906</x:v>
      </x:c>
      <x:c r="K45" s="24">
        <x:f>IF($B45&lt;=Inputs!$C$6+Inputs!$C$11,$C45*Inputs!$C$7/12,0)</x:f>
        <x:v>12480.31475957109</x:v>
      </x:c>
      <x:c r="L45" s="24">
        <x:f>IF($B45&lt;=Inputs!$C$6+Inputs!$C$11,$E45+$F45+$G45+$I45-$K45,0)</x:f>
        <x:v>2304516.754041405</x:v>
      </x:c>
      <x:c r="M45" s="24">
        <x:f>IF($B45&lt;=Inputs!$C$6,MAX(0,$C45-$F45-$G45-$H45),0)</x:f>
        <x:v>12802804.909520589</x:v>
      </x:c>
    </x:row>
    <x:row r="46">
      <x:c r="B46" s="22" t="n">
        <x:v>43</x:v>
      </x:c>
      <x:c r="C46" s="23">
        <x:f>IF($B46&lt;=Inputs!$C$6+Inputs!$C$11,$M45,"")</x:f>
        <x:v>12802804.909520589</x:v>
      </x:c>
      <x:c r="D46" s="24">
        <x:f>IF($B46&lt;=Inputs!$C$6,-PMT(Inputs!$C$5/12,Inputs!$C$6,Inputs!$C$4),0)</x:f>
        <x:v>2224444.768490176</x:v>
      </x:c>
      <x:c r="E46" s="24">
        <x:f>IF($B46&lt;=Inputs!$C$6+Inputs!$C$11,$C46*Inputs!$C$5/12,0)</x:f>
        <x:v>128028.04909520589</x:v>
      </x:c>
      <x:c r="F46" s="24">
        <x:f>IF($B46&lt;=Inputs!$C$6,MAX(0,$D46-$E46),0)</x:f>
        <x:v>2096416.7193949702</x:v>
      </x:c>
      <x:c r="G46" s="24">
        <x:f>IF($B46&lt;=Inputs!$C$6,MAX(0,($C46-$F46))*(1-(1-Inputs!$C$8)^(1/12)),0)</x:f>
        <x:v>55063.0918442937</x:v>
      </x:c>
      <x:c r="H46" s="24">
        <x:f>IF($B46&lt;=Inputs!$C$6,MAX(0,($C46-$F46-$G46))*(1-(1-Inputs!$C$9)^(1/12)),0)</x:f>
        <x:v>27001.626925921995</x:v>
      </x:c>
      <x:c r="I46" s="24">
        <x:f>IF($B46&gt;Inputs!$C$11,INDEX($H$4:$H$1000,ROW()-Inputs!$C$11-3)*(1-Inputs!$C$10),0)</x:f>
        <x:v>24013.84423893461</x:v>
      </x:c>
      <x:c r="J46" s="24">
        <x:f>$H46*Inputs!$C$10</x:f>
        <x:v>16200.976155553197</x:v>
      </x:c>
      <x:c r="K46" s="24">
        <x:f>IF($B46&lt;=Inputs!$C$6+Inputs!$C$11,$C46*Inputs!$C$7/12,0)</x:f>
        <x:v>10669.004091267157</x:v>
      </x:c>
      <x:c r="L46" s="24">
        <x:f>IF($B46&lt;=Inputs!$C$6+Inputs!$C$11,$E46+$F46+$G46+$I46-$K46,0)</x:f>
        <x:v>2292852.7004821375</x:v>
      </x:c>
      <x:c r="M46" s="24">
        <x:f>IF($B46&lt;=Inputs!$C$6,MAX(0,$C46-$F46-$G46-$H46),0)</x:f>
        <x:v>10624323.471355403</x:v>
      </x:c>
    </x:row>
    <x:row r="47">
      <x:c r="B47" s="22" t="n">
        <x:v>44</x:v>
      </x:c>
      <x:c r="C47" s="23">
        <x:f>IF($B47&lt;=Inputs!$C$6+Inputs!$C$11,$M46,"")</x:f>
        <x:v>10624323.471355403</x:v>
      </x:c>
      <x:c r="D47" s="24">
        <x:f>IF($B47&lt;=Inputs!$C$6,-PMT(Inputs!$C$5/12,Inputs!$C$6,Inputs!$C$4),0)</x:f>
        <x:v>2224444.768490176</x:v>
      </x:c>
      <x:c r="E47" s="24">
        <x:f>IF($B47&lt;=Inputs!$C$6+Inputs!$C$11,$C47*Inputs!$C$5/12,0)</x:f>
        <x:v>106243.23471355403</x:v>
      </x:c>
      <x:c r="F47" s="24">
        <x:f>IF($B47&lt;=Inputs!$C$6,MAX(0,$D47-$E47),0)</x:f>
        <x:v>2118201.5337766223</x:v>
      </x:c>
      <x:c r="G47" s="24">
        <x:f>IF($B47&lt;=Inputs!$C$6,MAX(0,($C47-$F47))*(1-(1-Inputs!$C$8)^(1/12)),0)</x:f>
        <x:v>43747.09427401833</x:v>
      </x:c>
      <x:c r="H47" s="24">
        <x:f>IF($B47&lt;=Inputs!$C$6,MAX(0,($C47-$F47-$G47))*(1-(1-Inputs!$C$9)^(1/12)),0)</x:f>
        <x:v>21452.531616286196</x:v>
      </x:c>
      <x:c r="I47" s="24">
        <x:f>IF($B47&gt;Inputs!$C$11,INDEX($H$4:$H$1000,ROW()-Inputs!$C$11-3)*(1-Inputs!$C$10),0)</x:f>
        <x:v>21824.045814824858</x:v>
      </x:c>
      <x:c r="J47" s="24">
        <x:f>$H47*Inputs!$C$10</x:f>
        <x:v>12871.518969771718</x:v>
      </x:c>
      <x:c r="K47" s="24">
        <x:f>IF($B47&lt;=Inputs!$C$6+Inputs!$C$11,$C47*Inputs!$C$7/12,0)</x:f>
        <x:v>8853.602892796169</x:v>
      </x:c>
      <x:c r="L47" s="24">
        <x:f>IF($B47&lt;=Inputs!$C$6+Inputs!$C$11,$E47+$F47+$G47+$I47-$K47,0)</x:f>
        <x:v>2281162.3056862233</x:v>
      </x:c>
      <x:c r="M47" s="24">
        <x:f>IF($B47&lt;=Inputs!$C$6,MAX(0,$C47-$F47-$G47-$H47),0)</x:f>
        <x:v>8440922.311688477</x:v>
      </x:c>
    </x:row>
    <x:row r="48">
      <x:c r="B48" s="22" t="n">
        <x:v>45</x:v>
      </x:c>
      <x:c r="C48" s="23">
        <x:f>IF($B48&lt;=Inputs!$C$6+Inputs!$C$11,$M47,"")</x:f>
        <x:v>8440922.311688477</x:v>
      </x:c>
      <x:c r="D48" s="24">
        <x:f>IF($B48&lt;=Inputs!$C$6,-PMT(Inputs!$C$5/12,Inputs!$C$6,Inputs!$C$4),0)</x:f>
        <x:v>2224444.768490176</x:v>
      </x:c>
      <x:c r="E48" s="24">
        <x:f>IF($B48&lt;=Inputs!$C$6+Inputs!$C$11,$C48*Inputs!$C$5/12,0)</x:f>
        <x:v>84409.22311688478</x:v>
      </x:c>
      <x:c r="F48" s="24">
        <x:f>IF($B48&lt;=Inputs!$C$6,MAX(0,$D48-$E48),0)</x:f>
        <x:v>2140035.5453732912</x:v>
      </x:c>
      <x:c r="G48" s="24">
        <x:f>IF($B48&lt;=Inputs!$C$6,MAX(0,($C48-$F48))*(1-(1-Inputs!$C$8)^(1/12)),0)</x:f>
        <x:v>32405.54149102239</x:v>
      </x:c>
      <x:c r="H48" s="24">
        <x:f>IF($B48&lt;=Inputs!$C$6,MAX(0,($C48-$F48-$G48))*(1-(1-Inputs!$C$9)^(1/12)),0)</x:f>
        <x:v>15890.9046398518</x:v>
      </x:c>
      <x:c r="I48" s="24">
        <x:f>IF($B48&gt;Inputs!$C$11,INDEX($H$4:$H$1000,ROW()-Inputs!$C$11-3)*(1-Inputs!$C$10),0)</x:f>
        <x:v>19629.30211176857</x:v>
      </x:c>
      <x:c r="J48" s="24">
        <x:f>$H48*Inputs!$C$10</x:f>
        <x:v>9534.54278391108</x:v>
      </x:c>
      <x:c r="K48" s="24">
        <x:f>IF($B48&lt;=Inputs!$C$6+Inputs!$C$11,$C48*Inputs!$C$7/12,0)</x:f>
        <x:v>7034.101926407065</x:v>
      </x:c>
      <x:c r="L48" s="24">
        <x:f>IF($B48&lt;=Inputs!$C$6+Inputs!$C$11,$E48+$F48+$G48+$I48-$K48,0)</x:f>
        <x:v>2269445.5101665603</x:v>
      </x:c>
      <x:c r="M48" s="24">
        <x:f>IF($B48&lt;=Inputs!$C$6,MAX(0,$C48-$F48-$G48-$H48),0)</x:f>
        <x:v>6252590.320184312</x:v>
      </x:c>
    </x:row>
    <x:row r="49">
      <x:c r="B49" s="22" t="n">
        <x:v>46</x:v>
      </x:c>
      <x:c r="C49" s="23">
        <x:f>IF($B49&lt;=Inputs!$C$6+Inputs!$C$11,$M48,"")</x:f>
        <x:v>6252590.320184312</x:v>
      </x:c>
      <x:c r="D49" s="24">
        <x:f>IF($B49&lt;=Inputs!$C$6,-PMT(Inputs!$C$5/12,Inputs!$C$6,Inputs!$C$4),0)</x:f>
        <x:v>2224444.768490176</x:v>
      </x:c>
      <x:c r="E49" s="24">
        <x:f>IF($B49&lt;=Inputs!$C$6+Inputs!$C$11,$C49*Inputs!$C$5/12,0)</x:f>
        <x:v>62525.90320184312</x:v>
      </x:c>
      <x:c r="F49" s="24">
        <x:f>IF($B49&lt;=Inputs!$C$6,MAX(0,$D49-$E49),0)</x:f>
        <x:v>2161918.865288333</x:v>
      </x:c>
      <x:c r="G49" s="24">
        <x:f>IF($B49&lt;=Inputs!$C$6,MAX(0,($C49-$F49))*(1-(1-Inputs!$C$8)^(1/12)),0)</x:f>
        <x:v>21038.37578330186</x:v>
      </x:c>
      <x:c r="H49" s="24">
        <x:f>IF($B49&lt;=Inputs!$C$6,MAX(0,($C49-$F49-$G49))*(1-(1-Inputs!$C$9)^(1/12)),0)</x:f>
        <x:v>10316.717696028523</x:v>
      </x:c>
      <x:c r="I49" s="24">
        <x:f>IF($B49&gt;Inputs!$C$11,INDEX($H$4:$H$1000,ROW()-Inputs!$C$11-3)*(1-Inputs!$C$10),0)</x:f>
        <x:v>17429.601961713208</x:v>
      </x:c>
      <x:c r="J49" s="24">
        <x:f>$H49*Inputs!$C$10</x:f>
        <x:v>6190.030617617113</x:v>
      </x:c>
      <x:c r="K49" s="24">
        <x:f>IF($B49&lt;=Inputs!$C$6+Inputs!$C$11,$C49*Inputs!$C$7/12,0)</x:f>
        <x:v>5210.491933486926</x:v>
      </x:c>
      <x:c r="L49" s="24">
        <x:f>IF($B49&lt;=Inputs!$C$6+Inputs!$C$11,$E49+$F49+$G49+$I49-$K49,0)</x:f>
        <x:v>2257702.2543017045</x:v>
      </x:c>
      <x:c r="M49" s="24">
        <x:f>IF($B49&lt;=Inputs!$C$6,MAX(0,$C49-$F49-$G49-$H49),0)</x:f>
        <x:v>4059316.3614166486</x:v>
      </x:c>
    </x:row>
    <x:row r="50">
      <x:c r="B50" s="22" t="n">
        <x:v>47</x:v>
      </x:c>
      <x:c r="C50" s="23">
        <x:f>IF($B50&lt;=Inputs!$C$6+Inputs!$C$11,$M49,"")</x:f>
        <x:v>4059316.3614166486</x:v>
      </x:c>
      <x:c r="D50" s="24">
        <x:f>IF($B50&lt;=Inputs!$C$6,-PMT(Inputs!$C$5/12,Inputs!$C$6,Inputs!$C$4),0)</x:f>
        <x:v>2224444.768490176</x:v>
      </x:c>
      <x:c r="E50" s="24">
        <x:f>IF($B50&lt;=Inputs!$C$6+Inputs!$C$11,$C50*Inputs!$C$5/12,0)</x:f>
        <x:v>40593.163614166486</x:v>
      </x:c>
      <x:c r="F50" s="24">
        <x:f>IF($B50&lt;=Inputs!$C$6,MAX(0,$D50-$E50),0)</x:f>
        <x:v>2183851.6048760097</x:v>
      </x:c>
      <x:c r="G50" s="24">
        <x:f>IF($B50&lt;=Inputs!$C$6,MAX(0,($C50-$F50))*(1-(1-Inputs!$C$8)^(1/12)),0)</x:f>
        <x:v>9645.539308520203</x:v>
      </x:c>
      <x:c r="H50" s="24">
        <x:f>IF($B50&lt;=Inputs!$C$6,MAX(0,($C50-$F50-$G50))*(1-(1-Inputs!$C$9)^(1/12)),0)</x:f>
        <x:v>4729.942420314136</x:v>
      </x:c>
      <x:c r="I50" s="24">
        <x:f>IF($B50&gt;Inputs!$C$11,INDEX($H$4:$H$1000,ROW()-Inputs!$C$11-3)*(1-Inputs!$C$10),0)</x:f>
        <x:v>15224.934171385125</x:v>
      </x:c>
      <x:c r="J50" s="24">
        <x:f>$H50*Inputs!$C$10</x:f>
        <x:v>2837.965452188482</x:v>
      </x:c>
      <x:c r="K50" s="24">
        <x:f>IF($B50&lt;=Inputs!$C$6+Inputs!$C$11,$C50*Inputs!$C$7/12,0)</x:f>
        <x:v>3382.763634513874</x:v>
      </x:c>
      <x:c r="L50" s="24">
        <x:f>IF($B50&lt;=Inputs!$C$6+Inputs!$C$11,$E50+$F50+$G50+$I50-$K50,0)</x:f>
        <x:v>2245932.4783355673</x:v>
      </x:c>
      <x:c r="M50" s="24">
        <x:f>IF($B50&lt;=Inputs!$C$6,MAX(0,$C50-$F50-$G50-$H50),0)</x:f>
        <x:v>1861089.2748118045</x:v>
      </x:c>
    </x:row>
    <x:row r="51">
      <x:c r="B51" s="22" t="n">
        <x:v>48</x:v>
      </x:c>
      <x:c r="C51" s="23">
        <x:f>IF($B51&lt;=Inputs!$C$6+Inputs!$C$11,$M50,"")</x:f>
      </x:c>
      <x:c r="D51" s="24">
        <x:f>IF($B51&lt;=Inputs!$C$6,-PMT(Inputs!$C$5/12,Inputs!$C$6,Inputs!$C$4),0)</x:f>
      </x:c>
      <x:c r="E51" s="24">
        <x:f>IF($B51&lt;=Inputs!$C$6+Inputs!$C$11,$C51*Inputs!$C$5/12,0)</x:f>
      </x:c>
      <x:c r="F51" s="24">
        <x:f>IF($B51&lt;=Inputs!$C$6,MAX(0,$D51-$E51),0)</x:f>
      </x:c>
      <x:c r="G51" s="24">
        <x:f>IF($B51&lt;=Inputs!$C$6,MAX(0,($C51-$F51))*(1-(1-Inputs!$C$8)^(1/12)),0)</x:f>
      </x:c>
      <x:c r="H51" s="24">
        <x:f>IF($B51&lt;=Inputs!$C$6,MAX(0,($C51-$F51-$G51))*(1-(1-Inputs!$C$9)^(1/12)),0)</x:f>
      </x:c>
      <x:c r="I51" s="24">
        <x:f>IF($B51&gt;Inputs!$C$11,INDEX($H$4:$H$1000,ROW()-Inputs!$C$11-3)*(1-Inputs!$C$10),0)</x:f>
      </x:c>
      <x:c r="J51" s="24">
        <x:f>$H51*Inputs!$C$10</x:f>
      </x:c>
      <x:c r="K51" s="24">
        <x:f>IF($B51&lt;=Inputs!$C$6+Inputs!$C$11,$C51*Inputs!$C$7/12,0)</x:f>
      </x:c>
      <x:c r="L51" s="24">
        <x:f>IF($B51&lt;=Inputs!$C$6+Inputs!$C$11,$E51+$F51+$G51+$I51-$K51,0)</x:f>
      </x:c>
      <x:c r="M51" s="24">
        <x:f>IF($B51&lt;=Inputs!$C$6,MAX(0,$C51-$F51-$G51-$H51),0)</x:f>
      </x:c>
    </x:row>
    <x:row r="52">
      <x:c r="B52" s="22" t="n">
        <x:v>49</x:v>
      </x:c>
      <x:c r="C52" s="23">
        <x:f>IF($B52&lt;=Inputs!$C$6+Inputs!$C$11,$M51,"")</x:f>
      </x:c>
      <x:c r="D52" s="24">
        <x:f>IF($B52&lt;=Inputs!$C$6,-PMT(Inputs!$C$5/12,Inputs!$C$6,Inputs!$C$4),0)</x:f>
      </x:c>
      <x:c r="E52" s="24">
        <x:f>IF($B52&lt;=Inputs!$C$6+Inputs!$C$11,$C52*Inputs!$C$5/12,0)</x:f>
      </x:c>
      <x:c r="F52" s="24">
        <x:f>IF($B52&lt;=Inputs!$C$6,MAX(0,$D52-$E52),0)</x:f>
      </x:c>
      <x:c r="G52" s="24">
        <x:f>IF($B52&lt;=Inputs!$C$6,MAX(0,($C52-$F52))*(1-(1-Inputs!$C$8)^(1/12)),0)</x:f>
      </x:c>
      <x:c r="H52" s="24">
        <x:f>IF($B52&lt;=Inputs!$C$6,MAX(0,($C52-$F52-$G52))*(1-(1-Inputs!$C$9)^(1/12)),0)</x:f>
      </x:c>
      <x:c r="I52" s="24">
        <x:f>IF($B52&gt;Inputs!$C$11,INDEX($H$4:$H$1000,ROW()-Inputs!$C$11-3)*(1-Inputs!$C$10),0)</x:f>
      </x:c>
      <x:c r="J52" s="24">
        <x:f>$H52*Inputs!$C$10</x:f>
      </x:c>
      <x:c r="K52" s="24">
        <x:f>IF($B52&lt;=Inputs!$C$6+Inputs!$C$11,$C52*Inputs!$C$7/12,0)</x:f>
      </x:c>
      <x:c r="L52" s="24">
        <x:f>IF($B52&lt;=Inputs!$C$6+Inputs!$C$11,$E52+$F52+$G52+$I52-$K52,0)</x:f>
      </x:c>
      <x:c r="M52" s="24">
        <x:f>IF($B52&lt;=Inputs!$C$6,MAX(0,$C52-$F52-$G52-$H52),0)</x:f>
      </x:c>
    </x:row>
    <x:row r="53">
      <x:c r="B53" s="22" t="n">
        <x:v>50</x:v>
      </x:c>
      <x:c r="C53" s="23">
        <x:f>IF($B53&lt;=Inputs!$C$6+Inputs!$C$11,$M52,"")</x:f>
      </x:c>
      <x:c r="D53" s="24">
        <x:f>IF($B53&lt;=Inputs!$C$6,-PMT(Inputs!$C$5/12,Inputs!$C$6,Inputs!$C$4),0)</x:f>
      </x:c>
      <x:c r="E53" s="24">
        <x:f>IF($B53&lt;=Inputs!$C$6+Inputs!$C$11,$C53*Inputs!$C$5/12,0)</x:f>
      </x:c>
      <x:c r="F53" s="24">
        <x:f>IF($B53&lt;=Inputs!$C$6,MAX(0,$D53-$E53),0)</x:f>
      </x:c>
      <x:c r="G53" s="24">
        <x:f>IF($B53&lt;=Inputs!$C$6,MAX(0,($C53-$F53))*(1-(1-Inputs!$C$8)^(1/12)),0)</x:f>
      </x:c>
      <x:c r="H53" s="24">
        <x:f>IF($B53&lt;=Inputs!$C$6,MAX(0,($C53-$F53-$G53))*(1-(1-Inputs!$C$9)^(1/12)),0)</x:f>
      </x:c>
      <x:c r="I53" s="24">
        <x:f>IF($B53&gt;Inputs!$C$11,INDEX($H$4:$H$1000,ROW()-Inputs!$C$11-3)*(1-Inputs!$C$10),0)</x:f>
      </x:c>
      <x:c r="J53" s="24">
        <x:f>$H53*Inputs!$C$10</x:f>
      </x:c>
      <x:c r="K53" s="24">
        <x:f>IF($B53&lt;=Inputs!$C$6+Inputs!$C$11,$C53*Inputs!$C$7/12,0)</x:f>
      </x:c>
      <x:c r="L53" s="24">
        <x:f>IF($B53&lt;=Inputs!$C$6+Inputs!$C$11,$E53+$F53+$G53+$I53-$K53,0)</x:f>
      </x:c>
      <x:c r="M53" s="24">
        <x:f>IF($B53&lt;=Inputs!$C$6,MAX(0,$C53-$F53-$G53-$H53),0)</x:f>
      </x:c>
    </x:row>
    <x:row r="54">
      <x:c r="B54" s="22" t="n">
        <x:v>51</x:v>
      </x:c>
      <x:c r="C54" s="23">
        <x:f>IF($B54&lt;=Inputs!$C$6+Inputs!$C$11,$M53,"")</x:f>
      </x:c>
      <x:c r="D54" s="24">
        <x:f>IF($B54&lt;=Inputs!$C$6,-PMT(Inputs!$C$5/12,Inputs!$C$6,Inputs!$C$4),0)</x:f>
      </x:c>
      <x:c r="E54" s="24">
        <x:f>IF($B54&lt;=Inputs!$C$6+Inputs!$C$11,$C54*Inputs!$C$5/12,0)</x:f>
      </x:c>
      <x:c r="F54" s="24">
        <x:f>IF($B54&lt;=Inputs!$C$6,MAX(0,$D54-$E54),0)</x:f>
      </x:c>
      <x:c r="G54" s="24">
        <x:f>IF($B54&lt;=Inputs!$C$6,MAX(0,($C54-$F54))*(1-(1-Inputs!$C$8)^(1/12)),0)</x:f>
      </x:c>
      <x:c r="H54" s="24">
        <x:f>IF($B54&lt;=Inputs!$C$6,MAX(0,($C54-$F54-$G54))*(1-(1-Inputs!$C$9)^(1/12)),0)</x:f>
      </x:c>
      <x:c r="I54" s="24">
        <x:f>IF($B54&gt;Inputs!$C$11,INDEX($H$4:$H$1000,ROW()-Inputs!$C$11-3)*(1-Inputs!$C$10),0)</x:f>
      </x:c>
      <x:c r="J54" s="24">
        <x:f>$H54*Inputs!$C$10</x:f>
      </x:c>
      <x:c r="K54" s="24">
        <x:f>IF($B54&lt;=Inputs!$C$6+Inputs!$C$11,$C54*Inputs!$C$7/12,0)</x:f>
      </x:c>
      <x:c r="L54" s="24">
        <x:f>IF($B54&lt;=Inputs!$C$6+Inputs!$C$11,$E54+$F54+$G54+$I54-$K54,0)</x:f>
      </x:c>
      <x:c r="M54" s="24">
        <x:f>IF($B54&lt;=Inputs!$C$6,MAX(0,$C54-$F54-$G54-$H54),0)</x:f>
      </x:c>
    </x:row>
    <x:row r="55">
      <x:c r="B55" s="22" t="n">
        <x:v>52</x:v>
      </x:c>
      <x:c r="C55" s="23">
        <x:f>IF($B55&lt;=Inputs!$C$6+Inputs!$C$11,$M54,"")</x:f>
      </x:c>
      <x:c r="D55" s="24">
        <x:f>IF($B55&lt;=Inputs!$C$6,-PMT(Inputs!$C$5/12,Inputs!$C$6,Inputs!$C$4),0)</x:f>
      </x:c>
      <x:c r="E55" s="24">
        <x:f>IF($B55&lt;=Inputs!$C$6+Inputs!$C$11,$C55*Inputs!$C$5/12,0)</x:f>
      </x:c>
      <x:c r="F55" s="24">
        <x:f>IF($B55&lt;=Inputs!$C$6,MAX(0,$D55-$E55),0)</x:f>
      </x:c>
      <x:c r="G55" s="24">
        <x:f>IF($B55&lt;=Inputs!$C$6,MAX(0,($C55-$F55))*(1-(1-Inputs!$C$8)^(1/12)),0)</x:f>
      </x:c>
      <x:c r="H55" s="24">
        <x:f>IF($B55&lt;=Inputs!$C$6,MAX(0,($C55-$F55-$G55))*(1-(1-Inputs!$C$9)^(1/12)),0)</x:f>
      </x:c>
      <x:c r="I55" s="24">
        <x:f>IF($B55&gt;Inputs!$C$11,INDEX($H$4:$H$1000,ROW()-Inputs!$C$11-3)*(1-Inputs!$C$10),0)</x:f>
      </x:c>
      <x:c r="J55" s="24">
        <x:f>$H55*Inputs!$C$10</x:f>
      </x:c>
      <x:c r="K55" s="24">
        <x:f>IF($B55&lt;=Inputs!$C$6+Inputs!$C$11,$C55*Inputs!$C$7/12,0)</x:f>
      </x:c>
      <x:c r="L55" s="24">
        <x:f>IF($B55&lt;=Inputs!$C$6+Inputs!$C$11,$E55+$F55+$G55+$I55-$K55,0)</x:f>
      </x:c>
      <x:c r="M55" s="24">
        <x:f>IF($B55&lt;=Inputs!$C$6,MAX(0,$C55-$F55-$G55-$H55),0)</x:f>
      </x:c>
    </x:row>
    <x:row r="56">
      <x:c r="B56" s="22" t="n">
        <x:v>53</x:v>
      </x:c>
      <x:c r="C56" s="23">
        <x:f>IF($B56&lt;=Inputs!$C$6+Inputs!$C$11,$M55,"")</x:f>
      </x:c>
      <x:c r="D56" s="24">
        <x:f>IF($B56&lt;=Inputs!$C$6,-PMT(Inputs!$C$5/12,Inputs!$C$6,Inputs!$C$4),0)</x:f>
      </x:c>
      <x:c r="E56" s="24">
        <x:f>IF($B56&lt;=Inputs!$C$6+Inputs!$C$11,$C56*Inputs!$C$5/12,0)</x:f>
      </x:c>
      <x:c r="F56" s="24">
        <x:f>IF($B56&lt;=Inputs!$C$6,MAX(0,$D56-$E56),0)</x:f>
      </x:c>
      <x:c r="G56" s="24">
        <x:f>IF($B56&lt;=Inputs!$C$6,MAX(0,($C56-$F56))*(1-(1-Inputs!$C$8)^(1/12)),0)</x:f>
      </x:c>
      <x:c r="H56" s="24">
        <x:f>IF($B56&lt;=Inputs!$C$6,MAX(0,($C56-$F56-$G56))*(1-(1-Inputs!$C$9)^(1/12)),0)</x:f>
      </x:c>
      <x:c r="I56" s="24">
        <x:f>IF($B56&gt;Inputs!$C$11,INDEX($H$4:$H$1000,ROW()-Inputs!$C$11-3)*(1-Inputs!$C$10),0)</x:f>
      </x:c>
      <x:c r="J56" s="24">
        <x:f>$H56*Inputs!$C$10</x:f>
      </x:c>
      <x:c r="K56" s="24">
        <x:f>IF($B56&lt;=Inputs!$C$6+Inputs!$C$11,$C56*Inputs!$C$7/12,0)</x:f>
      </x:c>
      <x:c r="L56" s="24">
        <x:f>IF($B56&lt;=Inputs!$C$6+Inputs!$C$11,$E56+$F56+$G56+$I56-$K56,0)</x:f>
      </x:c>
      <x:c r="M56" s="24">
        <x:f>IF($B56&lt;=Inputs!$C$6,MAX(0,$C56-$F56-$G56-$H56),0)</x:f>
      </x:c>
    </x:row>
    <x:row r="57">
      <x:c r="B57" s="22" t="n">
        <x:v>54</x:v>
      </x:c>
      <x:c r="C57" s="23">
        <x:f>IF($B57&lt;=Inputs!$C$6+Inputs!$C$11,$M56,"")</x:f>
      </x:c>
      <x:c r="D57" s="24">
        <x:f>IF($B57&lt;=Inputs!$C$6,-PMT(Inputs!$C$5/12,Inputs!$C$6,Inputs!$C$4),0)</x:f>
      </x:c>
      <x:c r="E57" s="24">
        <x:f>IF($B57&lt;=Inputs!$C$6+Inputs!$C$11,$C57*Inputs!$C$5/12,0)</x:f>
      </x:c>
      <x:c r="F57" s="24">
        <x:f>IF($B57&lt;=Inputs!$C$6,MAX(0,$D57-$E57),0)</x:f>
      </x:c>
      <x:c r="G57" s="24">
        <x:f>IF($B57&lt;=Inputs!$C$6,MAX(0,($C57-$F57))*(1-(1-Inputs!$C$8)^(1/12)),0)</x:f>
      </x:c>
      <x:c r="H57" s="24">
        <x:f>IF($B57&lt;=Inputs!$C$6,MAX(0,($C57-$F57-$G57))*(1-(1-Inputs!$C$9)^(1/12)),0)</x:f>
      </x:c>
      <x:c r="I57" s="24">
        <x:f>IF($B57&gt;Inputs!$C$11,INDEX($H$4:$H$1000,ROW()-Inputs!$C$11-3)*(1-Inputs!$C$10),0)</x:f>
      </x:c>
      <x:c r="J57" s="24">
        <x:f>$H57*Inputs!$C$10</x:f>
      </x:c>
      <x:c r="K57" s="24">
        <x:f>IF($B57&lt;=Inputs!$C$6+Inputs!$C$11,$C57*Inputs!$C$7/12,0)</x:f>
      </x:c>
      <x:c r="L57" s="24">
        <x:f>IF($B57&lt;=Inputs!$C$6+Inputs!$C$11,$E57+$F57+$G57+$I57-$K57,0)</x:f>
      </x:c>
      <x:c r="M57" s="24">
        <x:f>IF($B57&lt;=Inputs!$C$6,MAX(0,$C57-$F57-$G57-$H57),0)</x:f>
      </x:c>
    </x:row>
    <x:row r="58">
      <x:c r="B58" s="22" t="n">
        <x:v>55</x:v>
      </x:c>
      <x:c r="C58" s="23">
        <x:f>IF($B58&lt;=Inputs!$C$6+Inputs!$C$11,$M57,"")</x:f>
      </x:c>
      <x:c r="D58" s="24">
        <x:f>IF($B58&lt;=Inputs!$C$6,-PMT(Inputs!$C$5/12,Inputs!$C$6,Inputs!$C$4),0)</x:f>
      </x:c>
      <x:c r="E58" s="24">
        <x:f>IF($B58&lt;=Inputs!$C$6+Inputs!$C$11,$C58*Inputs!$C$5/12,0)</x:f>
      </x:c>
      <x:c r="F58" s="24">
        <x:f>IF($B58&lt;=Inputs!$C$6,MAX(0,$D58-$E58),0)</x:f>
      </x:c>
      <x:c r="G58" s="24">
        <x:f>IF($B58&lt;=Inputs!$C$6,MAX(0,($C58-$F58))*(1-(1-Inputs!$C$8)^(1/12)),0)</x:f>
      </x:c>
      <x:c r="H58" s="24">
        <x:f>IF($B58&lt;=Inputs!$C$6,MAX(0,($C58-$F58-$G58))*(1-(1-Inputs!$C$9)^(1/12)),0)</x:f>
      </x:c>
      <x:c r="I58" s="24">
        <x:f>IF($B58&gt;Inputs!$C$11,INDEX($H$4:$H$1000,ROW()-Inputs!$C$11-3)*(1-Inputs!$C$10),0)</x:f>
      </x:c>
      <x:c r="J58" s="24">
        <x:f>$H58*Inputs!$C$10</x:f>
      </x:c>
      <x:c r="K58" s="24">
        <x:f>IF($B58&lt;=Inputs!$C$6+Inputs!$C$11,$C58*Inputs!$C$7/12,0)</x:f>
      </x:c>
      <x:c r="L58" s="24">
        <x:f>IF($B58&lt;=Inputs!$C$6+Inputs!$C$11,$E58+$F58+$G58+$I58-$K58,0)</x:f>
      </x:c>
      <x:c r="M58" s="24">
        <x:f>IF($B58&lt;=Inputs!$C$6,MAX(0,$C58-$F58-$G58-$H58),0)</x:f>
      </x:c>
    </x:row>
    <x:row r="59">
      <x:c r="B59" s="22" t="n">
        <x:v>56</x:v>
      </x:c>
      <x:c r="C59" s="23">
        <x:f>IF($B59&lt;=Inputs!$C$6+Inputs!$C$11,$M58,"")</x:f>
      </x:c>
      <x:c r="D59" s="24">
        <x:f>IF($B59&lt;=Inputs!$C$6,-PMT(Inputs!$C$5/12,Inputs!$C$6,Inputs!$C$4),0)</x:f>
      </x:c>
      <x:c r="E59" s="24">
        <x:f>IF($B59&lt;=Inputs!$C$6+Inputs!$C$11,$C59*Inputs!$C$5/12,0)</x:f>
      </x:c>
      <x:c r="F59" s="24">
        <x:f>IF($B59&lt;=Inputs!$C$6,MAX(0,$D59-$E59),0)</x:f>
      </x:c>
      <x:c r="G59" s="24">
        <x:f>IF($B59&lt;=Inputs!$C$6,MAX(0,($C59-$F59))*(1-(1-Inputs!$C$8)^(1/12)),0)</x:f>
      </x:c>
      <x:c r="H59" s="24">
        <x:f>IF($B59&lt;=Inputs!$C$6,MAX(0,($C59-$F59-$G59))*(1-(1-Inputs!$C$9)^(1/12)),0)</x:f>
      </x:c>
      <x:c r="I59" s="24">
        <x:f>IF($B59&gt;Inputs!$C$11,INDEX($H$4:$H$1000,ROW()-Inputs!$C$11-3)*(1-Inputs!$C$10),0)</x:f>
      </x:c>
      <x:c r="J59" s="24">
        <x:f>$H59*Inputs!$C$10</x:f>
      </x:c>
      <x:c r="K59" s="24">
        <x:f>IF($B59&lt;=Inputs!$C$6+Inputs!$C$11,$C59*Inputs!$C$7/12,0)</x:f>
      </x:c>
      <x:c r="L59" s="24">
        <x:f>IF($B59&lt;=Inputs!$C$6+Inputs!$C$11,$E59+$F59+$G59+$I59-$K59,0)</x:f>
      </x:c>
      <x:c r="M59" s="24">
        <x:f>IF($B59&lt;=Inputs!$C$6,MAX(0,$C59-$F59-$G59-$H59),0)</x:f>
      </x:c>
    </x:row>
    <x:row r="60">
      <x:c r="B60" s="22" t="n">
        <x:v>57</x:v>
      </x:c>
      <x:c r="C60" s="23">
        <x:f>IF($B60&lt;=Inputs!$C$6+Inputs!$C$11,$M59,"")</x:f>
      </x:c>
      <x:c r="D60" s="24">
        <x:f>IF($B60&lt;=Inputs!$C$6,-PMT(Inputs!$C$5/12,Inputs!$C$6,Inputs!$C$4),0)</x:f>
      </x:c>
      <x:c r="E60" s="24">
        <x:f>IF($B60&lt;=Inputs!$C$6+Inputs!$C$11,$C60*Inputs!$C$5/12,0)</x:f>
      </x:c>
      <x:c r="F60" s="24">
        <x:f>IF($B60&lt;=Inputs!$C$6,MAX(0,$D60-$E60),0)</x:f>
      </x:c>
      <x:c r="G60" s="24">
        <x:f>IF($B60&lt;=Inputs!$C$6,MAX(0,($C60-$F60))*(1-(1-Inputs!$C$8)^(1/12)),0)</x:f>
      </x:c>
      <x:c r="H60" s="24">
        <x:f>IF($B60&lt;=Inputs!$C$6,MAX(0,($C60-$F60-$G60))*(1-(1-Inputs!$C$9)^(1/12)),0)</x:f>
      </x:c>
      <x:c r="I60" s="24">
        <x:f>IF($B60&gt;Inputs!$C$11,INDEX($H$4:$H$1000,ROW()-Inputs!$C$11-3)*(1-Inputs!$C$10),0)</x:f>
      </x:c>
      <x:c r="J60" s="24">
        <x:f>$H60*Inputs!$C$10</x:f>
      </x:c>
      <x:c r="K60" s="24">
        <x:f>IF($B60&lt;=Inputs!$C$6+Inputs!$C$11,$C60*Inputs!$C$7/12,0)</x:f>
      </x:c>
      <x:c r="L60" s="24">
        <x:f>IF($B60&lt;=Inputs!$C$6+Inputs!$C$11,$E60+$F60+$G60+$I60-$K60,0)</x:f>
      </x:c>
      <x:c r="M60" s="24">
        <x:f>IF($B60&lt;=Inputs!$C$6,MAX(0,$C60-$F60-$G60-$H60),0)</x:f>
      </x:c>
    </x:row>
    <x:row r="61">
      <x:c r="B61" s="22" t="n">
        <x:v>58</x:v>
      </x:c>
      <x:c r="C61" s="23">
        <x:f>IF($B61&lt;=Inputs!$C$6+Inputs!$C$11,$M60,"")</x:f>
      </x:c>
      <x:c r="D61" s="24">
        <x:f>IF($B61&lt;=Inputs!$C$6,-PMT(Inputs!$C$5/12,Inputs!$C$6,Inputs!$C$4),0)</x:f>
      </x:c>
      <x:c r="E61" s="24">
        <x:f>IF($B61&lt;=Inputs!$C$6+Inputs!$C$11,$C61*Inputs!$C$5/12,0)</x:f>
      </x:c>
      <x:c r="F61" s="24">
        <x:f>IF($B61&lt;=Inputs!$C$6,MAX(0,$D61-$E61),0)</x:f>
      </x:c>
      <x:c r="G61" s="24">
        <x:f>IF($B61&lt;=Inputs!$C$6,MAX(0,($C61-$F61))*(1-(1-Inputs!$C$8)^(1/12)),0)</x:f>
      </x:c>
      <x:c r="H61" s="24">
        <x:f>IF($B61&lt;=Inputs!$C$6,MAX(0,($C61-$F61-$G61))*(1-(1-Inputs!$C$9)^(1/12)),0)</x:f>
      </x:c>
      <x:c r="I61" s="24">
        <x:f>IF($B61&gt;Inputs!$C$11,INDEX($H$4:$H$1000,ROW()-Inputs!$C$11-3)*(1-Inputs!$C$10),0)</x:f>
      </x:c>
      <x:c r="J61" s="24">
        <x:f>$H61*Inputs!$C$10</x:f>
      </x:c>
      <x:c r="K61" s="24">
        <x:f>IF($B61&lt;=Inputs!$C$6+Inputs!$C$11,$C61*Inputs!$C$7/12,0)</x:f>
      </x:c>
      <x:c r="L61" s="24">
        <x:f>IF($B61&lt;=Inputs!$C$6+Inputs!$C$11,$E61+$F61+$G61+$I61-$K61,0)</x:f>
      </x:c>
      <x:c r="M61" s="24">
        <x:f>IF($B61&lt;=Inputs!$C$6,MAX(0,$C61-$F61-$G61-$H61),0)</x:f>
      </x:c>
    </x:row>
    <x:row r="62">
      <x:c r="B62" s="22" t="n">
        <x:v>59</x:v>
      </x:c>
      <x:c r="C62" s="23">
        <x:f>IF($B62&lt;=Inputs!$C$6+Inputs!$C$11,$M61,"")</x:f>
      </x:c>
      <x:c r="D62" s="24">
        <x:f>IF($B62&lt;=Inputs!$C$6,-PMT(Inputs!$C$5/12,Inputs!$C$6,Inputs!$C$4),0)</x:f>
      </x:c>
      <x:c r="E62" s="24">
        <x:f>IF($B62&lt;=Inputs!$C$6+Inputs!$C$11,$C62*Inputs!$C$5/12,0)</x:f>
      </x:c>
      <x:c r="F62" s="24">
        <x:f>IF($B62&lt;=Inputs!$C$6,MAX(0,$D62-$E62),0)</x:f>
      </x:c>
      <x:c r="G62" s="24">
        <x:f>IF($B62&lt;=Inputs!$C$6,MAX(0,($C62-$F62))*(1-(1-Inputs!$C$8)^(1/12)),0)</x:f>
      </x:c>
      <x:c r="H62" s="24">
        <x:f>IF($B62&lt;=Inputs!$C$6,MAX(0,($C62-$F62-$G62))*(1-(1-Inputs!$C$9)^(1/12)),0)</x:f>
      </x:c>
      <x:c r="I62" s="24">
        <x:f>IF($B62&gt;Inputs!$C$11,INDEX($H$4:$H$1000,ROW()-Inputs!$C$11-3)*(1-Inputs!$C$10),0)</x:f>
      </x:c>
      <x:c r="J62" s="24">
        <x:f>$H62*Inputs!$C$10</x:f>
      </x:c>
      <x:c r="K62" s="24">
        <x:f>IF($B62&lt;=Inputs!$C$6+Inputs!$C$11,$C62*Inputs!$C$7/12,0)</x:f>
      </x:c>
      <x:c r="L62" s="24">
        <x:f>IF($B62&lt;=Inputs!$C$6+Inputs!$C$11,$E62+$F62+$G62+$I62-$K62,0)</x:f>
      </x:c>
      <x:c r="M62" s="24">
        <x:f>IF($B62&lt;=Inputs!$C$6,MAX(0,$C62-$F62-$G62-$H62),0)</x:f>
      </x:c>
    </x:row>
    <x:row r="63">
      <x:c r="B63" s="22" t="n">
        <x:v>60</x:v>
      </x:c>
      <x:c r="C63" s="23">
        <x:f>IF($B63&lt;=Inputs!$C$6+Inputs!$C$11,$M62,"")</x:f>
      </x:c>
      <x:c r="D63" s="24">
        <x:f>IF($B63&lt;=Inputs!$C$6,-PMT(Inputs!$C$5/12,Inputs!$C$6,Inputs!$C$4),0)</x:f>
      </x:c>
      <x:c r="E63" s="24">
        <x:f>IF($B63&lt;=Inputs!$C$6+Inputs!$C$11,$C63*Inputs!$C$5/12,0)</x:f>
      </x:c>
      <x:c r="F63" s="24">
        <x:f>IF($B63&lt;=Inputs!$C$6,MAX(0,$D63-$E63),0)</x:f>
      </x:c>
      <x:c r="G63" s="24">
        <x:f>IF($B63&lt;=Inputs!$C$6,MAX(0,($C63-$F63))*(1-(1-Inputs!$C$8)^(1/12)),0)</x:f>
      </x:c>
      <x:c r="H63" s="24">
        <x:f>IF($B63&lt;=Inputs!$C$6,MAX(0,($C63-$F63-$G63))*(1-(1-Inputs!$C$9)^(1/12)),0)</x:f>
      </x:c>
      <x:c r="I63" s="24">
        <x:f>IF($B63&gt;Inputs!$C$11,INDEX($H$4:$H$1000,ROW()-Inputs!$C$11-3)*(1-Inputs!$C$10),0)</x:f>
      </x:c>
      <x:c r="J63" s="24">
        <x:f>$H63*Inputs!$C$10</x:f>
      </x:c>
      <x:c r="K63" s="24">
        <x:f>IF($B63&lt;=Inputs!$C$6+Inputs!$C$11,$C63*Inputs!$C$7/12,0)</x:f>
      </x:c>
      <x:c r="L63" s="24">
        <x:f>IF($B63&lt;=Inputs!$C$6+Inputs!$C$11,$E63+$F63+$G63+$I63-$K63,0)</x:f>
      </x:c>
      <x:c r="M63" s="24">
        <x:f>IF($B63&lt;=Inputs!$C$6,MAX(0,$C63-$F63-$G63-$H63),0)</x:f>
      </x:c>
    </x:row>
    <x:row r="64">
      <x:c r="B64" s="22" t="n">
        <x:v>61</x:v>
      </x:c>
      <x:c r="C64" s="23">
        <x:f>IF($B64&lt;=Inputs!$C$6+Inputs!$C$11,$M63,"")</x:f>
      </x:c>
      <x:c r="D64" s="24">
        <x:f>IF($B64&lt;=Inputs!$C$6,-PMT(Inputs!$C$5/12,Inputs!$C$6,Inputs!$C$4),0)</x:f>
      </x:c>
      <x:c r="E64" s="24">
        <x:f>IF($B64&lt;=Inputs!$C$6+Inputs!$C$11,$C64*Inputs!$C$5/12,0)</x:f>
      </x:c>
      <x:c r="F64" s="24">
        <x:f>IF($B64&lt;=Inputs!$C$6,MAX(0,$D64-$E64),0)</x:f>
      </x:c>
      <x:c r="G64" s="24">
        <x:f>IF($B64&lt;=Inputs!$C$6,MAX(0,($C64-$F64))*(1-(1-Inputs!$C$8)^(1/12)),0)</x:f>
      </x:c>
      <x:c r="H64" s="24">
        <x:f>IF($B64&lt;=Inputs!$C$6,MAX(0,($C64-$F64-$G64))*(1-(1-Inputs!$C$9)^(1/12)),0)</x:f>
      </x:c>
      <x:c r="I64" s="24">
        <x:f>IF($B64&gt;Inputs!$C$11,INDEX($H$4:$H$1000,ROW()-Inputs!$C$11-3)*(1-Inputs!$C$10),0)</x:f>
      </x:c>
      <x:c r="J64" s="24">
        <x:f>$H64*Inputs!$C$10</x:f>
      </x:c>
      <x:c r="K64" s="24">
        <x:f>IF($B64&lt;=Inputs!$C$6+Inputs!$C$11,$C64*Inputs!$C$7/12,0)</x:f>
      </x:c>
      <x:c r="L64" s="24">
        <x:f>IF($B64&lt;=Inputs!$C$6+Inputs!$C$11,$E64+$F64+$G64+$I64-$K64,0)</x:f>
      </x:c>
      <x:c r="M64" s="24">
        <x:f>IF($B64&lt;=Inputs!$C$6,MAX(0,$C64-$F64-$G64-$H64),0)</x:f>
      </x:c>
    </x:row>
    <x:row r="65">
      <x:c r="B65" s="22" t="n">
        <x:v>62</x:v>
      </x:c>
      <x:c r="C65" s="23">
        <x:f>IF($B65&lt;=Inputs!$C$6+Inputs!$C$11,$M64,"")</x:f>
      </x:c>
      <x:c r="D65" s="24">
        <x:f>IF($B65&lt;=Inputs!$C$6,-PMT(Inputs!$C$5/12,Inputs!$C$6,Inputs!$C$4),0)</x:f>
      </x:c>
      <x:c r="E65" s="24">
        <x:f>IF($B65&lt;=Inputs!$C$6+Inputs!$C$11,$C65*Inputs!$C$5/12,0)</x:f>
      </x:c>
      <x:c r="F65" s="24">
        <x:f>IF($B65&lt;=Inputs!$C$6,MAX(0,$D65-$E65),0)</x:f>
      </x:c>
      <x:c r="G65" s="24">
        <x:f>IF($B65&lt;=Inputs!$C$6,MAX(0,($C65-$F65))*(1-(1-Inputs!$C$8)^(1/12)),0)</x:f>
      </x:c>
      <x:c r="H65" s="24">
        <x:f>IF($B65&lt;=Inputs!$C$6,MAX(0,($C65-$F65-$G65))*(1-(1-Inputs!$C$9)^(1/12)),0)</x:f>
      </x:c>
      <x:c r="I65" s="24">
        <x:f>IF($B65&gt;Inputs!$C$11,INDEX($H$4:$H$1000,ROW()-Inputs!$C$11-3)*(1-Inputs!$C$10),0)</x:f>
      </x:c>
      <x:c r="J65" s="24">
        <x:f>$H65*Inputs!$C$10</x:f>
      </x:c>
      <x:c r="K65" s="24">
        <x:f>IF($B65&lt;=Inputs!$C$6+Inputs!$C$11,$C65*Inputs!$C$7/12,0)</x:f>
      </x:c>
      <x:c r="L65" s="24">
        <x:f>IF($B65&lt;=Inputs!$C$6+Inputs!$C$11,$E65+$F65+$G65+$I65-$K65,0)</x:f>
      </x:c>
      <x:c r="M65" s="24">
        <x:f>IF($B65&lt;=Inputs!$C$6,MAX(0,$C65-$F65-$G65-$H65),0)</x:f>
      </x:c>
    </x:row>
    <x:row r="66">
      <x:c r="B66" s="22" t="n">
        <x:v>63</x:v>
      </x:c>
      <x:c r="C66" s="23">
        <x:f>IF($B66&lt;=Inputs!$C$6+Inputs!$C$11,$M65,"")</x:f>
      </x:c>
      <x:c r="D66" s="24">
        <x:f>IF($B66&lt;=Inputs!$C$6,-PMT(Inputs!$C$5/12,Inputs!$C$6,Inputs!$C$4),0)</x:f>
      </x:c>
      <x:c r="E66" s="24">
        <x:f>IF($B66&lt;=Inputs!$C$6+Inputs!$C$11,$C66*Inputs!$C$5/12,0)</x:f>
      </x:c>
      <x:c r="F66" s="24">
        <x:f>IF($B66&lt;=Inputs!$C$6,MAX(0,$D66-$E66),0)</x:f>
      </x:c>
      <x:c r="G66" s="24">
        <x:f>IF($B66&lt;=Inputs!$C$6,MAX(0,($C66-$F66))*(1-(1-Inputs!$C$8)^(1/12)),0)</x:f>
      </x:c>
      <x:c r="H66" s="24">
        <x:f>IF($B66&lt;=Inputs!$C$6,MAX(0,($C66-$F66-$G66))*(1-(1-Inputs!$C$9)^(1/12)),0)</x:f>
      </x:c>
      <x:c r="I66" s="24">
        <x:f>IF($B66&gt;Inputs!$C$11,INDEX($H$4:$H$1000,ROW()-Inputs!$C$11-3)*(1-Inputs!$C$10),0)</x:f>
      </x:c>
      <x:c r="J66" s="24">
        <x:f>$H66*Inputs!$C$10</x:f>
      </x:c>
      <x:c r="K66" s="24">
        <x:f>IF($B66&lt;=Inputs!$C$6+Inputs!$C$11,$C66*Inputs!$C$7/12,0)</x:f>
      </x:c>
      <x:c r="L66" s="24">
        <x:f>IF($B66&lt;=Inputs!$C$6+Inputs!$C$11,$E66+$F66+$G66+$I66-$K66,0)</x:f>
      </x:c>
      <x:c r="M66" s="24">
        <x:f>IF($B66&lt;=Inputs!$C$6,MAX(0,$C66-$F66-$G66-$H66),0)</x:f>
      </x:c>
    </x:row>
    <x:row r="67">
      <x:c r="B67" s="22" t="n">
        <x:v>64</x:v>
      </x:c>
      <x:c r="C67" s="23">
        <x:f>IF($B67&lt;=Inputs!$C$6+Inputs!$C$11,$M66,"")</x:f>
      </x:c>
      <x:c r="D67" s="24">
        <x:f>IF($B67&lt;=Inputs!$C$6,-PMT(Inputs!$C$5/12,Inputs!$C$6,Inputs!$C$4),0)</x:f>
      </x:c>
      <x:c r="E67" s="24">
        <x:f>IF($B67&lt;=Inputs!$C$6+Inputs!$C$11,$C67*Inputs!$C$5/12,0)</x:f>
      </x:c>
      <x:c r="F67" s="24">
        <x:f>IF($B67&lt;=Inputs!$C$6,MAX(0,$D67-$E67),0)</x:f>
      </x:c>
      <x:c r="G67" s="24">
        <x:f>IF($B67&lt;=Inputs!$C$6,MAX(0,($C67-$F67))*(1-(1-Inputs!$C$8)^(1/12)),0)</x:f>
      </x:c>
      <x:c r="H67" s="24">
        <x:f>IF($B67&lt;=Inputs!$C$6,MAX(0,($C67-$F67-$G67))*(1-(1-Inputs!$C$9)^(1/12)),0)</x:f>
      </x:c>
      <x:c r="I67" s="24">
        <x:f>IF($B67&gt;Inputs!$C$11,INDEX($H$4:$H$1000,ROW()-Inputs!$C$11-3)*(1-Inputs!$C$10),0)</x:f>
      </x:c>
      <x:c r="J67" s="24">
        <x:f>$H67*Inputs!$C$10</x:f>
      </x:c>
      <x:c r="K67" s="24">
        <x:f>IF($B67&lt;=Inputs!$C$6+Inputs!$C$11,$C67*Inputs!$C$7/12,0)</x:f>
      </x:c>
      <x:c r="L67" s="24">
        <x:f>IF($B67&lt;=Inputs!$C$6+Inputs!$C$11,$E67+$F67+$G67+$I67-$K67,0)</x:f>
      </x:c>
      <x:c r="M67" s="24">
        <x:f>IF($B67&lt;=Inputs!$C$6,MAX(0,$C67-$F67-$G67-$H67),0)</x:f>
      </x:c>
    </x:row>
    <x:row r="68">
      <x:c r="B68" s="22" t="n">
        <x:v>65</x:v>
      </x:c>
      <x:c r="C68" s="23">
        <x:f>IF($B68&lt;=Inputs!$C$6+Inputs!$C$11,$M67,"")</x:f>
      </x:c>
      <x:c r="D68" s="24">
        <x:f>IF($B68&lt;=Inputs!$C$6,-PMT(Inputs!$C$5/12,Inputs!$C$6,Inputs!$C$4),0)</x:f>
      </x:c>
      <x:c r="E68" s="24">
        <x:f>IF($B68&lt;=Inputs!$C$6+Inputs!$C$11,$C68*Inputs!$C$5/12,0)</x:f>
      </x:c>
      <x:c r="F68" s="24">
        <x:f>IF($B68&lt;=Inputs!$C$6,MAX(0,$D68-$E68),0)</x:f>
      </x:c>
      <x:c r="G68" s="24">
        <x:f>IF($B68&lt;=Inputs!$C$6,MAX(0,($C68-$F68))*(1-(1-Inputs!$C$8)^(1/12)),0)</x:f>
      </x:c>
      <x:c r="H68" s="24">
        <x:f>IF($B68&lt;=Inputs!$C$6,MAX(0,($C68-$F68-$G68))*(1-(1-Inputs!$C$9)^(1/12)),0)</x:f>
      </x:c>
      <x:c r="I68" s="24">
        <x:f>IF($B68&gt;Inputs!$C$11,INDEX($H$4:$H$1000,ROW()-Inputs!$C$11-3)*(1-Inputs!$C$10),0)</x:f>
      </x:c>
      <x:c r="J68" s="24">
        <x:f>$H68*Inputs!$C$10</x:f>
      </x:c>
      <x:c r="K68" s="24">
        <x:f>IF($B68&lt;=Inputs!$C$6+Inputs!$C$11,$C68*Inputs!$C$7/12,0)</x:f>
      </x:c>
      <x:c r="L68" s="24">
        <x:f>IF($B68&lt;=Inputs!$C$6+Inputs!$C$11,$E68+$F68+$G68+$I68-$K68,0)</x:f>
      </x:c>
      <x:c r="M68" s="24">
        <x:f>IF($B68&lt;=Inputs!$C$6,MAX(0,$C68-$F68-$G68-$H68),0)</x:f>
      </x:c>
    </x:row>
    <x:row r="69">
      <x:c r="B69" s="22" t="n">
        <x:v>66</x:v>
      </x:c>
      <x:c r="C69" s="23">
        <x:f>IF($B69&lt;=Inputs!$C$6+Inputs!$C$11,$M68,"")</x:f>
      </x:c>
      <x:c r="D69" s="24">
        <x:f>IF($B69&lt;=Inputs!$C$6,-PMT(Inputs!$C$5/12,Inputs!$C$6,Inputs!$C$4),0)</x:f>
      </x:c>
      <x:c r="E69" s="24">
        <x:f>IF($B69&lt;=Inputs!$C$6+Inputs!$C$11,$C69*Inputs!$C$5/12,0)</x:f>
      </x:c>
      <x:c r="F69" s="24">
        <x:f>IF($B69&lt;=Inputs!$C$6,MAX(0,$D69-$E69),0)</x:f>
      </x:c>
      <x:c r="G69" s="24">
        <x:f>IF($B69&lt;=Inputs!$C$6,MAX(0,($C69-$F69))*(1-(1-Inputs!$C$8)^(1/12)),0)</x:f>
      </x:c>
      <x:c r="H69" s="24">
        <x:f>IF($B69&lt;=Inputs!$C$6,MAX(0,($C69-$F69-$G69))*(1-(1-Inputs!$C$9)^(1/12)),0)</x:f>
      </x:c>
      <x:c r="I69" s="24">
        <x:f>IF($B69&gt;Inputs!$C$11,INDEX($H$4:$H$1000,ROW()-Inputs!$C$11-3)*(1-Inputs!$C$10),0)</x:f>
      </x:c>
      <x:c r="J69" s="24">
        <x:f>$H69*Inputs!$C$10</x:f>
      </x:c>
      <x:c r="K69" s="24">
        <x:f>IF($B69&lt;=Inputs!$C$6+Inputs!$C$11,$C69*Inputs!$C$7/12,0)</x:f>
      </x:c>
      <x:c r="L69" s="24">
        <x:f>IF($B69&lt;=Inputs!$C$6+Inputs!$C$11,$E69+$F69+$G69+$I69-$K69,0)</x:f>
      </x:c>
      <x:c r="M69" s="24">
        <x:f>IF($B69&lt;=Inputs!$C$6,MAX(0,$C69-$F69-$G69-$H69),0)</x:f>
      </x:c>
    </x:row>
    <x:row r="70">
      <x:c r="B70" s="22" t="n">
        <x:v>67</x:v>
      </x:c>
      <x:c r="C70" s="23">
        <x:f>IF($B70&lt;=Inputs!$C$6+Inputs!$C$11,$M69,"")</x:f>
      </x:c>
      <x:c r="D70" s="24">
        <x:f>IF($B70&lt;=Inputs!$C$6,-PMT(Inputs!$C$5/12,Inputs!$C$6,Inputs!$C$4),0)</x:f>
      </x:c>
      <x:c r="E70" s="24">
        <x:f>IF($B70&lt;=Inputs!$C$6+Inputs!$C$11,$C70*Inputs!$C$5/12,0)</x:f>
      </x:c>
      <x:c r="F70" s="24">
        <x:f>IF($B70&lt;=Inputs!$C$6,MAX(0,$D70-$E70),0)</x:f>
      </x:c>
      <x:c r="G70" s="24">
        <x:f>IF($B70&lt;=Inputs!$C$6,MAX(0,($C70-$F70))*(1-(1-Inputs!$C$8)^(1/12)),0)</x:f>
      </x:c>
      <x:c r="H70" s="24">
        <x:f>IF($B70&lt;=Inputs!$C$6,MAX(0,($C70-$F70-$G70))*(1-(1-Inputs!$C$9)^(1/12)),0)</x:f>
      </x:c>
      <x:c r="I70" s="24">
        <x:f>IF($B70&gt;Inputs!$C$11,INDEX($H:$H,ROW()-Inputs!$C$11)* (1-Inputs!$C$10),0)</x:f>
      </x:c>
      <x:c r="J70" s="24">
        <x:f>$H70*Inputs!$C$10</x:f>
      </x:c>
      <x:c r="K70" s="24">
        <x:f>IF($B70&lt;=Inputs!$C$6+Inputs!$C$11,$C70*Inputs!$C$7/12,0)</x:f>
      </x:c>
      <x:c r="L70" s="24">
        <x:f>IF($B70&lt;=Inputs!$C$6+Inputs!$C$11,$E70+$F70+$G70+$I70-$K70,0)</x:f>
      </x:c>
      <x:c r="M70" s="24">
        <x:f>IF($B70&lt;=Inputs!$C$6,MAX(0,$C70-$F70-$G70-$H70),0)</x:f>
      </x:c>
    </x:row>
    <x:row r="71">
      <x:c r="B71" s="22" t="n">
        <x:v>68</x:v>
      </x:c>
      <x:c r="C71" s="23">
        <x:f>IF($B71&lt;=Inputs!$C$6+Inputs!$C$11,$M70,"")</x:f>
      </x:c>
      <x:c r="D71" s="24">
        <x:f>IF($B71&lt;=Inputs!$C$6,-PMT(Inputs!$C$5/12,Inputs!$C$6,Inputs!$C$4),0)</x:f>
      </x:c>
      <x:c r="E71" s="24">
        <x:f>IF($B71&lt;=Inputs!$C$6+Inputs!$C$11,$C71*Inputs!$C$5/12,0)</x:f>
      </x:c>
      <x:c r="F71" s="24">
        <x:f>IF($B71&lt;=Inputs!$C$6,MAX(0,$D71-$E71),0)</x:f>
      </x:c>
      <x:c r="G71" s="24">
        <x:f>IF($B71&lt;=Inputs!$C$6,MAX(0,($C71-$F71))*(1-(1-Inputs!$C$8)^(1/12)),0)</x:f>
      </x:c>
      <x:c r="H71" s="24">
        <x:f>IF($B71&lt;=Inputs!$C$6,MAX(0,($C71-$F71-$G71))*(1-(1-Inputs!$C$9)^(1/12)),0)</x:f>
      </x:c>
      <x:c r="I71" s="24">
        <x:f>IF($B71&gt;Inputs!$C$11,INDEX($H:$H,ROW()-Inputs!$C$11)* (1-Inputs!$C$10),0)</x:f>
      </x:c>
      <x:c r="J71" s="24">
        <x:f>$H71*Inputs!$C$10</x:f>
      </x:c>
      <x:c r="K71" s="24">
        <x:f>IF($B71&lt;=Inputs!$C$6+Inputs!$C$11,$C71*Inputs!$C$7/12,0)</x:f>
      </x:c>
      <x:c r="L71" s="24">
        <x:f>IF($B71&lt;=Inputs!$C$6+Inputs!$C$11,$E71+$F71+$G71+$I71-$K71,0)</x:f>
      </x:c>
      <x:c r="M71" s="24">
        <x:f>IF($B71&lt;=Inputs!$C$6,MAX(0,$C71-$F71-$G71-$H71),0)</x:f>
      </x:c>
    </x:row>
    <x:row r="72">
      <x:c r="B72" s="22" t="n">
        <x:v>69</x:v>
      </x:c>
      <x:c r="C72" s="23">
        <x:f>IF($B72&lt;=Inputs!$C$6+Inputs!$C$11,$M71,"")</x:f>
      </x:c>
      <x:c r="D72" s="24">
        <x:f>IF($B72&lt;=Inputs!$C$6,-PMT(Inputs!$C$5/12,Inputs!$C$6,Inputs!$C$4),0)</x:f>
      </x:c>
      <x:c r="E72" s="24">
        <x:f>IF($B72&lt;=Inputs!$C$6+Inputs!$C$11,$C72*Inputs!$C$5/12,0)</x:f>
      </x:c>
      <x:c r="F72" s="24">
        <x:f>IF($B72&lt;=Inputs!$C$6,MAX(0,$D72-$E72),0)</x:f>
      </x:c>
      <x:c r="G72" s="24">
        <x:f>IF($B72&lt;=Inputs!$C$6,MAX(0,($C72-$F72))*(1-(1-Inputs!$C$8)^(1/12)),0)</x:f>
      </x:c>
      <x:c r="H72" s="24">
        <x:f>IF($B72&lt;=Inputs!$C$6,MAX(0,($C72-$F72-$G72))*(1-(1-Inputs!$C$9)^(1/12)),0)</x:f>
      </x:c>
      <x:c r="I72" s="24">
        <x:f>IF($B72&gt;Inputs!$C$11,INDEX($H:$H,ROW()-Inputs!$C$11)* (1-Inputs!$C$10),0)</x:f>
      </x:c>
      <x:c r="J72" s="24">
        <x:f>$H72*Inputs!$C$10</x:f>
      </x:c>
      <x:c r="K72" s="24">
        <x:f>IF($B72&lt;=Inputs!$C$6+Inputs!$C$11,$C72*Inputs!$C$7/12,0)</x:f>
      </x:c>
      <x:c r="L72" s="24">
        <x:f>IF($B72&lt;=Inputs!$C$6+Inputs!$C$11,$E72+$F72+$G72+$I72-$K72,0)</x:f>
      </x:c>
      <x:c r="M72" s="24">
        <x:f>IF($B72&lt;=Inputs!$C$6,MAX(0,$C72-$F72-$G72-$H72),0)</x:f>
      </x:c>
    </x:row>
    <x:row r="73">
      <x:c r="B73" s="22" t="n">
        <x:v>70</x:v>
      </x:c>
      <x:c r="C73" s="23">
        <x:f>IF($B73&lt;=Inputs!$C$6+Inputs!$C$11,$M72,"")</x:f>
      </x:c>
      <x:c r="D73" s="24">
        <x:f>IF($B73&lt;=Inputs!$C$6,-PMT(Inputs!$C$5/12,Inputs!$C$6,Inputs!$C$4),0)</x:f>
      </x:c>
      <x:c r="E73" s="24">
        <x:f>IF($B73&lt;=Inputs!$C$6+Inputs!$C$11,$C73*Inputs!$C$5/12,0)</x:f>
      </x:c>
      <x:c r="F73" s="24">
        <x:f>IF($B73&lt;=Inputs!$C$6,MAX(0,$D73-$E73),0)</x:f>
      </x:c>
      <x:c r="G73" s="24">
        <x:f>IF($B73&lt;=Inputs!$C$6,MAX(0,($C73-$F73))*(1-(1-Inputs!$C$8)^(1/12)),0)</x:f>
      </x:c>
      <x:c r="H73" s="24">
        <x:f>IF($B73&lt;=Inputs!$C$6,MAX(0,($C73-$F73-$G73))*(1-(1-Inputs!$C$9)^(1/12)),0)</x:f>
      </x:c>
      <x:c r="I73" s="24">
        <x:f>IF($B73&gt;Inputs!$C$11,INDEX($H:$H,ROW()-Inputs!$C$11)* (1-Inputs!$C$10),0)</x:f>
      </x:c>
      <x:c r="J73" s="24">
        <x:f>$H73*Inputs!$C$10</x:f>
      </x:c>
      <x:c r="K73" s="24">
        <x:f>IF($B73&lt;=Inputs!$C$6+Inputs!$C$11,$C73*Inputs!$C$7/12,0)</x:f>
      </x:c>
      <x:c r="L73" s="24">
        <x:f>IF($B73&lt;=Inputs!$C$6+Inputs!$C$11,$E73+$F73+$G73+$I73-$K73,0)</x:f>
      </x:c>
      <x:c r="M73" s="24">
        <x:f>IF($B73&lt;=Inputs!$C$6,MAX(0,$C73-$F73-$G73-$H73),0)</x:f>
      </x:c>
    </x:row>
    <x:row r="74">
      <x:c r="B74" s="22" t="n">
        <x:v>71</x:v>
      </x:c>
      <x:c r="C74" s="23">
        <x:f>IF($B74&lt;=Inputs!$C$6+Inputs!$C$11,$M73,"")</x:f>
      </x:c>
      <x:c r="D74" s="24">
        <x:f>IF($B74&lt;=Inputs!$C$6,-PMT(Inputs!$C$5/12,Inputs!$C$6,Inputs!$C$4),0)</x:f>
      </x:c>
      <x:c r="E74" s="24">
        <x:f>IF($B74&lt;=Inputs!$C$6+Inputs!$C$11,$C74*Inputs!$C$5/12,0)</x:f>
      </x:c>
      <x:c r="F74" s="24">
        <x:f>IF($B74&lt;=Inputs!$C$6,MAX(0,$D74-$E74),0)</x:f>
      </x:c>
      <x:c r="G74" s="24">
        <x:f>IF($B74&lt;=Inputs!$C$6,MAX(0,($C74-$F74))*(1-(1-Inputs!$C$8)^(1/12)),0)</x:f>
      </x:c>
      <x:c r="H74" s="24">
        <x:f>IF($B74&lt;=Inputs!$C$6,MAX(0,($C74-$F74-$G74))*(1-(1-Inputs!$C$9)^(1/12)),0)</x:f>
      </x:c>
      <x:c r="I74" s="24">
        <x:f>IF($B74&gt;Inputs!$C$11,INDEX($H:$H,ROW()-Inputs!$C$11)* (1-Inputs!$C$10),0)</x:f>
      </x:c>
      <x:c r="J74" s="24">
        <x:f>$H74*Inputs!$C$10</x:f>
      </x:c>
      <x:c r="K74" s="24">
        <x:f>IF($B74&lt;=Inputs!$C$6+Inputs!$C$11,$C74*Inputs!$C$7/12,0)</x:f>
      </x:c>
      <x:c r="L74" s="24">
        <x:f>IF($B74&lt;=Inputs!$C$6+Inputs!$C$11,$E74+$F74+$G74+$I74-$K74,0)</x:f>
      </x:c>
      <x:c r="M74" s="24">
        <x:f>IF($B74&lt;=Inputs!$C$6,MAX(0,$C74-$F74-$G74-$H74),0)</x:f>
      </x:c>
    </x:row>
    <x:row r="75">
      <x:c r="B75" s="22" t="n">
        <x:v>72</x:v>
      </x:c>
      <x:c r="C75" s="23">
        <x:f>IF($B75&lt;=Inputs!$C$6+Inputs!$C$11,$M74,"")</x:f>
      </x:c>
      <x:c r="D75" s="24">
        <x:f>IF($B75&lt;=Inputs!$C$6,-PMT(Inputs!$C$5/12,Inputs!$C$6,Inputs!$C$4),0)</x:f>
      </x:c>
      <x:c r="E75" s="24">
        <x:f>IF($B75&lt;=Inputs!$C$6+Inputs!$C$11,$C75*Inputs!$C$5/12,0)</x:f>
      </x:c>
      <x:c r="F75" s="24">
        <x:f>IF($B75&lt;=Inputs!$C$6,MAX(0,$D75-$E75),0)</x:f>
      </x:c>
      <x:c r="G75" s="24">
        <x:f>IF($B75&lt;=Inputs!$C$6,MAX(0,($C75-$F75))*(1-(1-Inputs!$C$8)^(1/12)),0)</x:f>
      </x:c>
      <x:c r="H75" s="24">
        <x:f>IF($B75&lt;=Inputs!$C$6,MAX(0,($C75-$F75-$G75))*(1-(1-Inputs!$C$9)^(1/12)),0)</x:f>
      </x:c>
      <x:c r="I75" s="24">
        <x:f>IF($B75&gt;Inputs!$C$11,INDEX($H:$H,ROW()-Inputs!$C$11)* (1-Inputs!$C$10),0)</x:f>
      </x:c>
      <x:c r="J75" s="24">
        <x:f>$H75*Inputs!$C$10</x:f>
      </x:c>
      <x:c r="K75" s="24">
        <x:f>IF($B75&lt;=Inputs!$C$6+Inputs!$C$11,$C75*Inputs!$C$7/12,0)</x:f>
      </x:c>
      <x:c r="L75" s="24">
        <x:f>IF($B75&lt;=Inputs!$C$6+Inputs!$C$11,$E75+$F75+$G75+$I75-$K75,0)</x:f>
      </x:c>
      <x:c r="M75" s="24">
        <x:f>IF($B75&lt;=Inputs!$C$6,MAX(0,$C75-$F75-$G75-$H75),0)</x:f>
      </x:c>
    </x:row>
    <x:row r="76">
      <x:c r="B76" s="22" t="n">
        <x:v>73</x:v>
      </x:c>
      <x:c r="C76" s="23">
        <x:f>IF($B76&lt;=Inputs!$C$6+Inputs!$C$11,$M75,"")</x:f>
      </x:c>
      <x:c r="D76" s="24">
        <x:f>IF($B76&lt;=Inputs!$C$6,-PMT(Inputs!$C$5/12,Inputs!$C$6,Inputs!$C$4),0)</x:f>
      </x:c>
      <x:c r="E76" s="24">
        <x:f>IF($B76&lt;=Inputs!$C$6+Inputs!$C$11,$C76*Inputs!$C$5/12,0)</x:f>
      </x:c>
      <x:c r="F76" s="24">
        <x:f>IF($B76&lt;=Inputs!$C$6,MAX(0,$D76-$E76),0)</x:f>
      </x:c>
      <x:c r="G76" s="24">
        <x:f>IF($B76&lt;=Inputs!$C$6,MAX(0,($C76-$F76))*(1-(1-Inputs!$C$8)^(1/12)),0)</x:f>
      </x:c>
      <x:c r="H76" s="24">
        <x:f>IF($B76&lt;=Inputs!$C$6,MAX(0,($C76-$F76-$G76))*(1-(1-Inputs!$C$9)^(1/12)),0)</x:f>
      </x:c>
      <x:c r="I76" s="24">
        <x:f>IF($B76&gt;Inputs!$C$11,INDEX($H:$H,ROW()-Inputs!$C$11)* (1-Inputs!$C$10),0)</x:f>
      </x:c>
      <x:c r="J76" s="24">
        <x:f>$H76*Inputs!$C$10</x:f>
      </x:c>
      <x:c r="K76" s="24">
        <x:f>IF($B76&lt;=Inputs!$C$6+Inputs!$C$11,$C76*Inputs!$C$7/12,0)</x:f>
      </x:c>
      <x:c r="L76" s="24">
        <x:f>IF($B76&lt;=Inputs!$C$6+Inputs!$C$11,$E76+$F76+$G76+$I76-$K76,0)</x:f>
      </x:c>
      <x:c r="M76" s="24">
        <x:f>IF($B76&lt;=Inputs!$C$6,MAX(0,$C76-$F76-$G76-$H76),0)</x:f>
      </x:c>
    </x:row>
    <x:row r="77">
      <x:c r="B77" s="22" t="n">
        <x:v>74</x:v>
      </x:c>
      <x:c r="C77" s="23">
        <x:f>IF($B77&lt;=Inputs!$C$6+Inputs!$C$11,$M76,"")</x:f>
      </x:c>
      <x:c r="D77" s="24">
        <x:f>IF($B77&lt;=Inputs!$C$6,-PMT(Inputs!$C$5/12,Inputs!$C$6,Inputs!$C$4),0)</x:f>
      </x:c>
      <x:c r="E77" s="24">
        <x:f>IF($B77&lt;=Inputs!$C$6+Inputs!$C$11,$C77*Inputs!$C$5/12,0)</x:f>
      </x:c>
      <x:c r="F77" s="24">
        <x:f>IF($B77&lt;=Inputs!$C$6,MAX(0,$D77-$E77),0)</x:f>
      </x:c>
      <x:c r="G77" s="24">
        <x:f>IF($B77&lt;=Inputs!$C$6,MAX(0,($C77-$F77))*(1-(1-Inputs!$C$8)^(1/12)),0)</x:f>
      </x:c>
      <x:c r="H77" s="24">
        <x:f>IF($B77&lt;=Inputs!$C$6,MAX(0,($C77-$F77-$G77))*(1-(1-Inputs!$C$9)^(1/12)),0)</x:f>
      </x:c>
      <x:c r="I77" s="24">
        <x:f>IF($B77&gt;Inputs!$C$11,INDEX($H:$H,ROW()-Inputs!$C$11)* (1-Inputs!$C$10),0)</x:f>
      </x:c>
      <x:c r="J77" s="24">
        <x:f>$H77*Inputs!$C$10</x:f>
      </x:c>
      <x:c r="K77" s="24">
        <x:f>IF($B77&lt;=Inputs!$C$6+Inputs!$C$11,$C77*Inputs!$C$7/12,0)</x:f>
      </x:c>
      <x:c r="L77" s="24">
        <x:f>IF($B77&lt;=Inputs!$C$6+Inputs!$C$11,$E77+$F77+$G77+$I77-$K77,0)</x:f>
      </x:c>
      <x:c r="M77" s="24">
        <x:f>IF($B77&lt;=Inputs!$C$6,MAX(0,$C77-$F77-$G77-$H77),0)</x:f>
      </x:c>
    </x:row>
    <x:row r="78">
      <x:c r="B78" s="22" t="n">
        <x:v>75</x:v>
      </x:c>
      <x:c r="C78" s="23">
        <x:f>IF($B78&lt;=Inputs!$C$6+Inputs!$C$11,$M77,"")</x:f>
      </x:c>
      <x:c r="D78" s="24">
        <x:f>IF($B78&lt;=Inputs!$C$6,-PMT(Inputs!$C$5/12,Inputs!$C$6,Inputs!$C$4),0)</x:f>
      </x:c>
      <x:c r="E78" s="24">
        <x:f>IF($B78&lt;=Inputs!$C$6+Inputs!$C$11,$C78*Inputs!$C$5/12,0)</x:f>
      </x:c>
      <x:c r="F78" s="24">
        <x:f>IF($B78&lt;=Inputs!$C$6,MAX(0,$D78-$E78),0)</x:f>
      </x:c>
      <x:c r="G78" s="24">
        <x:f>IF($B78&lt;=Inputs!$C$6,MAX(0,($C78-$F78))*(1-(1-Inputs!$C$8)^(1/12)),0)</x:f>
      </x:c>
      <x:c r="H78" s="24">
        <x:f>IF($B78&lt;=Inputs!$C$6,MAX(0,($C78-$F78-$G78))*(1-(1-Inputs!$C$9)^(1/12)),0)</x:f>
      </x:c>
      <x:c r="I78" s="24">
        <x:f>IF($B78&gt;Inputs!$C$11,INDEX($H:$H,ROW()-Inputs!$C$11)* (1-Inputs!$C$10),0)</x:f>
      </x:c>
      <x:c r="J78" s="24">
        <x:f>$H78*Inputs!$C$10</x:f>
      </x:c>
      <x:c r="K78" s="24">
        <x:f>IF($B78&lt;=Inputs!$C$6+Inputs!$C$11,$C78*Inputs!$C$7/12,0)</x:f>
      </x:c>
      <x:c r="L78" s="24">
        <x:f>IF($B78&lt;=Inputs!$C$6+Inputs!$C$11,$E78+$F78+$G78+$I78-$K78,0)</x:f>
      </x:c>
      <x:c r="M78" s="24">
        <x:f>IF($B78&lt;=Inputs!$C$6,MAX(0,$C78-$F78-$G78-$H78),0)</x:f>
      </x:c>
    </x:row>
    <x:row r="79">
      <x:c r="B79" s="22" t="n">
        <x:v>76</x:v>
      </x:c>
      <x:c r="C79" s="23">
        <x:f>IF($B79&lt;=Inputs!$C$6+Inputs!$C$11,$M78,"")</x:f>
      </x:c>
      <x:c r="D79" s="24">
        <x:f>IF($B79&lt;=Inputs!$C$6,-PMT(Inputs!$C$5/12,Inputs!$C$6,Inputs!$C$4),0)</x:f>
      </x:c>
      <x:c r="E79" s="24">
        <x:f>IF($B79&lt;=Inputs!$C$6+Inputs!$C$11,$C79*Inputs!$C$5/12,0)</x:f>
      </x:c>
      <x:c r="F79" s="24">
        <x:f>IF($B79&lt;=Inputs!$C$6,MAX(0,$D79-$E79),0)</x:f>
      </x:c>
      <x:c r="G79" s="24">
        <x:f>IF($B79&lt;=Inputs!$C$6,MAX(0,($C79-$F79))*(1-(1-Inputs!$C$8)^(1/12)),0)</x:f>
      </x:c>
      <x:c r="H79" s="24">
        <x:f>IF($B79&lt;=Inputs!$C$6,MAX(0,($C79-$F79-$G79))*(1-(1-Inputs!$C$9)^(1/12)),0)</x:f>
      </x:c>
      <x:c r="I79" s="24">
        <x:f>IF($B79&gt;Inputs!$C$11,INDEX($H:$H,ROW()-Inputs!$C$11)* (1-Inputs!$C$10),0)</x:f>
      </x:c>
      <x:c r="J79" s="24">
        <x:f>$H79*Inputs!$C$10</x:f>
      </x:c>
      <x:c r="K79" s="24">
        <x:f>IF($B79&lt;=Inputs!$C$6+Inputs!$C$11,$C79*Inputs!$C$7/12,0)</x:f>
      </x:c>
      <x:c r="L79" s="24">
        <x:f>IF($B79&lt;=Inputs!$C$6+Inputs!$C$11,$E79+$F79+$G79+$I79-$K79,0)</x:f>
      </x:c>
      <x:c r="M79" s="24">
        <x:f>IF($B79&lt;=Inputs!$C$6,MAX(0,$C79-$F79-$G79-$H79),0)</x:f>
      </x:c>
    </x:row>
    <x:row r="80">
      <x:c r="B80" s="22" t="n">
        <x:v>77</x:v>
      </x:c>
      <x:c r="C80" s="23">
        <x:f>IF($B80&lt;=Inputs!$C$6+Inputs!$C$11,$M79,"")</x:f>
      </x:c>
      <x:c r="D80" s="24">
        <x:f>IF($B80&lt;=Inputs!$C$6,-PMT(Inputs!$C$5/12,Inputs!$C$6,Inputs!$C$4),0)</x:f>
      </x:c>
      <x:c r="E80" s="24">
        <x:f>IF($B80&lt;=Inputs!$C$6+Inputs!$C$11,$C80*Inputs!$C$5/12,0)</x:f>
      </x:c>
      <x:c r="F80" s="24">
        <x:f>IF($B80&lt;=Inputs!$C$6,MAX(0,$D80-$E80),0)</x:f>
      </x:c>
      <x:c r="G80" s="24">
        <x:f>IF($B80&lt;=Inputs!$C$6,MAX(0,($C80-$F80))*(1-(1-Inputs!$C$8)^(1/12)),0)</x:f>
      </x:c>
      <x:c r="H80" s="24">
        <x:f>IF($B80&lt;=Inputs!$C$6,MAX(0,($C80-$F80-$G80))*(1-(1-Inputs!$C$9)^(1/12)),0)</x:f>
      </x:c>
      <x:c r="I80" s="24">
        <x:f>IF($B80&gt;Inputs!$C$11,INDEX($H:$H,ROW()-Inputs!$C$11)* (1-Inputs!$C$10),0)</x:f>
      </x:c>
      <x:c r="J80" s="24">
        <x:f>$H80*Inputs!$C$10</x:f>
      </x:c>
      <x:c r="K80" s="24">
        <x:f>IF($B80&lt;=Inputs!$C$6+Inputs!$C$11,$C80*Inputs!$C$7/12,0)</x:f>
      </x:c>
      <x:c r="L80" s="24">
        <x:f>IF($B80&lt;=Inputs!$C$6+Inputs!$C$11,$E80+$F80+$G80+$I80-$K80,0)</x:f>
      </x:c>
      <x:c r="M80" s="24">
        <x:f>IF($B80&lt;=Inputs!$C$6,MAX(0,$C80-$F80-$G80-$H80),0)</x:f>
      </x:c>
    </x:row>
    <x:row r="81">
      <x:c r="B81" s="22" t="n">
        <x:v>78</x:v>
      </x:c>
      <x:c r="C81" s="23">
        <x:f>IF($B81&lt;=Inputs!$C$6+Inputs!$C$11,$M80,"")</x:f>
      </x:c>
      <x:c r="D81" s="24">
        <x:f>IF($B81&lt;=Inputs!$C$6,-PMT(Inputs!$C$5/12,Inputs!$C$6,Inputs!$C$4),0)</x:f>
      </x:c>
      <x:c r="E81" s="24">
        <x:f>IF($B81&lt;=Inputs!$C$6+Inputs!$C$11,$C81*Inputs!$C$5/12,0)</x:f>
      </x:c>
      <x:c r="F81" s="24">
        <x:f>IF($B81&lt;=Inputs!$C$6,MAX(0,$D81-$E81),0)</x:f>
      </x:c>
      <x:c r="G81" s="24">
        <x:f>IF($B81&lt;=Inputs!$C$6,MAX(0,($C81-$F81))*(1-(1-Inputs!$C$8)^(1/12)),0)</x:f>
      </x:c>
      <x:c r="H81" s="24">
        <x:f>IF($B81&lt;=Inputs!$C$6,MAX(0,($C81-$F81-$G81))*(1-(1-Inputs!$C$9)^(1/12)),0)</x:f>
      </x:c>
      <x:c r="I81" s="24">
        <x:f>IF($B81&gt;Inputs!$C$11,INDEX($H:$H,ROW()-Inputs!$C$11)* (1-Inputs!$C$10),0)</x:f>
      </x:c>
      <x:c r="J81" s="24">
        <x:f>$H81*Inputs!$C$10</x:f>
      </x:c>
      <x:c r="K81" s="24">
        <x:f>IF($B81&lt;=Inputs!$C$6+Inputs!$C$11,$C81*Inputs!$C$7/12,0)</x:f>
      </x:c>
      <x:c r="L81" s="24">
        <x:f>IF($B81&lt;=Inputs!$C$6+Inputs!$C$11,$E81+$F81+$G81+$I81-$K81,0)</x:f>
      </x:c>
      <x:c r="M81" s="24">
        <x:f>IF($B81&lt;=Inputs!$C$6,MAX(0,$C81-$F81-$G81-$H81),0)</x:f>
      </x:c>
    </x:row>
    <x:row r="82">
      <x:c r="B82" s="22" t="n">
        <x:v>79</x:v>
      </x:c>
      <x:c r="C82" s="23">
        <x:f>IF($B82&lt;=Inputs!$C$6+Inputs!$C$11,$M81,"")</x:f>
      </x:c>
      <x:c r="D82" s="24">
        <x:f>IF($B82&lt;=Inputs!$C$6,-PMT(Inputs!$C$5/12,Inputs!$C$6,Inputs!$C$4),0)</x:f>
      </x:c>
      <x:c r="E82" s="24">
        <x:f>IF($B82&lt;=Inputs!$C$6+Inputs!$C$11,$C82*Inputs!$C$5/12,0)</x:f>
      </x:c>
      <x:c r="F82" s="24">
        <x:f>IF($B82&lt;=Inputs!$C$6,MAX(0,$D82-$E82),0)</x:f>
      </x:c>
      <x:c r="G82" s="24">
        <x:f>IF($B82&lt;=Inputs!$C$6,MAX(0,($C82-$F82))*(1-(1-Inputs!$C$8)^(1/12)),0)</x:f>
      </x:c>
      <x:c r="H82" s="24">
        <x:f>IF($B82&lt;=Inputs!$C$6,MAX(0,($C82-$F82-$G82))*(1-(1-Inputs!$C$9)^(1/12)),0)</x:f>
      </x:c>
      <x:c r="I82" s="24">
        <x:f>IF($B82&gt;Inputs!$C$11,INDEX($H:$H,ROW()-Inputs!$C$11)* (1-Inputs!$C$10),0)</x:f>
      </x:c>
      <x:c r="J82" s="24">
        <x:f>$H82*Inputs!$C$10</x:f>
      </x:c>
      <x:c r="K82" s="24">
        <x:f>IF($B82&lt;=Inputs!$C$6+Inputs!$C$11,$C82*Inputs!$C$7/12,0)</x:f>
      </x:c>
      <x:c r="L82" s="24">
        <x:f>IF($B82&lt;=Inputs!$C$6+Inputs!$C$11,$E82+$F82+$G82+$I82-$K82,0)</x:f>
      </x:c>
      <x:c r="M82" s="24">
        <x:f>IF($B82&lt;=Inputs!$C$6,MAX(0,$C82-$F82-$G82-$H82),0)</x:f>
      </x:c>
    </x:row>
    <x:row r="83">
      <x:c r="B83" s="22" t="n">
        <x:v>80</x:v>
      </x:c>
      <x:c r="C83" s="23">
        <x:f>IF($B83&lt;=Inputs!$C$6+Inputs!$C$11,$M82,"")</x:f>
      </x:c>
      <x:c r="D83" s="24">
        <x:f>IF($B83&lt;=Inputs!$C$6,-PMT(Inputs!$C$5/12,Inputs!$C$6,Inputs!$C$4),0)</x:f>
      </x:c>
      <x:c r="E83" s="24">
        <x:f>IF($B83&lt;=Inputs!$C$6+Inputs!$C$11,$C83*Inputs!$C$5/12,0)</x:f>
      </x:c>
      <x:c r="F83" s="24">
        <x:f>IF($B83&lt;=Inputs!$C$6,MAX(0,$D83-$E83),0)</x:f>
      </x:c>
      <x:c r="G83" s="24">
        <x:f>IF($B83&lt;=Inputs!$C$6,MAX(0,($C83-$F83))*(1-(1-Inputs!$C$8)^(1/12)),0)</x:f>
      </x:c>
      <x:c r="H83" s="24">
        <x:f>IF($B83&lt;=Inputs!$C$6,MAX(0,($C83-$F83-$G83))*(1-(1-Inputs!$C$9)^(1/12)),0)</x:f>
      </x:c>
      <x:c r="I83" s="24">
        <x:f>IF($B83&gt;Inputs!$C$11,INDEX($H:$H,ROW()-Inputs!$C$11)* (1-Inputs!$C$10),0)</x:f>
      </x:c>
      <x:c r="J83" s="24">
        <x:f>$H83*Inputs!$C$10</x:f>
      </x:c>
      <x:c r="K83" s="24">
        <x:f>IF($B83&lt;=Inputs!$C$6+Inputs!$C$11,$C83*Inputs!$C$7/12,0)</x:f>
      </x:c>
      <x:c r="L83" s="24">
        <x:f>IF($B83&lt;=Inputs!$C$6+Inputs!$C$11,$E83+$F83+$G83+$I83-$K83,0)</x:f>
      </x:c>
      <x:c r="M83" s="24">
        <x:f>IF($B83&lt;=Inputs!$C$6,MAX(0,$C83-$F83-$G83-$H83),0)</x:f>
      </x:c>
    </x:row>
    <x:row r="84">
      <x:c r="B84" s="22" t="n">
        <x:v>81</x:v>
      </x:c>
      <x:c r="C84" s="23">
        <x:f>IF($B84&lt;=Inputs!$C$6+Inputs!$C$11,$M83,"")</x:f>
      </x:c>
      <x:c r="D84" s="24">
        <x:f>IF($B84&lt;=Inputs!$C$6,-PMT(Inputs!$C$5/12,Inputs!$C$6,Inputs!$C$4),0)</x:f>
      </x:c>
      <x:c r="E84" s="24">
        <x:f>IF($B84&lt;=Inputs!$C$6+Inputs!$C$11,$C84*Inputs!$C$5/12,0)</x:f>
      </x:c>
      <x:c r="F84" s="24">
        <x:f>IF($B84&lt;=Inputs!$C$6,MAX(0,$D84-$E84),0)</x:f>
      </x:c>
      <x:c r="G84" s="24">
        <x:f>IF($B84&lt;=Inputs!$C$6,MAX(0,($C84-$F84))*(1-(1-Inputs!$C$8)^(1/12)),0)</x:f>
      </x:c>
      <x:c r="H84" s="24">
        <x:f>IF($B84&lt;=Inputs!$C$6,MAX(0,($C84-$F84-$G84))*(1-(1-Inputs!$C$9)^(1/12)),0)</x:f>
      </x:c>
      <x:c r="I84" s="24">
        <x:f>IF($B84&gt;Inputs!$C$11,INDEX($H:$H,ROW()-Inputs!$C$11)* (1-Inputs!$C$10),0)</x:f>
      </x:c>
      <x:c r="J84" s="24">
        <x:f>$H84*Inputs!$C$10</x:f>
      </x:c>
      <x:c r="K84" s="24">
        <x:f>IF($B84&lt;=Inputs!$C$6+Inputs!$C$11,$C84*Inputs!$C$7/12,0)</x:f>
      </x:c>
      <x:c r="L84" s="24">
        <x:f>IF($B84&lt;=Inputs!$C$6+Inputs!$C$11,$E84+$F84+$G84+$I84-$K84,0)</x:f>
      </x:c>
      <x:c r="M84" s="24">
        <x:f>IF($B84&lt;=Inputs!$C$6,MAX(0,$C84-$F84-$G84-$H84),0)</x:f>
      </x:c>
    </x:row>
    <x:row r="85">
      <x:c r="B85" s="22" t="n">
        <x:v>82</x:v>
      </x:c>
      <x:c r="C85" s="23">
        <x:f>IF($B85&lt;=Inputs!$C$6+Inputs!$C$11,$M84,"")</x:f>
      </x:c>
      <x:c r="D85" s="24">
        <x:f>IF($B85&lt;=Inputs!$C$6,-PMT(Inputs!$C$5/12,Inputs!$C$6,Inputs!$C$4),0)</x:f>
      </x:c>
      <x:c r="E85" s="24">
        <x:f>IF($B85&lt;=Inputs!$C$6+Inputs!$C$11,$C85*Inputs!$C$5/12,0)</x:f>
      </x:c>
      <x:c r="F85" s="24">
        <x:f>IF($B85&lt;=Inputs!$C$6,MAX(0,$D85-$E85),0)</x:f>
      </x:c>
      <x:c r="G85" s="24">
        <x:f>IF($B85&lt;=Inputs!$C$6,MAX(0,($C85-$F85))*(1-(1-Inputs!$C$8)^(1/12)),0)</x:f>
      </x:c>
      <x:c r="H85" s="24">
        <x:f>IF($B85&lt;=Inputs!$C$6,MAX(0,($C85-$F85-$G85))*(1-(1-Inputs!$C$9)^(1/12)),0)</x:f>
      </x:c>
      <x:c r="I85" s="24">
        <x:f>IF($B85&gt;Inputs!$C$11,INDEX($H:$H,ROW()-Inputs!$C$11)* (1-Inputs!$C$10),0)</x:f>
      </x:c>
      <x:c r="J85" s="24">
        <x:f>$H85*Inputs!$C$10</x:f>
      </x:c>
      <x:c r="K85" s="24">
        <x:f>IF($B85&lt;=Inputs!$C$6+Inputs!$C$11,$C85*Inputs!$C$7/12,0)</x:f>
      </x:c>
      <x:c r="L85" s="24">
        <x:f>IF($B85&lt;=Inputs!$C$6+Inputs!$C$11,$E85+$F85+$G85+$I85-$K85,0)</x:f>
      </x:c>
      <x:c r="M85" s="24">
        <x:f>IF($B85&lt;=Inputs!$C$6,MAX(0,$C85-$F85-$G85-$H85),0)</x:f>
      </x:c>
    </x:row>
    <x:row r="86">
      <x:c r="B86" s="22" t="n">
        <x:v>83</x:v>
      </x:c>
      <x:c r="C86" s="23">
        <x:f>IF($B86&lt;=Inputs!$C$6+Inputs!$C$11,$M85,"")</x:f>
      </x:c>
      <x:c r="D86" s="24">
        <x:f>IF($B86&lt;=Inputs!$C$6,-PMT(Inputs!$C$5/12,Inputs!$C$6,Inputs!$C$4),0)</x:f>
      </x:c>
      <x:c r="E86" s="24">
        <x:f>IF($B86&lt;=Inputs!$C$6+Inputs!$C$11,$C86*Inputs!$C$5/12,0)</x:f>
      </x:c>
      <x:c r="F86" s="24">
        <x:f>IF($B86&lt;=Inputs!$C$6,MAX(0,$D86-$E86),0)</x:f>
      </x:c>
      <x:c r="G86" s="24">
        <x:f>IF($B86&lt;=Inputs!$C$6,MAX(0,($C86-$F86))*(1-(1-Inputs!$C$8)^(1/12)),0)</x:f>
      </x:c>
      <x:c r="H86" s="24">
        <x:f>IF($B86&lt;=Inputs!$C$6,MAX(0,($C86-$F86-$G86))*(1-(1-Inputs!$C$9)^(1/12)),0)</x:f>
      </x:c>
      <x:c r="I86" s="24">
        <x:f>IF($B86&gt;Inputs!$C$11,INDEX($H:$H,ROW()-Inputs!$C$11)* (1-Inputs!$C$10),0)</x:f>
      </x:c>
      <x:c r="J86" s="24">
        <x:f>$H86*Inputs!$C$10</x:f>
      </x:c>
      <x:c r="K86" s="24">
        <x:f>IF($B86&lt;=Inputs!$C$6+Inputs!$C$11,$C86*Inputs!$C$7/12,0)</x:f>
      </x:c>
      <x:c r="L86" s="24">
        <x:f>IF($B86&lt;=Inputs!$C$6+Inputs!$C$11,$E86+$F86+$G86+$I86-$K86,0)</x:f>
      </x:c>
      <x:c r="M86" s="24">
        <x:f>IF($B86&lt;=Inputs!$C$6,MAX(0,$C86-$F86-$G86-$H86),0)</x:f>
      </x:c>
    </x:row>
    <x:row r="87">
      <x:c r="B87" s="22" t="n">
        <x:v>84</x:v>
      </x:c>
      <x:c r="C87" s="23">
        <x:f>IF($B87&lt;=Inputs!$C$6+Inputs!$C$11,$M86,"")</x:f>
      </x:c>
      <x:c r="D87" s="24">
        <x:f>IF($B87&lt;=Inputs!$C$6,-PMT(Inputs!$C$5/12,Inputs!$C$6,Inputs!$C$4),0)</x:f>
      </x:c>
      <x:c r="E87" s="24">
        <x:f>IF($B87&lt;=Inputs!$C$6+Inputs!$C$11,$C87*Inputs!$C$5/12,0)</x:f>
      </x:c>
      <x:c r="F87" s="24">
        <x:f>IF($B87&lt;=Inputs!$C$6,MAX(0,$D87-$E87),0)</x:f>
      </x:c>
      <x:c r="G87" s="24">
        <x:f>IF($B87&lt;=Inputs!$C$6,MAX(0,($C87-$F87))*(1-(1-Inputs!$C$8)^(1/12)),0)</x:f>
      </x:c>
      <x:c r="H87" s="24">
        <x:f>IF($B87&lt;=Inputs!$C$6,MAX(0,($C87-$F87-$G87))*(1-(1-Inputs!$C$9)^(1/12)),0)</x:f>
      </x:c>
      <x:c r="I87" s="24">
        <x:f>IF($B87&gt;Inputs!$C$11,INDEX($H:$H,ROW()-Inputs!$C$11)* (1-Inputs!$C$10),0)</x:f>
      </x:c>
      <x:c r="J87" s="24">
        <x:f>$H87*Inputs!$C$10</x:f>
      </x:c>
      <x:c r="K87" s="24">
        <x:f>IF($B87&lt;=Inputs!$C$6+Inputs!$C$11,$C87*Inputs!$C$7/12,0)</x:f>
      </x:c>
      <x:c r="L87" s="24">
        <x:f>IF($B87&lt;=Inputs!$C$6+Inputs!$C$11,$E87+$F87+$G87+$I87-$K87,0)</x:f>
      </x:c>
      <x:c r="M87" s="24">
        <x:f>IF($B87&lt;=Inputs!$C$6,MAX(0,$C87-$F87-$G87-$H87),0)</x:f>
      </x:c>
    </x:row>
    <x:row r="88">
      <x:c r="B88" s="22" t="n">
        <x:v>85</x:v>
      </x:c>
      <x:c r="C88" s="23">
        <x:f>IF($B88&lt;=Inputs!$C$6+Inputs!$C$11,$M87,"")</x:f>
      </x:c>
      <x:c r="D88" s="24">
        <x:f>IF($B88&lt;=Inputs!$C$6,-PMT(Inputs!$C$5/12,Inputs!$C$6,Inputs!$C$4),0)</x:f>
      </x:c>
      <x:c r="E88" s="24">
        <x:f>IF($B88&lt;=Inputs!$C$6+Inputs!$C$11,$C88*Inputs!$C$5/12,0)</x:f>
      </x:c>
      <x:c r="F88" s="24">
        <x:f>IF($B88&lt;=Inputs!$C$6,MAX(0,$D88-$E88),0)</x:f>
      </x:c>
      <x:c r="G88" s="24">
        <x:f>IF($B88&lt;=Inputs!$C$6,MAX(0,($C88-$F88))*(1-(1-Inputs!$C$8)^(1/12)),0)</x:f>
      </x:c>
      <x:c r="H88" s="24">
        <x:f>IF($B88&lt;=Inputs!$C$6,MAX(0,($C88-$F88-$G88))*(1-(1-Inputs!$C$9)^(1/12)),0)</x:f>
      </x:c>
      <x:c r="I88" s="24">
        <x:f>IF($B88&gt;Inputs!$C$11,INDEX($H:$H,ROW()-Inputs!$C$11)* (1-Inputs!$C$10),0)</x:f>
      </x:c>
      <x:c r="J88" s="24">
        <x:f>$H88*Inputs!$C$10</x:f>
      </x:c>
      <x:c r="K88" s="24">
        <x:f>IF($B88&lt;=Inputs!$C$6+Inputs!$C$11,$C88*Inputs!$C$7/12,0)</x:f>
      </x:c>
      <x:c r="L88" s="24">
        <x:f>IF($B88&lt;=Inputs!$C$6+Inputs!$C$11,$E88+$F88+$G88+$I88-$K88,0)</x:f>
      </x:c>
      <x:c r="M88" s="24">
        <x:f>IF($B88&lt;=Inputs!$C$6,MAX(0,$C88-$F88-$G88-$H88),0)</x:f>
      </x:c>
    </x:row>
    <x:row r="89">
      <x:c r="B89" s="22" t="n">
        <x:v>86</x:v>
      </x:c>
      <x:c r="C89" s="23">
        <x:f>IF($B89&lt;=Inputs!$C$6+Inputs!$C$11,$M88,"")</x:f>
      </x:c>
      <x:c r="D89" s="24">
        <x:f>IF($B89&lt;=Inputs!$C$6,-PMT(Inputs!$C$5/12,Inputs!$C$6,Inputs!$C$4),0)</x:f>
      </x:c>
      <x:c r="E89" s="24">
        <x:f>IF($B89&lt;=Inputs!$C$6+Inputs!$C$11,$C89*Inputs!$C$5/12,0)</x:f>
      </x:c>
      <x:c r="F89" s="24">
        <x:f>IF($B89&lt;=Inputs!$C$6,MAX(0,$D89-$E89),0)</x:f>
      </x:c>
      <x:c r="G89" s="24">
        <x:f>IF($B89&lt;=Inputs!$C$6,MAX(0,($C89-$F89))*(1-(1-Inputs!$C$8)^(1/12)),0)</x:f>
      </x:c>
      <x:c r="H89" s="24">
        <x:f>IF($B89&lt;=Inputs!$C$6,MAX(0,($C89-$F89-$G89))*(1-(1-Inputs!$C$9)^(1/12)),0)</x:f>
      </x:c>
      <x:c r="I89" s="24">
        <x:f>IF($B89&gt;Inputs!$C$11,INDEX($H:$H,ROW()-Inputs!$C$11)* (1-Inputs!$C$10),0)</x:f>
      </x:c>
      <x:c r="J89" s="24">
        <x:f>$H89*Inputs!$C$10</x:f>
      </x:c>
      <x:c r="K89" s="24">
        <x:f>IF($B89&lt;=Inputs!$C$6+Inputs!$C$11,$C89*Inputs!$C$7/12,0)</x:f>
      </x:c>
      <x:c r="L89" s="24">
        <x:f>IF($B89&lt;=Inputs!$C$6+Inputs!$C$11,$E89+$F89+$G89+$I89-$K89,0)</x:f>
      </x:c>
      <x:c r="M89" s="24">
        <x:f>IF($B89&lt;=Inputs!$C$6,MAX(0,$C89-$F89-$G89-$H89),0)</x:f>
      </x:c>
    </x:row>
    <x:row r="90">
      <x:c r="B90" s="22" t="n">
        <x:v>87</x:v>
      </x:c>
      <x:c r="C90" s="23">
        <x:f>IF($B90&lt;=Inputs!$C$6+Inputs!$C$11,$M89,"")</x:f>
      </x:c>
      <x:c r="D90" s="24">
        <x:f>IF($B90&lt;=Inputs!$C$6,-PMT(Inputs!$C$5/12,Inputs!$C$6,Inputs!$C$4),0)</x:f>
      </x:c>
      <x:c r="E90" s="24">
        <x:f>IF($B90&lt;=Inputs!$C$6+Inputs!$C$11,$C90*Inputs!$C$5/12,0)</x:f>
      </x:c>
      <x:c r="F90" s="24">
        <x:f>IF($B90&lt;=Inputs!$C$6,MAX(0,$D90-$E90),0)</x:f>
      </x:c>
      <x:c r="G90" s="24">
        <x:f>IF($B90&lt;=Inputs!$C$6,MAX(0,($C90-$F90))*(1-(1-Inputs!$C$8)^(1/12)),0)</x:f>
      </x:c>
      <x:c r="H90" s="24">
        <x:f>IF($B90&lt;=Inputs!$C$6,MAX(0,($C90-$F90-$G90))*(1-(1-Inputs!$C$9)^(1/12)),0)</x:f>
      </x:c>
      <x:c r="I90" s="24">
        <x:f>IF($B90&gt;Inputs!$C$11,INDEX($H:$H,ROW()-Inputs!$C$11)* (1-Inputs!$C$10),0)</x:f>
      </x:c>
      <x:c r="J90" s="24">
        <x:f>$H90*Inputs!$C$10</x:f>
      </x:c>
      <x:c r="K90" s="24">
        <x:f>IF($B90&lt;=Inputs!$C$6+Inputs!$C$11,$C90*Inputs!$C$7/12,0)</x:f>
      </x:c>
      <x:c r="L90" s="24">
        <x:f>IF($B90&lt;=Inputs!$C$6+Inputs!$C$11,$E90+$F90+$G90+$I90-$K90,0)</x:f>
      </x:c>
      <x:c r="M90" s="24">
        <x:f>IF($B90&lt;=Inputs!$C$6,MAX(0,$C90-$F90-$G90-$H90),0)</x:f>
      </x:c>
    </x:row>
    <x:row r="91">
      <x:c r="B91" s="22" t="n">
        <x:v>88</x:v>
      </x:c>
      <x:c r="C91" s="23">
        <x:f>IF($B91&lt;=Inputs!$C$6+Inputs!$C$11,$M90,"")</x:f>
      </x:c>
      <x:c r="D91" s="24">
        <x:f>IF($B91&lt;=Inputs!$C$6,-PMT(Inputs!$C$5/12,Inputs!$C$6,Inputs!$C$4),0)</x:f>
      </x:c>
      <x:c r="E91" s="24">
        <x:f>IF($B91&lt;=Inputs!$C$6+Inputs!$C$11,$C91*Inputs!$C$5/12,0)</x:f>
      </x:c>
      <x:c r="F91" s="24">
        <x:f>IF($B91&lt;=Inputs!$C$6,MAX(0,$D91-$E91),0)</x:f>
      </x:c>
      <x:c r="G91" s="24">
        <x:f>IF($B91&lt;=Inputs!$C$6,MAX(0,($C91-$F91))*(1-(1-Inputs!$C$8)^(1/12)),0)</x:f>
      </x:c>
      <x:c r="H91" s="24">
        <x:f>IF($B91&lt;=Inputs!$C$6,MAX(0,($C91-$F91-$G91))*(1-(1-Inputs!$C$9)^(1/12)),0)</x:f>
      </x:c>
      <x:c r="I91" s="24">
        <x:f>IF($B91&gt;Inputs!$C$11,INDEX($H:$H,ROW()-Inputs!$C$11)* (1-Inputs!$C$10),0)</x:f>
      </x:c>
      <x:c r="J91" s="24">
        <x:f>$H91*Inputs!$C$10</x:f>
      </x:c>
      <x:c r="K91" s="24">
        <x:f>IF($B91&lt;=Inputs!$C$6+Inputs!$C$11,$C91*Inputs!$C$7/12,0)</x:f>
      </x:c>
      <x:c r="L91" s="24">
        <x:f>IF($B91&lt;=Inputs!$C$6+Inputs!$C$11,$E91+$F91+$G91+$I91-$K91,0)</x:f>
      </x:c>
      <x:c r="M91" s="24">
        <x:f>IF($B91&lt;=Inputs!$C$6,MAX(0,$C91-$F91-$G91-$H91),0)</x:f>
      </x:c>
    </x:row>
    <x:row r="92">
      <x:c r="B92" s="22" t="n">
        <x:v>89</x:v>
      </x:c>
      <x:c r="C92" s="23">
        <x:f>IF($B92&lt;=Inputs!$C$6+Inputs!$C$11,$M91,"")</x:f>
      </x:c>
      <x:c r="D92" s="24">
        <x:f>IF($B92&lt;=Inputs!$C$6,-PMT(Inputs!$C$5/12,Inputs!$C$6,Inputs!$C$4),0)</x:f>
      </x:c>
      <x:c r="E92" s="24">
        <x:f>IF($B92&lt;=Inputs!$C$6+Inputs!$C$11,$C92*Inputs!$C$5/12,0)</x:f>
      </x:c>
      <x:c r="F92" s="24">
        <x:f>IF($B92&lt;=Inputs!$C$6,MAX(0,$D92-$E92),0)</x:f>
      </x:c>
      <x:c r="G92" s="24">
        <x:f>IF($B92&lt;=Inputs!$C$6,MAX(0,($C92-$F92))*(1-(1-Inputs!$C$8)^(1/12)),0)</x:f>
      </x:c>
      <x:c r="H92" s="24">
        <x:f>IF($B92&lt;=Inputs!$C$6,MAX(0,($C92-$F92-$G92))*(1-(1-Inputs!$C$9)^(1/12)),0)</x:f>
      </x:c>
      <x:c r="I92" s="24">
        <x:f>IF($B92&gt;Inputs!$C$11,INDEX($H:$H,ROW()-Inputs!$C$11)* (1-Inputs!$C$10),0)</x:f>
      </x:c>
      <x:c r="J92" s="24">
        <x:f>$H92*Inputs!$C$10</x:f>
      </x:c>
      <x:c r="K92" s="24">
        <x:f>IF($B92&lt;=Inputs!$C$6+Inputs!$C$11,$C92*Inputs!$C$7/12,0)</x:f>
      </x:c>
      <x:c r="L92" s="24">
        <x:f>IF($B92&lt;=Inputs!$C$6+Inputs!$C$11,$E92+$F92+$G92+$I92-$K92,0)</x:f>
      </x:c>
      <x:c r="M92" s="24">
        <x:f>IF($B92&lt;=Inputs!$C$6,MAX(0,$C92-$F92-$G92-$H92),0)</x:f>
      </x:c>
    </x:row>
    <x:row r="93">
      <x:c r="B93" s="22" t="n">
        <x:v>90</x:v>
      </x:c>
      <x:c r="C93" s="23">
        <x:f>IF($B93&lt;=Inputs!$C$6+Inputs!$C$11,$M92,"")</x:f>
      </x:c>
      <x:c r="D93" s="24">
        <x:f>IF($B93&lt;=Inputs!$C$6,-PMT(Inputs!$C$5/12,Inputs!$C$6,Inputs!$C$4),0)</x:f>
      </x:c>
      <x:c r="E93" s="24">
        <x:f>IF($B93&lt;=Inputs!$C$6+Inputs!$C$11,$C93*Inputs!$C$5/12,0)</x:f>
      </x:c>
      <x:c r="F93" s="24">
        <x:f>IF($B93&lt;=Inputs!$C$6,MAX(0,$D93-$E93),0)</x:f>
      </x:c>
      <x:c r="G93" s="24">
        <x:f>IF($B93&lt;=Inputs!$C$6,MAX(0,($C93-$F93))*(1-(1-Inputs!$C$8)^(1/12)),0)</x:f>
      </x:c>
      <x:c r="H93" s="24">
        <x:f>IF($B93&lt;=Inputs!$C$6,MAX(0,($C93-$F93-$G93))*(1-(1-Inputs!$C$9)^(1/12)),0)</x:f>
      </x:c>
      <x:c r="I93" s="24">
        <x:f>IF($B93&gt;Inputs!$C$11,INDEX($H:$H,ROW()-Inputs!$C$11)* (1-Inputs!$C$10),0)</x:f>
      </x:c>
      <x:c r="J93" s="24">
        <x:f>$H93*Inputs!$C$10</x:f>
      </x:c>
      <x:c r="K93" s="24">
        <x:f>IF($B93&lt;=Inputs!$C$6+Inputs!$C$11,$C93*Inputs!$C$7/12,0)</x:f>
      </x:c>
      <x:c r="L93" s="24">
        <x:f>IF($B93&lt;=Inputs!$C$6+Inputs!$C$11,$E93+$F93+$G93+$I93-$K93,0)</x:f>
      </x:c>
      <x:c r="M93" s="24">
        <x:f>IF($B93&lt;=Inputs!$C$6,MAX(0,$C93-$F93-$G93-$H93),0)</x:f>
      </x:c>
    </x:row>
    <x:row r="94">
      <x:c r="B94" s="22" t="n">
        <x:v>91</x:v>
      </x:c>
      <x:c r="C94" s="23">
        <x:f>IF($B94&lt;=Inputs!$C$6+Inputs!$C$11,$M93,"")</x:f>
      </x:c>
      <x:c r="D94" s="24">
        <x:f>IF($B94&lt;=Inputs!$C$6,-PMT(Inputs!$C$5/12,Inputs!$C$6,Inputs!$C$4),0)</x:f>
      </x:c>
      <x:c r="E94" s="24">
        <x:f>IF($B94&lt;=Inputs!$C$6+Inputs!$C$11,$C94*Inputs!$C$5/12,0)</x:f>
      </x:c>
      <x:c r="F94" s="24">
        <x:f>IF($B94&lt;=Inputs!$C$6,MAX(0,$D94-$E94),0)</x:f>
      </x:c>
      <x:c r="G94" s="24">
        <x:f>IF($B94&lt;=Inputs!$C$6,MAX(0,($C94-$F94))*(1-(1-Inputs!$C$8)^(1/12)),0)</x:f>
      </x:c>
      <x:c r="H94" s="24">
        <x:f>IF($B94&lt;=Inputs!$C$6,MAX(0,($C94-$F94-$G94))*(1-(1-Inputs!$C$9)^(1/12)),0)</x:f>
      </x:c>
      <x:c r="I94" s="24">
        <x:f>IF($B94&gt;Inputs!$C$11,INDEX($H:$H,ROW()-Inputs!$C$11)* (1-Inputs!$C$10),0)</x:f>
      </x:c>
      <x:c r="J94" s="24">
        <x:f>$H94*Inputs!$C$10</x:f>
      </x:c>
      <x:c r="K94" s="24">
        <x:f>IF($B94&lt;=Inputs!$C$6+Inputs!$C$11,$C94*Inputs!$C$7/12,0)</x:f>
      </x:c>
      <x:c r="L94" s="24">
        <x:f>IF($B94&lt;=Inputs!$C$6+Inputs!$C$11,$E94+$F94+$G94+$I94-$K94,0)</x:f>
      </x:c>
      <x:c r="M94" s="24">
        <x:f>IF($B94&lt;=Inputs!$C$6,MAX(0,$C94-$F94-$G94-$H94),0)</x:f>
      </x:c>
    </x:row>
    <x:row r="95">
      <x:c r="B95" s="22" t="n">
        <x:v>92</x:v>
      </x:c>
      <x:c r="C95" s="23">
        <x:f>IF($B95&lt;=Inputs!$C$6+Inputs!$C$11,$M94,"")</x:f>
      </x:c>
      <x:c r="D95" s="24">
        <x:f>IF($B95&lt;=Inputs!$C$6,-PMT(Inputs!$C$5/12,Inputs!$C$6,Inputs!$C$4),0)</x:f>
      </x:c>
      <x:c r="E95" s="24">
        <x:f>IF($B95&lt;=Inputs!$C$6+Inputs!$C$11,$C95*Inputs!$C$5/12,0)</x:f>
      </x:c>
      <x:c r="F95" s="24">
        <x:f>IF($B95&lt;=Inputs!$C$6,MAX(0,$D95-$E95),0)</x:f>
      </x:c>
      <x:c r="G95" s="24">
        <x:f>IF($B95&lt;=Inputs!$C$6,MAX(0,($C95-$F95))*(1-(1-Inputs!$C$8)^(1/12)),0)</x:f>
      </x:c>
      <x:c r="H95" s="24">
        <x:f>IF($B95&lt;=Inputs!$C$6,MAX(0,($C95-$F95-$G95))*(1-(1-Inputs!$C$9)^(1/12)),0)</x:f>
      </x:c>
      <x:c r="I95" s="24">
        <x:f>IF($B95&gt;Inputs!$C$11,INDEX($H:$H,ROW()-Inputs!$C$11)* (1-Inputs!$C$10),0)</x:f>
      </x:c>
      <x:c r="J95" s="24">
        <x:f>$H95*Inputs!$C$10</x:f>
      </x:c>
      <x:c r="K95" s="24">
        <x:f>IF($B95&lt;=Inputs!$C$6+Inputs!$C$11,$C95*Inputs!$C$7/12,0)</x:f>
      </x:c>
      <x:c r="L95" s="24">
        <x:f>IF($B95&lt;=Inputs!$C$6+Inputs!$C$11,$E95+$F95+$G95+$I95-$K95,0)</x:f>
      </x:c>
      <x:c r="M95" s="24">
        <x:f>IF($B95&lt;=Inputs!$C$6,MAX(0,$C95-$F95-$G95-$H95),0)</x:f>
      </x:c>
    </x:row>
    <x:row r="96">
      <x:c r="B96" s="22" t="n">
        <x:v>93</x:v>
      </x:c>
      <x:c r="C96" s="23">
        <x:f>IF($B96&lt;=Inputs!$C$6+Inputs!$C$11,$M95,"")</x:f>
      </x:c>
      <x:c r="D96" s="24">
        <x:f>IF($B96&lt;=Inputs!$C$6,-PMT(Inputs!$C$5/12,Inputs!$C$6,Inputs!$C$4),0)</x:f>
      </x:c>
      <x:c r="E96" s="24">
        <x:f>IF($B96&lt;=Inputs!$C$6+Inputs!$C$11,$C96*Inputs!$C$5/12,0)</x:f>
      </x:c>
      <x:c r="F96" s="24">
        <x:f>IF($B96&lt;=Inputs!$C$6,MAX(0,$D96-$E96),0)</x:f>
      </x:c>
      <x:c r="G96" s="24">
        <x:f>IF($B96&lt;=Inputs!$C$6,MAX(0,($C96-$F96))*(1-(1-Inputs!$C$8)^(1/12)),0)</x:f>
      </x:c>
      <x:c r="H96" s="24">
        <x:f>IF($B96&lt;=Inputs!$C$6,MAX(0,($C96-$F96-$G96))*(1-(1-Inputs!$C$9)^(1/12)),0)</x:f>
      </x:c>
      <x:c r="I96" s="24">
        <x:f>IF($B96&gt;Inputs!$C$11,INDEX($H:$H,ROW()-Inputs!$C$11)* (1-Inputs!$C$10),0)</x:f>
      </x:c>
      <x:c r="J96" s="24">
        <x:f>$H96*Inputs!$C$10</x:f>
      </x:c>
      <x:c r="K96" s="24">
        <x:f>IF($B96&lt;=Inputs!$C$6+Inputs!$C$11,$C96*Inputs!$C$7/12,0)</x:f>
      </x:c>
      <x:c r="L96" s="24">
        <x:f>IF($B96&lt;=Inputs!$C$6+Inputs!$C$11,$E96+$F96+$G96+$I96-$K96,0)</x:f>
      </x:c>
      <x:c r="M96" s="24">
        <x:f>IF($B96&lt;=Inputs!$C$6,MAX(0,$C96-$F96-$G96-$H96),0)</x:f>
      </x:c>
    </x:row>
    <x:row r="97">
      <x:c r="B97" s="22" t="n">
        <x:v>94</x:v>
      </x:c>
      <x:c r="C97" s="23">
        <x:f>IF($B97&lt;=Inputs!$C$6+Inputs!$C$11,$M96,"")</x:f>
      </x:c>
      <x:c r="D97" s="24">
        <x:f>IF($B97&lt;=Inputs!$C$6,-PMT(Inputs!$C$5/12,Inputs!$C$6,Inputs!$C$4),0)</x:f>
      </x:c>
      <x:c r="E97" s="24">
        <x:f>IF($B97&lt;=Inputs!$C$6+Inputs!$C$11,$C97*Inputs!$C$5/12,0)</x:f>
      </x:c>
      <x:c r="F97" s="24">
        <x:f>IF($B97&lt;=Inputs!$C$6,MAX(0,$D97-$E97),0)</x:f>
      </x:c>
      <x:c r="G97" s="24">
        <x:f>IF($B97&lt;=Inputs!$C$6,MAX(0,($C97-$F97))*(1-(1-Inputs!$C$8)^(1/12)),0)</x:f>
      </x:c>
      <x:c r="H97" s="24">
        <x:f>IF($B97&lt;=Inputs!$C$6,MAX(0,($C97-$F97-$G97))*(1-(1-Inputs!$C$9)^(1/12)),0)</x:f>
      </x:c>
      <x:c r="I97" s="24">
        <x:f>IF($B97&gt;Inputs!$C$11,INDEX($H:$H,ROW()-Inputs!$C$11)* (1-Inputs!$C$10),0)</x:f>
      </x:c>
      <x:c r="J97" s="24">
        <x:f>$H97*Inputs!$C$10</x:f>
      </x:c>
      <x:c r="K97" s="24">
        <x:f>IF($B97&lt;=Inputs!$C$6+Inputs!$C$11,$C97*Inputs!$C$7/12,0)</x:f>
      </x:c>
      <x:c r="L97" s="24">
        <x:f>IF($B97&lt;=Inputs!$C$6+Inputs!$C$11,$E97+$F97+$G97+$I97-$K97,0)</x:f>
      </x:c>
      <x:c r="M97" s="24">
        <x:f>IF($B97&lt;=Inputs!$C$6,MAX(0,$C97-$F97-$G97-$H97),0)</x:f>
      </x:c>
    </x:row>
    <x:row r="98">
      <x:c r="B98" s="22" t="n">
        <x:v>95</x:v>
      </x:c>
      <x:c r="C98" s="23">
        <x:f>IF($B98&lt;=Inputs!$C$6+Inputs!$C$11,$M97,"")</x:f>
      </x:c>
      <x:c r="D98" s="24">
        <x:f>IF($B98&lt;=Inputs!$C$6,-PMT(Inputs!$C$5/12,Inputs!$C$6,Inputs!$C$4),0)</x:f>
      </x:c>
      <x:c r="E98" s="24">
        <x:f>IF($B98&lt;=Inputs!$C$6+Inputs!$C$11,$C98*Inputs!$C$5/12,0)</x:f>
      </x:c>
      <x:c r="F98" s="24">
        <x:f>IF($B98&lt;=Inputs!$C$6,MAX(0,$D98-$E98),0)</x:f>
      </x:c>
      <x:c r="G98" s="24">
        <x:f>IF($B98&lt;=Inputs!$C$6,MAX(0,($C98-$F98))*(1-(1-Inputs!$C$8)^(1/12)),0)</x:f>
      </x:c>
      <x:c r="H98" s="24">
        <x:f>IF($B98&lt;=Inputs!$C$6,MAX(0,($C98-$F98-$G98))*(1-(1-Inputs!$C$9)^(1/12)),0)</x:f>
      </x:c>
      <x:c r="I98" s="24">
        <x:f>IF($B98&gt;Inputs!$C$11,INDEX($H:$H,ROW()-Inputs!$C$11)* (1-Inputs!$C$10),0)</x:f>
      </x:c>
      <x:c r="J98" s="24">
        <x:f>$H98*Inputs!$C$10</x:f>
      </x:c>
      <x:c r="K98" s="24">
        <x:f>IF($B98&lt;=Inputs!$C$6+Inputs!$C$11,$C98*Inputs!$C$7/12,0)</x:f>
      </x:c>
      <x:c r="L98" s="24">
        <x:f>IF($B98&lt;=Inputs!$C$6+Inputs!$C$11,$E98+$F98+$G98+$I98-$K98,0)</x:f>
      </x:c>
      <x:c r="M98" s="24">
        <x:f>IF($B98&lt;=Inputs!$C$6,MAX(0,$C98-$F98-$G98-$H98),0)</x:f>
      </x:c>
    </x:row>
    <x:row r="99">
      <x:c r="B99" s="22" t="n">
        <x:v>96</x:v>
      </x:c>
      <x:c r="C99" s="23">
        <x:f>IF($B99&lt;=Inputs!$C$6+Inputs!$C$11,$M98,"")</x:f>
      </x:c>
      <x:c r="D99" s="24">
        <x:f>IF($B99&lt;=Inputs!$C$6,-PMT(Inputs!$C$5/12,Inputs!$C$6,Inputs!$C$4),0)</x:f>
      </x:c>
      <x:c r="E99" s="24">
        <x:f>IF($B99&lt;=Inputs!$C$6+Inputs!$C$11,$C99*Inputs!$C$5/12,0)</x:f>
      </x:c>
      <x:c r="F99" s="24">
        <x:f>IF($B99&lt;=Inputs!$C$6,MAX(0,$D99-$E99),0)</x:f>
      </x:c>
      <x:c r="G99" s="24">
        <x:f>IF($B99&lt;=Inputs!$C$6,MAX(0,($C99-$F99))*(1-(1-Inputs!$C$8)^(1/12)),0)</x:f>
      </x:c>
      <x:c r="H99" s="24">
        <x:f>IF($B99&lt;=Inputs!$C$6,MAX(0,($C99-$F99-$G99))*(1-(1-Inputs!$C$9)^(1/12)),0)</x:f>
      </x:c>
      <x:c r="I99" s="24">
        <x:f>IF($B99&gt;Inputs!$C$11,INDEX($H:$H,ROW()-Inputs!$C$11)* (1-Inputs!$C$10),0)</x:f>
      </x:c>
      <x:c r="J99" s="24">
        <x:f>$H99*Inputs!$C$10</x:f>
      </x:c>
      <x:c r="K99" s="24">
        <x:f>IF($B99&lt;=Inputs!$C$6+Inputs!$C$11,$C99*Inputs!$C$7/12,0)</x:f>
      </x:c>
      <x:c r="L99" s="24">
        <x:f>IF($B99&lt;=Inputs!$C$6+Inputs!$C$11,$E99+$F99+$G99+$I99-$K99,0)</x:f>
      </x:c>
      <x:c r="M99" s="24">
        <x:f>IF($B99&lt;=Inputs!$C$6,MAX(0,$C99-$F99-$G99-$H99),0)</x:f>
      </x:c>
    </x:row>
    <x:row r="100">
      <x:c r="B100" s="22" t="n">
        <x:v>97</x:v>
      </x:c>
      <x:c r="C100" s="23">
        <x:f>IF($B100&lt;=Inputs!$C$6+Inputs!$C$11,$M99,"")</x:f>
      </x:c>
      <x:c r="D100" s="24">
        <x:f>IF($B100&lt;=Inputs!$C$6,-PMT(Inputs!$C$5/12,Inputs!$C$6,Inputs!$C$4),0)</x:f>
      </x:c>
      <x:c r="E100" s="24">
        <x:f>IF($B100&lt;=Inputs!$C$6+Inputs!$C$11,$C100*Inputs!$C$5/12,0)</x:f>
      </x:c>
      <x:c r="F100" s="24">
        <x:f>IF($B100&lt;=Inputs!$C$6,MAX(0,$D100-$E100),0)</x:f>
      </x:c>
      <x:c r="G100" s="24">
        <x:f>IF($B100&lt;=Inputs!$C$6,MAX(0,($C100-$F100))*(1-(1-Inputs!$C$8)^(1/12)),0)</x:f>
      </x:c>
      <x:c r="H100" s="24">
        <x:f>IF($B100&lt;=Inputs!$C$6,MAX(0,($C100-$F100-$G100))*(1-(1-Inputs!$C$9)^(1/12)),0)</x:f>
      </x:c>
      <x:c r="I100" s="24">
        <x:f>IF($B100&gt;Inputs!$C$11,INDEX($H:$H,ROW()-Inputs!$C$11)* (1-Inputs!$C$10),0)</x:f>
      </x:c>
      <x:c r="J100" s="24">
        <x:f>$H100*Inputs!$C$10</x:f>
      </x:c>
      <x:c r="K100" s="24">
        <x:f>IF($B100&lt;=Inputs!$C$6+Inputs!$C$11,$C100*Inputs!$C$7/12,0)</x:f>
      </x:c>
      <x:c r="L100" s="24">
        <x:f>IF($B100&lt;=Inputs!$C$6+Inputs!$C$11,$E100+$F100+$G100+$I100-$K100,0)</x:f>
      </x:c>
      <x:c r="M100" s="24">
        <x:f>IF($B100&lt;=Inputs!$C$6,MAX(0,$C100-$F100-$G100-$H100),0)</x:f>
      </x:c>
    </x:row>
    <x:row r="101">
      <x:c r="B101" s="22" t="n">
        <x:v>98</x:v>
      </x:c>
      <x:c r="C101" s="23">
        <x:f>IF($B101&lt;=Inputs!$C$6+Inputs!$C$11,$M100,"")</x:f>
      </x:c>
      <x:c r="D101" s="24">
        <x:f>IF($B101&lt;=Inputs!$C$6,-PMT(Inputs!$C$5/12,Inputs!$C$6,Inputs!$C$4),0)</x:f>
      </x:c>
      <x:c r="E101" s="24">
        <x:f>IF($B101&lt;=Inputs!$C$6+Inputs!$C$11,$C101*Inputs!$C$5/12,0)</x:f>
      </x:c>
      <x:c r="F101" s="24">
        <x:f>IF($B101&lt;=Inputs!$C$6,MAX(0,$D101-$E101),0)</x:f>
      </x:c>
      <x:c r="G101" s="24">
        <x:f>IF($B101&lt;=Inputs!$C$6,MAX(0,($C101-$F101))*(1-(1-Inputs!$C$8)^(1/12)),0)</x:f>
      </x:c>
      <x:c r="H101" s="24">
        <x:f>IF($B101&lt;=Inputs!$C$6,MAX(0,($C101-$F101-$G101))*(1-(1-Inputs!$C$9)^(1/12)),0)</x:f>
      </x:c>
      <x:c r="I101" s="24">
        <x:f>IF($B101&gt;Inputs!$C$11,INDEX($H:$H,ROW()-Inputs!$C$11)* (1-Inputs!$C$10),0)</x:f>
      </x:c>
      <x:c r="J101" s="24">
        <x:f>$H101*Inputs!$C$10</x:f>
      </x:c>
      <x:c r="K101" s="24">
        <x:f>IF($B101&lt;=Inputs!$C$6+Inputs!$C$11,$C101*Inputs!$C$7/12,0)</x:f>
      </x:c>
      <x:c r="L101" s="24">
        <x:f>IF($B101&lt;=Inputs!$C$6+Inputs!$C$11,$E101+$F101+$G101+$I101-$K101,0)</x:f>
      </x:c>
      <x:c r="M101" s="24">
        <x:f>IF($B101&lt;=Inputs!$C$6,MAX(0,$C101-$F101-$G101-$H101),0)</x:f>
      </x:c>
    </x:row>
    <x:row r="102">
      <x:c r="B102" s="22" t="n">
        <x:v>99</x:v>
      </x:c>
      <x:c r="C102" s="23">
        <x:f>IF($B102&lt;=Inputs!$C$6+Inputs!$C$11,$M101,"")</x:f>
      </x:c>
      <x:c r="D102" s="24">
        <x:f>IF($B102&lt;=Inputs!$C$6,-PMT(Inputs!$C$5/12,Inputs!$C$6,Inputs!$C$4),0)</x:f>
      </x:c>
      <x:c r="E102" s="24">
        <x:f>IF($B102&lt;=Inputs!$C$6+Inputs!$C$11,$C102*Inputs!$C$5/12,0)</x:f>
      </x:c>
      <x:c r="F102" s="24">
        <x:f>IF($B102&lt;=Inputs!$C$6,MAX(0,$D102-$E102),0)</x:f>
      </x:c>
      <x:c r="G102" s="24">
        <x:f>IF($B102&lt;=Inputs!$C$6,MAX(0,($C102-$F102))*(1-(1-Inputs!$C$8)^(1/12)),0)</x:f>
      </x:c>
      <x:c r="H102" s="24">
        <x:f>IF($B102&lt;=Inputs!$C$6,MAX(0,($C102-$F102-$G102))*(1-(1-Inputs!$C$9)^(1/12)),0)</x:f>
      </x:c>
      <x:c r="I102" s="24">
        <x:f>IF($B102&gt;Inputs!$C$11,INDEX($H:$H,ROW()-Inputs!$C$11)* (1-Inputs!$C$10),0)</x:f>
      </x:c>
      <x:c r="J102" s="24">
        <x:f>$H102*Inputs!$C$10</x:f>
      </x:c>
      <x:c r="K102" s="24">
        <x:f>IF($B102&lt;=Inputs!$C$6+Inputs!$C$11,$C102*Inputs!$C$7/12,0)</x:f>
      </x:c>
      <x:c r="L102" s="24">
        <x:f>IF($B102&lt;=Inputs!$C$6+Inputs!$C$11,$E102+$F102+$G102+$I102-$K102,0)</x:f>
      </x:c>
      <x:c r="M102" s="24">
        <x:f>IF($B102&lt;=Inputs!$C$6,MAX(0,$C102-$F102-$G102-$H102),0)</x:f>
      </x:c>
    </x:row>
    <x:row r="103">
      <x:c r="B103" s="22" t="n">
        <x:v>100</x:v>
      </x:c>
      <x:c r="C103" s="23">
        <x:f>IF($B103&lt;=Inputs!$C$6+Inputs!$C$11,$M102,"")</x:f>
      </x:c>
      <x:c r="D103" s="24">
        <x:f>IF($B103&lt;=Inputs!$C$6,-PMT(Inputs!$C$5/12,Inputs!$C$6,Inputs!$C$4),0)</x:f>
      </x:c>
      <x:c r="E103" s="24">
        <x:f>IF($B103&lt;=Inputs!$C$6+Inputs!$C$11,$C103*Inputs!$C$5/12,0)</x:f>
      </x:c>
      <x:c r="F103" s="24">
        <x:f>IF($B103&lt;=Inputs!$C$6,MAX(0,$D103-$E103),0)</x:f>
      </x:c>
      <x:c r="G103" s="24">
        <x:f>IF($B103&lt;=Inputs!$C$6,MAX(0,($C103-$F103))*(1-(1-Inputs!$C$8)^(1/12)),0)</x:f>
      </x:c>
      <x:c r="H103" s="24">
        <x:f>IF($B103&lt;=Inputs!$C$6,MAX(0,($C103-$F103-$G103))*(1-(1-Inputs!$C$9)^(1/12)),0)</x:f>
      </x:c>
      <x:c r="I103" s="24">
        <x:f>IF($B103&gt;Inputs!$C$11,INDEX($H:$H,ROW()-Inputs!$C$11)* (1-Inputs!$C$10),0)</x:f>
      </x:c>
      <x:c r="J103" s="24">
        <x:f>$H103*Inputs!$C$10</x:f>
      </x:c>
      <x:c r="K103" s="24">
        <x:f>IF($B103&lt;=Inputs!$C$6+Inputs!$C$11,$C103*Inputs!$C$7/12,0)</x:f>
      </x:c>
      <x:c r="L103" s="24">
        <x:f>IF($B103&lt;=Inputs!$C$6+Inputs!$C$11,$E103+$F103+$G103+$I103-$K103,0)</x:f>
      </x:c>
      <x:c r="M103" s="24">
        <x:f>IF($B103&lt;=Inputs!$C$6,MAX(0,$C103-$F103-$G103-$H103),0)</x:f>
      </x:c>
    </x:row>
    <x:row r="104">
      <x:c r="B104" s="22" t="n">
        <x:v>101</x:v>
      </x:c>
      <x:c r="C104" s="23">
        <x:f>IF($B104&lt;=Inputs!$C$6+Inputs!$C$11,$M103,"")</x:f>
      </x:c>
      <x:c r="D104" s="24">
        <x:f>IF($B104&lt;=Inputs!$C$6,-PMT(Inputs!$C$5/12,Inputs!$C$6,Inputs!$C$4),0)</x:f>
      </x:c>
      <x:c r="E104" s="24">
        <x:f>IF($B104&lt;=Inputs!$C$6+Inputs!$C$11,$C104*Inputs!$C$5/12,0)</x:f>
      </x:c>
      <x:c r="F104" s="24">
        <x:f>IF($B104&lt;=Inputs!$C$6,MAX(0,$D104-$E104),0)</x:f>
      </x:c>
      <x:c r="G104" s="24">
        <x:f>IF($B104&lt;=Inputs!$C$6,MAX(0,($C104-$F104))*(1-(1-Inputs!$C$8)^(1/12)),0)</x:f>
      </x:c>
      <x:c r="H104" s="24">
        <x:f>IF($B104&lt;=Inputs!$C$6,MAX(0,($C104-$F104-$G104))*(1-(1-Inputs!$C$9)^(1/12)),0)</x:f>
      </x:c>
      <x:c r="I104" s="24">
        <x:f>IF($B104&gt;Inputs!$C$11,INDEX($H:$H,ROW()-Inputs!$C$11)* (1-Inputs!$C$10),0)</x:f>
      </x:c>
      <x:c r="J104" s="24">
        <x:f>$H104*Inputs!$C$10</x:f>
      </x:c>
      <x:c r="K104" s="24">
        <x:f>IF($B104&lt;=Inputs!$C$6+Inputs!$C$11,$C104*Inputs!$C$7/12,0)</x:f>
      </x:c>
      <x:c r="L104" s="24">
        <x:f>IF($B104&lt;=Inputs!$C$6+Inputs!$C$11,$E104+$F104+$G104+$I104-$K104,0)</x:f>
      </x:c>
      <x:c r="M104" s="24">
        <x:f>IF($B104&lt;=Inputs!$C$6,MAX(0,$C104-$F104-$G104-$H104),0)</x:f>
      </x:c>
    </x:row>
    <x:row r="105">
      <x:c r="B105" s="22" t="n">
        <x:v>102</x:v>
      </x:c>
      <x:c r="C105" s="23">
        <x:f>IF($B105&lt;=Inputs!$C$6+Inputs!$C$11,$M104,"")</x:f>
      </x:c>
      <x:c r="D105" s="24">
        <x:f>IF($B105&lt;=Inputs!$C$6,-PMT(Inputs!$C$5/12,Inputs!$C$6,Inputs!$C$4),0)</x:f>
      </x:c>
      <x:c r="E105" s="24">
        <x:f>IF($B105&lt;=Inputs!$C$6+Inputs!$C$11,$C105*Inputs!$C$5/12,0)</x:f>
      </x:c>
      <x:c r="F105" s="24">
        <x:f>IF($B105&lt;=Inputs!$C$6,MAX(0,$D105-$E105),0)</x:f>
      </x:c>
      <x:c r="G105" s="24">
        <x:f>IF($B105&lt;=Inputs!$C$6,MAX(0,($C105-$F105))*(1-(1-Inputs!$C$8)^(1/12)),0)</x:f>
      </x:c>
      <x:c r="H105" s="24">
        <x:f>IF($B105&lt;=Inputs!$C$6,MAX(0,($C105-$F105-$G105))*(1-(1-Inputs!$C$9)^(1/12)),0)</x:f>
      </x:c>
      <x:c r="I105" s="24">
        <x:f>IF($B105&gt;Inputs!$C$11,INDEX($H:$H,ROW()-Inputs!$C$11)* (1-Inputs!$C$10),0)</x:f>
      </x:c>
      <x:c r="J105" s="24">
        <x:f>$H105*Inputs!$C$10</x:f>
      </x:c>
      <x:c r="K105" s="24">
        <x:f>IF($B105&lt;=Inputs!$C$6+Inputs!$C$11,$C105*Inputs!$C$7/12,0)</x:f>
      </x:c>
      <x:c r="L105" s="24">
        <x:f>IF($B105&lt;=Inputs!$C$6+Inputs!$C$11,$E105+$F105+$G105+$I105-$K105,0)</x:f>
      </x:c>
      <x:c r="M105" s="24">
        <x:f>IF($B105&lt;=Inputs!$C$6,MAX(0,$C105-$F105-$G105-$H105),0)</x:f>
      </x:c>
    </x:row>
    <x:row r="106">
      <x:c r="B106" s="22" t="n">
        <x:v>103</x:v>
      </x:c>
      <x:c r="C106" s="23">
        <x:f>IF($B106&lt;=Inputs!$C$6+Inputs!$C$11,$M105,"")</x:f>
      </x:c>
      <x:c r="D106" s="24">
        <x:f>IF($B106&lt;=Inputs!$C$6,-PMT(Inputs!$C$5/12,Inputs!$C$6,Inputs!$C$4),0)</x:f>
      </x:c>
      <x:c r="E106" s="24">
        <x:f>IF($B106&lt;=Inputs!$C$6+Inputs!$C$11,$C106*Inputs!$C$5/12,0)</x:f>
      </x:c>
      <x:c r="F106" s="24">
        <x:f>IF($B106&lt;=Inputs!$C$6,MAX(0,$D106-$E106),0)</x:f>
      </x:c>
      <x:c r="G106" s="24">
        <x:f>IF($B106&lt;=Inputs!$C$6,MAX(0,($C106-$F106))*(1-(1-Inputs!$C$8)^(1/12)),0)</x:f>
      </x:c>
      <x:c r="H106" s="24">
        <x:f>IF($B106&lt;=Inputs!$C$6,MAX(0,($C106-$F106-$G106))*(1-(1-Inputs!$C$9)^(1/12)),0)</x:f>
      </x:c>
      <x:c r="I106" s="24">
        <x:f>IF($B106&gt;Inputs!$C$11,INDEX($H:$H,ROW()-Inputs!$C$11)* (1-Inputs!$C$10),0)</x:f>
      </x:c>
      <x:c r="J106" s="24">
        <x:f>$H106*Inputs!$C$10</x:f>
      </x:c>
      <x:c r="K106" s="24">
        <x:f>IF($B106&lt;=Inputs!$C$6+Inputs!$C$11,$C106*Inputs!$C$7/12,0)</x:f>
      </x:c>
      <x:c r="L106" s="24">
        <x:f>IF($B106&lt;=Inputs!$C$6+Inputs!$C$11,$E106+$F106+$G106+$I106-$K106,0)</x:f>
      </x:c>
      <x:c r="M106" s="24">
        <x:f>IF($B106&lt;=Inputs!$C$6,MAX(0,$C106-$F106-$G106-$H106),0)</x:f>
      </x:c>
    </x:row>
    <x:row r="107">
      <x:c r="B107" s="22" t="n">
        <x:v>104</x:v>
      </x:c>
      <x:c r="C107" s="23">
        <x:f>IF($B107&lt;=Inputs!$C$6+Inputs!$C$11,$M106,"")</x:f>
      </x:c>
      <x:c r="D107" s="24">
        <x:f>IF($B107&lt;=Inputs!$C$6,-PMT(Inputs!$C$5/12,Inputs!$C$6,Inputs!$C$4),0)</x:f>
      </x:c>
      <x:c r="E107" s="24">
        <x:f>IF($B107&lt;=Inputs!$C$6+Inputs!$C$11,$C107*Inputs!$C$5/12,0)</x:f>
      </x:c>
      <x:c r="F107" s="24">
        <x:f>IF($B107&lt;=Inputs!$C$6,MAX(0,$D107-$E107),0)</x:f>
      </x:c>
      <x:c r="G107" s="24">
        <x:f>IF($B107&lt;=Inputs!$C$6,MAX(0,($C107-$F107))*(1-(1-Inputs!$C$8)^(1/12)),0)</x:f>
      </x:c>
      <x:c r="H107" s="24">
        <x:f>IF($B107&lt;=Inputs!$C$6,MAX(0,($C107-$F107-$G107))*(1-(1-Inputs!$C$9)^(1/12)),0)</x:f>
      </x:c>
      <x:c r="I107" s="24">
        <x:f>IF($B107&gt;Inputs!$C$11,INDEX($H:$H,ROW()-Inputs!$C$11)* (1-Inputs!$C$10),0)</x:f>
      </x:c>
      <x:c r="J107" s="24">
        <x:f>$H107*Inputs!$C$10</x:f>
      </x:c>
      <x:c r="K107" s="24">
        <x:f>IF($B107&lt;=Inputs!$C$6+Inputs!$C$11,$C107*Inputs!$C$7/12,0)</x:f>
      </x:c>
      <x:c r="L107" s="24">
        <x:f>IF($B107&lt;=Inputs!$C$6+Inputs!$C$11,$E107+$F107+$G107+$I107-$K107,0)</x:f>
      </x:c>
      <x:c r="M107" s="24">
        <x:f>IF($B107&lt;=Inputs!$C$6,MAX(0,$C107-$F107-$G107-$H107),0)</x:f>
      </x:c>
    </x:row>
    <x:row r="108">
      <x:c r="B108" s="22" t="n">
        <x:v>105</x:v>
      </x:c>
      <x:c r="C108" s="23">
        <x:f>IF($B108&lt;=Inputs!$C$6+Inputs!$C$11,$M107,"")</x:f>
      </x:c>
      <x:c r="D108" s="24">
        <x:f>IF($B108&lt;=Inputs!$C$6,-PMT(Inputs!$C$5/12,Inputs!$C$6,Inputs!$C$4),0)</x:f>
      </x:c>
      <x:c r="E108" s="24">
        <x:f>IF($B108&lt;=Inputs!$C$6+Inputs!$C$11,$C108*Inputs!$C$5/12,0)</x:f>
      </x:c>
      <x:c r="F108" s="24">
        <x:f>IF($B108&lt;=Inputs!$C$6,MAX(0,$D108-$E108),0)</x:f>
      </x:c>
      <x:c r="G108" s="24">
        <x:f>IF($B108&lt;=Inputs!$C$6,MAX(0,($C108-$F108))*(1-(1-Inputs!$C$8)^(1/12)),0)</x:f>
      </x:c>
      <x:c r="H108" s="24">
        <x:f>IF($B108&lt;=Inputs!$C$6,MAX(0,($C108-$F108-$G108))*(1-(1-Inputs!$C$9)^(1/12)),0)</x:f>
      </x:c>
      <x:c r="I108" s="24">
        <x:f>IF($B108&gt;Inputs!$C$11,INDEX($H:$H,ROW()-Inputs!$C$11)* (1-Inputs!$C$10),0)</x:f>
      </x:c>
      <x:c r="J108" s="24">
        <x:f>$H108*Inputs!$C$10</x:f>
      </x:c>
      <x:c r="K108" s="24">
        <x:f>IF($B108&lt;=Inputs!$C$6+Inputs!$C$11,$C108*Inputs!$C$7/12,0)</x:f>
      </x:c>
      <x:c r="L108" s="24">
        <x:f>IF($B108&lt;=Inputs!$C$6+Inputs!$C$11,$E108+$F108+$G108+$I108-$K108,0)</x:f>
      </x:c>
      <x:c r="M108" s="24">
        <x:f>IF($B108&lt;=Inputs!$C$6,MAX(0,$C108-$F108-$G108-$H108),0)</x:f>
      </x:c>
    </x:row>
    <x:row r="109">
      <x:c r="B109" s="22" t="n">
        <x:v>106</x:v>
      </x:c>
      <x:c r="C109" s="23">
        <x:f>IF($B109&lt;=Inputs!$C$6+Inputs!$C$11,$M108,"")</x:f>
      </x:c>
      <x:c r="D109" s="24">
        <x:f>IF($B109&lt;=Inputs!$C$6,-PMT(Inputs!$C$5/12,Inputs!$C$6,Inputs!$C$4),0)</x:f>
      </x:c>
      <x:c r="E109" s="24">
        <x:f>IF($B109&lt;=Inputs!$C$6+Inputs!$C$11,$C109*Inputs!$C$5/12,0)</x:f>
      </x:c>
      <x:c r="F109" s="24">
        <x:f>IF($B109&lt;=Inputs!$C$6,MAX(0,$D109-$E109),0)</x:f>
      </x:c>
      <x:c r="G109" s="24">
        <x:f>IF($B109&lt;=Inputs!$C$6,MAX(0,($C109-$F109))*(1-(1-Inputs!$C$8)^(1/12)),0)</x:f>
      </x:c>
      <x:c r="H109" s="24">
        <x:f>IF($B109&lt;=Inputs!$C$6,MAX(0,($C109-$F109-$G109))*(1-(1-Inputs!$C$9)^(1/12)),0)</x:f>
      </x:c>
      <x:c r="I109" s="24">
        <x:f>IF($B109&gt;Inputs!$C$11,INDEX($H:$H,ROW()-Inputs!$C$11)* (1-Inputs!$C$10),0)</x:f>
      </x:c>
      <x:c r="J109" s="24">
        <x:f>$H109*Inputs!$C$10</x:f>
      </x:c>
      <x:c r="K109" s="24">
        <x:f>IF($B109&lt;=Inputs!$C$6+Inputs!$C$11,$C109*Inputs!$C$7/12,0)</x:f>
      </x:c>
      <x:c r="L109" s="24">
        <x:f>IF($B109&lt;=Inputs!$C$6+Inputs!$C$11,$E109+$F109+$G109+$I109-$K109,0)</x:f>
      </x:c>
      <x:c r="M109" s="24">
        <x:f>IF($B109&lt;=Inputs!$C$6,MAX(0,$C109-$F109-$G109-$H109),0)</x:f>
      </x:c>
    </x:row>
    <x:row r="110">
      <x:c r="B110" s="22" t="n">
        <x:v>107</x:v>
      </x:c>
      <x:c r="C110" s="23">
        <x:f>IF($B110&lt;=Inputs!$C$6+Inputs!$C$11,$M109,"")</x:f>
      </x:c>
      <x:c r="D110" s="24">
        <x:f>IF($B110&lt;=Inputs!$C$6,-PMT(Inputs!$C$5/12,Inputs!$C$6,Inputs!$C$4),0)</x:f>
      </x:c>
      <x:c r="E110" s="24">
        <x:f>IF($B110&lt;=Inputs!$C$6+Inputs!$C$11,$C110*Inputs!$C$5/12,0)</x:f>
      </x:c>
      <x:c r="F110" s="24">
        <x:f>IF($B110&lt;=Inputs!$C$6,MAX(0,$D110-$E110),0)</x:f>
      </x:c>
      <x:c r="G110" s="24">
        <x:f>IF($B110&lt;=Inputs!$C$6,MAX(0,($C110-$F110))*(1-(1-Inputs!$C$8)^(1/12)),0)</x:f>
      </x:c>
      <x:c r="H110" s="24">
        <x:f>IF($B110&lt;=Inputs!$C$6,MAX(0,($C110-$F110-$G110))*(1-(1-Inputs!$C$9)^(1/12)),0)</x:f>
      </x:c>
      <x:c r="I110" s="24">
        <x:f>IF($B110&gt;Inputs!$C$11,INDEX($H:$H,ROW()-Inputs!$C$11)* (1-Inputs!$C$10),0)</x:f>
      </x:c>
      <x:c r="J110" s="24">
        <x:f>$H110*Inputs!$C$10</x:f>
      </x:c>
      <x:c r="K110" s="24">
        <x:f>IF($B110&lt;=Inputs!$C$6+Inputs!$C$11,$C110*Inputs!$C$7/12,0)</x:f>
      </x:c>
      <x:c r="L110" s="24">
        <x:f>IF($B110&lt;=Inputs!$C$6+Inputs!$C$11,$E110+$F110+$G110+$I110-$K110,0)</x:f>
      </x:c>
      <x:c r="M110" s="24">
        <x:f>IF($B110&lt;=Inputs!$C$6,MAX(0,$C110-$F110-$G110-$H110),0)</x:f>
      </x:c>
    </x:row>
    <x:row r="111">
      <x:c r="B111" s="22" t="n">
        <x:v>108</x:v>
      </x:c>
      <x:c r="C111" s="23">
        <x:f>IF($B111&lt;=Inputs!$C$6+Inputs!$C$11,$M110,"")</x:f>
      </x:c>
      <x:c r="D111" s="24">
        <x:f>IF($B111&lt;=Inputs!$C$6,-PMT(Inputs!$C$5/12,Inputs!$C$6,Inputs!$C$4),0)</x:f>
      </x:c>
      <x:c r="E111" s="24">
        <x:f>IF($B111&lt;=Inputs!$C$6+Inputs!$C$11,$C111*Inputs!$C$5/12,0)</x:f>
      </x:c>
      <x:c r="F111" s="24">
        <x:f>IF($B111&lt;=Inputs!$C$6,MAX(0,$D111-$E111),0)</x:f>
      </x:c>
      <x:c r="G111" s="24">
        <x:f>IF($B111&lt;=Inputs!$C$6,MAX(0,($C111-$F111))*(1-(1-Inputs!$C$8)^(1/12)),0)</x:f>
      </x:c>
      <x:c r="H111" s="24">
        <x:f>IF($B111&lt;=Inputs!$C$6,MAX(0,($C111-$F111-$G111))*(1-(1-Inputs!$C$9)^(1/12)),0)</x:f>
      </x:c>
      <x:c r="I111" s="24">
        <x:f>IF($B111&gt;Inputs!$C$11,INDEX($H:$H,ROW()-Inputs!$C$11)* (1-Inputs!$C$10),0)</x:f>
      </x:c>
      <x:c r="J111" s="24">
        <x:f>$H111*Inputs!$C$10</x:f>
      </x:c>
      <x:c r="K111" s="24">
        <x:f>IF($B111&lt;=Inputs!$C$6+Inputs!$C$11,$C111*Inputs!$C$7/12,0)</x:f>
      </x:c>
      <x:c r="L111" s="24">
        <x:f>IF($B111&lt;=Inputs!$C$6+Inputs!$C$11,$E111+$F111+$G111+$I111-$K111,0)</x:f>
      </x:c>
      <x:c r="M111" s="24">
        <x:f>IF($B111&lt;=Inputs!$C$6,MAX(0,$C111-$F111-$G111-$H111),0)</x:f>
      </x:c>
    </x:row>
    <x:row r="112">
      <x:c r="B112" s="22" t="n">
        <x:v>109</x:v>
      </x:c>
      <x:c r="C112" s="23">
        <x:f>IF($B112&lt;=Inputs!$C$6+Inputs!$C$11,$M111,"")</x:f>
      </x:c>
      <x:c r="D112" s="24">
        <x:f>IF($B112&lt;=Inputs!$C$6,-PMT(Inputs!$C$5/12,Inputs!$C$6,Inputs!$C$4),0)</x:f>
      </x:c>
      <x:c r="E112" s="24">
        <x:f>IF($B112&lt;=Inputs!$C$6+Inputs!$C$11,$C112*Inputs!$C$5/12,0)</x:f>
      </x:c>
      <x:c r="F112" s="24">
        <x:f>IF($B112&lt;=Inputs!$C$6,MAX(0,$D112-$E112),0)</x:f>
      </x:c>
      <x:c r="G112" s="24">
        <x:f>IF($B112&lt;=Inputs!$C$6,MAX(0,($C112-$F112))*(1-(1-Inputs!$C$8)^(1/12)),0)</x:f>
      </x:c>
      <x:c r="H112" s="24">
        <x:f>IF($B112&lt;=Inputs!$C$6,MAX(0,($C112-$F112-$G112))*(1-(1-Inputs!$C$9)^(1/12)),0)</x:f>
      </x:c>
      <x:c r="I112" s="24">
        <x:f>IF($B112&gt;Inputs!$C$11,INDEX($H:$H,ROW()-Inputs!$C$11)* (1-Inputs!$C$10),0)</x:f>
      </x:c>
      <x:c r="J112" s="24">
        <x:f>$H112*Inputs!$C$10</x:f>
      </x:c>
      <x:c r="K112" s="24">
        <x:f>IF($B112&lt;=Inputs!$C$6+Inputs!$C$11,$C112*Inputs!$C$7/12,0)</x:f>
      </x:c>
      <x:c r="L112" s="24">
        <x:f>IF($B112&lt;=Inputs!$C$6+Inputs!$C$11,$E112+$F112+$G112+$I112-$K112,0)</x:f>
      </x:c>
      <x:c r="M112" s="24">
        <x:f>IF($B112&lt;=Inputs!$C$6,MAX(0,$C112-$F112-$G112-$H112),0)</x:f>
      </x:c>
    </x:row>
    <x:row r="113">
      <x:c r="B113" s="22" t="n">
        <x:v>110</x:v>
      </x:c>
      <x:c r="C113" s="23">
        <x:f>IF($B113&lt;=Inputs!$C$6+Inputs!$C$11,$M112,"")</x:f>
      </x:c>
      <x:c r="D113" s="24">
        <x:f>IF($B113&lt;=Inputs!$C$6,-PMT(Inputs!$C$5/12,Inputs!$C$6,Inputs!$C$4),0)</x:f>
      </x:c>
      <x:c r="E113" s="24">
        <x:f>IF($B113&lt;=Inputs!$C$6+Inputs!$C$11,$C113*Inputs!$C$5/12,0)</x:f>
      </x:c>
      <x:c r="F113" s="24">
        <x:f>IF($B113&lt;=Inputs!$C$6,MAX(0,$D113-$E113),0)</x:f>
      </x:c>
      <x:c r="G113" s="24">
        <x:f>IF($B113&lt;=Inputs!$C$6,MAX(0,($C113-$F113))*(1-(1-Inputs!$C$8)^(1/12)),0)</x:f>
      </x:c>
      <x:c r="H113" s="24">
        <x:f>IF($B113&lt;=Inputs!$C$6,MAX(0,($C113-$F113-$G113))*(1-(1-Inputs!$C$9)^(1/12)),0)</x:f>
      </x:c>
      <x:c r="I113" s="24">
        <x:f>IF($B113&gt;Inputs!$C$11,INDEX($H:$H,ROW()-Inputs!$C$11)* (1-Inputs!$C$10),0)</x:f>
      </x:c>
      <x:c r="J113" s="24">
        <x:f>$H113*Inputs!$C$10</x:f>
      </x:c>
      <x:c r="K113" s="24">
        <x:f>IF($B113&lt;=Inputs!$C$6+Inputs!$C$11,$C113*Inputs!$C$7/12,0)</x:f>
      </x:c>
      <x:c r="L113" s="24">
        <x:f>IF($B113&lt;=Inputs!$C$6+Inputs!$C$11,$E113+$F113+$G113+$I113-$K113,0)</x:f>
      </x:c>
      <x:c r="M113" s="24">
        <x:f>IF($B113&lt;=Inputs!$C$6,MAX(0,$C113-$F113-$G113-$H113),0)</x:f>
      </x:c>
    </x:row>
    <x:row r="114">
      <x:c r="B114" s="22" t="n">
        <x:v>111</x:v>
      </x:c>
      <x:c r="C114" s="23">
        <x:f>IF($B114&lt;=Inputs!$C$6+Inputs!$C$11,$M113,"")</x:f>
      </x:c>
      <x:c r="D114" s="24">
        <x:f>IF($B114&lt;=Inputs!$C$6,-PMT(Inputs!$C$5/12,Inputs!$C$6,Inputs!$C$4),0)</x:f>
      </x:c>
      <x:c r="E114" s="24">
        <x:f>IF($B114&lt;=Inputs!$C$6+Inputs!$C$11,$C114*Inputs!$C$5/12,0)</x:f>
      </x:c>
      <x:c r="F114" s="24">
        <x:f>IF($B114&lt;=Inputs!$C$6,MAX(0,$D114-$E114),0)</x:f>
      </x:c>
      <x:c r="G114" s="24">
        <x:f>IF($B114&lt;=Inputs!$C$6,MAX(0,($C114-$F114))*(1-(1-Inputs!$C$8)^(1/12)),0)</x:f>
      </x:c>
      <x:c r="H114" s="24">
        <x:f>IF($B114&lt;=Inputs!$C$6,MAX(0,($C114-$F114-$G114))*(1-(1-Inputs!$C$9)^(1/12)),0)</x:f>
      </x:c>
      <x:c r="I114" s="24">
        <x:f>IF($B114&gt;Inputs!$C$11,INDEX($H:$H,ROW()-Inputs!$C$11)* (1-Inputs!$C$10),0)</x:f>
      </x:c>
      <x:c r="J114" s="24">
        <x:f>$H114*Inputs!$C$10</x:f>
      </x:c>
      <x:c r="K114" s="24">
        <x:f>IF($B114&lt;=Inputs!$C$6+Inputs!$C$11,$C114*Inputs!$C$7/12,0)</x:f>
      </x:c>
      <x:c r="L114" s="24">
        <x:f>IF($B114&lt;=Inputs!$C$6+Inputs!$C$11,$E114+$F114+$G114+$I114-$K114,0)</x:f>
      </x:c>
      <x:c r="M114" s="24">
        <x:f>IF($B114&lt;=Inputs!$C$6,MAX(0,$C114-$F114-$G114-$H114),0)</x:f>
      </x:c>
    </x:row>
    <x:row r="115">
      <x:c r="B115" s="22" t="n">
        <x:v>112</x:v>
      </x:c>
      <x:c r="C115" s="23">
        <x:f>IF($B115&lt;=Inputs!$C$6+Inputs!$C$11,$M114,"")</x:f>
      </x:c>
      <x:c r="D115" s="24">
        <x:f>IF($B115&lt;=Inputs!$C$6,-PMT(Inputs!$C$5/12,Inputs!$C$6,Inputs!$C$4),0)</x:f>
      </x:c>
      <x:c r="E115" s="24">
        <x:f>IF($B115&lt;=Inputs!$C$6+Inputs!$C$11,$C115*Inputs!$C$5/12,0)</x:f>
      </x:c>
      <x:c r="F115" s="24">
        <x:f>IF($B115&lt;=Inputs!$C$6,MAX(0,$D115-$E115),0)</x:f>
      </x:c>
      <x:c r="G115" s="24">
        <x:f>IF($B115&lt;=Inputs!$C$6,MAX(0,($C115-$F115))*(1-(1-Inputs!$C$8)^(1/12)),0)</x:f>
      </x:c>
      <x:c r="H115" s="24">
        <x:f>IF($B115&lt;=Inputs!$C$6,MAX(0,($C115-$F115-$G115))*(1-(1-Inputs!$C$9)^(1/12)),0)</x:f>
      </x:c>
      <x:c r="I115" s="24">
        <x:f>IF($B115&gt;Inputs!$C$11,INDEX($H:$H,ROW()-Inputs!$C$11)* (1-Inputs!$C$10),0)</x:f>
      </x:c>
      <x:c r="J115" s="24">
        <x:f>$H115*Inputs!$C$10</x:f>
      </x:c>
      <x:c r="K115" s="24">
        <x:f>IF($B115&lt;=Inputs!$C$6+Inputs!$C$11,$C115*Inputs!$C$7/12,0)</x:f>
      </x:c>
      <x:c r="L115" s="24">
        <x:f>IF($B115&lt;=Inputs!$C$6+Inputs!$C$11,$E115+$F115+$G115+$I115-$K115,0)</x:f>
      </x:c>
      <x:c r="M115" s="24">
        <x:f>IF($B115&lt;=Inputs!$C$6,MAX(0,$C115-$F115-$G115-$H115),0)</x:f>
      </x:c>
    </x:row>
    <x:row r="116">
      <x:c r="B116" s="22" t="n">
        <x:v>113</x:v>
      </x:c>
      <x:c r="C116" s="23">
        <x:f>IF($B116&lt;=Inputs!$C$6+Inputs!$C$11,$M115,"")</x:f>
      </x:c>
      <x:c r="D116" s="24">
        <x:f>IF($B116&lt;=Inputs!$C$6,-PMT(Inputs!$C$5/12,Inputs!$C$6,Inputs!$C$4),0)</x:f>
      </x:c>
      <x:c r="E116" s="24">
        <x:f>IF($B116&lt;=Inputs!$C$6+Inputs!$C$11,$C116*Inputs!$C$5/12,0)</x:f>
      </x:c>
      <x:c r="F116" s="24">
        <x:f>IF($B116&lt;=Inputs!$C$6,MAX(0,$D116-$E116),0)</x:f>
      </x:c>
      <x:c r="G116" s="24">
        <x:f>IF($B116&lt;=Inputs!$C$6,MAX(0,($C116-$F116))*(1-(1-Inputs!$C$8)^(1/12)),0)</x:f>
      </x:c>
      <x:c r="H116" s="24">
        <x:f>IF($B116&lt;=Inputs!$C$6,MAX(0,($C116-$F116-$G116))*(1-(1-Inputs!$C$9)^(1/12)),0)</x:f>
      </x:c>
      <x:c r="I116" s="24">
        <x:f>IF($B116&gt;Inputs!$C$11,INDEX($H:$H,ROW()-Inputs!$C$11)* (1-Inputs!$C$10),0)</x:f>
      </x:c>
      <x:c r="J116" s="24">
        <x:f>$H116*Inputs!$C$10</x:f>
      </x:c>
      <x:c r="K116" s="24">
        <x:f>IF($B116&lt;=Inputs!$C$6+Inputs!$C$11,$C116*Inputs!$C$7/12,0)</x:f>
      </x:c>
      <x:c r="L116" s="24">
        <x:f>IF($B116&lt;=Inputs!$C$6+Inputs!$C$11,$E116+$F116+$G116+$I116-$K116,0)</x:f>
      </x:c>
      <x:c r="M116" s="24">
        <x:f>IF($B116&lt;=Inputs!$C$6,MAX(0,$C116-$F116-$G116-$H116),0)</x:f>
      </x:c>
    </x:row>
    <x:row r="117">
      <x:c r="B117" s="22" t="n">
        <x:v>114</x:v>
      </x:c>
      <x:c r="C117" s="23">
        <x:f>IF($B117&lt;=Inputs!$C$6+Inputs!$C$11,$M116,"")</x:f>
      </x:c>
      <x:c r="D117" s="24">
        <x:f>IF($B117&lt;=Inputs!$C$6,-PMT(Inputs!$C$5/12,Inputs!$C$6,Inputs!$C$4),0)</x:f>
      </x:c>
      <x:c r="E117" s="24">
        <x:f>IF($B117&lt;=Inputs!$C$6+Inputs!$C$11,$C117*Inputs!$C$5/12,0)</x:f>
      </x:c>
      <x:c r="F117" s="24">
        <x:f>IF($B117&lt;=Inputs!$C$6,MAX(0,$D117-$E117),0)</x:f>
      </x:c>
      <x:c r="G117" s="24">
        <x:f>IF($B117&lt;=Inputs!$C$6,MAX(0,($C117-$F117))*(1-(1-Inputs!$C$8)^(1/12)),0)</x:f>
      </x:c>
      <x:c r="H117" s="24">
        <x:f>IF($B117&lt;=Inputs!$C$6,MAX(0,($C117-$F117-$G117))*(1-(1-Inputs!$C$9)^(1/12)),0)</x:f>
      </x:c>
      <x:c r="I117" s="24">
        <x:f>IF($B117&gt;Inputs!$C$11,INDEX($H:$H,ROW()-Inputs!$C$11)* (1-Inputs!$C$10),0)</x:f>
      </x:c>
      <x:c r="J117" s="24">
        <x:f>$H117*Inputs!$C$10</x:f>
      </x:c>
      <x:c r="K117" s="24">
        <x:f>IF($B117&lt;=Inputs!$C$6+Inputs!$C$11,$C117*Inputs!$C$7/12,0)</x:f>
      </x:c>
      <x:c r="L117" s="24">
        <x:f>IF($B117&lt;=Inputs!$C$6+Inputs!$C$11,$E117+$F117+$G117+$I117-$K117,0)</x:f>
      </x:c>
      <x:c r="M117" s="24">
        <x:f>IF($B117&lt;=Inputs!$C$6,MAX(0,$C117-$F117-$G117-$H117),0)</x:f>
      </x:c>
    </x:row>
    <x:row r="118">
      <x:c r="B118" s="22" t="n">
        <x:v>115</x:v>
      </x:c>
      <x:c r="C118" s="23">
        <x:f>IF($B118&lt;=Inputs!$C$6+Inputs!$C$11,$M117,"")</x:f>
      </x:c>
      <x:c r="D118" s="24">
        <x:f>IF($B118&lt;=Inputs!$C$6,-PMT(Inputs!$C$5/12,Inputs!$C$6,Inputs!$C$4),0)</x:f>
      </x:c>
      <x:c r="E118" s="24">
        <x:f>IF($B118&lt;=Inputs!$C$6+Inputs!$C$11,$C118*Inputs!$C$5/12,0)</x:f>
      </x:c>
      <x:c r="F118" s="24">
        <x:f>IF($B118&lt;=Inputs!$C$6,MAX(0,$D118-$E118),0)</x:f>
      </x:c>
      <x:c r="G118" s="24">
        <x:f>IF($B118&lt;=Inputs!$C$6,MAX(0,($C118-$F118))*(1-(1-Inputs!$C$8)^(1/12)),0)</x:f>
      </x:c>
      <x:c r="H118" s="24">
        <x:f>IF($B118&lt;=Inputs!$C$6,MAX(0,($C118-$F118-$G118))*(1-(1-Inputs!$C$9)^(1/12)),0)</x:f>
      </x:c>
      <x:c r="I118" s="24">
        <x:f>IF($B118&gt;Inputs!$C$11,INDEX($H:$H,ROW()-Inputs!$C$11)* (1-Inputs!$C$10),0)</x:f>
      </x:c>
      <x:c r="J118" s="24">
        <x:f>$H118*Inputs!$C$10</x:f>
      </x:c>
      <x:c r="K118" s="24">
        <x:f>IF($B118&lt;=Inputs!$C$6+Inputs!$C$11,$C118*Inputs!$C$7/12,0)</x:f>
      </x:c>
      <x:c r="L118" s="24">
        <x:f>IF($B118&lt;=Inputs!$C$6+Inputs!$C$11,$E118+$F118+$G118+$I118-$K118,0)</x:f>
      </x:c>
      <x:c r="M118" s="24">
        <x:f>IF($B118&lt;=Inputs!$C$6,MAX(0,$C118-$F118-$G118-$H118),0)</x:f>
      </x:c>
    </x:row>
    <x:row r="119">
      <x:c r="B119" s="22" t="n">
        <x:v>116</x:v>
      </x:c>
      <x:c r="C119" s="23">
        <x:f>IF($B119&lt;=Inputs!$C$6+Inputs!$C$11,$M118,"")</x:f>
      </x:c>
      <x:c r="D119" s="24">
        <x:f>IF($B119&lt;=Inputs!$C$6,-PMT(Inputs!$C$5/12,Inputs!$C$6,Inputs!$C$4),0)</x:f>
      </x:c>
      <x:c r="E119" s="24">
        <x:f>IF($B119&lt;=Inputs!$C$6+Inputs!$C$11,$C119*Inputs!$C$5/12,0)</x:f>
      </x:c>
      <x:c r="F119" s="24">
        <x:f>IF($B119&lt;=Inputs!$C$6,MAX(0,$D119-$E119),0)</x:f>
      </x:c>
      <x:c r="G119" s="24">
        <x:f>IF($B119&lt;=Inputs!$C$6,MAX(0,($C119-$F119))*(1-(1-Inputs!$C$8)^(1/12)),0)</x:f>
      </x:c>
      <x:c r="H119" s="24">
        <x:f>IF($B119&lt;=Inputs!$C$6,MAX(0,($C119-$F119-$G119))*(1-(1-Inputs!$C$9)^(1/12)),0)</x:f>
      </x:c>
      <x:c r="I119" s="24">
        <x:f>IF($B119&gt;Inputs!$C$11,INDEX($H:$H,ROW()-Inputs!$C$11)* (1-Inputs!$C$10),0)</x:f>
      </x:c>
      <x:c r="J119" s="24">
        <x:f>$H119*Inputs!$C$10</x:f>
      </x:c>
      <x:c r="K119" s="24">
        <x:f>IF($B119&lt;=Inputs!$C$6+Inputs!$C$11,$C119*Inputs!$C$7/12,0)</x:f>
      </x:c>
      <x:c r="L119" s="24">
        <x:f>IF($B119&lt;=Inputs!$C$6+Inputs!$C$11,$E119+$F119+$G119+$I119-$K119,0)</x:f>
      </x:c>
      <x:c r="M119" s="24">
        <x:f>IF($B119&lt;=Inputs!$C$6,MAX(0,$C119-$F119-$G119-$H119),0)</x:f>
      </x:c>
    </x:row>
    <x:row r="120">
      <x:c r="B120" s="22" t="n">
        <x:v>117</x:v>
      </x:c>
      <x:c r="C120" s="23">
        <x:f>IF($B120&lt;=Inputs!$C$6+Inputs!$C$11,$M119,"")</x:f>
      </x:c>
      <x:c r="D120" s="24">
        <x:f>IF($B120&lt;=Inputs!$C$6,-PMT(Inputs!$C$5/12,Inputs!$C$6,Inputs!$C$4),0)</x:f>
      </x:c>
      <x:c r="E120" s="24">
        <x:f>IF($B120&lt;=Inputs!$C$6+Inputs!$C$11,$C120*Inputs!$C$5/12,0)</x:f>
      </x:c>
      <x:c r="F120" s="24">
        <x:f>IF($B120&lt;=Inputs!$C$6,MAX(0,$D120-$E120),0)</x:f>
      </x:c>
      <x:c r="G120" s="24">
        <x:f>IF($B120&lt;=Inputs!$C$6,MAX(0,($C120-$F120))*(1-(1-Inputs!$C$8)^(1/12)),0)</x:f>
      </x:c>
      <x:c r="H120" s="24">
        <x:f>IF($B120&lt;=Inputs!$C$6,MAX(0,($C120-$F120-$G120))*(1-(1-Inputs!$C$9)^(1/12)),0)</x:f>
      </x:c>
      <x:c r="I120" s="24">
        <x:f>IF($B120&gt;Inputs!$C$11,INDEX($H:$H,ROW()-Inputs!$C$11)* (1-Inputs!$C$10),0)</x:f>
      </x:c>
      <x:c r="J120" s="24">
        <x:f>$H120*Inputs!$C$10</x:f>
      </x:c>
      <x:c r="K120" s="24">
        <x:f>IF($B120&lt;=Inputs!$C$6+Inputs!$C$11,$C120*Inputs!$C$7/12,0)</x:f>
      </x:c>
      <x:c r="L120" s="24">
        <x:f>IF($B120&lt;=Inputs!$C$6+Inputs!$C$11,$E120+$F120+$G120+$I120-$K120,0)</x:f>
      </x:c>
      <x:c r="M120" s="24">
        <x:f>IF($B120&lt;=Inputs!$C$6,MAX(0,$C120-$F120-$G120-$H120),0)</x:f>
      </x:c>
    </x:row>
    <x:row r="121">
      <x:c r="B121" s="22" t="n">
        <x:v>118</x:v>
      </x:c>
      <x:c r="C121" s="23">
        <x:f>IF($B121&lt;=Inputs!$C$6+Inputs!$C$11,$M120,"")</x:f>
      </x:c>
      <x:c r="D121" s="24">
        <x:f>IF($B121&lt;=Inputs!$C$6,-PMT(Inputs!$C$5/12,Inputs!$C$6,Inputs!$C$4),0)</x:f>
      </x:c>
      <x:c r="E121" s="24">
        <x:f>IF($B121&lt;=Inputs!$C$6+Inputs!$C$11,$C121*Inputs!$C$5/12,0)</x:f>
      </x:c>
      <x:c r="F121" s="24">
        <x:f>IF($B121&lt;=Inputs!$C$6,MAX(0,$D121-$E121),0)</x:f>
      </x:c>
      <x:c r="G121" s="24">
        <x:f>IF($B121&lt;=Inputs!$C$6,MAX(0,($C121-$F121))*(1-(1-Inputs!$C$8)^(1/12)),0)</x:f>
      </x:c>
      <x:c r="H121" s="24">
        <x:f>IF($B121&lt;=Inputs!$C$6,MAX(0,($C121-$F121-$G121))*(1-(1-Inputs!$C$9)^(1/12)),0)</x:f>
      </x:c>
      <x:c r="I121" s="24">
        <x:f>IF($B121&gt;Inputs!$C$11,INDEX($H:$H,ROW()-Inputs!$C$11)* (1-Inputs!$C$10),0)</x:f>
      </x:c>
      <x:c r="J121" s="24">
        <x:f>$H121*Inputs!$C$10</x:f>
      </x:c>
      <x:c r="K121" s="24">
        <x:f>IF($B121&lt;=Inputs!$C$6+Inputs!$C$11,$C121*Inputs!$C$7/12,0)</x:f>
      </x:c>
      <x:c r="L121" s="24">
        <x:f>IF($B121&lt;=Inputs!$C$6+Inputs!$C$11,$E121+$F121+$G121+$I121-$K121,0)</x:f>
      </x:c>
      <x:c r="M121" s="24">
        <x:f>IF($B121&lt;=Inputs!$C$6,MAX(0,$C121-$F121-$G121-$H121),0)</x:f>
      </x:c>
    </x:row>
    <x:row r="122">
      <x:c r="B122" s="22" t="n">
        <x:v>119</x:v>
      </x:c>
      <x:c r="C122" s="23">
        <x:f>IF($B122&lt;=Inputs!$C$6+Inputs!$C$11,$M121,"")</x:f>
      </x:c>
      <x:c r="D122" s="24">
        <x:f>IF($B122&lt;=Inputs!$C$6,-PMT(Inputs!$C$5/12,Inputs!$C$6,Inputs!$C$4),0)</x:f>
      </x:c>
      <x:c r="E122" s="24">
        <x:f>IF($B122&lt;=Inputs!$C$6+Inputs!$C$11,$C122*Inputs!$C$5/12,0)</x:f>
      </x:c>
      <x:c r="F122" s="24">
        <x:f>IF($B122&lt;=Inputs!$C$6,MAX(0,$D122-$E122),0)</x:f>
      </x:c>
      <x:c r="G122" s="24">
        <x:f>IF($B122&lt;=Inputs!$C$6,MAX(0,($C122-$F122))*(1-(1-Inputs!$C$8)^(1/12)),0)</x:f>
      </x:c>
      <x:c r="H122" s="24">
        <x:f>IF($B122&lt;=Inputs!$C$6,MAX(0,($C122-$F122-$G122))*(1-(1-Inputs!$C$9)^(1/12)),0)</x:f>
      </x:c>
      <x:c r="I122" s="24">
        <x:f>IF($B122&gt;Inputs!$C$11,INDEX($H:$H,ROW()-Inputs!$C$11)* (1-Inputs!$C$10),0)</x:f>
      </x:c>
      <x:c r="J122" s="24">
        <x:f>$H122*Inputs!$C$10</x:f>
      </x:c>
      <x:c r="K122" s="24">
        <x:f>IF($B122&lt;=Inputs!$C$6+Inputs!$C$11,$C122*Inputs!$C$7/12,0)</x:f>
      </x:c>
      <x:c r="L122" s="24">
        <x:f>IF($B122&lt;=Inputs!$C$6+Inputs!$C$11,$E122+$F122+$G122+$I122-$K122,0)</x:f>
      </x:c>
      <x:c r="M122" s="24">
        <x:f>IF($B122&lt;=Inputs!$C$6,MAX(0,$C122-$F122-$G122-$H122),0)</x:f>
      </x:c>
    </x:row>
    <x:row r="123">
      <x:c r="B123" s="22" t="n">
        <x:v>120</x:v>
      </x:c>
      <x:c r="C123" s="23">
        <x:f>IF($B123&lt;=Inputs!$C$6+Inputs!$C$11,$M122,"")</x:f>
      </x:c>
      <x:c r="D123" s="24">
        <x:f>IF($B123&lt;=Inputs!$C$6,-PMT(Inputs!$C$5/12,Inputs!$C$6,Inputs!$C$4),0)</x:f>
      </x:c>
      <x:c r="E123" s="24">
        <x:f>IF($B123&lt;=Inputs!$C$6+Inputs!$C$11,$C123*Inputs!$C$5/12,0)</x:f>
      </x:c>
      <x:c r="F123" s="24">
        <x:f>IF($B123&lt;=Inputs!$C$6,MAX(0,$D123-$E123),0)</x:f>
      </x:c>
      <x:c r="G123" s="24">
        <x:f>IF($B123&lt;=Inputs!$C$6,MAX(0,($C123-$F123))*(1-(1-Inputs!$C$8)^(1/12)),0)</x:f>
      </x:c>
      <x:c r="H123" s="24">
        <x:f>IF($B123&lt;=Inputs!$C$6,MAX(0,($C123-$F123-$G123))*(1-(1-Inputs!$C$9)^(1/12)),0)</x:f>
      </x:c>
      <x:c r="I123" s="24">
        <x:f>IF($B123&gt;Inputs!$C$11,INDEX($H:$H,ROW()-Inputs!$C$11)* (1-Inputs!$C$10),0)</x:f>
      </x:c>
      <x:c r="J123" s="24">
        <x:f>$H123*Inputs!$C$10</x:f>
      </x:c>
      <x:c r="K123" s="24">
        <x:f>IF($B123&lt;=Inputs!$C$6+Inputs!$C$11,$C123*Inputs!$C$7/12,0)</x:f>
      </x:c>
      <x:c r="L123" s="24">
        <x:f>IF($B123&lt;=Inputs!$C$6+Inputs!$C$11,$E123+$F123+$G123+$I123-$K123,0)</x:f>
      </x:c>
      <x:c r="M123" s="24">
        <x:f>IF($B123&lt;=Inputs!$C$6,MAX(0,$C123-$F123-$G123-$H123),0)</x:f>
      </x:c>
    </x:row>
    <x:row r="124">
      <x:c r="B124" s="22" t="n">
        <x:v>121</x:v>
      </x:c>
      <x:c r="C124" s="23">
        <x:f>IF($B124&lt;=Inputs!$C$6+Inputs!$C$11,$M123,"")</x:f>
      </x:c>
      <x:c r="D124" s="24">
        <x:f>IF($B124&lt;=Inputs!$C$6,-PMT(Inputs!$C$5/12,Inputs!$C$6,Inputs!$C$4),0)</x:f>
      </x:c>
      <x:c r="E124" s="24">
        <x:f>IF($B124&lt;=Inputs!$C$6+Inputs!$C$11,$C124*Inputs!$C$5/12,0)</x:f>
      </x:c>
      <x:c r="F124" s="24">
        <x:f>IF($B124&lt;=Inputs!$C$6,MAX(0,$D124-$E124),0)</x:f>
      </x:c>
      <x:c r="G124" s="24">
        <x:f>IF($B124&lt;=Inputs!$C$6,MAX(0,($C124-$F124))*(1-(1-Inputs!$C$8)^(1/12)),0)</x:f>
      </x:c>
      <x:c r="H124" s="24">
        <x:f>IF($B124&lt;=Inputs!$C$6,MAX(0,($C124-$F124-$G124))*(1-(1-Inputs!$C$9)^(1/12)),0)</x:f>
      </x:c>
      <x:c r="I124" s="24">
        <x:f>IF($B124&gt;Inputs!$C$11,INDEX($H:$H,ROW()-Inputs!$C$11)* (1-Inputs!$C$10),0)</x:f>
      </x:c>
      <x:c r="J124" s="24">
        <x:f>$H124*Inputs!$C$10</x:f>
      </x:c>
      <x:c r="K124" s="24">
        <x:f>IF($B124&lt;=Inputs!$C$6+Inputs!$C$11,$C124*Inputs!$C$7/12,0)</x:f>
      </x:c>
      <x:c r="L124" s="24">
        <x:f>IF($B124&lt;=Inputs!$C$6+Inputs!$C$11,$E124+$F124+$G124+$I124-$K124,0)</x:f>
      </x:c>
      <x:c r="M124" s="24">
        <x:f>IF($B124&lt;=Inputs!$C$6,MAX(0,$C124-$F124-$G124-$H124),0)</x:f>
      </x:c>
    </x:row>
    <x:row r="125">
      <x:c r="B125" s="22" t="n">
        <x:v>122</x:v>
      </x:c>
      <x:c r="C125" s="23">
        <x:f>IF($B125&lt;=Inputs!$C$6+Inputs!$C$11,$M124,"")</x:f>
      </x:c>
      <x:c r="D125" s="24">
        <x:f>IF($B125&lt;=Inputs!$C$6,-PMT(Inputs!$C$5/12,Inputs!$C$6,Inputs!$C$4),0)</x:f>
      </x:c>
      <x:c r="E125" s="24">
        <x:f>IF($B125&lt;=Inputs!$C$6+Inputs!$C$11,$C125*Inputs!$C$5/12,0)</x:f>
      </x:c>
      <x:c r="F125" s="24">
        <x:f>IF($B125&lt;=Inputs!$C$6,MAX(0,$D125-$E125),0)</x:f>
      </x:c>
      <x:c r="G125" s="24">
        <x:f>IF($B125&lt;=Inputs!$C$6,MAX(0,($C125-$F125))*(1-(1-Inputs!$C$8)^(1/12)),0)</x:f>
      </x:c>
      <x:c r="H125" s="24">
        <x:f>IF($B125&lt;=Inputs!$C$6,MAX(0,($C125-$F125-$G125))*(1-(1-Inputs!$C$9)^(1/12)),0)</x:f>
      </x:c>
      <x:c r="I125" s="24">
        <x:f>IF($B125&gt;Inputs!$C$11,INDEX($H:$H,ROW()-Inputs!$C$11)* (1-Inputs!$C$10),0)</x:f>
      </x:c>
      <x:c r="J125" s="24">
        <x:f>$H125*Inputs!$C$10</x:f>
      </x:c>
      <x:c r="K125" s="24">
        <x:f>IF($B125&lt;=Inputs!$C$6+Inputs!$C$11,$C125*Inputs!$C$7/12,0)</x:f>
      </x:c>
      <x:c r="L125" s="24">
        <x:f>IF($B125&lt;=Inputs!$C$6+Inputs!$C$11,$E125+$F125+$G125+$I125-$K125,0)</x:f>
      </x:c>
      <x:c r="M125" s="24">
        <x:f>IF($B125&lt;=Inputs!$C$6,MAX(0,$C125-$F125-$G125-$H125),0)</x:f>
      </x:c>
    </x:row>
    <x:row r="126">
      <x:c r="B126" s="22" t="n">
        <x:v>123</x:v>
      </x:c>
      <x:c r="C126" s="23">
        <x:f>IF($B126&lt;=Inputs!$C$6+Inputs!$C$11,$M125,"")</x:f>
      </x:c>
      <x:c r="D126" s="24">
        <x:f>IF($B126&lt;=Inputs!$C$6,-PMT(Inputs!$C$5/12,Inputs!$C$6,Inputs!$C$4),0)</x:f>
      </x:c>
      <x:c r="E126" s="24">
        <x:f>IF($B126&lt;=Inputs!$C$6+Inputs!$C$11,$C126*Inputs!$C$5/12,0)</x:f>
      </x:c>
      <x:c r="F126" s="24">
        <x:f>IF($B126&lt;=Inputs!$C$6,MAX(0,$D126-$E126),0)</x:f>
      </x:c>
      <x:c r="G126" s="24">
        <x:f>IF($B126&lt;=Inputs!$C$6,MAX(0,($C126-$F126))*(1-(1-Inputs!$C$8)^(1/12)),0)</x:f>
      </x:c>
      <x:c r="H126" s="24">
        <x:f>IF($B126&lt;=Inputs!$C$6,MAX(0,($C126-$F126-$G126))*(1-(1-Inputs!$C$9)^(1/12)),0)</x:f>
      </x:c>
      <x:c r="I126" s="24">
        <x:f>IF($B126&gt;Inputs!$C$11,INDEX($H:$H,ROW()-Inputs!$C$11)* (1-Inputs!$C$10),0)</x:f>
      </x:c>
      <x:c r="J126" s="24">
        <x:f>$H126*Inputs!$C$10</x:f>
      </x:c>
      <x:c r="K126" s="24">
        <x:f>IF($B126&lt;=Inputs!$C$6+Inputs!$C$11,$C126*Inputs!$C$7/12,0)</x:f>
      </x:c>
      <x:c r="L126" s="24">
        <x:f>IF($B126&lt;=Inputs!$C$6+Inputs!$C$11,$E126+$F126+$G126+$I126-$K126,0)</x:f>
      </x:c>
      <x:c r="M126" s="24">
        <x:f>IF($B126&lt;=Inputs!$C$6,MAX(0,$C126-$F126-$G126-$H126),0)</x:f>
      </x:c>
    </x:row>
    <x:row r="127">
      <x:c r="B127" s="22" t="n">
        <x:v>124</x:v>
      </x:c>
      <x:c r="C127" s="23">
        <x:f>IF($B127&lt;=Inputs!$C$6+Inputs!$C$11,$M126,"")</x:f>
      </x:c>
      <x:c r="D127" s="24">
        <x:f>IF($B127&lt;=Inputs!$C$6,-PMT(Inputs!$C$5/12,Inputs!$C$6,Inputs!$C$4),0)</x:f>
      </x:c>
      <x:c r="E127" s="24">
        <x:f>IF($B127&lt;=Inputs!$C$6+Inputs!$C$11,$C127*Inputs!$C$5/12,0)</x:f>
      </x:c>
      <x:c r="F127" s="24">
        <x:f>IF($B127&lt;=Inputs!$C$6,MAX(0,$D127-$E127),0)</x:f>
      </x:c>
      <x:c r="G127" s="24">
        <x:f>IF($B127&lt;=Inputs!$C$6,MAX(0,($C127-$F127))*(1-(1-Inputs!$C$8)^(1/12)),0)</x:f>
      </x:c>
      <x:c r="H127" s="24">
        <x:f>IF($B127&lt;=Inputs!$C$6,MAX(0,($C127-$F127-$G127))*(1-(1-Inputs!$C$9)^(1/12)),0)</x:f>
      </x:c>
      <x:c r="I127" s="24">
        <x:f>IF($B127&gt;Inputs!$C$11,INDEX($H:$H,ROW()-Inputs!$C$11)* (1-Inputs!$C$10),0)</x:f>
      </x:c>
      <x:c r="J127" s="24">
        <x:f>$H127*Inputs!$C$10</x:f>
      </x:c>
      <x:c r="K127" s="24">
        <x:f>IF($B127&lt;=Inputs!$C$6+Inputs!$C$11,$C127*Inputs!$C$7/12,0)</x:f>
      </x:c>
      <x:c r="L127" s="24">
        <x:f>IF($B127&lt;=Inputs!$C$6+Inputs!$C$11,$E127+$F127+$G127+$I127-$K127,0)</x:f>
      </x:c>
      <x:c r="M127" s="24">
        <x:f>IF($B127&lt;=Inputs!$C$6,MAX(0,$C127-$F127-$G127-$H127),0)</x:f>
      </x:c>
    </x:row>
    <x:row r="128">
      <x:c r="B128" s="22" t="n">
        <x:v>125</x:v>
      </x:c>
      <x:c r="C128" s="23">
        <x:f>IF($B128&lt;=Inputs!$C$6+Inputs!$C$11,$M127,"")</x:f>
      </x:c>
      <x:c r="D128" s="24">
        <x:f>IF($B128&lt;=Inputs!$C$6,-PMT(Inputs!$C$5/12,Inputs!$C$6,Inputs!$C$4),0)</x:f>
      </x:c>
      <x:c r="E128" s="24">
        <x:f>IF($B128&lt;=Inputs!$C$6+Inputs!$C$11,$C128*Inputs!$C$5/12,0)</x:f>
      </x:c>
      <x:c r="F128" s="24">
        <x:f>IF($B128&lt;=Inputs!$C$6,MAX(0,$D128-$E128),0)</x:f>
      </x:c>
      <x:c r="G128" s="24">
        <x:f>IF($B128&lt;=Inputs!$C$6,MAX(0,($C128-$F128))*(1-(1-Inputs!$C$8)^(1/12)),0)</x:f>
      </x:c>
      <x:c r="H128" s="24">
        <x:f>IF($B128&lt;=Inputs!$C$6,MAX(0,($C128-$F128-$G128))*(1-(1-Inputs!$C$9)^(1/12)),0)</x:f>
      </x:c>
      <x:c r="I128" s="24">
        <x:f>IF($B128&gt;Inputs!$C$11,INDEX($H:$H,ROW()-Inputs!$C$11)* (1-Inputs!$C$10),0)</x:f>
      </x:c>
      <x:c r="J128" s="24">
        <x:f>$H128*Inputs!$C$10</x:f>
      </x:c>
      <x:c r="K128" s="24">
        <x:f>IF($B128&lt;=Inputs!$C$6+Inputs!$C$11,$C128*Inputs!$C$7/12,0)</x:f>
      </x:c>
      <x:c r="L128" s="24">
        <x:f>IF($B128&lt;=Inputs!$C$6+Inputs!$C$11,$E128+$F128+$G128+$I128-$K128,0)</x:f>
      </x:c>
      <x:c r="M128" s="24">
        <x:f>IF($B128&lt;=Inputs!$C$6,MAX(0,$C128-$F128-$G128-$H128),0)</x:f>
      </x:c>
    </x:row>
    <x:row r="129">
      <x:c r="B129" s="22" t="n">
        <x:v>126</x:v>
      </x:c>
      <x:c r="C129" s="23">
        <x:f>IF($B129&lt;=Inputs!$C$6+Inputs!$C$11,$M128,"")</x:f>
      </x:c>
      <x:c r="D129" s="24">
        <x:f>IF($B129&lt;=Inputs!$C$6,-PMT(Inputs!$C$5/12,Inputs!$C$6,Inputs!$C$4),0)</x:f>
      </x:c>
      <x:c r="E129" s="24">
        <x:f>IF($B129&lt;=Inputs!$C$6+Inputs!$C$11,$C129*Inputs!$C$5/12,0)</x:f>
      </x:c>
      <x:c r="F129" s="24">
        <x:f>IF($B129&lt;=Inputs!$C$6,MAX(0,$D129-$E129),0)</x:f>
      </x:c>
      <x:c r="G129" s="24">
        <x:f>IF($B129&lt;=Inputs!$C$6,MAX(0,($C129-$F129))*(1-(1-Inputs!$C$8)^(1/12)),0)</x:f>
      </x:c>
      <x:c r="H129" s="24">
        <x:f>IF($B129&lt;=Inputs!$C$6,MAX(0,($C129-$F129-$G129))*(1-(1-Inputs!$C$9)^(1/12)),0)</x:f>
      </x:c>
      <x:c r="I129" s="24">
        <x:f>IF($B129&gt;Inputs!$C$11,INDEX($H:$H,ROW()-Inputs!$C$11)* (1-Inputs!$C$10),0)</x:f>
      </x:c>
      <x:c r="J129" s="24">
        <x:f>$H129*Inputs!$C$10</x:f>
      </x:c>
      <x:c r="K129" s="24">
        <x:f>IF($B129&lt;=Inputs!$C$6+Inputs!$C$11,$C129*Inputs!$C$7/12,0)</x:f>
      </x:c>
      <x:c r="L129" s="24">
        <x:f>IF($B129&lt;=Inputs!$C$6+Inputs!$C$11,$E129+$F129+$G129+$I129-$K129,0)</x:f>
      </x:c>
      <x:c r="M129" s="24">
        <x:f>IF($B129&lt;=Inputs!$C$6,MAX(0,$C129-$F129-$G129-$H129),0)</x:f>
      </x:c>
    </x:row>
    <x:row r="130">
      <x:c r="B130" s="22" t="n">
        <x:v>127</x:v>
      </x:c>
      <x:c r="C130" s="23">
        <x:f>IF($B130&lt;=Inputs!$C$6+Inputs!$C$11,$M129,"")</x:f>
      </x:c>
      <x:c r="D130" s="24">
        <x:f>IF($B130&lt;=Inputs!$C$6,-PMT(Inputs!$C$5/12,Inputs!$C$6,Inputs!$C$4),0)</x:f>
      </x:c>
      <x:c r="E130" s="24">
        <x:f>IF($B130&lt;=Inputs!$C$6+Inputs!$C$11,$C130*Inputs!$C$5/12,0)</x:f>
      </x:c>
      <x:c r="F130" s="24">
        <x:f>IF($B130&lt;=Inputs!$C$6,MAX(0,$D130-$E130),0)</x:f>
      </x:c>
      <x:c r="G130" s="24">
        <x:f>IF($B130&lt;=Inputs!$C$6,MAX(0,($C130-$F130))*(1-(1-Inputs!$C$8)^(1/12)),0)</x:f>
      </x:c>
      <x:c r="H130" s="24">
        <x:f>IF($B130&lt;=Inputs!$C$6,MAX(0,($C130-$F130-$G130))*(1-(1-Inputs!$C$9)^(1/12)),0)</x:f>
      </x:c>
      <x:c r="I130" s="24">
        <x:f>IF($B130&gt;Inputs!$C$11,INDEX($H:$H,ROW()-Inputs!$C$11)* (1-Inputs!$C$10),0)</x:f>
      </x:c>
      <x:c r="J130" s="24">
        <x:f>$H130*Inputs!$C$10</x:f>
      </x:c>
      <x:c r="K130" s="24">
        <x:f>IF($B130&lt;=Inputs!$C$6+Inputs!$C$11,$C130*Inputs!$C$7/12,0)</x:f>
      </x:c>
      <x:c r="L130" s="24">
        <x:f>IF($B130&lt;=Inputs!$C$6+Inputs!$C$11,$E130+$F130+$G130+$I130-$K130,0)</x:f>
      </x:c>
      <x:c r="M130" s="24">
        <x:f>IF($B130&lt;=Inputs!$C$6,MAX(0,$C130-$F130-$G130-$H130),0)</x:f>
      </x:c>
    </x:row>
    <x:row r="131">
      <x:c r="B131" s="22" t="n">
        <x:v>128</x:v>
      </x:c>
      <x:c r="C131" s="23">
        <x:f>IF($B131&lt;=Inputs!$C$6+Inputs!$C$11,$M130,"")</x:f>
      </x:c>
      <x:c r="D131" s="24">
        <x:f>IF($B131&lt;=Inputs!$C$6,-PMT(Inputs!$C$5/12,Inputs!$C$6,Inputs!$C$4),0)</x:f>
      </x:c>
      <x:c r="E131" s="24">
        <x:f>IF($B131&lt;=Inputs!$C$6+Inputs!$C$11,$C131*Inputs!$C$5/12,0)</x:f>
      </x:c>
      <x:c r="F131" s="24">
        <x:f>IF($B131&lt;=Inputs!$C$6,MAX(0,$D131-$E131),0)</x:f>
      </x:c>
      <x:c r="G131" s="24">
        <x:f>IF($B131&lt;=Inputs!$C$6,MAX(0,($C131-$F131))*(1-(1-Inputs!$C$8)^(1/12)),0)</x:f>
      </x:c>
      <x:c r="H131" s="24">
        <x:f>IF($B131&lt;=Inputs!$C$6,MAX(0,($C131-$F131-$G131))*(1-(1-Inputs!$C$9)^(1/12)),0)</x:f>
      </x:c>
      <x:c r="I131" s="24">
        <x:f>IF($B131&gt;Inputs!$C$11,INDEX($H:$H,ROW()-Inputs!$C$11)* (1-Inputs!$C$10),0)</x:f>
      </x:c>
      <x:c r="J131" s="24">
        <x:f>$H131*Inputs!$C$10</x:f>
      </x:c>
      <x:c r="K131" s="24">
        <x:f>IF($B131&lt;=Inputs!$C$6+Inputs!$C$11,$C131*Inputs!$C$7/12,0)</x:f>
      </x:c>
      <x:c r="L131" s="24">
        <x:f>IF($B131&lt;=Inputs!$C$6+Inputs!$C$11,$E131+$F131+$G131+$I131-$K131,0)</x:f>
      </x:c>
      <x:c r="M131" s="24">
        <x:f>IF($B131&lt;=Inputs!$C$6,MAX(0,$C131-$F131-$G131-$H131),0)</x:f>
      </x:c>
    </x:row>
    <x:row r="132">
      <x:c r="B132" s="22" t="n">
        <x:v>129</x:v>
      </x:c>
      <x:c r="C132" s="23">
        <x:f>IF($B132&lt;=Inputs!$C$6+Inputs!$C$11,$M131,"")</x:f>
      </x:c>
      <x:c r="D132" s="24">
        <x:f>IF($B132&lt;=Inputs!$C$6,-PMT(Inputs!$C$5/12,Inputs!$C$6,Inputs!$C$4),0)</x:f>
      </x:c>
      <x:c r="E132" s="24">
        <x:f>IF($B132&lt;=Inputs!$C$6+Inputs!$C$11,$C132*Inputs!$C$5/12,0)</x:f>
      </x:c>
      <x:c r="F132" s="24">
        <x:f>IF($B132&lt;=Inputs!$C$6,MAX(0,$D132-$E132),0)</x:f>
      </x:c>
      <x:c r="G132" s="24">
        <x:f>IF($B132&lt;=Inputs!$C$6,MAX(0,($C132-$F132))*(1-(1-Inputs!$C$8)^(1/12)),0)</x:f>
      </x:c>
      <x:c r="H132" s="24">
        <x:f>IF($B132&lt;=Inputs!$C$6,MAX(0,($C132-$F132-$G132))*(1-(1-Inputs!$C$9)^(1/12)),0)</x:f>
      </x:c>
      <x:c r="I132" s="24">
        <x:f>IF($B132&gt;Inputs!$C$11,INDEX($H:$H,ROW()-Inputs!$C$11)* (1-Inputs!$C$10),0)</x:f>
      </x:c>
      <x:c r="J132" s="24">
        <x:f>$H132*Inputs!$C$10</x:f>
      </x:c>
      <x:c r="K132" s="24">
        <x:f>IF($B132&lt;=Inputs!$C$6+Inputs!$C$11,$C132*Inputs!$C$7/12,0)</x:f>
      </x:c>
      <x:c r="L132" s="24">
        <x:f>IF($B132&lt;=Inputs!$C$6+Inputs!$C$11,$E132+$F132+$G132+$I132-$K132,0)</x:f>
      </x:c>
      <x:c r="M132" s="24">
        <x:f>IF($B132&lt;=Inputs!$C$6,MAX(0,$C132-$F132-$G132-$H132),0)</x:f>
      </x:c>
    </x:row>
    <x:row r="133">
      <x:c r="B133" s="22" t="n">
        <x:v>130</x:v>
      </x:c>
      <x:c r="C133" s="23">
        <x:f>IF($B133&lt;=Inputs!$C$6+Inputs!$C$11,$M132,"")</x:f>
      </x:c>
      <x:c r="D133" s="24">
        <x:f>IF($B133&lt;=Inputs!$C$6,-PMT(Inputs!$C$5/12,Inputs!$C$6,Inputs!$C$4),0)</x:f>
      </x:c>
      <x:c r="E133" s="24">
        <x:f>IF($B133&lt;=Inputs!$C$6+Inputs!$C$11,$C133*Inputs!$C$5/12,0)</x:f>
      </x:c>
      <x:c r="F133" s="24">
        <x:f>IF($B133&lt;=Inputs!$C$6,MAX(0,$D133-$E133),0)</x:f>
      </x:c>
      <x:c r="G133" s="24">
        <x:f>IF($B133&lt;=Inputs!$C$6,MAX(0,($C133-$F133))*(1-(1-Inputs!$C$8)^(1/12)),0)</x:f>
      </x:c>
      <x:c r="H133" s="24">
        <x:f>IF($B133&lt;=Inputs!$C$6,MAX(0,($C133-$F133-$G133))*(1-(1-Inputs!$C$9)^(1/12)),0)</x:f>
      </x:c>
      <x:c r="I133" s="24">
        <x:f>IF($B133&gt;Inputs!$C$11,INDEX($H:$H,ROW()-Inputs!$C$11)* (1-Inputs!$C$10),0)</x:f>
      </x:c>
      <x:c r="J133" s="24">
        <x:f>$H133*Inputs!$C$10</x:f>
      </x:c>
      <x:c r="K133" s="24">
        <x:f>IF($B133&lt;=Inputs!$C$6+Inputs!$C$11,$C133*Inputs!$C$7/12,0)</x:f>
      </x:c>
      <x:c r="L133" s="24">
        <x:f>IF($B133&lt;=Inputs!$C$6+Inputs!$C$11,$E133+$F133+$G133+$I133-$K133,0)</x:f>
      </x:c>
      <x:c r="M133" s="24">
        <x:f>IF($B133&lt;=Inputs!$C$6,MAX(0,$C133-$F133-$G133-$H133),0)</x:f>
      </x:c>
    </x:row>
    <x:row r="134">
      <x:c r="B134" s="22" t="n">
        <x:v>131</x:v>
      </x:c>
      <x:c r="C134" s="23">
        <x:f>IF($B134&lt;=Inputs!$C$6+Inputs!$C$11,$M133,"")</x:f>
      </x:c>
      <x:c r="D134" s="24">
        <x:f>IF($B134&lt;=Inputs!$C$6,-PMT(Inputs!$C$5/12,Inputs!$C$6,Inputs!$C$4),0)</x:f>
      </x:c>
      <x:c r="E134" s="24">
        <x:f>IF($B134&lt;=Inputs!$C$6+Inputs!$C$11,$C134*Inputs!$C$5/12,0)</x:f>
      </x:c>
      <x:c r="F134" s="24">
        <x:f>IF($B134&lt;=Inputs!$C$6,MAX(0,$D134-$E134),0)</x:f>
      </x:c>
      <x:c r="G134" s="24">
        <x:f>IF($B134&lt;=Inputs!$C$6,MAX(0,($C134-$F134))*(1-(1-Inputs!$C$8)^(1/12)),0)</x:f>
      </x:c>
      <x:c r="H134" s="24">
        <x:f>IF($B134&lt;=Inputs!$C$6,MAX(0,($C134-$F134-$G134))*(1-(1-Inputs!$C$9)^(1/12)),0)</x:f>
      </x:c>
      <x:c r="I134" s="24">
        <x:f>IF($B134&gt;Inputs!$C$11,INDEX($H:$H,ROW()-Inputs!$C$11)* (1-Inputs!$C$10),0)</x:f>
      </x:c>
      <x:c r="J134" s="24">
        <x:f>$H134*Inputs!$C$10</x:f>
      </x:c>
      <x:c r="K134" s="24">
        <x:f>IF($B134&lt;=Inputs!$C$6+Inputs!$C$11,$C134*Inputs!$C$7/12,0)</x:f>
      </x:c>
      <x:c r="L134" s="24">
        <x:f>IF($B134&lt;=Inputs!$C$6+Inputs!$C$11,$E134+$F134+$G134+$I134-$K134,0)</x:f>
      </x:c>
      <x:c r="M134" s="24">
        <x:f>IF($B134&lt;=Inputs!$C$6,MAX(0,$C134-$F134-$G134-$H134),0)</x:f>
      </x:c>
    </x:row>
    <x:row r="135">
      <x:c r="B135" s="22" t="n">
        <x:v>132</x:v>
      </x:c>
      <x:c r="C135" s="23">
        <x:f>IF($B135&lt;=Inputs!$C$6+Inputs!$C$11,$M134,"")</x:f>
      </x:c>
      <x:c r="D135" s="24">
        <x:f>IF($B135&lt;=Inputs!$C$6,-PMT(Inputs!$C$5/12,Inputs!$C$6,Inputs!$C$4),0)</x:f>
      </x:c>
      <x:c r="E135" s="24">
        <x:f>IF($B135&lt;=Inputs!$C$6+Inputs!$C$11,$C135*Inputs!$C$5/12,0)</x:f>
      </x:c>
      <x:c r="F135" s="24">
        <x:f>IF($B135&lt;=Inputs!$C$6,MAX(0,$D135-$E135),0)</x:f>
      </x:c>
      <x:c r="G135" s="24">
        <x:f>IF($B135&lt;=Inputs!$C$6,MAX(0,($C135-$F135))*(1-(1-Inputs!$C$8)^(1/12)),0)</x:f>
      </x:c>
      <x:c r="H135" s="24">
        <x:f>IF($B135&lt;=Inputs!$C$6,MAX(0,($C135-$F135-$G135))*(1-(1-Inputs!$C$9)^(1/12)),0)</x:f>
      </x:c>
      <x:c r="I135" s="24">
        <x:f>IF($B135&gt;Inputs!$C$11,INDEX($H:$H,ROW()-Inputs!$C$11)* (1-Inputs!$C$10),0)</x:f>
      </x:c>
      <x:c r="J135" s="24">
        <x:f>$H135*Inputs!$C$10</x:f>
      </x:c>
      <x:c r="K135" s="24">
        <x:f>IF($B135&lt;=Inputs!$C$6+Inputs!$C$11,$C135*Inputs!$C$7/12,0)</x:f>
      </x:c>
      <x:c r="L135" s="24">
        <x:f>IF($B135&lt;=Inputs!$C$6+Inputs!$C$11,$E135+$F135+$G135+$I135-$K135,0)</x:f>
      </x:c>
      <x:c r="M135" s="24">
        <x:f>IF($B135&lt;=Inputs!$C$6,MAX(0,$C135-$F135-$G135-$H135),0)</x:f>
      </x:c>
    </x:row>
    <x:row r="136">
      <x:c r="B136" s="22" t="n">
        <x:v>133</x:v>
      </x:c>
      <x:c r="C136" s="23">
        <x:f>IF($B136&lt;=Inputs!$C$6+Inputs!$C$11,$M135,"")</x:f>
      </x:c>
      <x:c r="D136" s="24">
        <x:f>IF($B136&lt;=Inputs!$C$6,-PMT(Inputs!$C$5/12,Inputs!$C$6,Inputs!$C$4),0)</x:f>
      </x:c>
      <x:c r="E136" s="24">
        <x:f>IF($B136&lt;=Inputs!$C$6+Inputs!$C$11,$C136*Inputs!$C$5/12,0)</x:f>
      </x:c>
      <x:c r="F136" s="24">
        <x:f>IF($B136&lt;=Inputs!$C$6,MAX(0,$D136-$E136),0)</x:f>
      </x:c>
      <x:c r="G136" s="24">
        <x:f>IF($B136&lt;=Inputs!$C$6,MAX(0,($C136-$F136))*(1-(1-Inputs!$C$8)^(1/12)),0)</x:f>
      </x:c>
      <x:c r="H136" s="24">
        <x:f>IF($B136&lt;=Inputs!$C$6,MAX(0,($C136-$F136-$G136))*(1-(1-Inputs!$C$9)^(1/12)),0)</x:f>
      </x:c>
      <x:c r="I136" s="24">
        <x:f>IF($B136&gt;Inputs!$C$11,INDEX($H:$H,ROW()-Inputs!$C$11)* (1-Inputs!$C$10),0)</x:f>
      </x:c>
      <x:c r="J136" s="24">
        <x:f>$H136*Inputs!$C$10</x:f>
      </x:c>
      <x:c r="K136" s="24">
        <x:f>IF($B136&lt;=Inputs!$C$6+Inputs!$C$11,$C136*Inputs!$C$7/12,0)</x:f>
      </x:c>
      <x:c r="L136" s="24">
        <x:f>IF($B136&lt;=Inputs!$C$6+Inputs!$C$11,$E136+$F136+$G136+$I136-$K136,0)</x:f>
      </x:c>
      <x:c r="M136" s="24">
        <x:f>IF($B136&lt;=Inputs!$C$6,MAX(0,$C136-$F136-$G136-$H136),0)</x:f>
      </x:c>
    </x:row>
    <x:row r="137">
      <x:c r="B137" s="22" t="n">
        <x:v>134</x:v>
      </x:c>
      <x:c r="C137" s="23">
        <x:f>IF($B137&lt;=Inputs!$C$6+Inputs!$C$11,$M136,"")</x:f>
      </x:c>
      <x:c r="D137" s="24">
        <x:f>IF($B137&lt;=Inputs!$C$6,-PMT(Inputs!$C$5/12,Inputs!$C$6,Inputs!$C$4),0)</x:f>
      </x:c>
      <x:c r="E137" s="24">
        <x:f>IF($B137&lt;=Inputs!$C$6+Inputs!$C$11,$C137*Inputs!$C$5/12,0)</x:f>
      </x:c>
      <x:c r="F137" s="24">
        <x:f>IF($B137&lt;=Inputs!$C$6,MAX(0,$D137-$E137),0)</x:f>
      </x:c>
      <x:c r="G137" s="24">
        <x:f>IF($B137&lt;=Inputs!$C$6,MAX(0,($C137-$F137))*(1-(1-Inputs!$C$8)^(1/12)),0)</x:f>
      </x:c>
      <x:c r="H137" s="24">
        <x:f>IF($B137&lt;=Inputs!$C$6,MAX(0,($C137-$F137-$G137))*(1-(1-Inputs!$C$9)^(1/12)),0)</x:f>
      </x:c>
      <x:c r="I137" s="24">
        <x:f>IF($B137&gt;Inputs!$C$11,INDEX($H:$H,ROW()-Inputs!$C$11)* (1-Inputs!$C$10),0)</x:f>
      </x:c>
      <x:c r="J137" s="24">
        <x:f>$H137*Inputs!$C$10</x:f>
      </x:c>
      <x:c r="K137" s="24">
        <x:f>IF($B137&lt;=Inputs!$C$6+Inputs!$C$11,$C137*Inputs!$C$7/12,0)</x:f>
      </x:c>
      <x:c r="L137" s="24">
        <x:f>IF($B137&lt;=Inputs!$C$6+Inputs!$C$11,$E137+$F137+$G137+$I137-$K137,0)</x:f>
      </x:c>
      <x:c r="M137" s="24">
        <x:f>IF($B137&lt;=Inputs!$C$6,MAX(0,$C137-$F137-$G137-$H137),0)</x:f>
      </x:c>
    </x:row>
    <x:row r="138">
      <x:c r="B138" s="22" t="n">
        <x:v>135</x:v>
      </x:c>
      <x:c r="C138" s="23">
        <x:f>IF($B138&lt;=Inputs!$C$6+Inputs!$C$11,$M137,"")</x:f>
      </x:c>
      <x:c r="D138" s="24">
        <x:f>IF($B138&lt;=Inputs!$C$6,-PMT(Inputs!$C$5/12,Inputs!$C$6,Inputs!$C$4),0)</x:f>
      </x:c>
      <x:c r="E138" s="24">
        <x:f>IF($B138&lt;=Inputs!$C$6+Inputs!$C$11,$C138*Inputs!$C$5/12,0)</x:f>
      </x:c>
      <x:c r="F138" s="24">
        <x:f>IF($B138&lt;=Inputs!$C$6,MAX(0,$D138-$E138),0)</x:f>
      </x:c>
      <x:c r="G138" s="24">
        <x:f>IF($B138&lt;=Inputs!$C$6,MAX(0,($C138-$F138))*(1-(1-Inputs!$C$8)^(1/12)),0)</x:f>
      </x:c>
      <x:c r="H138" s="24">
        <x:f>IF($B138&lt;=Inputs!$C$6,MAX(0,($C138-$F138-$G138))*(1-(1-Inputs!$C$9)^(1/12)),0)</x:f>
      </x:c>
      <x:c r="I138" s="24">
        <x:f>IF($B138&gt;Inputs!$C$11,INDEX($H:$H,ROW()-Inputs!$C$11)* (1-Inputs!$C$10),0)</x:f>
      </x:c>
      <x:c r="J138" s="24">
        <x:f>$H138*Inputs!$C$10</x:f>
      </x:c>
      <x:c r="K138" s="24">
        <x:f>IF($B138&lt;=Inputs!$C$6+Inputs!$C$11,$C138*Inputs!$C$7/12,0)</x:f>
      </x:c>
      <x:c r="L138" s="24">
        <x:f>IF($B138&lt;=Inputs!$C$6+Inputs!$C$11,$E138+$F138+$G138+$I138-$K138,0)</x:f>
      </x:c>
      <x:c r="M138" s="24">
        <x:f>IF($B138&lt;=Inputs!$C$6,MAX(0,$C138-$F138-$G138-$H138),0)</x:f>
      </x:c>
    </x:row>
    <x:row r="139">
      <x:c r="B139" s="22" t="n">
        <x:v>136</x:v>
      </x:c>
      <x:c r="C139" s="23">
        <x:f>IF($B139&lt;=Inputs!$C$6+Inputs!$C$11,$M138,"")</x:f>
      </x:c>
      <x:c r="D139" s="24">
        <x:f>IF($B139&lt;=Inputs!$C$6,-PMT(Inputs!$C$5/12,Inputs!$C$6,Inputs!$C$4),0)</x:f>
      </x:c>
      <x:c r="E139" s="24">
        <x:f>IF($B139&lt;=Inputs!$C$6+Inputs!$C$11,$C139*Inputs!$C$5/12,0)</x:f>
      </x:c>
      <x:c r="F139" s="24">
        <x:f>IF($B139&lt;=Inputs!$C$6,MAX(0,$D139-$E139),0)</x:f>
      </x:c>
      <x:c r="G139" s="24">
        <x:f>IF($B139&lt;=Inputs!$C$6,MAX(0,($C139-$F139))*(1-(1-Inputs!$C$8)^(1/12)),0)</x:f>
      </x:c>
      <x:c r="H139" s="24">
        <x:f>IF($B139&lt;=Inputs!$C$6,MAX(0,($C139-$F139-$G139))*(1-(1-Inputs!$C$9)^(1/12)),0)</x:f>
      </x:c>
      <x:c r="I139" s="24">
        <x:f>IF($B139&gt;Inputs!$C$11,INDEX($H:$H,ROW()-Inputs!$C$11)* (1-Inputs!$C$10),0)</x:f>
      </x:c>
      <x:c r="J139" s="24">
        <x:f>$H139*Inputs!$C$10</x:f>
      </x:c>
      <x:c r="K139" s="24">
        <x:f>IF($B139&lt;=Inputs!$C$6+Inputs!$C$11,$C139*Inputs!$C$7/12,0)</x:f>
      </x:c>
      <x:c r="L139" s="24">
        <x:f>IF($B139&lt;=Inputs!$C$6+Inputs!$C$11,$E139+$F139+$G139+$I139-$K139,0)</x:f>
      </x:c>
      <x:c r="M139" s="24">
        <x:f>IF($B139&lt;=Inputs!$C$6,MAX(0,$C139-$F139-$G139-$H139),0)</x:f>
      </x:c>
    </x:row>
    <x:row r="140">
      <x:c r="B140" s="22" t="n">
        <x:v>137</x:v>
      </x:c>
      <x:c r="C140" s="23">
        <x:f>IF($B140&lt;=Inputs!$C$6+Inputs!$C$11,$M139,"")</x:f>
      </x:c>
      <x:c r="D140" s="24">
        <x:f>IF($B140&lt;=Inputs!$C$6,-PMT(Inputs!$C$5/12,Inputs!$C$6,Inputs!$C$4),0)</x:f>
      </x:c>
      <x:c r="E140" s="24">
        <x:f>IF($B140&lt;=Inputs!$C$6+Inputs!$C$11,$C140*Inputs!$C$5/12,0)</x:f>
      </x:c>
      <x:c r="F140" s="24">
        <x:f>IF($B140&lt;=Inputs!$C$6,MAX(0,$D140-$E140),0)</x:f>
      </x:c>
      <x:c r="G140" s="24">
        <x:f>IF($B140&lt;=Inputs!$C$6,MAX(0,($C140-$F140))*(1-(1-Inputs!$C$8)^(1/12)),0)</x:f>
      </x:c>
      <x:c r="H140" s="24">
        <x:f>IF($B140&lt;=Inputs!$C$6,MAX(0,($C140-$F140-$G140))*(1-(1-Inputs!$C$9)^(1/12)),0)</x:f>
      </x:c>
      <x:c r="I140" s="24">
        <x:f>IF($B140&gt;Inputs!$C$11,INDEX($H:$H,ROW()-Inputs!$C$11)* (1-Inputs!$C$10),0)</x:f>
      </x:c>
      <x:c r="J140" s="24">
        <x:f>$H140*Inputs!$C$10</x:f>
      </x:c>
      <x:c r="K140" s="24">
        <x:f>IF($B140&lt;=Inputs!$C$6+Inputs!$C$11,$C140*Inputs!$C$7/12,0)</x:f>
      </x:c>
      <x:c r="L140" s="24">
        <x:f>IF($B140&lt;=Inputs!$C$6+Inputs!$C$11,$E140+$F140+$G140+$I140-$K140,0)</x:f>
      </x:c>
      <x:c r="M140" s="24">
        <x:f>IF($B140&lt;=Inputs!$C$6,MAX(0,$C140-$F140-$G140-$H140),0)</x:f>
      </x:c>
    </x:row>
    <x:row r="141">
      <x:c r="B141" s="22" t="n">
        <x:v>138</x:v>
      </x:c>
      <x:c r="C141" s="23">
        <x:f>IF($B141&lt;=Inputs!$C$6+Inputs!$C$11,$M140,"")</x:f>
      </x:c>
      <x:c r="D141" s="24">
        <x:f>IF($B141&lt;=Inputs!$C$6,-PMT(Inputs!$C$5/12,Inputs!$C$6,Inputs!$C$4),0)</x:f>
      </x:c>
      <x:c r="E141" s="24">
        <x:f>IF($B141&lt;=Inputs!$C$6+Inputs!$C$11,$C141*Inputs!$C$5/12,0)</x:f>
      </x:c>
      <x:c r="F141" s="24">
        <x:f>IF($B141&lt;=Inputs!$C$6,MAX(0,$D141-$E141),0)</x:f>
      </x:c>
      <x:c r="G141" s="24">
        <x:f>IF($B141&lt;=Inputs!$C$6,MAX(0,($C141-$F141))*(1-(1-Inputs!$C$8)^(1/12)),0)</x:f>
      </x:c>
      <x:c r="H141" s="24">
        <x:f>IF($B141&lt;=Inputs!$C$6,MAX(0,($C141-$F141-$G141))*(1-(1-Inputs!$C$9)^(1/12)),0)</x:f>
      </x:c>
      <x:c r="I141" s="24">
        <x:f>IF($B141&gt;Inputs!$C$11,INDEX($H:$H,ROW()-Inputs!$C$11)* (1-Inputs!$C$10),0)</x:f>
      </x:c>
      <x:c r="J141" s="24">
        <x:f>$H141*Inputs!$C$10</x:f>
      </x:c>
      <x:c r="K141" s="24">
        <x:f>IF($B141&lt;=Inputs!$C$6+Inputs!$C$11,$C141*Inputs!$C$7/12,0)</x:f>
      </x:c>
      <x:c r="L141" s="24">
        <x:f>IF($B141&lt;=Inputs!$C$6+Inputs!$C$11,$E141+$F141+$G141+$I141-$K141,0)</x:f>
      </x:c>
      <x:c r="M141" s="24">
        <x:f>IF($B141&lt;=Inputs!$C$6,MAX(0,$C141-$F141-$G141-$H141),0)</x:f>
      </x:c>
    </x:row>
    <x:row r="142">
      <x:c r="B142" s="22" t="n">
        <x:v>139</x:v>
      </x:c>
      <x:c r="C142" s="23">
        <x:f>IF($B142&lt;=Inputs!$C$6+Inputs!$C$11,$M141,"")</x:f>
      </x:c>
      <x:c r="D142" s="24">
        <x:f>IF($B142&lt;=Inputs!$C$6,-PMT(Inputs!$C$5/12,Inputs!$C$6,Inputs!$C$4),0)</x:f>
      </x:c>
      <x:c r="E142" s="24">
        <x:f>IF($B142&lt;=Inputs!$C$6+Inputs!$C$11,$C142*Inputs!$C$5/12,0)</x:f>
      </x:c>
      <x:c r="F142" s="24">
        <x:f>IF($B142&lt;=Inputs!$C$6,MAX(0,$D142-$E142),0)</x:f>
      </x:c>
      <x:c r="G142" s="24">
        <x:f>IF($B142&lt;=Inputs!$C$6,MAX(0,($C142-$F142))*(1-(1-Inputs!$C$8)^(1/12)),0)</x:f>
      </x:c>
      <x:c r="H142" s="24">
        <x:f>IF($B142&lt;=Inputs!$C$6,MAX(0,($C142-$F142-$G142))*(1-(1-Inputs!$C$9)^(1/12)),0)</x:f>
      </x:c>
      <x:c r="I142" s="24">
        <x:f>IF($B142&gt;Inputs!$C$11,INDEX($H:$H,ROW()-Inputs!$C$11)* (1-Inputs!$C$10),0)</x:f>
      </x:c>
      <x:c r="J142" s="24">
        <x:f>$H142*Inputs!$C$10</x:f>
      </x:c>
      <x:c r="K142" s="24">
        <x:f>IF($B142&lt;=Inputs!$C$6+Inputs!$C$11,$C142*Inputs!$C$7/12,0)</x:f>
      </x:c>
      <x:c r="L142" s="24">
        <x:f>IF($B142&lt;=Inputs!$C$6+Inputs!$C$11,$E142+$F142+$G142+$I142-$K142,0)</x:f>
      </x:c>
      <x:c r="M142" s="24">
        <x:f>IF($B142&lt;=Inputs!$C$6,MAX(0,$C142-$F142-$G142-$H142),0)</x:f>
      </x:c>
    </x:row>
    <x:row r="143">
      <x:c r="B143" s="22" t="n">
        <x:v>140</x:v>
      </x:c>
      <x:c r="C143" s="23">
        <x:f>IF($B143&lt;=Inputs!$C$6+Inputs!$C$11,$M142,"")</x:f>
      </x:c>
      <x:c r="D143" s="24">
        <x:f>IF($B143&lt;=Inputs!$C$6,-PMT(Inputs!$C$5/12,Inputs!$C$6,Inputs!$C$4),0)</x:f>
      </x:c>
      <x:c r="E143" s="24">
        <x:f>IF($B143&lt;=Inputs!$C$6+Inputs!$C$11,$C143*Inputs!$C$5/12,0)</x:f>
      </x:c>
      <x:c r="F143" s="24">
        <x:f>IF($B143&lt;=Inputs!$C$6,MAX(0,$D143-$E143),0)</x:f>
      </x:c>
      <x:c r="G143" s="24">
        <x:f>IF($B143&lt;=Inputs!$C$6,MAX(0,($C143-$F143))*(1-(1-Inputs!$C$8)^(1/12)),0)</x:f>
      </x:c>
      <x:c r="H143" s="24">
        <x:f>IF($B143&lt;=Inputs!$C$6,MAX(0,($C143-$F143-$G143))*(1-(1-Inputs!$C$9)^(1/12)),0)</x:f>
      </x:c>
      <x:c r="I143" s="24">
        <x:f>IF($B143&gt;Inputs!$C$11,INDEX($H:$H,ROW()-Inputs!$C$11)* (1-Inputs!$C$10),0)</x:f>
      </x:c>
      <x:c r="J143" s="24">
        <x:f>$H143*Inputs!$C$10</x:f>
      </x:c>
      <x:c r="K143" s="24">
        <x:f>IF($B143&lt;=Inputs!$C$6+Inputs!$C$11,$C143*Inputs!$C$7/12,0)</x:f>
      </x:c>
      <x:c r="L143" s="24">
        <x:f>IF($B143&lt;=Inputs!$C$6+Inputs!$C$11,$E143+$F143+$G143+$I143-$K143,0)</x:f>
      </x:c>
      <x:c r="M143" s="24">
        <x:f>IF($B143&lt;=Inputs!$C$6,MAX(0,$C143-$F143-$G143-$H143),0)</x:f>
      </x:c>
    </x:row>
    <x:row r="144">
      <x:c r="B144" s="22" t="n">
        <x:v>141</x:v>
      </x:c>
      <x:c r="C144" s="23">
        <x:f>IF($B144&lt;=Inputs!$C$6+Inputs!$C$11,$M143,"")</x:f>
      </x:c>
      <x:c r="D144" s="24">
        <x:f>IF($B144&lt;=Inputs!$C$6,-PMT(Inputs!$C$5/12,Inputs!$C$6,Inputs!$C$4),0)</x:f>
      </x:c>
      <x:c r="E144" s="24">
        <x:f>IF($B144&lt;=Inputs!$C$6+Inputs!$C$11,$C144*Inputs!$C$5/12,0)</x:f>
      </x:c>
      <x:c r="F144" s="24">
        <x:f>IF($B144&lt;=Inputs!$C$6,MAX(0,$D144-$E144),0)</x:f>
      </x:c>
      <x:c r="G144" s="24">
        <x:f>IF($B144&lt;=Inputs!$C$6,MAX(0,($C144-$F144))*(1-(1-Inputs!$C$8)^(1/12)),0)</x:f>
      </x:c>
      <x:c r="H144" s="24">
        <x:f>IF($B144&lt;=Inputs!$C$6,MAX(0,($C144-$F144-$G144))*(1-(1-Inputs!$C$9)^(1/12)),0)</x:f>
      </x:c>
      <x:c r="I144" s="24">
        <x:f>IF($B144&gt;Inputs!$C$11,INDEX($H:$H,ROW()-Inputs!$C$11)* (1-Inputs!$C$10),0)</x:f>
      </x:c>
      <x:c r="J144" s="24">
        <x:f>$H144*Inputs!$C$10</x:f>
      </x:c>
      <x:c r="K144" s="24">
        <x:f>IF($B144&lt;=Inputs!$C$6+Inputs!$C$11,$C144*Inputs!$C$7/12,0)</x:f>
      </x:c>
      <x:c r="L144" s="24">
        <x:f>IF($B144&lt;=Inputs!$C$6+Inputs!$C$11,$E144+$F144+$G144+$I144-$K144,0)</x:f>
      </x:c>
      <x:c r="M144" s="24">
        <x:f>IF($B144&lt;=Inputs!$C$6,MAX(0,$C144-$F144-$G144-$H144),0)</x:f>
      </x:c>
    </x:row>
    <x:row r="145">
      <x:c r="B145" s="22" t="n">
        <x:v>142</x:v>
      </x:c>
      <x:c r="C145" s="23">
        <x:f>IF($B145&lt;=Inputs!$C$6+Inputs!$C$11,$M144,"")</x:f>
      </x:c>
      <x:c r="D145" s="24">
        <x:f>IF($B145&lt;=Inputs!$C$6,-PMT(Inputs!$C$5/12,Inputs!$C$6,Inputs!$C$4),0)</x:f>
      </x:c>
      <x:c r="E145" s="24">
        <x:f>IF($B145&lt;=Inputs!$C$6+Inputs!$C$11,$C145*Inputs!$C$5/12,0)</x:f>
      </x:c>
      <x:c r="F145" s="24">
        <x:f>IF($B145&lt;=Inputs!$C$6,MAX(0,$D145-$E145),0)</x:f>
      </x:c>
      <x:c r="G145" s="24">
        <x:f>IF($B145&lt;=Inputs!$C$6,MAX(0,($C145-$F145))*(1-(1-Inputs!$C$8)^(1/12)),0)</x:f>
      </x:c>
      <x:c r="H145" s="24">
        <x:f>IF($B145&lt;=Inputs!$C$6,MAX(0,($C145-$F145-$G145))*(1-(1-Inputs!$C$9)^(1/12)),0)</x:f>
      </x:c>
      <x:c r="I145" s="24">
        <x:f>IF($B145&gt;Inputs!$C$11,INDEX($H:$H,ROW()-Inputs!$C$11)* (1-Inputs!$C$10),0)</x:f>
      </x:c>
      <x:c r="J145" s="24">
        <x:f>$H145*Inputs!$C$10</x:f>
      </x:c>
      <x:c r="K145" s="24">
        <x:f>IF($B145&lt;=Inputs!$C$6+Inputs!$C$11,$C145*Inputs!$C$7/12,0)</x:f>
      </x:c>
      <x:c r="L145" s="24">
        <x:f>IF($B145&lt;=Inputs!$C$6+Inputs!$C$11,$E145+$F145+$G145+$I145-$K145,0)</x:f>
      </x:c>
      <x:c r="M145" s="24">
        <x:f>IF($B145&lt;=Inputs!$C$6,MAX(0,$C145-$F145-$G145-$H145),0)</x:f>
      </x:c>
    </x:row>
    <x:row r="146">
      <x:c r="B146" s="22" t="n">
        <x:v>143</x:v>
      </x:c>
      <x:c r="C146" s="23">
        <x:f>IF($B146&lt;=Inputs!$C$6+Inputs!$C$11,$M145,"")</x:f>
      </x:c>
      <x:c r="D146" s="24">
        <x:f>IF($B146&lt;=Inputs!$C$6,-PMT(Inputs!$C$5/12,Inputs!$C$6,Inputs!$C$4),0)</x:f>
      </x:c>
      <x:c r="E146" s="24">
        <x:f>IF($B146&lt;=Inputs!$C$6+Inputs!$C$11,$C146*Inputs!$C$5/12,0)</x:f>
      </x:c>
      <x:c r="F146" s="24">
        <x:f>IF($B146&lt;=Inputs!$C$6,MAX(0,$D146-$E146),0)</x:f>
      </x:c>
      <x:c r="G146" s="24">
        <x:f>IF($B146&lt;=Inputs!$C$6,MAX(0,($C146-$F146))*(1-(1-Inputs!$C$8)^(1/12)),0)</x:f>
      </x:c>
      <x:c r="H146" s="24">
        <x:f>IF($B146&lt;=Inputs!$C$6,MAX(0,($C146-$F146-$G146))*(1-(1-Inputs!$C$9)^(1/12)),0)</x:f>
      </x:c>
      <x:c r="I146" s="24">
        <x:f>IF($B146&gt;Inputs!$C$11,INDEX($H:$H,ROW()-Inputs!$C$11)* (1-Inputs!$C$10),0)</x:f>
      </x:c>
      <x:c r="J146" s="24">
        <x:f>$H146*Inputs!$C$10</x:f>
      </x:c>
      <x:c r="K146" s="24">
        <x:f>IF($B146&lt;=Inputs!$C$6+Inputs!$C$11,$C146*Inputs!$C$7/12,0)</x:f>
      </x:c>
      <x:c r="L146" s="24">
        <x:f>IF($B146&lt;=Inputs!$C$6+Inputs!$C$11,$E146+$F146+$G146+$I146-$K146,0)</x:f>
      </x:c>
      <x:c r="M146" s="24">
        <x:f>IF($B146&lt;=Inputs!$C$6,MAX(0,$C146-$F146-$G146-$H146),0)</x:f>
      </x:c>
    </x:row>
    <x:row r="147">
      <x:c r="B147" s="22" t="n">
        <x:v>144</x:v>
      </x:c>
      <x:c r="C147" s="23">
        <x:f>IF($B147&lt;=Inputs!$C$6+Inputs!$C$11,$M146,"")</x:f>
      </x:c>
      <x:c r="D147" s="24">
        <x:f>IF($B147&lt;=Inputs!$C$6,-PMT(Inputs!$C$5/12,Inputs!$C$6,Inputs!$C$4),0)</x:f>
      </x:c>
      <x:c r="E147" s="24">
        <x:f>IF($B147&lt;=Inputs!$C$6+Inputs!$C$11,$C147*Inputs!$C$5/12,0)</x:f>
      </x:c>
      <x:c r="F147" s="24">
        <x:f>IF($B147&lt;=Inputs!$C$6,MAX(0,$D147-$E147),0)</x:f>
      </x:c>
      <x:c r="G147" s="24">
        <x:f>IF($B147&lt;=Inputs!$C$6,MAX(0,($C147-$F147))*(1-(1-Inputs!$C$8)^(1/12)),0)</x:f>
      </x:c>
      <x:c r="H147" s="24">
        <x:f>IF($B147&lt;=Inputs!$C$6,MAX(0,($C147-$F147-$G147))*(1-(1-Inputs!$C$9)^(1/12)),0)</x:f>
      </x:c>
      <x:c r="I147" s="24">
        <x:f>IF($B147&gt;Inputs!$C$11,INDEX($H:$H,ROW()-Inputs!$C$11)* (1-Inputs!$C$10),0)</x:f>
      </x:c>
      <x:c r="J147" s="24">
        <x:f>$H147*Inputs!$C$10</x:f>
      </x:c>
      <x:c r="K147" s="24">
        <x:f>IF($B147&lt;=Inputs!$C$6+Inputs!$C$11,$C147*Inputs!$C$7/12,0)</x:f>
      </x:c>
      <x:c r="L147" s="24">
        <x:f>IF($B147&lt;=Inputs!$C$6+Inputs!$C$11,$E147+$F147+$G147+$I147-$K147,0)</x:f>
      </x:c>
      <x:c r="M147" s="24">
        <x:f>IF($B147&lt;=Inputs!$C$6,MAX(0,$C147-$F147-$G147-$H147),0)</x:f>
      </x:c>
    </x:row>
    <x:row r="148">
      <x:c r="B148" s="22" t="n">
        <x:v>145</x:v>
      </x:c>
      <x:c r="C148" s="23">
        <x:f>IF($B148&lt;=Inputs!$C$6+Inputs!$C$11,$M147,"")</x:f>
      </x:c>
      <x:c r="D148" s="24">
        <x:f>IF($B148&lt;=Inputs!$C$6,-PMT(Inputs!$C$5/12,Inputs!$C$6,Inputs!$C$4),0)</x:f>
      </x:c>
      <x:c r="E148" s="24">
        <x:f>IF($B148&lt;=Inputs!$C$6+Inputs!$C$11,$C148*Inputs!$C$5/12,0)</x:f>
      </x:c>
      <x:c r="F148" s="24">
        <x:f>IF($B148&lt;=Inputs!$C$6,MAX(0,$D148-$E148),0)</x:f>
      </x:c>
      <x:c r="G148" s="24">
        <x:f>IF($B148&lt;=Inputs!$C$6,MAX(0,($C148-$F148))*(1-(1-Inputs!$C$8)^(1/12)),0)</x:f>
      </x:c>
      <x:c r="H148" s="24">
        <x:f>IF($B148&lt;=Inputs!$C$6,MAX(0,($C148-$F148-$G148))*(1-(1-Inputs!$C$9)^(1/12)),0)</x:f>
      </x:c>
      <x:c r="I148" s="24">
        <x:f>IF($B148&gt;Inputs!$C$11,INDEX($H:$H,ROW()-Inputs!$C$11)* (1-Inputs!$C$10),0)</x:f>
      </x:c>
      <x:c r="J148" s="24">
        <x:f>$H148*Inputs!$C$10</x:f>
      </x:c>
      <x:c r="K148" s="24">
        <x:f>IF($B148&lt;=Inputs!$C$6+Inputs!$C$11,$C148*Inputs!$C$7/12,0)</x:f>
      </x:c>
      <x:c r="L148" s="24">
        <x:f>IF($B148&lt;=Inputs!$C$6+Inputs!$C$11,$E148+$F148+$G148+$I148-$K148,0)</x:f>
      </x:c>
      <x:c r="M148" s="24">
        <x:f>IF($B148&lt;=Inputs!$C$6,MAX(0,$C148-$F148-$G148-$H148),0)</x:f>
      </x:c>
    </x:row>
    <x:row r="149">
      <x:c r="B149" s="22" t="n">
        <x:v>146</x:v>
      </x:c>
      <x:c r="C149" s="23">
        <x:f>IF($B149&lt;=Inputs!$C$6+Inputs!$C$11,$M148,"")</x:f>
      </x:c>
      <x:c r="D149" s="24">
        <x:f>IF($B149&lt;=Inputs!$C$6,-PMT(Inputs!$C$5/12,Inputs!$C$6,Inputs!$C$4),0)</x:f>
      </x:c>
      <x:c r="E149" s="24">
        <x:f>IF($B149&lt;=Inputs!$C$6+Inputs!$C$11,$C149*Inputs!$C$5/12,0)</x:f>
      </x:c>
      <x:c r="F149" s="24">
        <x:f>IF($B149&lt;=Inputs!$C$6,MAX(0,$D149-$E149),0)</x:f>
      </x:c>
      <x:c r="G149" s="24">
        <x:f>IF($B149&lt;=Inputs!$C$6,MAX(0,($C149-$F149))*(1-(1-Inputs!$C$8)^(1/12)),0)</x:f>
      </x:c>
      <x:c r="H149" s="24">
        <x:f>IF($B149&lt;=Inputs!$C$6,MAX(0,($C149-$F149-$G149))*(1-(1-Inputs!$C$9)^(1/12)),0)</x:f>
      </x:c>
      <x:c r="I149" s="24">
        <x:f>IF($B149&gt;Inputs!$C$11,INDEX($H:$H,ROW()-Inputs!$C$11)* (1-Inputs!$C$10),0)</x:f>
      </x:c>
      <x:c r="J149" s="24">
        <x:f>$H149*Inputs!$C$10</x:f>
      </x:c>
      <x:c r="K149" s="24">
        <x:f>IF($B149&lt;=Inputs!$C$6+Inputs!$C$11,$C149*Inputs!$C$7/12,0)</x:f>
      </x:c>
      <x:c r="L149" s="24">
        <x:f>IF($B149&lt;=Inputs!$C$6+Inputs!$C$11,$E149+$F149+$G149+$I149-$K149,0)</x:f>
      </x:c>
      <x:c r="M149" s="24">
        <x:f>IF($B149&lt;=Inputs!$C$6,MAX(0,$C149-$F149-$G149-$H149),0)</x:f>
      </x:c>
    </x:row>
    <x:row r="150">
      <x:c r="B150" s="22" t="n">
        <x:v>147</x:v>
      </x:c>
      <x:c r="C150" s="23">
        <x:f>IF($B150&lt;=Inputs!$C$6+Inputs!$C$11,$M149,"")</x:f>
      </x:c>
      <x:c r="D150" s="24">
        <x:f>IF($B150&lt;=Inputs!$C$6,-PMT(Inputs!$C$5/12,Inputs!$C$6,Inputs!$C$4),0)</x:f>
      </x:c>
      <x:c r="E150" s="24">
        <x:f>IF($B150&lt;=Inputs!$C$6+Inputs!$C$11,$C150*Inputs!$C$5/12,0)</x:f>
      </x:c>
      <x:c r="F150" s="24">
        <x:f>IF($B150&lt;=Inputs!$C$6,MAX(0,$D150-$E150),0)</x:f>
      </x:c>
      <x:c r="G150" s="24">
        <x:f>IF($B150&lt;=Inputs!$C$6,MAX(0,($C150-$F150))*(1-(1-Inputs!$C$8)^(1/12)),0)</x:f>
      </x:c>
      <x:c r="H150" s="24">
        <x:f>IF($B150&lt;=Inputs!$C$6,MAX(0,($C150-$F150-$G150))*(1-(1-Inputs!$C$9)^(1/12)),0)</x:f>
      </x:c>
      <x:c r="I150" s="24">
        <x:f>IF($B150&gt;Inputs!$C$11,INDEX($H:$H,ROW()-Inputs!$C$11)* (1-Inputs!$C$10),0)</x:f>
      </x:c>
      <x:c r="J150" s="24">
        <x:f>$H150*Inputs!$C$10</x:f>
      </x:c>
      <x:c r="K150" s="24">
        <x:f>IF($B150&lt;=Inputs!$C$6+Inputs!$C$11,$C150*Inputs!$C$7/12,0)</x:f>
      </x:c>
      <x:c r="L150" s="24">
        <x:f>IF($B150&lt;=Inputs!$C$6+Inputs!$C$11,$E150+$F150+$G150+$I150-$K150,0)</x:f>
      </x:c>
      <x:c r="M150" s="24">
        <x:f>IF($B150&lt;=Inputs!$C$6,MAX(0,$C150-$F150-$G150-$H150),0)</x:f>
      </x:c>
    </x:row>
    <x:row r="151">
      <x:c r="B151" s="22" t="n">
        <x:v>148</x:v>
      </x:c>
      <x:c r="C151" s="23">
        <x:f>IF($B151&lt;=Inputs!$C$6+Inputs!$C$11,$M150,"")</x:f>
      </x:c>
      <x:c r="D151" s="24">
        <x:f>IF($B151&lt;=Inputs!$C$6,-PMT(Inputs!$C$5/12,Inputs!$C$6,Inputs!$C$4),0)</x:f>
      </x:c>
      <x:c r="E151" s="24">
        <x:f>IF($B151&lt;=Inputs!$C$6+Inputs!$C$11,$C151*Inputs!$C$5/12,0)</x:f>
      </x:c>
      <x:c r="F151" s="24">
        <x:f>IF($B151&lt;=Inputs!$C$6,MAX(0,$D151-$E151),0)</x:f>
      </x:c>
      <x:c r="G151" s="24">
        <x:f>IF($B151&lt;=Inputs!$C$6,MAX(0,($C151-$F151))*(1-(1-Inputs!$C$8)^(1/12)),0)</x:f>
      </x:c>
      <x:c r="H151" s="24">
        <x:f>IF($B151&lt;=Inputs!$C$6,MAX(0,($C151-$F151-$G151))*(1-(1-Inputs!$C$9)^(1/12)),0)</x:f>
      </x:c>
      <x:c r="I151" s="24">
        <x:f>IF($B151&gt;Inputs!$C$11,INDEX($H:$H,ROW()-Inputs!$C$11)* (1-Inputs!$C$10),0)</x:f>
      </x:c>
      <x:c r="J151" s="24">
        <x:f>$H151*Inputs!$C$10</x:f>
      </x:c>
      <x:c r="K151" s="24">
        <x:f>IF($B151&lt;=Inputs!$C$6+Inputs!$C$11,$C151*Inputs!$C$7/12,0)</x:f>
      </x:c>
      <x:c r="L151" s="24">
        <x:f>IF($B151&lt;=Inputs!$C$6+Inputs!$C$11,$E151+$F151+$G151+$I151-$K151,0)</x:f>
      </x:c>
      <x:c r="M151" s="24">
        <x:f>IF($B151&lt;=Inputs!$C$6,MAX(0,$C151-$F151-$G151-$H151),0)</x:f>
      </x:c>
    </x:row>
    <x:row r="152">
      <x:c r="B152" s="22" t="n">
        <x:v>149</x:v>
      </x:c>
      <x:c r="C152" s="23">
        <x:f>IF($B152&lt;=Inputs!$C$6+Inputs!$C$11,$M151,"")</x:f>
      </x:c>
      <x:c r="D152" s="24">
        <x:f>IF($B152&lt;=Inputs!$C$6,-PMT(Inputs!$C$5/12,Inputs!$C$6,Inputs!$C$4),0)</x:f>
      </x:c>
      <x:c r="E152" s="24">
        <x:f>IF($B152&lt;=Inputs!$C$6+Inputs!$C$11,$C152*Inputs!$C$5/12,0)</x:f>
      </x:c>
      <x:c r="F152" s="24">
        <x:f>IF($B152&lt;=Inputs!$C$6,MAX(0,$D152-$E152),0)</x:f>
      </x:c>
      <x:c r="G152" s="24">
        <x:f>IF($B152&lt;=Inputs!$C$6,MAX(0,($C152-$F152))*(1-(1-Inputs!$C$8)^(1/12)),0)</x:f>
      </x:c>
      <x:c r="H152" s="24">
        <x:f>IF($B152&lt;=Inputs!$C$6,MAX(0,($C152-$F152-$G152))*(1-(1-Inputs!$C$9)^(1/12)),0)</x:f>
      </x:c>
      <x:c r="I152" s="24">
        <x:f>IF($B152&gt;Inputs!$C$11,INDEX($H:$H,ROW()-Inputs!$C$11)* (1-Inputs!$C$10),0)</x:f>
      </x:c>
      <x:c r="J152" s="24">
        <x:f>$H152*Inputs!$C$10</x:f>
      </x:c>
      <x:c r="K152" s="24">
        <x:f>IF($B152&lt;=Inputs!$C$6+Inputs!$C$11,$C152*Inputs!$C$7/12,0)</x:f>
      </x:c>
      <x:c r="L152" s="24">
        <x:f>IF($B152&lt;=Inputs!$C$6+Inputs!$C$11,$E152+$F152+$G152+$I152-$K152,0)</x:f>
      </x:c>
      <x:c r="M152" s="24">
        <x:f>IF($B152&lt;=Inputs!$C$6,MAX(0,$C152-$F152-$G152-$H152),0)</x:f>
      </x:c>
    </x:row>
    <x:row r="153">
      <x:c r="B153" s="22" t="n">
        <x:v>150</x:v>
      </x:c>
      <x:c r="C153" s="23">
        <x:f>IF($B153&lt;=Inputs!$C$6+Inputs!$C$11,$M152,"")</x:f>
      </x:c>
      <x:c r="D153" s="24">
        <x:f>IF($B153&lt;=Inputs!$C$6,-PMT(Inputs!$C$5/12,Inputs!$C$6,Inputs!$C$4),0)</x:f>
      </x:c>
      <x:c r="E153" s="24">
        <x:f>IF($B153&lt;=Inputs!$C$6+Inputs!$C$11,$C153*Inputs!$C$5/12,0)</x:f>
      </x:c>
      <x:c r="F153" s="24">
        <x:f>IF($B153&lt;=Inputs!$C$6,MAX(0,$D153-$E153),0)</x:f>
      </x:c>
      <x:c r="G153" s="24">
        <x:f>IF($B153&lt;=Inputs!$C$6,MAX(0,($C153-$F153))*(1-(1-Inputs!$C$8)^(1/12)),0)</x:f>
      </x:c>
      <x:c r="H153" s="24">
        <x:f>IF($B153&lt;=Inputs!$C$6,MAX(0,($C153-$F153-$G153))*(1-(1-Inputs!$C$9)^(1/12)),0)</x:f>
      </x:c>
      <x:c r="I153" s="24">
        <x:f>IF($B153&gt;Inputs!$C$11,INDEX($H:$H,ROW()-Inputs!$C$11)* (1-Inputs!$C$10),0)</x:f>
      </x:c>
      <x:c r="J153" s="24">
        <x:f>$H153*Inputs!$C$10</x:f>
      </x:c>
      <x:c r="K153" s="24">
        <x:f>IF($B153&lt;=Inputs!$C$6+Inputs!$C$11,$C153*Inputs!$C$7/12,0)</x:f>
      </x:c>
      <x:c r="L153" s="24">
        <x:f>IF($B153&lt;=Inputs!$C$6+Inputs!$C$11,$E153+$F153+$G153+$I153-$K153,0)</x:f>
      </x:c>
      <x:c r="M153" s="24">
        <x:f>IF($B153&lt;=Inputs!$C$6,MAX(0,$C153-$F153-$G153-$H153),0)</x:f>
      </x:c>
    </x:row>
    <x:row r="154">
      <x:c r="B154" s="22" t="n">
        <x:v>151</x:v>
      </x:c>
      <x:c r="C154" s="23">
        <x:f>IF($B154&lt;=Inputs!$C$6+Inputs!$C$11,$M153,"")</x:f>
      </x:c>
      <x:c r="D154" s="24">
        <x:f>IF($B154&lt;=Inputs!$C$6,-PMT(Inputs!$C$5/12,Inputs!$C$6,Inputs!$C$4),0)</x:f>
      </x:c>
      <x:c r="E154" s="24">
        <x:f>IF($B154&lt;=Inputs!$C$6+Inputs!$C$11,$C154*Inputs!$C$5/12,0)</x:f>
      </x:c>
      <x:c r="F154" s="24">
        <x:f>IF($B154&lt;=Inputs!$C$6,MAX(0,$D154-$E154),0)</x:f>
      </x:c>
      <x:c r="G154" s="24">
        <x:f>IF($B154&lt;=Inputs!$C$6,MAX(0,($C154-$F154))*(1-(1-Inputs!$C$8)^(1/12)),0)</x:f>
      </x:c>
      <x:c r="H154" s="24">
        <x:f>IF($B154&lt;=Inputs!$C$6,MAX(0,($C154-$F154-$G154))*(1-(1-Inputs!$C$9)^(1/12)),0)</x:f>
      </x:c>
      <x:c r="I154" s="24">
        <x:f>IF($B154&gt;Inputs!$C$11,INDEX($H:$H,ROW()-Inputs!$C$11)* (1-Inputs!$C$10),0)</x:f>
      </x:c>
      <x:c r="J154" s="24">
        <x:f>$H154*Inputs!$C$10</x:f>
      </x:c>
      <x:c r="K154" s="24">
        <x:f>IF($B154&lt;=Inputs!$C$6+Inputs!$C$11,$C154*Inputs!$C$7/12,0)</x:f>
      </x:c>
      <x:c r="L154" s="24">
        <x:f>IF($B154&lt;=Inputs!$C$6+Inputs!$C$11,$E154+$F154+$G154+$I154-$K154,0)</x:f>
      </x:c>
      <x:c r="M154" s="24">
        <x:f>IF($B154&lt;=Inputs!$C$6,MAX(0,$C154-$F154-$G154-$H154),0)</x:f>
      </x:c>
    </x:row>
    <x:row r="155">
      <x:c r="B155" s="22" t="n">
        <x:v>152</x:v>
      </x:c>
      <x:c r="C155" s="23">
        <x:f>IF($B155&lt;=Inputs!$C$6+Inputs!$C$11,$M154,"")</x:f>
      </x:c>
      <x:c r="D155" s="24">
        <x:f>IF($B155&lt;=Inputs!$C$6,-PMT(Inputs!$C$5/12,Inputs!$C$6,Inputs!$C$4),0)</x:f>
      </x:c>
      <x:c r="E155" s="24">
        <x:f>IF($B155&lt;=Inputs!$C$6+Inputs!$C$11,$C155*Inputs!$C$5/12,0)</x:f>
      </x:c>
      <x:c r="F155" s="24">
        <x:f>IF($B155&lt;=Inputs!$C$6,MAX(0,$D155-$E155),0)</x:f>
      </x:c>
      <x:c r="G155" s="24">
        <x:f>IF($B155&lt;=Inputs!$C$6,MAX(0,($C155-$F155))*(1-(1-Inputs!$C$8)^(1/12)),0)</x:f>
      </x:c>
      <x:c r="H155" s="24">
        <x:f>IF($B155&lt;=Inputs!$C$6,MAX(0,($C155-$F155-$G155))*(1-(1-Inputs!$C$9)^(1/12)),0)</x:f>
      </x:c>
      <x:c r="I155" s="24">
        <x:f>IF($B155&gt;Inputs!$C$11,INDEX($H:$H,ROW()-Inputs!$C$11)* (1-Inputs!$C$10),0)</x:f>
      </x:c>
      <x:c r="J155" s="24">
        <x:f>$H155*Inputs!$C$10</x:f>
      </x:c>
      <x:c r="K155" s="24">
        <x:f>IF($B155&lt;=Inputs!$C$6+Inputs!$C$11,$C155*Inputs!$C$7/12,0)</x:f>
      </x:c>
      <x:c r="L155" s="24">
        <x:f>IF($B155&lt;=Inputs!$C$6+Inputs!$C$11,$E155+$F155+$G155+$I155-$K155,0)</x:f>
      </x:c>
      <x:c r="M155" s="24">
        <x:f>IF($B155&lt;=Inputs!$C$6,MAX(0,$C155-$F155-$G155-$H155),0)</x:f>
      </x:c>
    </x:row>
    <x:row r="156">
      <x:c r="B156" s="22" t="n">
        <x:v>153</x:v>
      </x:c>
      <x:c r="C156" s="23">
        <x:f>IF($B156&lt;=Inputs!$C$6+Inputs!$C$11,$M155,"")</x:f>
      </x:c>
      <x:c r="D156" s="24">
        <x:f>IF($B156&lt;=Inputs!$C$6,-PMT(Inputs!$C$5/12,Inputs!$C$6,Inputs!$C$4),0)</x:f>
      </x:c>
      <x:c r="E156" s="24">
        <x:f>IF($B156&lt;=Inputs!$C$6+Inputs!$C$11,$C156*Inputs!$C$5/12,0)</x:f>
      </x:c>
      <x:c r="F156" s="24">
        <x:f>IF($B156&lt;=Inputs!$C$6,MAX(0,$D156-$E156),0)</x:f>
      </x:c>
      <x:c r="G156" s="24">
        <x:f>IF($B156&lt;=Inputs!$C$6,MAX(0,($C156-$F156))*(1-(1-Inputs!$C$8)^(1/12)),0)</x:f>
      </x:c>
      <x:c r="H156" s="24">
        <x:f>IF($B156&lt;=Inputs!$C$6,MAX(0,($C156-$F156-$G156))*(1-(1-Inputs!$C$9)^(1/12)),0)</x:f>
      </x:c>
      <x:c r="I156" s="24">
        <x:f>IF($B156&gt;Inputs!$C$11,INDEX($H:$H,ROW()-Inputs!$C$11)* (1-Inputs!$C$10),0)</x:f>
      </x:c>
      <x:c r="J156" s="24">
        <x:f>$H156*Inputs!$C$10</x:f>
      </x:c>
      <x:c r="K156" s="24">
        <x:f>IF($B156&lt;=Inputs!$C$6+Inputs!$C$11,$C156*Inputs!$C$7/12,0)</x:f>
      </x:c>
      <x:c r="L156" s="24">
        <x:f>IF($B156&lt;=Inputs!$C$6+Inputs!$C$11,$E156+$F156+$G156+$I156-$K156,0)</x:f>
      </x:c>
      <x:c r="M156" s="24">
        <x:f>IF($B156&lt;=Inputs!$C$6,MAX(0,$C156-$F156-$G156-$H156),0)</x:f>
      </x:c>
    </x:row>
    <x:row r="157">
      <x:c r="B157" s="22" t="n">
        <x:v>154</x:v>
      </x:c>
      <x:c r="C157" s="23">
        <x:f>IF($B157&lt;=Inputs!$C$6+Inputs!$C$11,$M156,"")</x:f>
      </x:c>
      <x:c r="D157" s="24">
        <x:f>IF($B157&lt;=Inputs!$C$6,-PMT(Inputs!$C$5/12,Inputs!$C$6,Inputs!$C$4),0)</x:f>
      </x:c>
      <x:c r="E157" s="24">
        <x:f>IF($B157&lt;=Inputs!$C$6+Inputs!$C$11,$C157*Inputs!$C$5/12,0)</x:f>
      </x:c>
      <x:c r="F157" s="24">
        <x:f>IF($B157&lt;=Inputs!$C$6,MAX(0,$D157-$E157),0)</x:f>
      </x:c>
      <x:c r="G157" s="24">
        <x:f>IF($B157&lt;=Inputs!$C$6,MAX(0,($C157-$F157))*(1-(1-Inputs!$C$8)^(1/12)),0)</x:f>
      </x:c>
      <x:c r="H157" s="24">
        <x:f>IF($B157&lt;=Inputs!$C$6,MAX(0,($C157-$F157-$G157))*(1-(1-Inputs!$C$9)^(1/12)),0)</x:f>
      </x:c>
      <x:c r="I157" s="24">
        <x:f>IF($B157&gt;Inputs!$C$11,INDEX($H:$H,ROW()-Inputs!$C$11)* (1-Inputs!$C$10),0)</x:f>
      </x:c>
      <x:c r="J157" s="24">
        <x:f>$H157*Inputs!$C$10</x:f>
      </x:c>
      <x:c r="K157" s="24">
        <x:f>IF($B157&lt;=Inputs!$C$6+Inputs!$C$11,$C157*Inputs!$C$7/12,0)</x:f>
      </x:c>
      <x:c r="L157" s="24">
        <x:f>IF($B157&lt;=Inputs!$C$6+Inputs!$C$11,$E157+$F157+$G157+$I157-$K157,0)</x:f>
      </x:c>
      <x:c r="M157" s="24">
        <x:f>IF($B157&lt;=Inputs!$C$6,MAX(0,$C157-$F157-$G157-$H157),0)</x:f>
      </x:c>
    </x:row>
    <x:row r="158">
      <x:c r="B158" s="22" t="n">
        <x:v>155</x:v>
      </x:c>
      <x:c r="C158" s="23">
        <x:f>IF($B158&lt;=Inputs!$C$6+Inputs!$C$11,$M157,"")</x:f>
      </x:c>
      <x:c r="D158" s="24">
        <x:f>IF($B158&lt;=Inputs!$C$6,-PMT(Inputs!$C$5/12,Inputs!$C$6,Inputs!$C$4),0)</x:f>
      </x:c>
      <x:c r="E158" s="24">
        <x:f>IF($B158&lt;=Inputs!$C$6+Inputs!$C$11,$C158*Inputs!$C$5/12,0)</x:f>
      </x:c>
      <x:c r="F158" s="24">
        <x:f>IF($B158&lt;=Inputs!$C$6,MAX(0,$D158-$E158),0)</x:f>
      </x:c>
      <x:c r="G158" s="24">
        <x:f>IF($B158&lt;=Inputs!$C$6,MAX(0,($C158-$F158))*(1-(1-Inputs!$C$8)^(1/12)),0)</x:f>
      </x:c>
      <x:c r="H158" s="24">
        <x:f>IF($B158&lt;=Inputs!$C$6,MAX(0,($C158-$F158-$G158))*(1-(1-Inputs!$C$9)^(1/12)),0)</x:f>
      </x:c>
      <x:c r="I158" s="24">
        <x:f>IF($B158&gt;Inputs!$C$11,INDEX($H:$H,ROW()-Inputs!$C$11)* (1-Inputs!$C$10),0)</x:f>
      </x:c>
      <x:c r="J158" s="24">
        <x:f>$H158*Inputs!$C$10</x:f>
      </x:c>
      <x:c r="K158" s="24">
        <x:f>IF($B158&lt;=Inputs!$C$6+Inputs!$C$11,$C158*Inputs!$C$7/12,0)</x:f>
      </x:c>
      <x:c r="L158" s="24">
        <x:f>IF($B158&lt;=Inputs!$C$6+Inputs!$C$11,$E158+$F158+$G158+$I158-$K158,0)</x:f>
      </x:c>
      <x:c r="M158" s="24">
        <x:f>IF($B158&lt;=Inputs!$C$6,MAX(0,$C158-$F158-$G158-$H158),0)</x:f>
      </x:c>
    </x:row>
    <x:row r="159">
      <x:c r="B159" s="22" t="n">
        <x:v>156</x:v>
      </x:c>
      <x:c r="C159" s="23">
        <x:f>IF($B159&lt;=Inputs!$C$6+Inputs!$C$11,$M158,"")</x:f>
      </x:c>
      <x:c r="D159" s="24">
        <x:f>IF($B159&lt;=Inputs!$C$6,-PMT(Inputs!$C$5/12,Inputs!$C$6,Inputs!$C$4),0)</x:f>
      </x:c>
      <x:c r="E159" s="24">
        <x:f>IF($B159&lt;=Inputs!$C$6+Inputs!$C$11,$C159*Inputs!$C$5/12,0)</x:f>
      </x:c>
      <x:c r="F159" s="24">
        <x:f>IF($B159&lt;=Inputs!$C$6,MAX(0,$D159-$E159),0)</x:f>
      </x:c>
      <x:c r="G159" s="24">
        <x:f>IF($B159&lt;=Inputs!$C$6,MAX(0,($C159-$F159))*(1-(1-Inputs!$C$8)^(1/12)),0)</x:f>
      </x:c>
      <x:c r="H159" s="24">
        <x:f>IF($B159&lt;=Inputs!$C$6,MAX(0,($C159-$F159-$G159))*(1-(1-Inputs!$C$9)^(1/12)),0)</x:f>
      </x:c>
      <x:c r="I159" s="24">
        <x:f>IF($B159&gt;Inputs!$C$11,INDEX($H:$H,ROW()-Inputs!$C$11)* (1-Inputs!$C$10),0)</x:f>
      </x:c>
      <x:c r="J159" s="24">
        <x:f>$H159*Inputs!$C$10</x:f>
      </x:c>
      <x:c r="K159" s="24">
        <x:f>IF($B159&lt;=Inputs!$C$6+Inputs!$C$11,$C159*Inputs!$C$7/12,0)</x:f>
      </x:c>
      <x:c r="L159" s="24">
        <x:f>IF($B159&lt;=Inputs!$C$6+Inputs!$C$11,$E159+$F159+$G159+$I159-$K159,0)</x:f>
      </x:c>
      <x:c r="M159" s="24">
        <x:f>IF($B159&lt;=Inputs!$C$6,MAX(0,$C159-$F159-$G159-$H159),0)</x:f>
      </x:c>
    </x:row>
    <x:row r="160">
      <x:c r="B160" s="22" t="n">
        <x:v>157</x:v>
      </x:c>
      <x:c r="C160" s="23">
        <x:f>IF($B160&lt;=Inputs!$C$6+Inputs!$C$11,$M159,"")</x:f>
      </x:c>
      <x:c r="D160" s="24">
        <x:f>IF($B160&lt;=Inputs!$C$6,-PMT(Inputs!$C$5/12,Inputs!$C$6,Inputs!$C$4),0)</x:f>
      </x:c>
      <x:c r="E160" s="24">
        <x:f>IF($B160&lt;=Inputs!$C$6+Inputs!$C$11,$C160*Inputs!$C$5/12,0)</x:f>
      </x:c>
      <x:c r="F160" s="24">
        <x:f>IF($B160&lt;=Inputs!$C$6,MAX(0,$D160-$E160),0)</x:f>
      </x:c>
      <x:c r="G160" s="24">
        <x:f>IF($B160&lt;=Inputs!$C$6,MAX(0,($C160-$F160))*(1-(1-Inputs!$C$8)^(1/12)),0)</x:f>
      </x:c>
      <x:c r="H160" s="24">
        <x:f>IF($B160&lt;=Inputs!$C$6,MAX(0,($C160-$F160-$G160))*(1-(1-Inputs!$C$9)^(1/12)),0)</x:f>
      </x:c>
      <x:c r="I160" s="24">
        <x:f>IF($B160&gt;Inputs!$C$11,INDEX($H:$H,ROW()-Inputs!$C$11)* (1-Inputs!$C$10),0)</x:f>
      </x:c>
      <x:c r="J160" s="24">
        <x:f>$H160*Inputs!$C$10</x:f>
      </x:c>
      <x:c r="K160" s="24">
        <x:f>IF($B160&lt;=Inputs!$C$6+Inputs!$C$11,$C160*Inputs!$C$7/12,0)</x:f>
      </x:c>
      <x:c r="L160" s="24">
        <x:f>IF($B160&lt;=Inputs!$C$6+Inputs!$C$11,$E160+$F160+$G160+$I160-$K160,0)</x:f>
      </x:c>
      <x:c r="M160" s="24">
        <x:f>IF($B160&lt;=Inputs!$C$6,MAX(0,$C160-$F160-$G160-$H160),0)</x:f>
      </x:c>
    </x:row>
    <x:row r="161">
      <x:c r="B161" s="22" t="n">
        <x:v>158</x:v>
      </x:c>
      <x:c r="C161" s="23">
        <x:f>IF($B161&lt;=Inputs!$C$6+Inputs!$C$11,$M160,"")</x:f>
      </x:c>
      <x:c r="D161" s="24">
        <x:f>IF($B161&lt;=Inputs!$C$6,-PMT(Inputs!$C$5/12,Inputs!$C$6,Inputs!$C$4),0)</x:f>
      </x:c>
      <x:c r="E161" s="24">
        <x:f>IF($B161&lt;=Inputs!$C$6+Inputs!$C$11,$C161*Inputs!$C$5/12,0)</x:f>
      </x:c>
      <x:c r="F161" s="24">
        <x:f>IF($B161&lt;=Inputs!$C$6,MAX(0,$D161-$E161),0)</x:f>
      </x:c>
      <x:c r="G161" s="24">
        <x:f>IF($B161&lt;=Inputs!$C$6,MAX(0,($C161-$F161))*(1-(1-Inputs!$C$8)^(1/12)),0)</x:f>
      </x:c>
      <x:c r="H161" s="24">
        <x:f>IF($B161&lt;=Inputs!$C$6,MAX(0,($C161-$F161-$G161))*(1-(1-Inputs!$C$9)^(1/12)),0)</x:f>
      </x:c>
      <x:c r="I161" s="24">
        <x:f>IF($B161&gt;Inputs!$C$11,INDEX($H:$H,ROW()-Inputs!$C$11)* (1-Inputs!$C$10),0)</x:f>
      </x:c>
      <x:c r="J161" s="24">
        <x:f>$H161*Inputs!$C$10</x:f>
      </x:c>
      <x:c r="K161" s="24">
        <x:f>IF($B161&lt;=Inputs!$C$6+Inputs!$C$11,$C161*Inputs!$C$7/12,0)</x:f>
      </x:c>
      <x:c r="L161" s="24">
        <x:f>IF($B161&lt;=Inputs!$C$6+Inputs!$C$11,$E161+$F161+$G161+$I161-$K161,0)</x:f>
      </x:c>
      <x:c r="M161" s="24">
        <x:f>IF($B161&lt;=Inputs!$C$6,MAX(0,$C161-$F161-$G161-$H161),0)</x:f>
      </x:c>
    </x:row>
    <x:row r="162">
      <x:c r="B162" s="22" t="n">
        <x:v>159</x:v>
      </x:c>
      <x:c r="C162" s="23">
        <x:f>IF($B162&lt;=Inputs!$C$6+Inputs!$C$11,$M161,"")</x:f>
      </x:c>
      <x:c r="D162" s="24">
        <x:f>IF($B162&lt;=Inputs!$C$6,-PMT(Inputs!$C$5/12,Inputs!$C$6,Inputs!$C$4),0)</x:f>
      </x:c>
      <x:c r="E162" s="24">
        <x:f>IF($B162&lt;=Inputs!$C$6+Inputs!$C$11,$C162*Inputs!$C$5/12,0)</x:f>
      </x:c>
      <x:c r="F162" s="24">
        <x:f>IF($B162&lt;=Inputs!$C$6,MAX(0,$D162-$E162),0)</x:f>
      </x:c>
      <x:c r="G162" s="24">
        <x:f>IF($B162&lt;=Inputs!$C$6,MAX(0,($C162-$F162))*(1-(1-Inputs!$C$8)^(1/12)),0)</x:f>
      </x:c>
      <x:c r="H162" s="24">
        <x:f>IF($B162&lt;=Inputs!$C$6,MAX(0,($C162-$F162-$G162))*(1-(1-Inputs!$C$9)^(1/12)),0)</x:f>
      </x:c>
      <x:c r="I162" s="24">
        <x:f>IF($B162&gt;Inputs!$C$11,INDEX($H:$H,ROW()-Inputs!$C$11)* (1-Inputs!$C$10),0)</x:f>
      </x:c>
      <x:c r="J162" s="24">
        <x:f>$H162*Inputs!$C$10</x:f>
      </x:c>
      <x:c r="K162" s="24">
        <x:f>IF($B162&lt;=Inputs!$C$6+Inputs!$C$11,$C162*Inputs!$C$7/12,0)</x:f>
      </x:c>
      <x:c r="L162" s="24">
        <x:f>IF($B162&lt;=Inputs!$C$6+Inputs!$C$11,$E162+$F162+$G162+$I162-$K162,0)</x:f>
      </x:c>
      <x:c r="M162" s="24">
        <x:f>IF($B162&lt;=Inputs!$C$6,MAX(0,$C162-$F162-$G162-$H162),0)</x:f>
      </x:c>
    </x:row>
    <x:row r="163">
      <x:c r="B163" s="22" t="n">
        <x:v>160</x:v>
      </x:c>
      <x:c r="C163" s="23">
        <x:f>IF($B163&lt;=Inputs!$C$6+Inputs!$C$11,$M162,"")</x:f>
      </x:c>
      <x:c r="D163" s="24">
        <x:f>IF($B163&lt;=Inputs!$C$6,-PMT(Inputs!$C$5/12,Inputs!$C$6,Inputs!$C$4),0)</x:f>
      </x:c>
      <x:c r="E163" s="24">
        <x:f>IF($B163&lt;=Inputs!$C$6+Inputs!$C$11,$C163*Inputs!$C$5/12,0)</x:f>
      </x:c>
      <x:c r="F163" s="24">
        <x:f>IF($B163&lt;=Inputs!$C$6,MAX(0,$D163-$E163),0)</x:f>
      </x:c>
      <x:c r="G163" s="24">
        <x:f>IF($B163&lt;=Inputs!$C$6,MAX(0,($C163-$F163))*(1-(1-Inputs!$C$8)^(1/12)),0)</x:f>
      </x:c>
      <x:c r="H163" s="24">
        <x:f>IF($B163&lt;=Inputs!$C$6,MAX(0,($C163-$F163-$G163))*(1-(1-Inputs!$C$9)^(1/12)),0)</x:f>
      </x:c>
      <x:c r="I163" s="24">
        <x:f>IF($B163&gt;Inputs!$C$11,INDEX($H:$H,ROW()-Inputs!$C$11)* (1-Inputs!$C$10),0)</x:f>
      </x:c>
      <x:c r="J163" s="24">
        <x:f>$H163*Inputs!$C$10</x:f>
      </x:c>
      <x:c r="K163" s="24">
        <x:f>IF($B163&lt;=Inputs!$C$6+Inputs!$C$11,$C163*Inputs!$C$7/12,0)</x:f>
      </x:c>
      <x:c r="L163" s="24">
        <x:f>IF($B163&lt;=Inputs!$C$6+Inputs!$C$11,$E163+$F163+$G163+$I163-$K163,0)</x:f>
      </x:c>
      <x:c r="M163" s="24">
        <x:f>IF($B163&lt;=Inputs!$C$6,MAX(0,$C163-$F163-$G163-$H163),0)</x:f>
      </x:c>
    </x:row>
    <x:row r="164">
      <x:c r="B164" s="22" t="n">
        <x:v>161</x:v>
      </x:c>
      <x:c r="C164" s="23">
        <x:f>IF($B164&lt;=Inputs!$C$6+Inputs!$C$11,$M163,"")</x:f>
      </x:c>
      <x:c r="D164" s="24">
        <x:f>IF($B164&lt;=Inputs!$C$6,-PMT(Inputs!$C$5/12,Inputs!$C$6,Inputs!$C$4),0)</x:f>
      </x:c>
      <x:c r="E164" s="24">
        <x:f>IF($B164&lt;=Inputs!$C$6+Inputs!$C$11,$C164*Inputs!$C$5/12,0)</x:f>
      </x:c>
      <x:c r="F164" s="24">
        <x:f>IF($B164&lt;=Inputs!$C$6,MAX(0,$D164-$E164),0)</x:f>
      </x:c>
      <x:c r="G164" s="24">
        <x:f>IF($B164&lt;=Inputs!$C$6,MAX(0,($C164-$F164))*(1-(1-Inputs!$C$8)^(1/12)),0)</x:f>
      </x:c>
      <x:c r="H164" s="24">
        <x:f>IF($B164&lt;=Inputs!$C$6,MAX(0,($C164-$F164-$G164))*(1-(1-Inputs!$C$9)^(1/12)),0)</x:f>
      </x:c>
      <x:c r="I164" s="24">
        <x:f>IF($B164&gt;Inputs!$C$11,INDEX($H:$H,ROW()-Inputs!$C$11)* (1-Inputs!$C$10),0)</x:f>
      </x:c>
      <x:c r="J164" s="24">
        <x:f>$H164*Inputs!$C$10</x:f>
      </x:c>
      <x:c r="K164" s="24">
        <x:f>IF($B164&lt;=Inputs!$C$6+Inputs!$C$11,$C164*Inputs!$C$7/12,0)</x:f>
      </x:c>
      <x:c r="L164" s="24">
        <x:f>IF($B164&lt;=Inputs!$C$6+Inputs!$C$11,$E164+$F164+$G164+$I164-$K164,0)</x:f>
      </x:c>
      <x:c r="M164" s="24">
        <x:f>IF($B164&lt;=Inputs!$C$6,MAX(0,$C164-$F164-$G164-$H164),0)</x:f>
      </x:c>
    </x:row>
    <x:row r="165">
      <x:c r="B165" s="22" t="n">
        <x:v>162</x:v>
      </x:c>
      <x:c r="C165" s="23">
        <x:f>IF($B165&lt;=Inputs!$C$6+Inputs!$C$11,$M164,"")</x:f>
      </x:c>
      <x:c r="D165" s="24">
        <x:f>IF($B165&lt;=Inputs!$C$6,-PMT(Inputs!$C$5/12,Inputs!$C$6,Inputs!$C$4),0)</x:f>
      </x:c>
      <x:c r="E165" s="24">
        <x:f>IF($B165&lt;=Inputs!$C$6+Inputs!$C$11,$C165*Inputs!$C$5/12,0)</x:f>
      </x:c>
      <x:c r="F165" s="24">
        <x:f>IF($B165&lt;=Inputs!$C$6,MAX(0,$D165-$E165),0)</x:f>
      </x:c>
      <x:c r="G165" s="24">
        <x:f>IF($B165&lt;=Inputs!$C$6,MAX(0,($C165-$F165))*(1-(1-Inputs!$C$8)^(1/12)),0)</x:f>
      </x:c>
      <x:c r="H165" s="24">
        <x:f>IF($B165&lt;=Inputs!$C$6,MAX(0,($C165-$F165-$G165))*(1-(1-Inputs!$C$9)^(1/12)),0)</x:f>
      </x:c>
      <x:c r="I165" s="24">
        <x:f>IF($B165&gt;Inputs!$C$11,INDEX($H:$H,ROW()-Inputs!$C$11)* (1-Inputs!$C$10),0)</x:f>
      </x:c>
      <x:c r="J165" s="24">
        <x:f>$H165*Inputs!$C$10</x:f>
      </x:c>
      <x:c r="K165" s="24">
        <x:f>IF($B165&lt;=Inputs!$C$6+Inputs!$C$11,$C165*Inputs!$C$7/12,0)</x:f>
      </x:c>
      <x:c r="L165" s="24">
        <x:f>IF($B165&lt;=Inputs!$C$6+Inputs!$C$11,$E165+$F165+$G165+$I165-$K165,0)</x:f>
      </x:c>
      <x:c r="M165" s="24">
        <x:f>IF($B165&lt;=Inputs!$C$6,MAX(0,$C165-$F165-$G165-$H165),0)</x:f>
      </x:c>
    </x:row>
    <x:row r="166">
      <x:c r="B166" s="22" t="n">
        <x:v>163</x:v>
      </x:c>
      <x:c r="C166" s="23">
        <x:f>IF($B166&lt;=Inputs!$C$6+Inputs!$C$11,$M165,"")</x:f>
      </x:c>
      <x:c r="D166" s="24">
        <x:f>IF($B166&lt;=Inputs!$C$6,-PMT(Inputs!$C$5/12,Inputs!$C$6,Inputs!$C$4),0)</x:f>
      </x:c>
      <x:c r="E166" s="24">
        <x:f>IF($B166&lt;=Inputs!$C$6+Inputs!$C$11,$C166*Inputs!$C$5/12,0)</x:f>
      </x:c>
      <x:c r="F166" s="24">
        <x:f>IF($B166&lt;=Inputs!$C$6,MAX(0,$D166-$E166),0)</x:f>
      </x:c>
      <x:c r="G166" s="24">
        <x:f>IF($B166&lt;=Inputs!$C$6,MAX(0,($C166-$F166))*(1-(1-Inputs!$C$8)^(1/12)),0)</x:f>
      </x:c>
      <x:c r="H166" s="24">
        <x:f>IF($B166&lt;=Inputs!$C$6,MAX(0,($C166-$F166-$G166))*(1-(1-Inputs!$C$9)^(1/12)),0)</x:f>
      </x:c>
      <x:c r="I166" s="24">
        <x:f>IF($B166&gt;Inputs!$C$11,INDEX($H:$H,ROW()-Inputs!$C$11)* (1-Inputs!$C$10),0)</x:f>
      </x:c>
      <x:c r="J166" s="24">
        <x:f>$H166*Inputs!$C$10</x:f>
      </x:c>
      <x:c r="K166" s="24">
        <x:f>IF($B166&lt;=Inputs!$C$6+Inputs!$C$11,$C166*Inputs!$C$7/12,0)</x:f>
      </x:c>
      <x:c r="L166" s="24">
        <x:f>IF($B166&lt;=Inputs!$C$6+Inputs!$C$11,$E166+$F166+$G166+$I166-$K166,0)</x:f>
      </x:c>
      <x:c r="M166" s="24">
        <x:f>IF($B166&lt;=Inputs!$C$6,MAX(0,$C166-$F166-$G166-$H166),0)</x:f>
      </x:c>
    </x:row>
    <x:row r="167">
      <x:c r="B167" s="22" t="n">
        <x:v>164</x:v>
      </x:c>
      <x:c r="C167" s="23">
        <x:f>IF($B167&lt;=Inputs!$C$6+Inputs!$C$11,$M166,"")</x:f>
      </x:c>
      <x:c r="D167" s="24">
        <x:f>IF($B167&lt;=Inputs!$C$6,-PMT(Inputs!$C$5/12,Inputs!$C$6,Inputs!$C$4),0)</x:f>
      </x:c>
      <x:c r="E167" s="24">
        <x:f>IF($B167&lt;=Inputs!$C$6+Inputs!$C$11,$C167*Inputs!$C$5/12,0)</x:f>
      </x:c>
      <x:c r="F167" s="24">
        <x:f>IF($B167&lt;=Inputs!$C$6,MAX(0,$D167-$E167),0)</x:f>
      </x:c>
      <x:c r="G167" s="24">
        <x:f>IF($B167&lt;=Inputs!$C$6,MAX(0,($C167-$F167))*(1-(1-Inputs!$C$8)^(1/12)),0)</x:f>
      </x:c>
      <x:c r="H167" s="24">
        <x:f>IF($B167&lt;=Inputs!$C$6,MAX(0,($C167-$F167-$G167))*(1-(1-Inputs!$C$9)^(1/12)),0)</x:f>
      </x:c>
      <x:c r="I167" s="24">
        <x:f>IF($B167&gt;Inputs!$C$11,INDEX($H:$H,ROW()-Inputs!$C$11)* (1-Inputs!$C$10),0)</x:f>
      </x:c>
      <x:c r="J167" s="24">
        <x:f>$H167*Inputs!$C$10</x:f>
      </x:c>
      <x:c r="K167" s="24">
        <x:f>IF($B167&lt;=Inputs!$C$6+Inputs!$C$11,$C167*Inputs!$C$7/12,0)</x:f>
      </x:c>
      <x:c r="L167" s="24">
        <x:f>IF($B167&lt;=Inputs!$C$6+Inputs!$C$11,$E167+$F167+$G167+$I167-$K167,0)</x:f>
      </x:c>
      <x:c r="M167" s="24">
        <x:f>IF($B167&lt;=Inputs!$C$6,MAX(0,$C167-$F167-$G167-$H167),0)</x:f>
      </x:c>
    </x:row>
    <x:row r="168">
      <x:c r="B168" s="22" t="n">
        <x:v>165</x:v>
      </x:c>
      <x:c r="C168" s="23">
        <x:f>IF($B168&lt;=Inputs!$C$6+Inputs!$C$11,$M167,"")</x:f>
      </x:c>
      <x:c r="D168" s="24">
        <x:f>IF($B168&lt;=Inputs!$C$6,-PMT(Inputs!$C$5/12,Inputs!$C$6,Inputs!$C$4),0)</x:f>
      </x:c>
      <x:c r="E168" s="24">
        <x:f>IF($B168&lt;=Inputs!$C$6+Inputs!$C$11,$C168*Inputs!$C$5/12,0)</x:f>
      </x:c>
      <x:c r="F168" s="24">
        <x:f>IF($B168&lt;=Inputs!$C$6,MAX(0,$D168-$E168),0)</x:f>
      </x:c>
      <x:c r="G168" s="24">
        <x:f>IF($B168&lt;=Inputs!$C$6,MAX(0,($C168-$F168))*(1-(1-Inputs!$C$8)^(1/12)),0)</x:f>
      </x:c>
      <x:c r="H168" s="24">
        <x:f>IF($B168&lt;=Inputs!$C$6,MAX(0,($C168-$F168-$G168))*(1-(1-Inputs!$C$9)^(1/12)),0)</x:f>
      </x:c>
      <x:c r="I168" s="24">
        <x:f>IF($B168&gt;Inputs!$C$11,INDEX($H:$H,ROW()-Inputs!$C$11)* (1-Inputs!$C$10),0)</x:f>
      </x:c>
      <x:c r="J168" s="24">
        <x:f>$H168*Inputs!$C$10</x:f>
      </x:c>
      <x:c r="K168" s="24">
        <x:f>IF($B168&lt;=Inputs!$C$6+Inputs!$C$11,$C168*Inputs!$C$7/12,0)</x:f>
      </x:c>
      <x:c r="L168" s="24">
        <x:f>IF($B168&lt;=Inputs!$C$6+Inputs!$C$11,$E168+$F168+$G168+$I168-$K168,0)</x:f>
      </x:c>
      <x:c r="M168" s="24">
        <x:f>IF($B168&lt;=Inputs!$C$6,MAX(0,$C168-$F168-$G168-$H168),0)</x:f>
      </x:c>
    </x:row>
    <x:row r="169">
      <x:c r="B169" s="22" t="n">
        <x:v>166</x:v>
      </x:c>
      <x:c r="C169" s="23">
        <x:f>IF($B169&lt;=Inputs!$C$6+Inputs!$C$11,$M168,"")</x:f>
      </x:c>
      <x:c r="D169" s="24">
        <x:f>IF($B169&lt;=Inputs!$C$6,-PMT(Inputs!$C$5/12,Inputs!$C$6,Inputs!$C$4),0)</x:f>
      </x:c>
      <x:c r="E169" s="24">
        <x:f>IF($B169&lt;=Inputs!$C$6+Inputs!$C$11,$C169*Inputs!$C$5/12,0)</x:f>
      </x:c>
      <x:c r="F169" s="24">
        <x:f>IF($B169&lt;=Inputs!$C$6,MAX(0,$D169-$E169),0)</x:f>
      </x:c>
      <x:c r="G169" s="24">
        <x:f>IF($B169&lt;=Inputs!$C$6,MAX(0,($C169-$F169))*(1-(1-Inputs!$C$8)^(1/12)),0)</x:f>
      </x:c>
      <x:c r="H169" s="24">
        <x:f>IF($B169&lt;=Inputs!$C$6,MAX(0,($C169-$F169-$G169))*(1-(1-Inputs!$C$9)^(1/12)),0)</x:f>
      </x:c>
      <x:c r="I169" s="24">
        <x:f>IF($B169&gt;Inputs!$C$11,INDEX($H:$H,ROW()-Inputs!$C$11)* (1-Inputs!$C$10),0)</x:f>
      </x:c>
      <x:c r="J169" s="24">
        <x:f>$H169*Inputs!$C$10</x:f>
      </x:c>
      <x:c r="K169" s="24">
        <x:f>IF($B169&lt;=Inputs!$C$6+Inputs!$C$11,$C169*Inputs!$C$7/12,0)</x:f>
      </x:c>
      <x:c r="L169" s="24">
        <x:f>IF($B169&lt;=Inputs!$C$6+Inputs!$C$11,$E169+$F169+$G169+$I169-$K169,0)</x:f>
      </x:c>
      <x:c r="M169" s="24">
        <x:f>IF($B169&lt;=Inputs!$C$6,MAX(0,$C169-$F169-$G169-$H169),0)</x:f>
      </x:c>
    </x:row>
    <x:row r="170">
      <x:c r="B170" s="22" t="n">
        <x:v>167</x:v>
      </x:c>
      <x:c r="C170" s="23">
        <x:f>IF($B170&lt;=Inputs!$C$6+Inputs!$C$11,$M169,"")</x:f>
      </x:c>
      <x:c r="D170" s="24">
        <x:f>IF($B170&lt;=Inputs!$C$6,-PMT(Inputs!$C$5/12,Inputs!$C$6,Inputs!$C$4),0)</x:f>
      </x:c>
      <x:c r="E170" s="24">
        <x:f>IF($B170&lt;=Inputs!$C$6+Inputs!$C$11,$C170*Inputs!$C$5/12,0)</x:f>
      </x:c>
      <x:c r="F170" s="24">
        <x:f>IF($B170&lt;=Inputs!$C$6,MAX(0,$D170-$E170),0)</x:f>
      </x:c>
      <x:c r="G170" s="24">
        <x:f>IF($B170&lt;=Inputs!$C$6,MAX(0,($C170-$F170))*(1-(1-Inputs!$C$8)^(1/12)),0)</x:f>
      </x:c>
      <x:c r="H170" s="24">
        <x:f>IF($B170&lt;=Inputs!$C$6,MAX(0,($C170-$F170-$G170))*(1-(1-Inputs!$C$9)^(1/12)),0)</x:f>
      </x:c>
      <x:c r="I170" s="24">
        <x:f>IF($B170&gt;Inputs!$C$11,INDEX($H:$H,ROW()-Inputs!$C$11)* (1-Inputs!$C$10),0)</x:f>
      </x:c>
      <x:c r="J170" s="24">
        <x:f>$H170*Inputs!$C$10</x:f>
      </x:c>
      <x:c r="K170" s="24">
        <x:f>IF($B170&lt;=Inputs!$C$6+Inputs!$C$11,$C170*Inputs!$C$7/12,0)</x:f>
      </x:c>
      <x:c r="L170" s="24">
        <x:f>IF($B170&lt;=Inputs!$C$6+Inputs!$C$11,$E170+$F170+$G170+$I170-$K170,0)</x:f>
      </x:c>
      <x:c r="M170" s="24">
        <x:f>IF($B170&lt;=Inputs!$C$6,MAX(0,$C170-$F170-$G170-$H170),0)</x:f>
      </x:c>
    </x:row>
    <x:row r="171">
      <x:c r="B171" s="22" t="n">
        <x:v>168</x:v>
      </x:c>
      <x:c r="C171" s="23">
        <x:f>IF($B171&lt;=Inputs!$C$6+Inputs!$C$11,$M170,"")</x:f>
      </x:c>
      <x:c r="D171" s="24">
        <x:f>IF($B171&lt;=Inputs!$C$6,-PMT(Inputs!$C$5/12,Inputs!$C$6,Inputs!$C$4),0)</x:f>
      </x:c>
      <x:c r="E171" s="24">
        <x:f>IF($B171&lt;=Inputs!$C$6+Inputs!$C$11,$C171*Inputs!$C$5/12,0)</x:f>
      </x:c>
      <x:c r="F171" s="24">
        <x:f>IF($B171&lt;=Inputs!$C$6,MAX(0,$D171-$E171),0)</x:f>
      </x:c>
      <x:c r="G171" s="24">
        <x:f>IF($B171&lt;=Inputs!$C$6,MAX(0,($C171-$F171))*(1-(1-Inputs!$C$8)^(1/12)),0)</x:f>
      </x:c>
      <x:c r="H171" s="24">
        <x:f>IF($B171&lt;=Inputs!$C$6,MAX(0,($C171-$F171-$G171))*(1-(1-Inputs!$C$9)^(1/12)),0)</x:f>
      </x:c>
      <x:c r="I171" s="24">
        <x:f>IF($B171&gt;Inputs!$C$11,INDEX($H:$H,ROW()-Inputs!$C$11)* (1-Inputs!$C$10),0)</x:f>
      </x:c>
      <x:c r="J171" s="24">
        <x:f>$H171*Inputs!$C$10</x:f>
      </x:c>
      <x:c r="K171" s="24">
        <x:f>IF($B171&lt;=Inputs!$C$6+Inputs!$C$11,$C171*Inputs!$C$7/12,0)</x:f>
      </x:c>
      <x:c r="L171" s="24">
        <x:f>IF($B171&lt;=Inputs!$C$6+Inputs!$C$11,$E171+$F171+$G171+$I171-$K171,0)</x:f>
      </x:c>
      <x:c r="M171" s="24">
        <x:f>IF($B171&lt;=Inputs!$C$6,MAX(0,$C171-$F171-$G171-$H171),0)</x:f>
      </x:c>
    </x:row>
    <x:row r="172">
      <x:c r="B172" s="22" t="n">
        <x:v>169</x:v>
      </x:c>
      <x:c r="C172" s="23">
        <x:f>IF($B172&lt;=Inputs!$C$6+Inputs!$C$11,$M171,"")</x:f>
      </x:c>
      <x:c r="D172" s="24">
        <x:f>IF($B172&lt;=Inputs!$C$6,-PMT(Inputs!$C$5/12,Inputs!$C$6,Inputs!$C$4),0)</x:f>
      </x:c>
      <x:c r="E172" s="24">
        <x:f>IF($B172&lt;=Inputs!$C$6+Inputs!$C$11,$C172*Inputs!$C$5/12,0)</x:f>
      </x:c>
      <x:c r="F172" s="24">
        <x:f>IF($B172&lt;=Inputs!$C$6,MAX(0,$D172-$E172),0)</x:f>
      </x:c>
      <x:c r="G172" s="24">
        <x:f>IF($B172&lt;=Inputs!$C$6,MAX(0,($C172-$F172))*(1-(1-Inputs!$C$8)^(1/12)),0)</x:f>
      </x:c>
      <x:c r="H172" s="24">
        <x:f>IF($B172&lt;=Inputs!$C$6,MAX(0,($C172-$F172-$G172))*(1-(1-Inputs!$C$9)^(1/12)),0)</x:f>
      </x:c>
      <x:c r="I172" s="24">
        <x:f>IF($B172&gt;Inputs!$C$11,INDEX($H:$H,ROW()-Inputs!$C$11)* (1-Inputs!$C$10),0)</x:f>
      </x:c>
      <x:c r="J172" s="24">
        <x:f>$H172*Inputs!$C$10</x:f>
      </x:c>
      <x:c r="K172" s="24">
        <x:f>IF($B172&lt;=Inputs!$C$6+Inputs!$C$11,$C172*Inputs!$C$7/12,0)</x:f>
      </x:c>
      <x:c r="L172" s="24">
        <x:f>IF($B172&lt;=Inputs!$C$6+Inputs!$C$11,$E172+$F172+$G172+$I172-$K172,0)</x:f>
      </x:c>
      <x:c r="M172" s="24">
        <x:f>IF($B172&lt;=Inputs!$C$6,MAX(0,$C172-$F172-$G172-$H172),0)</x:f>
      </x:c>
    </x:row>
    <x:row r="173">
      <x:c r="B173" s="22" t="n">
        <x:v>170</x:v>
      </x:c>
      <x:c r="C173" s="23">
        <x:f>IF($B173&lt;=Inputs!$C$6+Inputs!$C$11,$M172,"")</x:f>
      </x:c>
      <x:c r="D173" s="24">
        <x:f>IF($B173&lt;=Inputs!$C$6,-PMT(Inputs!$C$5/12,Inputs!$C$6,Inputs!$C$4),0)</x:f>
      </x:c>
      <x:c r="E173" s="24">
        <x:f>IF($B173&lt;=Inputs!$C$6+Inputs!$C$11,$C173*Inputs!$C$5/12,0)</x:f>
      </x:c>
      <x:c r="F173" s="24">
        <x:f>IF($B173&lt;=Inputs!$C$6,MAX(0,$D173-$E173),0)</x:f>
      </x:c>
      <x:c r="G173" s="24">
        <x:f>IF($B173&lt;=Inputs!$C$6,MAX(0,($C173-$F173))*(1-(1-Inputs!$C$8)^(1/12)),0)</x:f>
      </x:c>
      <x:c r="H173" s="24">
        <x:f>IF($B173&lt;=Inputs!$C$6,MAX(0,($C173-$F173-$G173))*(1-(1-Inputs!$C$9)^(1/12)),0)</x:f>
      </x:c>
      <x:c r="I173" s="24">
        <x:f>IF($B173&gt;Inputs!$C$11,INDEX($H:$H,ROW()-Inputs!$C$11)* (1-Inputs!$C$10),0)</x:f>
      </x:c>
      <x:c r="J173" s="24">
        <x:f>$H173*Inputs!$C$10</x:f>
      </x:c>
      <x:c r="K173" s="24">
        <x:f>IF($B173&lt;=Inputs!$C$6+Inputs!$C$11,$C173*Inputs!$C$7/12,0)</x:f>
      </x:c>
      <x:c r="L173" s="24">
        <x:f>IF($B173&lt;=Inputs!$C$6+Inputs!$C$11,$E173+$F173+$G173+$I173-$K173,0)</x:f>
      </x:c>
      <x:c r="M173" s="24">
        <x:f>IF($B173&lt;=Inputs!$C$6,MAX(0,$C173-$F173-$G173-$H173),0)</x:f>
      </x:c>
    </x:row>
    <x:row r="174">
      <x:c r="B174" s="22" t="n">
        <x:v>171</x:v>
      </x:c>
      <x:c r="C174" s="23">
        <x:f>IF($B174&lt;=Inputs!$C$6+Inputs!$C$11,$M173,"")</x:f>
      </x:c>
      <x:c r="D174" s="24">
        <x:f>IF($B174&lt;=Inputs!$C$6,-PMT(Inputs!$C$5/12,Inputs!$C$6,Inputs!$C$4),0)</x:f>
      </x:c>
      <x:c r="E174" s="24">
        <x:f>IF($B174&lt;=Inputs!$C$6+Inputs!$C$11,$C174*Inputs!$C$5/12,0)</x:f>
      </x:c>
      <x:c r="F174" s="24">
        <x:f>IF($B174&lt;=Inputs!$C$6,MAX(0,$D174-$E174),0)</x:f>
      </x:c>
      <x:c r="G174" s="24">
        <x:f>IF($B174&lt;=Inputs!$C$6,MAX(0,($C174-$F174))*(1-(1-Inputs!$C$8)^(1/12)),0)</x:f>
      </x:c>
      <x:c r="H174" s="24">
        <x:f>IF($B174&lt;=Inputs!$C$6,MAX(0,($C174-$F174-$G174))*(1-(1-Inputs!$C$9)^(1/12)),0)</x:f>
      </x:c>
      <x:c r="I174" s="24">
        <x:f>IF($B174&gt;Inputs!$C$11,INDEX($H:$H,ROW()-Inputs!$C$11)* (1-Inputs!$C$10),0)</x:f>
      </x:c>
      <x:c r="J174" s="24">
        <x:f>$H174*Inputs!$C$10</x:f>
      </x:c>
      <x:c r="K174" s="24">
        <x:f>IF($B174&lt;=Inputs!$C$6+Inputs!$C$11,$C174*Inputs!$C$7/12,0)</x:f>
      </x:c>
      <x:c r="L174" s="24">
        <x:f>IF($B174&lt;=Inputs!$C$6+Inputs!$C$11,$E174+$F174+$G174+$I174-$K174,0)</x:f>
      </x:c>
      <x:c r="M174" s="24">
        <x:f>IF($B174&lt;=Inputs!$C$6,MAX(0,$C174-$F174-$G174-$H174),0)</x:f>
      </x:c>
    </x:row>
    <x:row r="175">
      <x:c r="B175" s="22" t="n">
        <x:v>172</x:v>
      </x:c>
      <x:c r="C175" s="23">
        <x:f>IF($B175&lt;=Inputs!$C$6+Inputs!$C$11,$M174,"")</x:f>
      </x:c>
      <x:c r="D175" s="24">
        <x:f>IF($B175&lt;=Inputs!$C$6,-PMT(Inputs!$C$5/12,Inputs!$C$6,Inputs!$C$4),0)</x:f>
      </x:c>
      <x:c r="E175" s="24">
        <x:f>IF($B175&lt;=Inputs!$C$6+Inputs!$C$11,$C175*Inputs!$C$5/12,0)</x:f>
      </x:c>
      <x:c r="F175" s="24">
        <x:f>IF($B175&lt;=Inputs!$C$6,MAX(0,$D175-$E175),0)</x:f>
      </x:c>
      <x:c r="G175" s="24">
        <x:f>IF($B175&lt;=Inputs!$C$6,MAX(0,($C175-$F175))*(1-(1-Inputs!$C$8)^(1/12)),0)</x:f>
      </x:c>
      <x:c r="H175" s="24">
        <x:f>IF($B175&lt;=Inputs!$C$6,MAX(0,($C175-$F175-$G175))*(1-(1-Inputs!$C$9)^(1/12)),0)</x:f>
      </x:c>
      <x:c r="I175" s="24">
        <x:f>IF($B175&gt;Inputs!$C$11,INDEX($H:$H,ROW()-Inputs!$C$11)* (1-Inputs!$C$10),0)</x:f>
      </x:c>
      <x:c r="J175" s="24">
        <x:f>$H175*Inputs!$C$10</x:f>
      </x:c>
      <x:c r="K175" s="24">
        <x:f>IF($B175&lt;=Inputs!$C$6+Inputs!$C$11,$C175*Inputs!$C$7/12,0)</x:f>
      </x:c>
      <x:c r="L175" s="24">
        <x:f>IF($B175&lt;=Inputs!$C$6+Inputs!$C$11,$E175+$F175+$G175+$I175-$K175,0)</x:f>
      </x:c>
      <x:c r="M175" s="24">
        <x:f>IF($B175&lt;=Inputs!$C$6,MAX(0,$C175-$F175-$G175-$H175),0)</x:f>
      </x:c>
    </x:row>
    <x:row r="176">
      <x:c r="B176" s="22" t="n">
        <x:v>173</x:v>
      </x:c>
      <x:c r="C176" s="23">
        <x:f>IF($B176&lt;=Inputs!$C$6+Inputs!$C$11,$M175,"")</x:f>
      </x:c>
      <x:c r="D176" s="24">
        <x:f>IF($B176&lt;=Inputs!$C$6,-PMT(Inputs!$C$5/12,Inputs!$C$6,Inputs!$C$4),0)</x:f>
      </x:c>
      <x:c r="E176" s="24">
        <x:f>IF($B176&lt;=Inputs!$C$6+Inputs!$C$11,$C176*Inputs!$C$5/12,0)</x:f>
      </x:c>
      <x:c r="F176" s="24">
        <x:f>IF($B176&lt;=Inputs!$C$6,MAX(0,$D176-$E176),0)</x:f>
      </x:c>
      <x:c r="G176" s="24">
        <x:f>IF($B176&lt;=Inputs!$C$6,MAX(0,($C176-$F176))*(1-(1-Inputs!$C$8)^(1/12)),0)</x:f>
      </x:c>
      <x:c r="H176" s="24">
        <x:f>IF($B176&lt;=Inputs!$C$6,MAX(0,($C176-$F176-$G176))*(1-(1-Inputs!$C$9)^(1/12)),0)</x:f>
      </x:c>
      <x:c r="I176" s="24">
        <x:f>IF($B176&gt;Inputs!$C$11,INDEX($H:$H,ROW()-Inputs!$C$11)* (1-Inputs!$C$10),0)</x:f>
      </x:c>
      <x:c r="J176" s="24">
        <x:f>$H176*Inputs!$C$10</x:f>
      </x:c>
      <x:c r="K176" s="24">
        <x:f>IF($B176&lt;=Inputs!$C$6+Inputs!$C$11,$C176*Inputs!$C$7/12,0)</x:f>
      </x:c>
      <x:c r="L176" s="24">
        <x:f>IF($B176&lt;=Inputs!$C$6+Inputs!$C$11,$E176+$F176+$G176+$I176-$K176,0)</x:f>
      </x:c>
      <x:c r="M176" s="24">
        <x:f>IF($B176&lt;=Inputs!$C$6,MAX(0,$C176-$F176-$G176-$H176),0)</x:f>
      </x:c>
    </x:row>
    <x:row r="177">
      <x:c r="B177" s="22" t="n">
        <x:v>174</x:v>
      </x:c>
      <x:c r="C177" s="23">
        <x:f>IF($B177&lt;=Inputs!$C$6+Inputs!$C$11,$M176,"")</x:f>
      </x:c>
      <x:c r="D177" s="24">
        <x:f>IF($B177&lt;=Inputs!$C$6,-PMT(Inputs!$C$5/12,Inputs!$C$6,Inputs!$C$4),0)</x:f>
      </x:c>
      <x:c r="E177" s="24">
        <x:f>IF($B177&lt;=Inputs!$C$6+Inputs!$C$11,$C177*Inputs!$C$5/12,0)</x:f>
      </x:c>
      <x:c r="F177" s="24">
        <x:f>IF($B177&lt;=Inputs!$C$6,MAX(0,$D177-$E177),0)</x:f>
      </x:c>
      <x:c r="G177" s="24">
        <x:f>IF($B177&lt;=Inputs!$C$6,MAX(0,($C177-$F177))*(1-(1-Inputs!$C$8)^(1/12)),0)</x:f>
      </x:c>
      <x:c r="H177" s="24">
        <x:f>IF($B177&lt;=Inputs!$C$6,MAX(0,($C177-$F177-$G177))*(1-(1-Inputs!$C$9)^(1/12)),0)</x:f>
      </x:c>
      <x:c r="I177" s="24">
        <x:f>IF($B177&gt;Inputs!$C$11,INDEX($H:$H,ROW()-Inputs!$C$11)* (1-Inputs!$C$10),0)</x:f>
      </x:c>
      <x:c r="J177" s="24">
        <x:f>$H177*Inputs!$C$10</x:f>
      </x:c>
      <x:c r="K177" s="24">
        <x:f>IF($B177&lt;=Inputs!$C$6+Inputs!$C$11,$C177*Inputs!$C$7/12,0)</x:f>
      </x:c>
      <x:c r="L177" s="24">
        <x:f>IF($B177&lt;=Inputs!$C$6+Inputs!$C$11,$E177+$F177+$G177+$I177-$K177,0)</x:f>
      </x:c>
      <x:c r="M177" s="24">
        <x:f>IF($B177&lt;=Inputs!$C$6,MAX(0,$C177-$F177-$G177-$H177),0)</x:f>
      </x:c>
    </x:row>
    <x:row r="178">
      <x:c r="B178" s="22" t="n">
        <x:v>175</x:v>
      </x:c>
      <x:c r="C178" s="23">
        <x:f>IF($B178&lt;=Inputs!$C$6+Inputs!$C$11,$M177,"")</x:f>
      </x:c>
      <x:c r="D178" s="24">
        <x:f>IF($B178&lt;=Inputs!$C$6,-PMT(Inputs!$C$5/12,Inputs!$C$6,Inputs!$C$4),0)</x:f>
      </x:c>
      <x:c r="E178" s="24">
        <x:f>IF($B178&lt;=Inputs!$C$6+Inputs!$C$11,$C178*Inputs!$C$5/12,0)</x:f>
      </x:c>
      <x:c r="F178" s="24">
        <x:f>IF($B178&lt;=Inputs!$C$6,MAX(0,$D178-$E178),0)</x:f>
      </x:c>
      <x:c r="G178" s="24">
        <x:f>IF($B178&lt;=Inputs!$C$6,MAX(0,($C178-$F178))*(1-(1-Inputs!$C$8)^(1/12)),0)</x:f>
      </x:c>
      <x:c r="H178" s="24">
        <x:f>IF($B178&lt;=Inputs!$C$6,MAX(0,($C178-$F178-$G178))*(1-(1-Inputs!$C$9)^(1/12)),0)</x:f>
      </x:c>
      <x:c r="I178" s="24">
        <x:f>IF($B178&gt;Inputs!$C$11,INDEX($H:$H,ROW()-Inputs!$C$11)* (1-Inputs!$C$10),0)</x:f>
      </x:c>
      <x:c r="J178" s="24">
        <x:f>$H178*Inputs!$C$10</x:f>
      </x:c>
      <x:c r="K178" s="24">
        <x:f>IF($B178&lt;=Inputs!$C$6+Inputs!$C$11,$C178*Inputs!$C$7/12,0)</x:f>
      </x:c>
      <x:c r="L178" s="24">
        <x:f>IF($B178&lt;=Inputs!$C$6+Inputs!$C$11,$E178+$F178+$G178+$I178-$K178,0)</x:f>
      </x:c>
      <x:c r="M178" s="24">
        <x:f>IF($B178&lt;=Inputs!$C$6,MAX(0,$C178-$F178-$G178-$H178),0)</x:f>
      </x:c>
    </x:row>
    <x:row r="179">
      <x:c r="B179" s="22" t="n">
        <x:v>176</x:v>
      </x:c>
      <x:c r="C179" s="23">
        <x:f>IF($B179&lt;=Inputs!$C$6+Inputs!$C$11,$M178,"")</x:f>
      </x:c>
      <x:c r="D179" s="24">
        <x:f>IF($B179&lt;=Inputs!$C$6,-PMT(Inputs!$C$5/12,Inputs!$C$6,Inputs!$C$4),0)</x:f>
      </x:c>
      <x:c r="E179" s="24">
        <x:f>IF($B179&lt;=Inputs!$C$6+Inputs!$C$11,$C179*Inputs!$C$5/12,0)</x:f>
      </x:c>
      <x:c r="F179" s="24">
        <x:f>IF($B179&lt;=Inputs!$C$6,MAX(0,$D179-$E179),0)</x:f>
      </x:c>
      <x:c r="G179" s="24">
        <x:f>IF($B179&lt;=Inputs!$C$6,MAX(0,($C179-$F179))*(1-(1-Inputs!$C$8)^(1/12)),0)</x:f>
      </x:c>
      <x:c r="H179" s="24">
        <x:f>IF($B179&lt;=Inputs!$C$6,MAX(0,($C179-$F179-$G179))*(1-(1-Inputs!$C$9)^(1/12)),0)</x:f>
      </x:c>
      <x:c r="I179" s="24">
        <x:f>IF($B179&gt;Inputs!$C$11,INDEX($H:$H,ROW()-Inputs!$C$11)* (1-Inputs!$C$10),0)</x:f>
      </x:c>
      <x:c r="J179" s="24">
        <x:f>$H179*Inputs!$C$10</x:f>
      </x:c>
      <x:c r="K179" s="24">
        <x:f>IF($B179&lt;=Inputs!$C$6+Inputs!$C$11,$C179*Inputs!$C$7/12,0)</x:f>
      </x:c>
      <x:c r="L179" s="24">
        <x:f>IF($B179&lt;=Inputs!$C$6+Inputs!$C$11,$E179+$F179+$G179+$I179-$K179,0)</x:f>
      </x:c>
      <x:c r="M179" s="24">
        <x:f>IF($B179&lt;=Inputs!$C$6,MAX(0,$C179-$F179-$G179-$H179),0)</x:f>
      </x:c>
    </x:row>
    <x:row r="180">
      <x:c r="B180" s="22" t="n">
        <x:v>177</x:v>
      </x:c>
      <x:c r="C180" s="23">
        <x:f>IF($B180&lt;=Inputs!$C$6+Inputs!$C$11,$M179,"")</x:f>
      </x:c>
      <x:c r="D180" s="24">
        <x:f>IF($B180&lt;=Inputs!$C$6,-PMT(Inputs!$C$5/12,Inputs!$C$6,Inputs!$C$4),0)</x:f>
      </x:c>
      <x:c r="E180" s="24">
        <x:f>IF($B180&lt;=Inputs!$C$6+Inputs!$C$11,$C180*Inputs!$C$5/12,0)</x:f>
      </x:c>
      <x:c r="F180" s="24">
        <x:f>IF($B180&lt;=Inputs!$C$6,MAX(0,$D180-$E180),0)</x:f>
      </x:c>
      <x:c r="G180" s="24">
        <x:f>IF($B180&lt;=Inputs!$C$6,MAX(0,($C180-$F180))*(1-(1-Inputs!$C$8)^(1/12)),0)</x:f>
      </x:c>
      <x:c r="H180" s="24">
        <x:f>IF($B180&lt;=Inputs!$C$6,MAX(0,($C180-$F180-$G180))*(1-(1-Inputs!$C$9)^(1/12)),0)</x:f>
      </x:c>
      <x:c r="I180" s="24">
        <x:f>IF($B180&gt;Inputs!$C$11,INDEX($H:$H,ROW()-Inputs!$C$11)* (1-Inputs!$C$10),0)</x:f>
      </x:c>
      <x:c r="J180" s="24">
        <x:f>$H180*Inputs!$C$10</x:f>
      </x:c>
      <x:c r="K180" s="24">
        <x:f>IF($B180&lt;=Inputs!$C$6+Inputs!$C$11,$C180*Inputs!$C$7/12,0)</x:f>
      </x:c>
      <x:c r="L180" s="24">
        <x:f>IF($B180&lt;=Inputs!$C$6+Inputs!$C$11,$E180+$F180+$G180+$I180-$K180,0)</x:f>
      </x:c>
      <x:c r="M180" s="24">
        <x:f>IF($B180&lt;=Inputs!$C$6,MAX(0,$C180-$F180-$G180-$H180),0)</x:f>
      </x:c>
    </x:row>
    <x:row r="181">
      <x:c r="B181" s="22" t="n">
        <x:v>178</x:v>
      </x:c>
      <x:c r="C181" s="23">
        <x:f>IF($B181&lt;=Inputs!$C$6+Inputs!$C$11,$M180,"")</x:f>
      </x:c>
      <x:c r="D181" s="24">
        <x:f>IF($B181&lt;=Inputs!$C$6,-PMT(Inputs!$C$5/12,Inputs!$C$6,Inputs!$C$4),0)</x:f>
      </x:c>
      <x:c r="E181" s="24">
        <x:f>IF($B181&lt;=Inputs!$C$6+Inputs!$C$11,$C181*Inputs!$C$5/12,0)</x:f>
      </x:c>
      <x:c r="F181" s="24">
        <x:f>IF($B181&lt;=Inputs!$C$6,MAX(0,$D181-$E181),0)</x:f>
      </x:c>
      <x:c r="G181" s="24">
        <x:f>IF($B181&lt;=Inputs!$C$6,MAX(0,($C181-$F181))*(1-(1-Inputs!$C$8)^(1/12)),0)</x:f>
      </x:c>
      <x:c r="H181" s="24">
        <x:f>IF($B181&lt;=Inputs!$C$6,MAX(0,($C181-$F181-$G181))*(1-(1-Inputs!$C$9)^(1/12)),0)</x:f>
      </x:c>
      <x:c r="I181" s="24">
        <x:f>IF($B181&gt;Inputs!$C$11,INDEX($H:$H,ROW()-Inputs!$C$11)* (1-Inputs!$C$10),0)</x:f>
      </x:c>
      <x:c r="J181" s="24">
        <x:f>$H181*Inputs!$C$10</x:f>
      </x:c>
      <x:c r="K181" s="24">
        <x:f>IF($B181&lt;=Inputs!$C$6+Inputs!$C$11,$C181*Inputs!$C$7/12,0)</x:f>
      </x:c>
      <x:c r="L181" s="24">
        <x:f>IF($B181&lt;=Inputs!$C$6+Inputs!$C$11,$E181+$F181+$G181+$I181-$K181,0)</x:f>
      </x:c>
      <x:c r="M181" s="24">
        <x:f>IF($B181&lt;=Inputs!$C$6,MAX(0,$C181-$F181-$G181-$H181),0)</x:f>
      </x:c>
    </x:row>
    <x:row r="182">
      <x:c r="B182" s="22" t="n">
        <x:v>179</x:v>
      </x:c>
      <x:c r="C182" s="23">
        <x:f>IF($B182&lt;=Inputs!$C$6+Inputs!$C$11,$M181,"")</x:f>
      </x:c>
      <x:c r="D182" s="24">
        <x:f>IF($B182&lt;=Inputs!$C$6,-PMT(Inputs!$C$5/12,Inputs!$C$6,Inputs!$C$4),0)</x:f>
      </x:c>
      <x:c r="E182" s="24">
        <x:f>IF($B182&lt;=Inputs!$C$6+Inputs!$C$11,$C182*Inputs!$C$5/12,0)</x:f>
      </x:c>
      <x:c r="F182" s="24">
        <x:f>IF($B182&lt;=Inputs!$C$6,MAX(0,$D182-$E182),0)</x:f>
      </x:c>
      <x:c r="G182" s="24">
        <x:f>IF($B182&lt;=Inputs!$C$6,MAX(0,($C182-$F182))*(1-(1-Inputs!$C$8)^(1/12)),0)</x:f>
      </x:c>
      <x:c r="H182" s="24">
        <x:f>IF($B182&lt;=Inputs!$C$6,MAX(0,($C182-$F182-$G182))*(1-(1-Inputs!$C$9)^(1/12)),0)</x:f>
      </x:c>
      <x:c r="I182" s="24">
        <x:f>IF($B182&gt;Inputs!$C$11,INDEX($H:$H,ROW()-Inputs!$C$11)* (1-Inputs!$C$10),0)</x:f>
      </x:c>
      <x:c r="J182" s="24">
        <x:f>$H182*Inputs!$C$10</x:f>
      </x:c>
      <x:c r="K182" s="24">
        <x:f>IF($B182&lt;=Inputs!$C$6+Inputs!$C$11,$C182*Inputs!$C$7/12,0)</x:f>
      </x:c>
      <x:c r="L182" s="24">
        <x:f>IF($B182&lt;=Inputs!$C$6+Inputs!$C$11,$E182+$F182+$G182+$I182-$K182,0)</x:f>
      </x:c>
      <x:c r="M182" s="24">
        <x:f>IF($B182&lt;=Inputs!$C$6,MAX(0,$C182-$F182-$G182-$H182),0)</x:f>
      </x:c>
    </x:row>
    <x:row r="183">
      <x:c r="B183" s="22" t="n">
        <x:v>180</x:v>
      </x:c>
      <x:c r="C183" s="23">
        <x:f>IF($B183&lt;=Inputs!$C$6+Inputs!$C$11,$M182,"")</x:f>
      </x:c>
      <x:c r="D183" s="24">
        <x:f>IF($B183&lt;=Inputs!$C$6,-PMT(Inputs!$C$5/12,Inputs!$C$6,Inputs!$C$4),0)</x:f>
      </x:c>
      <x:c r="E183" s="24">
        <x:f>IF($B183&lt;=Inputs!$C$6+Inputs!$C$11,$C183*Inputs!$C$5/12,0)</x:f>
      </x:c>
      <x:c r="F183" s="24">
        <x:f>IF($B183&lt;=Inputs!$C$6,MAX(0,$D183-$E183),0)</x:f>
      </x:c>
      <x:c r="G183" s="24">
        <x:f>IF($B183&lt;=Inputs!$C$6,MAX(0,($C183-$F183))*(1-(1-Inputs!$C$8)^(1/12)),0)</x:f>
      </x:c>
      <x:c r="H183" s="24">
        <x:f>IF($B183&lt;=Inputs!$C$6,MAX(0,($C183-$F183-$G183))*(1-(1-Inputs!$C$9)^(1/12)),0)</x:f>
      </x:c>
      <x:c r="I183" s="24">
        <x:f>IF($B183&gt;Inputs!$C$11,INDEX($H:$H,ROW()-Inputs!$C$11)* (1-Inputs!$C$10),0)</x:f>
      </x:c>
      <x:c r="J183" s="24">
        <x:f>$H183*Inputs!$C$10</x:f>
      </x:c>
      <x:c r="K183" s="24">
        <x:f>IF($B183&lt;=Inputs!$C$6+Inputs!$C$11,$C183*Inputs!$C$7/12,0)</x:f>
      </x:c>
      <x:c r="L183" s="24">
        <x:f>IF($B183&lt;=Inputs!$C$6+Inputs!$C$11,$E183+$F183+$G183+$I183-$K183,0)</x:f>
      </x:c>
      <x:c r="M183" s="24">
        <x:f>IF($B183&lt;=Inputs!$C$6,MAX(0,$C183-$F183-$G183-$H183),0)</x:f>
      </x:c>
    </x:row>
    <x:row r="184">
      <x:c r="B184" s="22" t="n">
        <x:v>181</x:v>
      </x:c>
      <x:c r="C184" s="23">
        <x:f>IF($B184&lt;=Inputs!$C$6+Inputs!$C$11,$M183,"")</x:f>
      </x:c>
      <x:c r="D184" s="24">
        <x:f>IF($B184&lt;=Inputs!$C$6,-PMT(Inputs!$C$5/12,Inputs!$C$6,Inputs!$C$4),0)</x:f>
      </x:c>
      <x:c r="E184" s="24">
        <x:f>IF($B184&lt;=Inputs!$C$6+Inputs!$C$11,$C184*Inputs!$C$5/12,0)</x:f>
      </x:c>
      <x:c r="F184" s="24">
        <x:f>IF($B184&lt;=Inputs!$C$6,MAX(0,$D184-$E184),0)</x:f>
      </x:c>
      <x:c r="G184" s="24">
        <x:f>IF($B184&lt;=Inputs!$C$6,MAX(0,($C184-$F184))*(1-(1-Inputs!$C$8)^(1/12)),0)</x:f>
      </x:c>
      <x:c r="H184" s="24">
        <x:f>IF($B184&lt;=Inputs!$C$6,MAX(0,($C184-$F184-$G184))*(1-(1-Inputs!$C$9)^(1/12)),0)</x:f>
      </x:c>
      <x:c r="I184" s="24">
        <x:f>IF($B184&gt;Inputs!$C$11,INDEX($H:$H,ROW()-Inputs!$C$11)* (1-Inputs!$C$10),0)</x:f>
      </x:c>
      <x:c r="J184" s="24">
        <x:f>$H184*Inputs!$C$10</x:f>
      </x:c>
      <x:c r="K184" s="24">
        <x:f>IF($B184&lt;=Inputs!$C$6+Inputs!$C$11,$C184*Inputs!$C$7/12,0)</x:f>
      </x:c>
      <x:c r="L184" s="24">
        <x:f>IF($B184&lt;=Inputs!$C$6+Inputs!$C$11,$E184+$F184+$G184+$I184-$K184,0)</x:f>
      </x:c>
      <x:c r="M184" s="24">
        <x:f>IF($B184&lt;=Inputs!$C$6,MAX(0,$C184-$F184-$G184-$H184),0)</x:f>
      </x:c>
    </x:row>
    <x:row r="185">
      <x:c r="B185" s="22" t="n">
        <x:v>182</x:v>
      </x:c>
      <x:c r="C185" s="23">
        <x:f>IF($B185&lt;=Inputs!$C$6+Inputs!$C$11,$M184,"")</x:f>
      </x:c>
      <x:c r="D185" s="24">
        <x:f>IF($B185&lt;=Inputs!$C$6,-PMT(Inputs!$C$5/12,Inputs!$C$6,Inputs!$C$4),0)</x:f>
      </x:c>
      <x:c r="E185" s="24">
        <x:f>IF($B185&lt;=Inputs!$C$6+Inputs!$C$11,$C185*Inputs!$C$5/12,0)</x:f>
      </x:c>
      <x:c r="F185" s="24">
        <x:f>IF($B185&lt;=Inputs!$C$6,MAX(0,$D185-$E185),0)</x:f>
      </x:c>
      <x:c r="G185" s="24">
        <x:f>IF($B185&lt;=Inputs!$C$6,MAX(0,($C185-$F185))*(1-(1-Inputs!$C$8)^(1/12)),0)</x:f>
      </x:c>
      <x:c r="H185" s="24">
        <x:f>IF($B185&lt;=Inputs!$C$6,MAX(0,($C185-$F185-$G185))*(1-(1-Inputs!$C$9)^(1/12)),0)</x:f>
      </x:c>
      <x:c r="I185" s="24">
        <x:f>IF($B185&gt;Inputs!$C$11,INDEX($H:$H,ROW()-Inputs!$C$11)* (1-Inputs!$C$10),0)</x:f>
      </x:c>
      <x:c r="J185" s="24">
        <x:f>$H185*Inputs!$C$10</x:f>
      </x:c>
      <x:c r="K185" s="24">
        <x:f>IF($B185&lt;=Inputs!$C$6+Inputs!$C$11,$C185*Inputs!$C$7/12,0)</x:f>
      </x:c>
      <x:c r="L185" s="24">
        <x:f>IF($B185&lt;=Inputs!$C$6+Inputs!$C$11,$E185+$F185+$G185+$I185-$K185,0)</x:f>
      </x:c>
      <x:c r="M185" s="24">
        <x:f>IF($B185&lt;=Inputs!$C$6,MAX(0,$C185-$F185-$G185-$H185),0)</x:f>
      </x:c>
    </x:row>
    <x:row r="186">
      <x:c r="B186" s="22" t="n">
        <x:v>183</x:v>
      </x:c>
      <x:c r="C186" s="23">
        <x:f>IF($B186&lt;=Inputs!$C$6+Inputs!$C$11,$M185,"")</x:f>
      </x:c>
      <x:c r="D186" s="24">
        <x:f>IF($B186&lt;=Inputs!$C$6,-PMT(Inputs!$C$5/12,Inputs!$C$6,Inputs!$C$4),0)</x:f>
      </x:c>
      <x:c r="E186" s="24">
        <x:f>IF($B186&lt;=Inputs!$C$6+Inputs!$C$11,$C186*Inputs!$C$5/12,0)</x:f>
      </x:c>
      <x:c r="F186" s="24">
        <x:f>IF($B186&lt;=Inputs!$C$6,MAX(0,$D186-$E186),0)</x:f>
      </x:c>
      <x:c r="G186" s="24">
        <x:f>IF($B186&lt;=Inputs!$C$6,MAX(0,($C186-$F186))*(1-(1-Inputs!$C$8)^(1/12)),0)</x:f>
      </x:c>
      <x:c r="H186" s="24">
        <x:f>IF($B186&lt;=Inputs!$C$6,MAX(0,($C186-$F186-$G186))*(1-(1-Inputs!$C$9)^(1/12)),0)</x:f>
      </x:c>
      <x:c r="I186" s="24">
        <x:f>IF($B186&gt;Inputs!$C$11,INDEX($H:$H,ROW()-Inputs!$C$11)* (1-Inputs!$C$10),0)</x:f>
      </x:c>
      <x:c r="J186" s="24">
        <x:f>$H186*Inputs!$C$10</x:f>
      </x:c>
      <x:c r="K186" s="24">
        <x:f>IF($B186&lt;=Inputs!$C$6+Inputs!$C$11,$C186*Inputs!$C$7/12,0)</x:f>
      </x:c>
      <x:c r="L186" s="24">
        <x:f>IF($B186&lt;=Inputs!$C$6+Inputs!$C$11,$E186+$F186+$G186+$I186-$K186,0)</x:f>
      </x:c>
      <x:c r="M186" s="24">
        <x:f>IF($B186&lt;=Inputs!$C$6,MAX(0,$C186-$F186-$G186-$H186),0)</x:f>
      </x:c>
    </x:row>
    <x:row r="187">
      <x:c r="B187" s="22" t="n">
        <x:v>184</x:v>
      </x:c>
      <x:c r="C187" s="23">
        <x:f>IF($B187&lt;=Inputs!$C$6+Inputs!$C$11,$M186,"")</x:f>
      </x:c>
      <x:c r="D187" s="24">
        <x:f>IF($B187&lt;=Inputs!$C$6,-PMT(Inputs!$C$5/12,Inputs!$C$6,Inputs!$C$4),0)</x:f>
      </x:c>
      <x:c r="E187" s="24">
        <x:f>IF($B187&lt;=Inputs!$C$6+Inputs!$C$11,$C187*Inputs!$C$5/12,0)</x:f>
      </x:c>
      <x:c r="F187" s="24">
        <x:f>IF($B187&lt;=Inputs!$C$6,MAX(0,$D187-$E187),0)</x:f>
      </x:c>
      <x:c r="G187" s="24">
        <x:f>IF($B187&lt;=Inputs!$C$6,MAX(0,($C187-$F187))*(1-(1-Inputs!$C$8)^(1/12)),0)</x:f>
      </x:c>
      <x:c r="H187" s="24">
        <x:f>IF($B187&lt;=Inputs!$C$6,MAX(0,($C187-$F187-$G187))*(1-(1-Inputs!$C$9)^(1/12)),0)</x:f>
      </x:c>
      <x:c r="I187" s="24">
        <x:f>IF($B187&gt;Inputs!$C$11,INDEX($H:$H,ROW()-Inputs!$C$11)* (1-Inputs!$C$10),0)</x:f>
      </x:c>
      <x:c r="J187" s="24">
        <x:f>$H187*Inputs!$C$10</x:f>
      </x:c>
      <x:c r="K187" s="24">
        <x:f>IF($B187&lt;=Inputs!$C$6+Inputs!$C$11,$C187*Inputs!$C$7/12,0)</x:f>
      </x:c>
      <x:c r="L187" s="24">
        <x:f>IF($B187&lt;=Inputs!$C$6+Inputs!$C$11,$E187+$F187+$G187+$I187-$K187,0)</x:f>
      </x:c>
      <x:c r="M187" s="24">
        <x:f>IF($B187&lt;=Inputs!$C$6,MAX(0,$C187-$F187-$G187-$H187),0)</x:f>
      </x:c>
    </x:row>
    <x:row r="188">
      <x:c r="B188" s="22" t="n">
        <x:v>185</x:v>
      </x:c>
      <x:c r="C188" s="23">
        <x:f>IF($B188&lt;=Inputs!$C$6+Inputs!$C$11,$M187,"")</x:f>
      </x:c>
      <x:c r="D188" s="24">
        <x:f>IF($B188&lt;=Inputs!$C$6,-PMT(Inputs!$C$5/12,Inputs!$C$6,Inputs!$C$4),0)</x:f>
      </x:c>
      <x:c r="E188" s="24">
        <x:f>IF($B188&lt;=Inputs!$C$6+Inputs!$C$11,$C188*Inputs!$C$5/12,0)</x:f>
      </x:c>
      <x:c r="F188" s="24">
        <x:f>IF($B188&lt;=Inputs!$C$6,MAX(0,$D188-$E188),0)</x:f>
      </x:c>
      <x:c r="G188" s="24">
        <x:f>IF($B188&lt;=Inputs!$C$6,MAX(0,($C188-$F188))*(1-(1-Inputs!$C$8)^(1/12)),0)</x:f>
      </x:c>
      <x:c r="H188" s="24">
        <x:f>IF($B188&lt;=Inputs!$C$6,MAX(0,($C188-$F188-$G188))*(1-(1-Inputs!$C$9)^(1/12)),0)</x:f>
      </x:c>
      <x:c r="I188" s="24">
        <x:f>IF($B188&gt;Inputs!$C$11,INDEX($H:$H,ROW()-Inputs!$C$11)* (1-Inputs!$C$10),0)</x:f>
      </x:c>
      <x:c r="J188" s="24">
        <x:f>$H188*Inputs!$C$10</x:f>
      </x:c>
      <x:c r="K188" s="24">
        <x:f>IF($B188&lt;=Inputs!$C$6+Inputs!$C$11,$C188*Inputs!$C$7/12,0)</x:f>
      </x:c>
      <x:c r="L188" s="24">
        <x:f>IF($B188&lt;=Inputs!$C$6+Inputs!$C$11,$E188+$F188+$G188+$I188-$K188,0)</x:f>
      </x:c>
      <x:c r="M188" s="24">
        <x:f>IF($B188&lt;=Inputs!$C$6,MAX(0,$C188-$F188-$G188-$H188),0)</x:f>
      </x:c>
    </x:row>
    <x:row r="189">
      <x:c r="B189" s="22" t="n">
        <x:v>186</x:v>
      </x:c>
      <x:c r="C189" s="23">
        <x:f>IF($B189&lt;=Inputs!$C$6+Inputs!$C$11,$M188,"")</x:f>
      </x:c>
      <x:c r="D189" s="24">
        <x:f>IF($B189&lt;=Inputs!$C$6,-PMT(Inputs!$C$5/12,Inputs!$C$6,Inputs!$C$4),0)</x:f>
      </x:c>
      <x:c r="E189" s="24">
        <x:f>IF($B189&lt;=Inputs!$C$6+Inputs!$C$11,$C189*Inputs!$C$5/12,0)</x:f>
      </x:c>
      <x:c r="F189" s="24">
        <x:f>IF($B189&lt;=Inputs!$C$6,MAX(0,$D189-$E189),0)</x:f>
      </x:c>
      <x:c r="G189" s="24">
        <x:f>IF($B189&lt;=Inputs!$C$6,MAX(0,($C189-$F189))*(1-(1-Inputs!$C$8)^(1/12)),0)</x:f>
      </x:c>
      <x:c r="H189" s="24">
        <x:f>IF($B189&lt;=Inputs!$C$6,MAX(0,($C189-$F189-$G189))*(1-(1-Inputs!$C$9)^(1/12)),0)</x:f>
      </x:c>
      <x:c r="I189" s="24">
        <x:f>IF($B189&gt;Inputs!$C$11,INDEX($H:$H,ROW()-Inputs!$C$11)* (1-Inputs!$C$10),0)</x:f>
      </x:c>
      <x:c r="J189" s="24">
        <x:f>$H189*Inputs!$C$10</x:f>
      </x:c>
      <x:c r="K189" s="24">
        <x:f>IF($B189&lt;=Inputs!$C$6+Inputs!$C$11,$C189*Inputs!$C$7/12,0)</x:f>
      </x:c>
      <x:c r="L189" s="24">
        <x:f>IF($B189&lt;=Inputs!$C$6+Inputs!$C$11,$E189+$F189+$G189+$I189-$K189,0)</x:f>
      </x:c>
      <x:c r="M189" s="24">
        <x:f>IF($B189&lt;=Inputs!$C$6,MAX(0,$C189-$F189-$G189-$H189),0)</x:f>
      </x:c>
    </x:row>
    <x:row r="190">
      <x:c r="B190" s="22" t="n">
        <x:v>187</x:v>
      </x:c>
      <x:c r="C190" s="23">
        <x:f>IF($B190&lt;=Inputs!$C$6+Inputs!$C$11,$M189,"")</x:f>
      </x:c>
      <x:c r="D190" s="24">
        <x:f>IF($B190&lt;=Inputs!$C$6,-PMT(Inputs!$C$5/12,Inputs!$C$6,Inputs!$C$4),0)</x:f>
      </x:c>
      <x:c r="E190" s="24">
        <x:f>IF($B190&lt;=Inputs!$C$6+Inputs!$C$11,$C190*Inputs!$C$5/12,0)</x:f>
      </x:c>
      <x:c r="F190" s="24">
        <x:f>IF($B190&lt;=Inputs!$C$6,MAX(0,$D190-$E190),0)</x:f>
      </x:c>
      <x:c r="G190" s="24">
        <x:f>IF($B190&lt;=Inputs!$C$6,MAX(0,($C190-$F190))*(1-(1-Inputs!$C$8)^(1/12)),0)</x:f>
      </x:c>
      <x:c r="H190" s="24">
        <x:f>IF($B190&lt;=Inputs!$C$6,MAX(0,($C190-$F190-$G190))*(1-(1-Inputs!$C$9)^(1/12)),0)</x:f>
      </x:c>
      <x:c r="I190" s="24">
        <x:f>IF($B190&gt;Inputs!$C$11,INDEX($H:$H,ROW()-Inputs!$C$11)* (1-Inputs!$C$10),0)</x:f>
      </x:c>
      <x:c r="J190" s="24">
        <x:f>$H190*Inputs!$C$10</x:f>
      </x:c>
      <x:c r="K190" s="24">
        <x:f>IF($B190&lt;=Inputs!$C$6+Inputs!$C$11,$C190*Inputs!$C$7/12,0)</x:f>
      </x:c>
      <x:c r="L190" s="24">
        <x:f>IF($B190&lt;=Inputs!$C$6+Inputs!$C$11,$E190+$F190+$G190+$I190-$K190,0)</x:f>
      </x:c>
      <x:c r="M190" s="24">
        <x:f>IF($B190&lt;=Inputs!$C$6,MAX(0,$C190-$F190-$G190-$H190),0)</x:f>
      </x:c>
    </x:row>
    <x:row r="191">
      <x:c r="B191" s="22" t="n">
        <x:v>188</x:v>
      </x:c>
      <x:c r="C191" s="23">
        <x:f>IF($B191&lt;=Inputs!$C$6+Inputs!$C$11,$M190,"")</x:f>
      </x:c>
      <x:c r="D191" s="24">
        <x:f>IF($B191&lt;=Inputs!$C$6,-PMT(Inputs!$C$5/12,Inputs!$C$6,Inputs!$C$4),0)</x:f>
      </x:c>
      <x:c r="E191" s="24">
        <x:f>IF($B191&lt;=Inputs!$C$6+Inputs!$C$11,$C191*Inputs!$C$5/12,0)</x:f>
      </x:c>
      <x:c r="F191" s="24">
        <x:f>IF($B191&lt;=Inputs!$C$6,MAX(0,$D191-$E191),0)</x:f>
      </x:c>
      <x:c r="G191" s="24">
        <x:f>IF($B191&lt;=Inputs!$C$6,MAX(0,($C191-$F191))*(1-(1-Inputs!$C$8)^(1/12)),0)</x:f>
      </x:c>
      <x:c r="H191" s="24">
        <x:f>IF($B191&lt;=Inputs!$C$6,MAX(0,($C191-$F191-$G191))*(1-(1-Inputs!$C$9)^(1/12)),0)</x:f>
      </x:c>
      <x:c r="I191" s="24">
        <x:f>IF($B191&gt;Inputs!$C$11,INDEX($H:$H,ROW()-Inputs!$C$11)* (1-Inputs!$C$10),0)</x:f>
      </x:c>
      <x:c r="J191" s="24">
        <x:f>$H191*Inputs!$C$10</x:f>
      </x:c>
      <x:c r="K191" s="24">
        <x:f>IF($B191&lt;=Inputs!$C$6+Inputs!$C$11,$C191*Inputs!$C$7/12,0)</x:f>
      </x:c>
      <x:c r="L191" s="24">
        <x:f>IF($B191&lt;=Inputs!$C$6+Inputs!$C$11,$E191+$F191+$G191+$I191-$K191,0)</x:f>
      </x:c>
      <x:c r="M191" s="24">
        <x:f>IF($B191&lt;=Inputs!$C$6,MAX(0,$C191-$F191-$G191-$H191),0)</x:f>
      </x:c>
    </x:row>
    <x:row r="192">
      <x:c r="B192" s="22" t="n">
        <x:v>189</x:v>
      </x:c>
      <x:c r="C192" s="23">
        <x:f>IF($B192&lt;=Inputs!$C$6+Inputs!$C$11,$M191,"")</x:f>
      </x:c>
      <x:c r="D192" s="24">
        <x:f>IF($B192&lt;=Inputs!$C$6,-PMT(Inputs!$C$5/12,Inputs!$C$6,Inputs!$C$4),0)</x:f>
      </x:c>
      <x:c r="E192" s="24">
        <x:f>IF($B192&lt;=Inputs!$C$6+Inputs!$C$11,$C192*Inputs!$C$5/12,0)</x:f>
      </x:c>
      <x:c r="F192" s="24">
        <x:f>IF($B192&lt;=Inputs!$C$6,MAX(0,$D192-$E192),0)</x:f>
      </x:c>
      <x:c r="G192" s="24">
        <x:f>IF($B192&lt;=Inputs!$C$6,MAX(0,($C192-$F192))*(1-(1-Inputs!$C$8)^(1/12)),0)</x:f>
      </x:c>
      <x:c r="H192" s="24">
        <x:f>IF($B192&lt;=Inputs!$C$6,MAX(0,($C192-$F192-$G192))*(1-(1-Inputs!$C$9)^(1/12)),0)</x:f>
      </x:c>
      <x:c r="I192" s="24">
        <x:f>IF($B192&gt;Inputs!$C$11,INDEX($H:$H,ROW()-Inputs!$C$11)* (1-Inputs!$C$10),0)</x:f>
      </x:c>
      <x:c r="J192" s="24">
        <x:f>$H192*Inputs!$C$10</x:f>
      </x:c>
      <x:c r="K192" s="24">
        <x:f>IF($B192&lt;=Inputs!$C$6+Inputs!$C$11,$C192*Inputs!$C$7/12,0)</x:f>
      </x:c>
      <x:c r="L192" s="24">
        <x:f>IF($B192&lt;=Inputs!$C$6+Inputs!$C$11,$E192+$F192+$G192+$I192-$K192,0)</x:f>
      </x:c>
      <x:c r="M192" s="24">
        <x:f>IF($B192&lt;=Inputs!$C$6,MAX(0,$C192-$F192-$G192-$H192),0)</x:f>
      </x:c>
    </x:row>
    <x:row r="193">
      <x:c r="B193" s="22" t="n">
        <x:v>190</x:v>
      </x:c>
      <x:c r="C193" s="23">
        <x:f>IF($B193&lt;=Inputs!$C$6+Inputs!$C$11,$M192,"")</x:f>
      </x:c>
      <x:c r="D193" s="24">
        <x:f>IF($B193&lt;=Inputs!$C$6,-PMT(Inputs!$C$5/12,Inputs!$C$6,Inputs!$C$4),0)</x:f>
      </x:c>
      <x:c r="E193" s="24">
        <x:f>IF($B193&lt;=Inputs!$C$6+Inputs!$C$11,$C193*Inputs!$C$5/12,0)</x:f>
      </x:c>
      <x:c r="F193" s="24">
        <x:f>IF($B193&lt;=Inputs!$C$6,MAX(0,$D193-$E193),0)</x:f>
      </x:c>
      <x:c r="G193" s="24">
        <x:f>IF($B193&lt;=Inputs!$C$6,MAX(0,($C193-$F193))*(1-(1-Inputs!$C$8)^(1/12)),0)</x:f>
      </x:c>
      <x:c r="H193" s="24">
        <x:f>IF($B193&lt;=Inputs!$C$6,MAX(0,($C193-$F193-$G193))*(1-(1-Inputs!$C$9)^(1/12)),0)</x:f>
      </x:c>
      <x:c r="I193" s="24">
        <x:f>IF($B193&gt;Inputs!$C$11,INDEX($H:$H,ROW()-Inputs!$C$11)* (1-Inputs!$C$10),0)</x:f>
      </x:c>
      <x:c r="J193" s="24">
        <x:f>$H193*Inputs!$C$10</x:f>
      </x:c>
      <x:c r="K193" s="24">
        <x:f>IF($B193&lt;=Inputs!$C$6+Inputs!$C$11,$C193*Inputs!$C$7/12,0)</x:f>
      </x:c>
      <x:c r="L193" s="24">
        <x:f>IF($B193&lt;=Inputs!$C$6+Inputs!$C$11,$E193+$F193+$G193+$I193-$K193,0)</x:f>
      </x:c>
      <x:c r="M193" s="24">
        <x:f>IF($B193&lt;=Inputs!$C$6,MAX(0,$C193-$F193-$G193-$H193),0)</x:f>
      </x:c>
    </x:row>
    <x:row r="194">
      <x:c r="B194" s="22" t="n">
        <x:v>191</x:v>
      </x:c>
      <x:c r="C194" s="23">
        <x:f>IF($B194&lt;=Inputs!$C$6+Inputs!$C$11,$M193,"")</x:f>
      </x:c>
      <x:c r="D194" s="24">
        <x:f>IF($B194&lt;=Inputs!$C$6,-PMT(Inputs!$C$5/12,Inputs!$C$6,Inputs!$C$4),0)</x:f>
      </x:c>
      <x:c r="E194" s="24">
        <x:f>IF($B194&lt;=Inputs!$C$6+Inputs!$C$11,$C194*Inputs!$C$5/12,0)</x:f>
      </x:c>
      <x:c r="F194" s="24">
        <x:f>IF($B194&lt;=Inputs!$C$6,MAX(0,$D194-$E194),0)</x:f>
      </x:c>
      <x:c r="G194" s="24">
        <x:f>IF($B194&lt;=Inputs!$C$6,MAX(0,($C194-$F194))*(1-(1-Inputs!$C$8)^(1/12)),0)</x:f>
      </x:c>
      <x:c r="H194" s="24">
        <x:f>IF($B194&lt;=Inputs!$C$6,MAX(0,($C194-$F194-$G194))*(1-(1-Inputs!$C$9)^(1/12)),0)</x:f>
      </x:c>
      <x:c r="I194" s="24">
        <x:f>IF($B194&gt;Inputs!$C$11,INDEX($H:$H,ROW()-Inputs!$C$11)* (1-Inputs!$C$10),0)</x:f>
      </x:c>
      <x:c r="J194" s="24">
        <x:f>$H194*Inputs!$C$10</x:f>
      </x:c>
      <x:c r="K194" s="24">
        <x:f>IF($B194&lt;=Inputs!$C$6+Inputs!$C$11,$C194*Inputs!$C$7/12,0)</x:f>
      </x:c>
      <x:c r="L194" s="24">
        <x:f>IF($B194&lt;=Inputs!$C$6+Inputs!$C$11,$E194+$F194+$G194+$I194-$K194,0)</x:f>
      </x:c>
      <x:c r="M194" s="24">
        <x:f>IF($B194&lt;=Inputs!$C$6,MAX(0,$C194-$F194-$G194-$H194),0)</x:f>
      </x:c>
    </x:row>
    <x:row r="195">
      <x:c r="B195" s="22" t="n">
        <x:v>192</x:v>
      </x:c>
      <x:c r="C195" s="23">
        <x:f>IF($B195&lt;=Inputs!$C$6+Inputs!$C$11,$M194,"")</x:f>
      </x:c>
      <x:c r="D195" s="24">
        <x:f>IF($B195&lt;=Inputs!$C$6,-PMT(Inputs!$C$5/12,Inputs!$C$6,Inputs!$C$4),0)</x:f>
      </x:c>
      <x:c r="E195" s="24">
        <x:f>IF($B195&lt;=Inputs!$C$6+Inputs!$C$11,$C195*Inputs!$C$5/12,0)</x:f>
      </x:c>
      <x:c r="F195" s="24">
        <x:f>IF($B195&lt;=Inputs!$C$6,MAX(0,$D195-$E195),0)</x:f>
      </x:c>
      <x:c r="G195" s="24">
        <x:f>IF($B195&lt;=Inputs!$C$6,MAX(0,($C195-$F195))*(1-(1-Inputs!$C$8)^(1/12)),0)</x:f>
      </x:c>
      <x:c r="H195" s="24">
        <x:f>IF($B195&lt;=Inputs!$C$6,MAX(0,($C195-$F195-$G195))*(1-(1-Inputs!$C$9)^(1/12)),0)</x:f>
      </x:c>
      <x:c r="I195" s="24">
        <x:f>IF($B195&gt;Inputs!$C$11,INDEX($H:$H,ROW()-Inputs!$C$11)* (1-Inputs!$C$10),0)</x:f>
      </x:c>
      <x:c r="J195" s="24">
        <x:f>$H195*Inputs!$C$10</x:f>
      </x:c>
      <x:c r="K195" s="24">
        <x:f>IF($B195&lt;=Inputs!$C$6+Inputs!$C$11,$C195*Inputs!$C$7/12,0)</x:f>
      </x:c>
      <x:c r="L195" s="24">
        <x:f>IF($B195&lt;=Inputs!$C$6+Inputs!$C$11,$E195+$F195+$G195+$I195-$K195,0)</x:f>
      </x:c>
      <x:c r="M195" s="24">
        <x:f>IF($B195&lt;=Inputs!$C$6,MAX(0,$C195-$F195-$G195-$H195),0)</x:f>
      </x:c>
    </x:row>
    <x:row r="196">
      <x:c r="B196" s="22" t="n">
        <x:v>193</x:v>
      </x:c>
      <x:c r="C196" s="23">
        <x:f>IF($B196&lt;=Inputs!$C$6+Inputs!$C$11,$M195,"")</x:f>
      </x:c>
      <x:c r="D196" s="24">
        <x:f>IF($B196&lt;=Inputs!$C$6,-PMT(Inputs!$C$5/12,Inputs!$C$6,Inputs!$C$4),0)</x:f>
      </x:c>
      <x:c r="E196" s="24">
        <x:f>IF($B196&lt;=Inputs!$C$6+Inputs!$C$11,$C196*Inputs!$C$5/12,0)</x:f>
      </x:c>
      <x:c r="F196" s="24">
        <x:f>IF($B196&lt;=Inputs!$C$6,MAX(0,$D196-$E196),0)</x:f>
      </x:c>
      <x:c r="G196" s="24">
        <x:f>IF($B196&lt;=Inputs!$C$6,MAX(0,($C196-$F196))*(1-(1-Inputs!$C$8)^(1/12)),0)</x:f>
      </x:c>
      <x:c r="H196" s="24">
        <x:f>IF($B196&lt;=Inputs!$C$6,MAX(0,($C196-$F196-$G196))*(1-(1-Inputs!$C$9)^(1/12)),0)</x:f>
      </x:c>
      <x:c r="I196" s="24">
        <x:f>IF($B196&gt;Inputs!$C$11,INDEX($H:$H,ROW()-Inputs!$C$11)* (1-Inputs!$C$10),0)</x:f>
      </x:c>
      <x:c r="J196" s="24">
        <x:f>$H196*Inputs!$C$10</x:f>
      </x:c>
      <x:c r="K196" s="24">
        <x:f>IF($B196&lt;=Inputs!$C$6+Inputs!$C$11,$C196*Inputs!$C$7/12,0)</x:f>
      </x:c>
      <x:c r="L196" s="24">
        <x:f>IF($B196&lt;=Inputs!$C$6+Inputs!$C$11,$E196+$F196+$G196+$I196-$K196,0)</x:f>
      </x:c>
      <x:c r="M196" s="24">
        <x:f>IF($B196&lt;=Inputs!$C$6,MAX(0,$C196-$F196-$G196-$H196),0)</x:f>
      </x:c>
    </x:row>
    <x:row r="197">
      <x:c r="B197" s="22" t="n">
        <x:v>194</x:v>
      </x:c>
      <x:c r="C197" s="23">
        <x:f>IF($B197&lt;=Inputs!$C$6+Inputs!$C$11,$M196,"")</x:f>
      </x:c>
      <x:c r="D197" s="24">
        <x:f>IF($B197&lt;=Inputs!$C$6,-PMT(Inputs!$C$5/12,Inputs!$C$6,Inputs!$C$4),0)</x:f>
      </x:c>
      <x:c r="E197" s="24">
        <x:f>IF($B197&lt;=Inputs!$C$6+Inputs!$C$11,$C197*Inputs!$C$5/12,0)</x:f>
      </x:c>
      <x:c r="F197" s="24">
        <x:f>IF($B197&lt;=Inputs!$C$6,MAX(0,$D197-$E197),0)</x:f>
      </x:c>
      <x:c r="G197" s="24">
        <x:f>IF($B197&lt;=Inputs!$C$6,MAX(0,($C197-$F197))*(1-(1-Inputs!$C$8)^(1/12)),0)</x:f>
      </x:c>
      <x:c r="H197" s="24">
        <x:f>IF($B197&lt;=Inputs!$C$6,MAX(0,($C197-$F197-$G197))*(1-(1-Inputs!$C$9)^(1/12)),0)</x:f>
      </x:c>
      <x:c r="I197" s="24">
        <x:f>IF($B197&gt;Inputs!$C$11,INDEX($H:$H,ROW()-Inputs!$C$11)* (1-Inputs!$C$10),0)</x:f>
      </x:c>
      <x:c r="J197" s="24">
        <x:f>$H197*Inputs!$C$10</x:f>
      </x:c>
      <x:c r="K197" s="24">
        <x:f>IF($B197&lt;=Inputs!$C$6+Inputs!$C$11,$C197*Inputs!$C$7/12,0)</x:f>
      </x:c>
      <x:c r="L197" s="24">
        <x:f>IF($B197&lt;=Inputs!$C$6+Inputs!$C$11,$E197+$F197+$G197+$I197-$K197,0)</x:f>
      </x:c>
      <x:c r="M197" s="24">
        <x:f>IF($B197&lt;=Inputs!$C$6,MAX(0,$C197-$F197-$G197-$H197),0)</x:f>
      </x:c>
    </x:row>
    <x:row r="198">
      <x:c r="B198" s="22" t="n">
        <x:v>195</x:v>
      </x:c>
      <x:c r="C198" s="23">
        <x:f>IF($B198&lt;=Inputs!$C$6+Inputs!$C$11,$M197,"")</x:f>
      </x:c>
      <x:c r="D198" s="24">
        <x:f>IF($B198&lt;=Inputs!$C$6,-PMT(Inputs!$C$5/12,Inputs!$C$6,Inputs!$C$4),0)</x:f>
      </x:c>
      <x:c r="E198" s="24">
        <x:f>IF($B198&lt;=Inputs!$C$6+Inputs!$C$11,$C198*Inputs!$C$5/12,0)</x:f>
      </x:c>
      <x:c r="F198" s="24">
        <x:f>IF($B198&lt;=Inputs!$C$6,MAX(0,$D198-$E198),0)</x:f>
      </x:c>
      <x:c r="G198" s="24">
        <x:f>IF($B198&lt;=Inputs!$C$6,MAX(0,($C198-$F198))*(1-(1-Inputs!$C$8)^(1/12)),0)</x:f>
      </x:c>
      <x:c r="H198" s="24">
        <x:f>IF($B198&lt;=Inputs!$C$6,MAX(0,($C198-$F198-$G198))*(1-(1-Inputs!$C$9)^(1/12)),0)</x:f>
      </x:c>
      <x:c r="I198" s="24">
        <x:f>IF($B198&gt;Inputs!$C$11,INDEX($H:$H,ROW()-Inputs!$C$11)* (1-Inputs!$C$10),0)</x:f>
      </x:c>
      <x:c r="J198" s="24">
        <x:f>$H198*Inputs!$C$10</x:f>
      </x:c>
      <x:c r="K198" s="24">
        <x:f>IF($B198&lt;=Inputs!$C$6+Inputs!$C$11,$C198*Inputs!$C$7/12,0)</x:f>
      </x:c>
      <x:c r="L198" s="24">
        <x:f>IF($B198&lt;=Inputs!$C$6+Inputs!$C$11,$E198+$F198+$G198+$I198-$K198,0)</x:f>
      </x:c>
      <x:c r="M198" s="24">
        <x:f>IF($B198&lt;=Inputs!$C$6,MAX(0,$C198-$F198-$G198-$H198),0)</x:f>
      </x:c>
    </x:row>
    <x:row r="199">
      <x:c r="B199" s="22" t="n">
        <x:v>196</x:v>
      </x:c>
      <x:c r="C199" s="23">
        <x:f>IF($B199&lt;=Inputs!$C$6+Inputs!$C$11,$M198,"")</x:f>
      </x:c>
      <x:c r="D199" s="24">
        <x:f>IF($B199&lt;=Inputs!$C$6,-PMT(Inputs!$C$5/12,Inputs!$C$6,Inputs!$C$4),0)</x:f>
      </x:c>
      <x:c r="E199" s="24">
        <x:f>IF($B199&lt;=Inputs!$C$6+Inputs!$C$11,$C199*Inputs!$C$5/12,0)</x:f>
      </x:c>
      <x:c r="F199" s="24">
        <x:f>IF($B199&lt;=Inputs!$C$6,MAX(0,$D199-$E199),0)</x:f>
      </x:c>
      <x:c r="G199" s="24">
        <x:f>IF($B199&lt;=Inputs!$C$6,MAX(0,($C199-$F199))*(1-(1-Inputs!$C$8)^(1/12)),0)</x:f>
      </x:c>
      <x:c r="H199" s="24">
        <x:f>IF($B199&lt;=Inputs!$C$6,MAX(0,($C199-$F199-$G199))*(1-(1-Inputs!$C$9)^(1/12)),0)</x:f>
      </x:c>
      <x:c r="I199" s="24">
        <x:f>IF($B199&gt;Inputs!$C$11,INDEX($H:$H,ROW()-Inputs!$C$11)* (1-Inputs!$C$10),0)</x:f>
      </x:c>
      <x:c r="J199" s="24">
        <x:f>$H199*Inputs!$C$10</x:f>
      </x:c>
      <x:c r="K199" s="24">
        <x:f>IF($B199&lt;=Inputs!$C$6+Inputs!$C$11,$C199*Inputs!$C$7/12,0)</x:f>
      </x:c>
      <x:c r="L199" s="24">
        <x:f>IF($B199&lt;=Inputs!$C$6+Inputs!$C$11,$E199+$F199+$G199+$I199-$K199,0)</x:f>
      </x:c>
      <x:c r="M199" s="24">
        <x:f>IF($B199&lt;=Inputs!$C$6,MAX(0,$C199-$F199-$G199-$H199),0)</x:f>
      </x:c>
    </x:row>
    <x:row r="200">
      <x:c r="B200" s="22" t="n">
        <x:v>197</x:v>
      </x:c>
      <x:c r="C200" s="23">
        <x:f>IF($B200&lt;=Inputs!$C$6+Inputs!$C$11,$M199,"")</x:f>
      </x:c>
      <x:c r="D200" s="24">
        <x:f>IF($B200&lt;=Inputs!$C$6,-PMT(Inputs!$C$5/12,Inputs!$C$6,Inputs!$C$4),0)</x:f>
      </x:c>
      <x:c r="E200" s="24">
        <x:f>IF($B200&lt;=Inputs!$C$6+Inputs!$C$11,$C200*Inputs!$C$5/12,0)</x:f>
      </x:c>
      <x:c r="F200" s="24">
        <x:f>IF($B200&lt;=Inputs!$C$6,MAX(0,$D200-$E200),0)</x:f>
      </x:c>
      <x:c r="G200" s="24">
        <x:f>IF($B200&lt;=Inputs!$C$6,MAX(0,($C200-$F200))*(1-(1-Inputs!$C$8)^(1/12)),0)</x:f>
      </x:c>
      <x:c r="H200" s="24">
        <x:f>IF($B200&lt;=Inputs!$C$6,MAX(0,($C200-$F200-$G200))*(1-(1-Inputs!$C$9)^(1/12)),0)</x:f>
      </x:c>
      <x:c r="I200" s="24">
        <x:f>IF($B200&gt;Inputs!$C$11,INDEX($H:$H,ROW()-Inputs!$C$11)* (1-Inputs!$C$10),0)</x:f>
      </x:c>
      <x:c r="J200" s="24">
        <x:f>$H200*Inputs!$C$10</x:f>
      </x:c>
      <x:c r="K200" s="24">
        <x:f>IF($B200&lt;=Inputs!$C$6+Inputs!$C$11,$C200*Inputs!$C$7/12,0)</x:f>
      </x:c>
      <x:c r="L200" s="24">
        <x:f>IF($B200&lt;=Inputs!$C$6+Inputs!$C$11,$E200+$F200+$G200+$I200-$K200,0)</x:f>
      </x:c>
      <x:c r="M200" s="24">
        <x:f>IF($B200&lt;=Inputs!$C$6,MAX(0,$C200-$F200-$G200-$H200),0)</x:f>
      </x:c>
    </x:row>
    <x:row r="201">
      <x:c r="B201" s="22" t="n">
        <x:v>198</x:v>
      </x:c>
      <x:c r="C201" s="23">
        <x:f>IF($B201&lt;=Inputs!$C$6+Inputs!$C$11,$M200,"")</x:f>
      </x:c>
      <x:c r="D201" s="24">
        <x:f>IF($B201&lt;=Inputs!$C$6,-PMT(Inputs!$C$5/12,Inputs!$C$6,Inputs!$C$4),0)</x:f>
      </x:c>
      <x:c r="E201" s="24">
        <x:f>IF($B201&lt;=Inputs!$C$6+Inputs!$C$11,$C201*Inputs!$C$5/12,0)</x:f>
      </x:c>
      <x:c r="F201" s="24">
        <x:f>IF($B201&lt;=Inputs!$C$6,MAX(0,$D201-$E201),0)</x:f>
      </x:c>
      <x:c r="G201" s="24">
        <x:f>IF($B201&lt;=Inputs!$C$6,MAX(0,($C201-$F201))*(1-(1-Inputs!$C$8)^(1/12)),0)</x:f>
      </x:c>
      <x:c r="H201" s="24">
        <x:f>IF($B201&lt;=Inputs!$C$6,MAX(0,($C201-$F201-$G201))*(1-(1-Inputs!$C$9)^(1/12)),0)</x:f>
      </x:c>
      <x:c r="I201" s="24">
        <x:f>IF($B201&gt;Inputs!$C$11,INDEX($H:$H,ROW()-Inputs!$C$11)* (1-Inputs!$C$10),0)</x:f>
      </x:c>
      <x:c r="J201" s="24">
        <x:f>$H201*Inputs!$C$10</x:f>
      </x:c>
      <x:c r="K201" s="24">
        <x:f>IF($B201&lt;=Inputs!$C$6+Inputs!$C$11,$C201*Inputs!$C$7/12,0)</x:f>
      </x:c>
      <x:c r="L201" s="24">
        <x:f>IF($B201&lt;=Inputs!$C$6+Inputs!$C$11,$E201+$F201+$G201+$I201-$K201,0)</x:f>
      </x:c>
      <x:c r="M201" s="24">
        <x:f>IF($B201&lt;=Inputs!$C$6,MAX(0,$C201-$F201-$G201-$H201),0)</x:f>
      </x:c>
    </x:row>
    <x:row r="202">
      <x:c r="B202" s="22" t="n">
        <x:v>199</x:v>
      </x:c>
      <x:c r="C202" s="23">
        <x:f>IF($B202&lt;=Inputs!$C$6+Inputs!$C$11,$M201,"")</x:f>
      </x:c>
      <x:c r="D202" s="24">
        <x:f>IF($B202&lt;=Inputs!$C$6,-PMT(Inputs!$C$5/12,Inputs!$C$6,Inputs!$C$4),0)</x:f>
      </x:c>
      <x:c r="E202" s="24">
        <x:f>IF($B202&lt;=Inputs!$C$6+Inputs!$C$11,$C202*Inputs!$C$5/12,0)</x:f>
      </x:c>
      <x:c r="F202" s="24">
        <x:f>IF($B202&lt;=Inputs!$C$6,MAX(0,$D202-$E202),0)</x:f>
      </x:c>
      <x:c r="G202" s="24">
        <x:f>IF($B202&lt;=Inputs!$C$6,MAX(0,($C202-$F202))*(1-(1-Inputs!$C$8)^(1/12)),0)</x:f>
      </x:c>
      <x:c r="H202" s="24">
        <x:f>IF($B202&lt;=Inputs!$C$6,MAX(0,($C202-$F202-$G202))*(1-(1-Inputs!$C$9)^(1/12)),0)</x:f>
      </x:c>
      <x:c r="I202" s="24">
        <x:f>IF($B202&gt;Inputs!$C$11,INDEX($H:$H,ROW()-Inputs!$C$11)* (1-Inputs!$C$10),0)</x:f>
      </x:c>
      <x:c r="J202" s="24">
        <x:f>$H202*Inputs!$C$10</x:f>
      </x:c>
      <x:c r="K202" s="24">
        <x:f>IF($B202&lt;=Inputs!$C$6+Inputs!$C$11,$C202*Inputs!$C$7/12,0)</x:f>
      </x:c>
      <x:c r="L202" s="24">
        <x:f>IF($B202&lt;=Inputs!$C$6+Inputs!$C$11,$E202+$F202+$G202+$I202-$K202,0)</x:f>
      </x:c>
      <x:c r="M202" s="24">
        <x:f>IF($B202&lt;=Inputs!$C$6,MAX(0,$C202-$F202-$G202-$H202),0)</x:f>
      </x:c>
    </x:row>
    <x:row r="203">
      <x:c r="B203" s="22" t="n">
        <x:v>200</x:v>
      </x:c>
      <x:c r="C203" s="23">
        <x:f>IF($B203&lt;=Inputs!$C$6+Inputs!$C$11,$M202,"")</x:f>
      </x:c>
      <x:c r="D203" s="24">
        <x:f>IF($B203&lt;=Inputs!$C$6,-PMT(Inputs!$C$5/12,Inputs!$C$6,Inputs!$C$4),0)</x:f>
      </x:c>
      <x:c r="E203" s="24">
        <x:f>IF($B203&lt;=Inputs!$C$6+Inputs!$C$11,$C203*Inputs!$C$5/12,0)</x:f>
      </x:c>
      <x:c r="F203" s="24">
        <x:f>IF($B203&lt;=Inputs!$C$6,MAX(0,$D203-$E203),0)</x:f>
      </x:c>
      <x:c r="G203" s="24">
        <x:f>IF($B203&lt;=Inputs!$C$6,MAX(0,($C203-$F203))*(1-(1-Inputs!$C$8)^(1/12)),0)</x:f>
      </x:c>
      <x:c r="H203" s="24">
        <x:f>IF($B203&lt;=Inputs!$C$6,MAX(0,($C203-$F203-$G203))*(1-(1-Inputs!$C$9)^(1/12)),0)</x:f>
      </x:c>
      <x:c r="I203" s="24">
        <x:f>IF($B203&gt;Inputs!$C$11,INDEX($H:$H,ROW()-Inputs!$C$11)* (1-Inputs!$C$10),0)</x:f>
      </x:c>
      <x:c r="J203" s="24">
        <x:f>$H203*Inputs!$C$10</x:f>
      </x:c>
      <x:c r="K203" s="24">
        <x:f>IF($B203&lt;=Inputs!$C$6+Inputs!$C$11,$C203*Inputs!$C$7/12,0)</x:f>
      </x:c>
      <x:c r="L203" s="24">
        <x:f>IF($B203&lt;=Inputs!$C$6+Inputs!$C$11,$E203+$F203+$G203+$I203-$K203,0)</x:f>
      </x:c>
      <x:c r="M203" s="24">
        <x:f>IF($B203&lt;=Inputs!$C$6,MAX(0,$C203-$F203-$G203-$H203),0)</x:f>
      </x:c>
    </x:row>
    <x:row r="204">
      <x:c r="B204" s="22" t="n">
        <x:v>201</x:v>
      </x:c>
      <x:c r="C204" s="23">
        <x:f>IF($B204&lt;=Inputs!$C$6+Inputs!$C$11,$M203,"")</x:f>
      </x:c>
      <x:c r="D204" s="24">
        <x:f>IF($B204&lt;=Inputs!$C$6,-PMT(Inputs!$C$5/12,Inputs!$C$6,Inputs!$C$4),0)</x:f>
      </x:c>
      <x:c r="E204" s="24">
        <x:f>IF($B204&lt;=Inputs!$C$6+Inputs!$C$11,$C204*Inputs!$C$5/12,0)</x:f>
      </x:c>
      <x:c r="F204" s="24">
        <x:f>IF($B204&lt;=Inputs!$C$6,MAX(0,$D204-$E204),0)</x:f>
      </x:c>
      <x:c r="G204" s="24">
        <x:f>IF($B204&lt;=Inputs!$C$6,MAX(0,($C204-$F204))*(1-(1-Inputs!$C$8)^(1/12)),0)</x:f>
      </x:c>
      <x:c r="H204" s="24">
        <x:f>IF($B204&lt;=Inputs!$C$6,MAX(0,($C204-$F204-$G204))*(1-(1-Inputs!$C$9)^(1/12)),0)</x:f>
      </x:c>
      <x:c r="I204" s="24">
        <x:f>IF($B204&gt;Inputs!$C$11,INDEX($H:$H,ROW()-Inputs!$C$11)* (1-Inputs!$C$10),0)</x:f>
      </x:c>
      <x:c r="J204" s="24">
        <x:f>$H204*Inputs!$C$10</x:f>
      </x:c>
      <x:c r="K204" s="24">
        <x:f>IF($B204&lt;=Inputs!$C$6+Inputs!$C$11,$C204*Inputs!$C$7/12,0)</x:f>
      </x:c>
      <x:c r="L204" s="24">
        <x:f>IF($B204&lt;=Inputs!$C$6+Inputs!$C$11,$E204+$F204+$G204+$I204-$K204,0)</x:f>
      </x:c>
      <x:c r="M204" s="24">
        <x:f>IF($B204&lt;=Inputs!$C$6,MAX(0,$C204-$F204-$G204-$H204),0)</x:f>
      </x:c>
    </x:row>
    <x:row r="205">
      <x:c r="B205" s="22" t="n">
        <x:v>202</x:v>
      </x:c>
      <x:c r="C205" s="23">
        <x:f>IF($B205&lt;=Inputs!$C$6+Inputs!$C$11,$M204,"")</x:f>
      </x:c>
      <x:c r="D205" s="24">
        <x:f>IF($B205&lt;=Inputs!$C$6,-PMT(Inputs!$C$5/12,Inputs!$C$6,Inputs!$C$4),0)</x:f>
      </x:c>
      <x:c r="E205" s="24">
        <x:f>IF($B205&lt;=Inputs!$C$6+Inputs!$C$11,$C205*Inputs!$C$5/12,0)</x:f>
      </x:c>
      <x:c r="F205" s="24">
        <x:f>IF($B205&lt;=Inputs!$C$6,MAX(0,$D205-$E205),0)</x:f>
      </x:c>
      <x:c r="G205" s="24">
        <x:f>IF($B205&lt;=Inputs!$C$6,MAX(0,($C205-$F205))*(1-(1-Inputs!$C$8)^(1/12)),0)</x:f>
      </x:c>
      <x:c r="H205" s="24">
        <x:f>IF($B205&lt;=Inputs!$C$6,MAX(0,($C205-$F205-$G205))*(1-(1-Inputs!$C$9)^(1/12)),0)</x:f>
      </x:c>
      <x:c r="I205" s="24">
        <x:f>IF($B205&gt;Inputs!$C$11,INDEX($H:$H,ROW()-Inputs!$C$11)* (1-Inputs!$C$10),0)</x:f>
      </x:c>
      <x:c r="J205" s="24">
        <x:f>$H205*Inputs!$C$10</x:f>
      </x:c>
      <x:c r="K205" s="24">
        <x:f>IF($B205&lt;=Inputs!$C$6+Inputs!$C$11,$C205*Inputs!$C$7/12,0)</x:f>
      </x:c>
      <x:c r="L205" s="24">
        <x:f>IF($B205&lt;=Inputs!$C$6+Inputs!$C$11,$E205+$F205+$G205+$I205-$K205,0)</x:f>
      </x:c>
      <x:c r="M205" s="24">
        <x:f>IF($B205&lt;=Inputs!$C$6,MAX(0,$C205-$F205-$G205-$H205),0)</x:f>
      </x:c>
    </x:row>
    <x:row r="206">
      <x:c r="B206" s="22" t="n">
        <x:v>203</x:v>
      </x:c>
      <x:c r="C206" s="23">
        <x:f>IF($B206&lt;=Inputs!$C$6+Inputs!$C$11,$M205,"")</x:f>
      </x:c>
      <x:c r="D206" s="24">
        <x:f>IF($B206&lt;=Inputs!$C$6,-PMT(Inputs!$C$5/12,Inputs!$C$6,Inputs!$C$4),0)</x:f>
      </x:c>
      <x:c r="E206" s="24">
        <x:f>IF($B206&lt;=Inputs!$C$6+Inputs!$C$11,$C206*Inputs!$C$5/12,0)</x:f>
      </x:c>
      <x:c r="F206" s="24">
        <x:f>IF($B206&lt;=Inputs!$C$6,MAX(0,$D206-$E206),0)</x:f>
      </x:c>
      <x:c r="G206" s="24">
        <x:f>IF($B206&lt;=Inputs!$C$6,MAX(0,($C206-$F206))*(1-(1-Inputs!$C$8)^(1/12)),0)</x:f>
      </x:c>
      <x:c r="H206" s="24">
        <x:f>IF($B206&lt;=Inputs!$C$6,MAX(0,($C206-$F206-$G206))*(1-(1-Inputs!$C$9)^(1/12)),0)</x:f>
      </x:c>
      <x:c r="I206" s="24">
        <x:f>IF($B206&gt;Inputs!$C$11,INDEX($H:$H,ROW()-Inputs!$C$11)* (1-Inputs!$C$10),0)</x:f>
      </x:c>
      <x:c r="J206" s="24">
        <x:f>$H206*Inputs!$C$10</x:f>
      </x:c>
      <x:c r="K206" s="24">
        <x:f>IF($B206&lt;=Inputs!$C$6+Inputs!$C$11,$C206*Inputs!$C$7/12,0)</x:f>
      </x:c>
      <x:c r="L206" s="24">
        <x:f>IF($B206&lt;=Inputs!$C$6+Inputs!$C$11,$E206+$F206+$G206+$I206-$K206,0)</x:f>
      </x:c>
      <x:c r="M206" s="24">
        <x:f>IF($B206&lt;=Inputs!$C$6,MAX(0,$C206-$F206-$G206-$H206),0)</x:f>
      </x:c>
    </x:row>
    <x:row r="207">
      <x:c r="B207" s="22" t="n">
        <x:v>204</x:v>
      </x:c>
      <x:c r="C207" s="23">
        <x:f>IF($B207&lt;=Inputs!$C$6+Inputs!$C$11,$M206,"")</x:f>
      </x:c>
      <x:c r="D207" s="24">
        <x:f>IF($B207&lt;=Inputs!$C$6,-PMT(Inputs!$C$5/12,Inputs!$C$6,Inputs!$C$4),0)</x:f>
      </x:c>
      <x:c r="E207" s="24">
        <x:f>IF($B207&lt;=Inputs!$C$6+Inputs!$C$11,$C207*Inputs!$C$5/12,0)</x:f>
      </x:c>
      <x:c r="F207" s="24">
        <x:f>IF($B207&lt;=Inputs!$C$6,MAX(0,$D207-$E207),0)</x:f>
      </x:c>
      <x:c r="G207" s="24">
        <x:f>IF($B207&lt;=Inputs!$C$6,MAX(0,($C207-$F207))*(1-(1-Inputs!$C$8)^(1/12)),0)</x:f>
      </x:c>
      <x:c r="H207" s="24">
        <x:f>IF($B207&lt;=Inputs!$C$6,MAX(0,($C207-$F207-$G207))*(1-(1-Inputs!$C$9)^(1/12)),0)</x:f>
      </x:c>
      <x:c r="I207" s="24">
        <x:f>IF($B207&gt;Inputs!$C$11,INDEX($H:$H,ROW()-Inputs!$C$11)* (1-Inputs!$C$10),0)</x:f>
      </x:c>
      <x:c r="J207" s="24">
        <x:f>$H207*Inputs!$C$10</x:f>
      </x:c>
      <x:c r="K207" s="24">
        <x:f>IF($B207&lt;=Inputs!$C$6+Inputs!$C$11,$C207*Inputs!$C$7/12,0)</x:f>
      </x:c>
      <x:c r="L207" s="24">
        <x:f>IF($B207&lt;=Inputs!$C$6+Inputs!$C$11,$E207+$F207+$G207+$I207-$K207,0)</x:f>
      </x:c>
      <x:c r="M207" s="24">
        <x:f>IF($B207&lt;=Inputs!$C$6,MAX(0,$C207-$F207-$G207-$H207),0)</x:f>
      </x:c>
    </x:row>
    <x:row r="208">
      <x:c r="B208" s="22" t="n">
        <x:v>205</x:v>
      </x:c>
      <x:c r="C208" s="23">
        <x:f>IF($B208&lt;=Inputs!$C$6+Inputs!$C$11,$M207,"")</x:f>
      </x:c>
      <x:c r="D208" s="24">
        <x:f>IF($B208&lt;=Inputs!$C$6,-PMT(Inputs!$C$5/12,Inputs!$C$6,Inputs!$C$4),0)</x:f>
      </x:c>
      <x:c r="E208" s="24">
        <x:f>IF($B208&lt;=Inputs!$C$6+Inputs!$C$11,$C208*Inputs!$C$5/12,0)</x:f>
      </x:c>
      <x:c r="F208" s="24">
        <x:f>IF($B208&lt;=Inputs!$C$6,MAX(0,$D208-$E208),0)</x:f>
      </x:c>
      <x:c r="G208" s="24">
        <x:f>IF($B208&lt;=Inputs!$C$6,MAX(0,($C208-$F208))*(1-(1-Inputs!$C$8)^(1/12)),0)</x:f>
      </x:c>
      <x:c r="H208" s="24">
        <x:f>IF($B208&lt;=Inputs!$C$6,MAX(0,($C208-$F208-$G208))*(1-(1-Inputs!$C$9)^(1/12)),0)</x:f>
      </x:c>
      <x:c r="I208" s="24">
        <x:f>IF($B208&gt;Inputs!$C$11,INDEX($H:$H,ROW()-Inputs!$C$11)* (1-Inputs!$C$10),0)</x:f>
      </x:c>
      <x:c r="J208" s="24">
        <x:f>$H208*Inputs!$C$10</x:f>
      </x:c>
      <x:c r="K208" s="24">
        <x:f>IF($B208&lt;=Inputs!$C$6+Inputs!$C$11,$C208*Inputs!$C$7/12,0)</x:f>
      </x:c>
      <x:c r="L208" s="24">
        <x:f>IF($B208&lt;=Inputs!$C$6+Inputs!$C$11,$E208+$F208+$G208+$I208-$K208,0)</x:f>
      </x:c>
      <x:c r="M208" s="24">
        <x:f>IF($B208&lt;=Inputs!$C$6,MAX(0,$C208-$F208-$G208-$H208),0)</x:f>
      </x:c>
    </x:row>
    <x:row r="209">
      <x:c r="B209" s="22" t="n">
        <x:v>206</x:v>
      </x:c>
      <x:c r="C209" s="23">
        <x:f>IF($B209&lt;=Inputs!$C$6+Inputs!$C$11,$M208,"")</x:f>
      </x:c>
      <x:c r="D209" s="24">
        <x:f>IF($B209&lt;=Inputs!$C$6,-PMT(Inputs!$C$5/12,Inputs!$C$6,Inputs!$C$4),0)</x:f>
      </x:c>
      <x:c r="E209" s="24">
        <x:f>IF($B209&lt;=Inputs!$C$6+Inputs!$C$11,$C209*Inputs!$C$5/12,0)</x:f>
      </x:c>
      <x:c r="F209" s="24">
        <x:f>IF($B209&lt;=Inputs!$C$6,MAX(0,$D209-$E209),0)</x:f>
      </x:c>
      <x:c r="G209" s="24">
        <x:f>IF($B209&lt;=Inputs!$C$6,MAX(0,($C209-$F209))*(1-(1-Inputs!$C$8)^(1/12)),0)</x:f>
      </x:c>
      <x:c r="H209" s="24">
        <x:f>IF($B209&lt;=Inputs!$C$6,MAX(0,($C209-$F209-$G209))*(1-(1-Inputs!$C$9)^(1/12)),0)</x:f>
      </x:c>
      <x:c r="I209" s="24">
        <x:f>IF($B209&gt;Inputs!$C$11,INDEX($H:$H,ROW()-Inputs!$C$11)* (1-Inputs!$C$10),0)</x:f>
      </x:c>
      <x:c r="J209" s="24">
        <x:f>$H209*Inputs!$C$10</x:f>
      </x:c>
      <x:c r="K209" s="24">
        <x:f>IF($B209&lt;=Inputs!$C$6+Inputs!$C$11,$C209*Inputs!$C$7/12,0)</x:f>
      </x:c>
      <x:c r="L209" s="24">
        <x:f>IF($B209&lt;=Inputs!$C$6+Inputs!$C$11,$E209+$F209+$G209+$I209-$K209,0)</x:f>
      </x:c>
      <x:c r="M209" s="24">
        <x:f>IF($B209&lt;=Inputs!$C$6,MAX(0,$C209-$F209-$G209-$H209),0)</x:f>
      </x:c>
    </x:row>
    <x:row r="210">
      <x:c r="B210" s="22" t="n">
        <x:v>207</x:v>
      </x:c>
      <x:c r="C210" s="23">
        <x:f>IF($B210&lt;=Inputs!$C$6+Inputs!$C$11,$M209,"")</x:f>
      </x:c>
      <x:c r="D210" s="24">
        <x:f>IF($B210&lt;=Inputs!$C$6,-PMT(Inputs!$C$5/12,Inputs!$C$6,Inputs!$C$4),0)</x:f>
      </x:c>
      <x:c r="E210" s="24">
        <x:f>IF($B210&lt;=Inputs!$C$6+Inputs!$C$11,$C210*Inputs!$C$5/12,0)</x:f>
      </x:c>
      <x:c r="F210" s="24">
        <x:f>IF($B210&lt;=Inputs!$C$6,MAX(0,$D210-$E210),0)</x:f>
      </x:c>
      <x:c r="G210" s="24">
        <x:f>IF($B210&lt;=Inputs!$C$6,MAX(0,($C210-$F210))*(1-(1-Inputs!$C$8)^(1/12)),0)</x:f>
      </x:c>
      <x:c r="H210" s="24">
        <x:f>IF($B210&lt;=Inputs!$C$6,MAX(0,($C210-$F210-$G210))*(1-(1-Inputs!$C$9)^(1/12)),0)</x:f>
      </x:c>
      <x:c r="I210" s="24">
        <x:f>IF($B210&gt;Inputs!$C$11,INDEX($H:$H,ROW()-Inputs!$C$11)* (1-Inputs!$C$10),0)</x:f>
      </x:c>
      <x:c r="J210" s="24">
        <x:f>$H210*Inputs!$C$10</x:f>
      </x:c>
      <x:c r="K210" s="24">
        <x:f>IF($B210&lt;=Inputs!$C$6+Inputs!$C$11,$C210*Inputs!$C$7/12,0)</x:f>
      </x:c>
      <x:c r="L210" s="24">
        <x:f>IF($B210&lt;=Inputs!$C$6+Inputs!$C$11,$E210+$F210+$G210+$I210-$K210,0)</x:f>
      </x:c>
      <x:c r="M210" s="24">
        <x:f>IF($B210&lt;=Inputs!$C$6,MAX(0,$C210-$F210-$G210-$H210),0)</x:f>
      </x:c>
    </x:row>
    <x:row r="211">
      <x:c r="B211" s="22" t="n">
        <x:v>208</x:v>
      </x:c>
      <x:c r="C211" s="23">
        <x:f>IF($B211&lt;=Inputs!$C$6+Inputs!$C$11,$M210,"")</x:f>
      </x:c>
      <x:c r="D211" s="24">
        <x:f>IF($B211&lt;=Inputs!$C$6,-PMT(Inputs!$C$5/12,Inputs!$C$6,Inputs!$C$4),0)</x:f>
      </x:c>
      <x:c r="E211" s="24">
        <x:f>IF($B211&lt;=Inputs!$C$6+Inputs!$C$11,$C211*Inputs!$C$5/12,0)</x:f>
      </x:c>
      <x:c r="F211" s="24">
        <x:f>IF($B211&lt;=Inputs!$C$6,MAX(0,$D211-$E211),0)</x:f>
      </x:c>
      <x:c r="G211" s="24">
        <x:f>IF($B211&lt;=Inputs!$C$6,MAX(0,($C211-$F211))*(1-(1-Inputs!$C$8)^(1/12)),0)</x:f>
      </x:c>
      <x:c r="H211" s="24">
        <x:f>IF($B211&lt;=Inputs!$C$6,MAX(0,($C211-$F211-$G211))*(1-(1-Inputs!$C$9)^(1/12)),0)</x:f>
      </x:c>
      <x:c r="I211" s="24">
        <x:f>IF($B211&gt;Inputs!$C$11,INDEX($H:$H,ROW()-Inputs!$C$11)* (1-Inputs!$C$10),0)</x:f>
      </x:c>
      <x:c r="J211" s="24">
        <x:f>$H211*Inputs!$C$10</x:f>
      </x:c>
      <x:c r="K211" s="24">
        <x:f>IF($B211&lt;=Inputs!$C$6+Inputs!$C$11,$C211*Inputs!$C$7/12,0)</x:f>
      </x:c>
      <x:c r="L211" s="24">
        <x:f>IF($B211&lt;=Inputs!$C$6+Inputs!$C$11,$E211+$F211+$G211+$I211-$K211,0)</x:f>
      </x:c>
      <x:c r="M211" s="24">
        <x:f>IF($B211&lt;=Inputs!$C$6,MAX(0,$C211-$F211-$G211-$H211),0)</x:f>
      </x:c>
    </x:row>
    <x:row r="212">
      <x:c r="B212" s="22" t="n">
        <x:v>209</x:v>
      </x:c>
      <x:c r="C212" s="23">
        <x:f>IF($B212&lt;=Inputs!$C$6+Inputs!$C$11,$M211,"")</x:f>
      </x:c>
      <x:c r="D212" s="24">
        <x:f>IF($B212&lt;=Inputs!$C$6,-PMT(Inputs!$C$5/12,Inputs!$C$6,Inputs!$C$4),0)</x:f>
      </x:c>
      <x:c r="E212" s="24">
        <x:f>IF($B212&lt;=Inputs!$C$6+Inputs!$C$11,$C212*Inputs!$C$5/12,0)</x:f>
      </x:c>
      <x:c r="F212" s="24">
        <x:f>IF($B212&lt;=Inputs!$C$6,MAX(0,$D212-$E212),0)</x:f>
      </x:c>
      <x:c r="G212" s="24">
        <x:f>IF($B212&lt;=Inputs!$C$6,MAX(0,($C212-$F212))*(1-(1-Inputs!$C$8)^(1/12)),0)</x:f>
      </x:c>
      <x:c r="H212" s="24">
        <x:f>IF($B212&lt;=Inputs!$C$6,MAX(0,($C212-$F212-$G212))*(1-(1-Inputs!$C$9)^(1/12)),0)</x:f>
      </x:c>
      <x:c r="I212" s="24">
        <x:f>IF($B212&gt;Inputs!$C$11,INDEX($H:$H,ROW()-Inputs!$C$11)* (1-Inputs!$C$10),0)</x:f>
      </x:c>
      <x:c r="J212" s="24">
        <x:f>$H212*Inputs!$C$10</x:f>
      </x:c>
      <x:c r="K212" s="24">
        <x:f>IF($B212&lt;=Inputs!$C$6+Inputs!$C$11,$C212*Inputs!$C$7/12,0)</x:f>
      </x:c>
      <x:c r="L212" s="24">
        <x:f>IF($B212&lt;=Inputs!$C$6+Inputs!$C$11,$E212+$F212+$G212+$I212-$K212,0)</x:f>
      </x:c>
      <x:c r="M212" s="24">
        <x:f>IF($B212&lt;=Inputs!$C$6,MAX(0,$C212-$F212-$G212-$H212),0)</x:f>
      </x:c>
    </x:row>
    <x:row r="213">
      <x:c r="B213" s="22" t="n">
        <x:v>210</x:v>
      </x:c>
      <x:c r="C213" s="23">
        <x:f>IF($B213&lt;=Inputs!$C$6+Inputs!$C$11,$M212,"")</x:f>
      </x:c>
      <x:c r="D213" s="24">
        <x:f>IF($B213&lt;=Inputs!$C$6,-PMT(Inputs!$C$5/12,Inputs!$C$6,Inputs!$C$4),0)</x:f>
      </x:c>
      <x:c r="E213" s="24">
        <x:f>IF($B213&lt;=Inputs!$C$6+Inputs!$C$11,$C213*Inputs!$C$5/12,0)</x:f>
      </x:c>
      <x:c r="F213" s="24">
        <x:f>IF($B213&lt;=Inputs!$C$6,MAX(0,$D213-$E213),0)</x:f>
      </x:c>
      <x:c r="G213" s="24">
        <x:f>IF($B213&lt;=Inputs!$C$6,MAX(0,($C213-$F213))*(1-(1-Inputs!$C$8)^(1/12)),0)</x:f>
      </x:c>
      <x:c r="H213" s="24">
        <x:f>IF($B213&lt;=Inputs!$C$6,MAX(0,($C213-$F213-$G213))*(1-(1-Inputs!$C$9)^(1/12)),0)</x:f>
      </x:c>
      <x:c r="I213" s="24">
        <x:f>IF($B213&gt;Inputs!$C$11,INDEX($H:$H,ROW()-Inputs!$C$11)* (1-Inputs!$C$10),0)</x:f>
      </x:c>
      <x:c r="J213" s="24">
        <x:f>$H213*Inputs!$C$10</x:f>
      </x:c>
      <x:c r="K213" s="24">
        <x:f>IF($B213&lt;=Inputs!$C$6+Inputs!$C$11,$C213*Inputs!$C$7/12,0)</x:f>
      </x:c>
      <x:c r="L213" s="24">
        <x:f>IF($B213&lt;=Inputs!$C$6+Inputs!$C$11,$E213+$F213+$G213+$I213-$K213,0)</x:f>
      </x:c>
      <x:c r="M213" s="24">
        <x:f>IF($B213&lt;=Inputs!$C$6,MAX(0,$C213-$F213-$G213-$H213),0)</x:f>
      </x:c>
    </x:row>
    <x:row r="214">
      <x:c r="B214" s="22" t="n">
        <x:v>211</x:v>
      </x:c>
      <x:c r="C214" s="23">
        <x:f>IF($B214&lt;=Inputs!$C$6+Inputs!$C$11,$M213,"")</x:f>
      </x:c>
      <x:c r="D214" s="24">
        <x:f>IF($B214&lt;=Inputs!$C$6,-PMT(Inputs!$C$5/12,Inputs!$C$6,Inputs!$C$4),0)</x:f>
      </x:c>
      <x:c r="E214" s="24">
        <x:f>IF($B214&lt;=Inputs!$C$6+Inputs!$C$11,$C214*Inputs!$C$5/12,0)</x:f>
      </x:c>
      <x:c r="F214" s="24">
        <x:f>IF($B214&lt;=Inputs!$C$6,MAX(0,$D214-$E214),0)</x:f>
      </x:c>
      <x:c r="G214" s="24">
        <x:f>IF($B214&lt;=Inputs!$C$6,MAX(0,($C214-$F214))*(1-(1-Inputs!$C$8)^(1/12)),0)</x:f>
      </x:c>
      <x:c r="H214" s="24">
        <x:f>IF($B214&lt;=Inputs!$C$6,MAX(0,($C214-$F214-$G214))*(1-(1-Inputs!$C$9)^(1/12)),0)</x:f>
      </x:c>
      <x:c r="I214" s="24">
        <x:f>IF($B214&gt;Inputs!$C$11,INDEX($H:$H,ROW()-Inputs!$C$11)* (1-Inputs!$C$10),0)</x:f>
      </x:c>
      <x:c r="J214" s="24">
        <x:f>$H214*Inputs!$C$10</x:f>
      </x:c>
      <x:c r="K214" s="24">
        <x:f>IF($B214&lt;=Inputs!$C$6+Inputs!$C$11,$C214*Inputs!$C$7/12,0)</x:f>
      </x:c>
      <x:c r="L214" s="24">
        <x:f>IF($B214&lt;=Inputs!$C$6+Inputs!$C$11,$E214+$F214+$G214+$I214-$K214,0)</x:f>
      </x:c>
      <x:c r="M214" s="24">
        <x:f>IF($B214&lt;=Inputs!$C$6,MAX(0,$C214-$F214-$G214-$H214),0)</x:f>
      </x:c>
    </x:row>
    <x:row r="215">
      <x:c r="B215" s="22" t="n">
        <x:v>212</x:v>
      </x:c>
      <x:c r="C215" s="23">
        <x:f>IF($B215&lt;=Inputs!$C$6+Inputs!$C$11,$M214,"")</x:f>
      </x:c>
      <x:c r="D215" s="24">
        <x:f>IF($B215&lt;=Inputs!$C$6,-PMT(Inputs!$C$5/12,Inputs!$C$6,Inputs!$C$4),0)</x:f>
      </x:c>
      <x:c r="E215" s="24">
        <x:f>IF($B215&lt;=Inputs!$C$6+Inputs!$C$11,$C215*Inputs!$C$5/12,0)</x:f>
      </x:c>
      <x:c r="F215" s="24">
        <x:f>IF($B215&lt;=Inputs!$C$6,MAX(0,$D215-$E215),0)</x:f>
      </x:c>
      <x:c r="G215" s="24">
        <x:f>IF($B215&lt;=Inputs!$C$6,MAX(0,($C215-$F215))*(1-(1-Inputs!$C$8)^(1/12)),0)</x:f>
      </x:c>
      <x:c r="H215" s="24">
        <x:f>IF($B215&lt;=Inputs!$C$6,MAX(0,($C215-$F215-$G215))*(1-(1-Inputs!$C$9)^(1/12)),0)</x:f>
      </x:c>
      <x:c r="I215" s="24">
        <x:f>IF($B215&gt;Inputs!$C$11,INDEX($H:$H,ROW()-Inputs!$C$11)* (1-Inputs!$C$10),0)</x:f>
      </x:c>
      <x:c r="J215" s="24">
        <x:f>$H215*Inputs!$C$10</x:f>
      </x:c>
      <x:c r="K215" s="24">
        <x:f>IF($B215&lt;=Inputs!$C$6+Inputs!$C$11,$C215*Inputs!$C$7/12,0)</x:f>
      </x:c>
      <x:c r="L215" s="24">
        <x:f>IF($B215&lt;=Inputs!$C$6+Inputs!$C$11,$E215+$F215+$G215+$I215-$K215,0)</x:f>
      </x:c>
      <x:c r="M215" s="24">
        <x:f>IF($B215&lt;=Inputs!$C$6,MAX(0,$C215-$F215-$G215-$H215),0)</x:f>
      </x:c>
    </x:row>
    <x:row r="216">
      <x:c r="B216" s="22" t="n">
        <x:v>213</x:v>
      </x:c>
      <x:c r="C216" s="23">
        <x:f>IF($B216&lt;=Inputs!$C$6+Inputs!$C$11,$M215,"")</x:f>
      </x:c>
      <x:c r="D216" s="24">
        <x:f>IF($B216&lt;=Inputs!$C$6,-PMT(Inputs!$C$5/12,Inputs!$C$6,Inputs!$C$4),0)</x:f>
      </x:c>
      <x:c r="E216" s="24">
        <x:f>IF($B216&lt;=Inputs!$C$6+Inputs!$C$11,$C216*Inputs!$C$5/12,0)</x:f>
      </x:c>
      <x:c r="F216" s="24">
        <x:f>IF($B216&lt;=Inputs!$C$6,MAX(0,$D216-$E216),0)</x:f>
      </x:c>
      <x:c r="G216" s="24">
        <x:f>IF($B216&lt;=Inputs!$C$6,MAX(0,($C216-$F216))*(1-(1-Inputs!$C$8)^(1/12)),0)</x:f>
      </x:c>
      <x:c r="H216" s="24">
        <x:f>IF($B216&lt;=Inputs!$C$6,MAX(0,($C216-$F216-$G216))*(1-(1-Inputs!$C$9)^(1/12)),0)</x:f>
      </x:c>
      <x:c r="I216" s="24">
        <x:f>IF($B216&gt;Inputs!$C$11,INDEX($H:$H,ROW()-Inputs!$C$11)* (1-Inputs!$C$10),0)</x:f>
      </x:c>
      <x:c r="J216" s="24">
        <x:f>$H216*Inputs!$C$10</x:f>
      </x:c>
      <x:c r="K216" s="24">
        <x:f>IF($B216&lt;=Inputs!$C$6+Inputs!$C$11,$C216*Inputs!$C$7/12,0)</x:f>
      </x:c>
      <x:c r="L216" s="24">
        <x:f>IF($B216&lt;=Inputs!$C$6+Inputs!$C$11,$E216+$F216+$G216+$I216-$K216,0)</x:f>
      </x:c>
      <x:c r="M216" s="24">
        <x:f>IF($B216&lt;=Inputs!$C$6,MAX(0,$C216-$F216-$G216-$H216),0)</x:f>
      </x:c>
    </x:row>
    <x:row r="217">
      <x:c r="B217" s="22" t="n">
        <x:v>214</x:v>
      </x:c>
      <x:c r="C217" s="23">
        <x:f>IF($B217&lt;=Inputs!$C$6+Inputs!$C$11,$M216,"")</x:f>
      </x:c>
      <x:c r="D217" s="24">
        <x:f>IF($B217&lt;=Inputs!$C$6,-PMT(Inputs!$C$5/12,Inputs!$C$6,Inputs!$C$4),0)</x:f>
      </x:c>
      <x:c r="E217" s="24">
        <x:f>IF($B217&lt;=Inputs!$C$6+Inputs!$C$11,$C217*Inputs!$C$5/12,0)</x:f>
      </x:c>
      <x:c r="F217" s="24">
        <x:f>IF($B217&lt;=Inputs!$C$6,MAX(0,$D217-$E217),0)</x:f>
      </x:c>
      <x:c r="G217" s="24">
        <x:f>IF($B217&lt;=Inputs!$C$6,MAX(0,($C217-$F217))*(1-(1-Inputs!$C$8)^(1/12)),0)</x:f>
      </x:c>
      <x:c r="H217" s="24">
        <x:f>IF($B217&lt;=Inputs!$C$6,MAX(0,($C217-$F217-$G217))*(1-(1-Inputs!$C$9)^(1/12)),0)</x:f>
      </x:c>
      <x:c r="I217" s="24">
        <x:f>IF($B217&gt;Inputs!$C$11,INDEX($H:$H,ROW()-Inputs!$C$11)* (1-Inputs!$C$10),0)</x:f>
      </x:c>
      <x:c r="J217" s="24">
        <x:f>$H217*Inputs!$C$10</x:f>
      </x:c>
      <x:c r="K217" s="24">
        <x:f>IF($B217&lt;=Inputs!$C$6+Inputs!$C$11,$C217*Inputs!$C$7/12,0)</x:f>
      </x:c>
      <x:c r="L217" s="24">
        <x:f>IF($B217&lt;=Inputs!$C$6+Inputs!$C$11,$E217+$F217+$G217+$I217-$K217,0)</x:f>
      </x:c>
      <x:c r="M217" s="24">
        <x:f>IF($B217&lt;=Inputs!$C$6,MAX(0,$C217-$F217-$G217-$H217),0)</x:f>
      </x:c>
    </x:row>
    <x:row r="218">
      <x:c r="B218" s="22" t="n">
        <x:v>215</x:v>
      </x:c>
      <x:c r="C218" s="23">
        <x:f>IF($B218&lt;=Inputs!$C$6+Inputs!$C$11,$M217,"")</x:f>
      </x:c>
      <x:c r="D218" s="24">
        <x:f>IF($B218&lt;=Inputs!$C$6,-PMT(Inputs!$C$5/12,Inputs!$C$6,Inputs!$C$4),0)</x:f>
      </x:c>
      <x:c r="E218" s="24">
        <x:f>IF($B218&lt;=Inputs!$C$6+Inputs!$C$11,$C218*Inputs!$C$5/12,0)</x:f>
      </x:c>
      <x:c r="F218" s="24">
        <x:f>IF($B218&lt;=Inputs!$C$6,MAX(0,$D218-$E218),0)</x:f>
      </x:c>
      <x:c r="G218" s="24">
        <x:f>IF($B218&lt;=Inputs!$C$6,MAX(0,($C218-$F218))*(1-(1-Inputs!$C$8)^(1/12)),0)</x:f>
      </x:c>
      <x:c r="H218" s="24">
        <x:f>IF($B218&lt;=Inputs!$C$6,MAX(0,($C218-$F218-$G218))*(1-(1-Inputs!$C$9)^(1/12)),0)</x:f>
      </x:c>
      <x:c r="I218" s="24">
        <x:f>IF($B218&gt;Inputs!$C$11,INDEX($H:$H,ROW()-Inputs!$C$11)* (1-Inputs!$C$10),0)</x:f>
      </x:c>
      <x:c r="J218" s="24">
        <x:f>$H218*Inputs!$C$10</x:f>
      </x:c>
      <x:c r="K218" s="24">
        <x:f>IF($B218&lt;=Inputs!$C$6+Inputs!$C$11,$C218*Inputs!$C$7/12,0)</x:f>
      </x:c>
      <x:c r="L218" s="24">
        <x:f>IF($B218&lt;=Inputs!$C$6+Inputs!$C$11,$E218+$F218+$G218+$I218-$K218,0)</x:f>
      </x:c>
      <x:c r="M218" s="24">
        <x:f>IF($B218&lt;=Inputs!$C$6,MAX(0,$C218-$F218-$G218-$H218),0)</x:f>
      </x:c>
    </x:row>
    <x:row r="219">
      <x:c r="B219" s="22" t="n">
        <x:v>216</x:v>
      </x:c>
      <x:c r="C219" s="23">
        <x:f>IF($B219&lt;=Inputs!$C$6+Inputs!$C$11,$M218,"")</x:f>
      </x:c>
      <x:c r="D219" s="24">
        <x:f>IF($B219&lt;=Inputs!$C$6,-PMT(Inputs!$C$5/12,Inputs!$C$6,Inputs!$C$4),0)</x:f>
      </x:c>
      <x:c r="E219" s="24">
        <x:f>IF($B219&lt;=Inputs!$C$6+Inputs!$C$11,$C219*Inputs!$C$5/12,0)</x:f>
      </x:c>
      <x:c r="F219" s="24">
        <x:f>IF($B219&lt;=Inputs!$C$6,MAX(0,$D219-$E219),0)</x:f>
      </x:c>
      <x:c r="G219" s="24">
        <x:f>IF($B219&lt;=Inputs!$C$6,MAX(0,($C219-$F219))*(1-(1-Inputs!$C$8)^(1/12)),0)</x:f>
      </x:c>
      <x:c r="H219" s="24">
        <x:f>IF($B219&lt;=Inputs!$C$6,MAX(0,($C219-$F219-$G219))*(1-(1-Inputs!$C$9)^(1/12)),0)</x:f>
      </x:c>
      <x:c r="I219" s="24">
        <x:f>IF($B219&gt;Inputs!$C$11,INDEX($H:$H,ROW()-Inputs!$C$11)* (1-Inputs!$C$10),0)</x:f>
      </x:c>
      <x:c r="J219" s="24">
        <x:f>$H219*Inputs!$C$10</x:f>
      </x:c>
      <x:c r="K219" s="24">
        <x:f>IF($B219&lt;=Inputs!$C$6+Inputs!$C$11,$C219*Inputs!$C$7/12,0)</x:f>
      </x:c>
      <x:c r="L219" s="24">
        <x:f>IF($B219&lt;=Inputs!$C$6+Inputs!$C$11,$E219+$F219+$G219+$I219-$K219,0)</x:f>
      </x:c>
      <x:c r="M219" s="24">
        <x:f>IF($B219&lt;=Inputs!$C$6,MAX(0,$C219-$F219-$G219-$H219),0)</x:f>
      </x:c>
    </x:row>
    <x:row r="220">
      <x:c r="B220" s="22" t="n">
        <x:v>217</x:v>
      </x:c>
      <x:c r="C220" s="23">
        <x:f>IF($B220&lt;=Inputs!$C$6+Inputs!$C$11,$M219,"")</x:f>
      </x:c>
      <x:c r="D220" s="24">
        <x:f>IF($B220&lt;=Inputs!$C$6,-PMT(Inputs!$C$5/12,Inputs!$C$6,Inputs!$C$4),0)</x:f>
      </x:c>
      <x:c r="E220" s="24">
        <x:f>IF($B220&lt;=Inputs!$C$6+Inputs!$C$11,$C220*Inputs!$C$5/12,0)</x:f>
      </x:c>
      <x:c r="F220" s="24">
        <x:f>IF($B220&lt;=Inputs!$C$6,MAX(0,$D220-$E220),0)</x:f>
      </x:c>
      <x:c r="G220" s="24">
        <x:f>IF($B220&lt;=Inputs!$C$6,MAX(0,($C220-$F220))*(1-(1-Inputs!$C$8)^(1/12)),0)</x:f>
      </x:c>
      <x:c r="H220" s="24">
        <x:f>IF($B220&lt;=Inputs!$C$6,MAX(0,($C220-$F220-$G220))*(1-(1-Inputs!$C$9)^(1/12)),0)</x:f>
      </x:c>
      <x:c r="I220" s="24">
        <x:f>IF($B220&gt;Inputs!$C$11,INDEX($H:$H,ROW()-Inputs!$C$11)* (1-Inputs!$C$10),0)</x:f>
      </x:c>
      <x:c r="J220" s="24">
        <x:f>$H220*Inputs!$C$10</x:f>
      </x:c>
      <x:c r="K220" s="24">
        <x:f>IF($B220&lt;=Inputs!$C$6+Inputs!$C$11,$C220*Inputs!$C$7/12,0)</x:f>
      </x:c>
      <x:c r="L220" s="24">
        <x:f>IF($B220&lt;=Inputs!$C$6+Inputs!$C$11,$E220+$F220+$G220+$I220-$K220,0)</x:f>
      </x:c>
      <x:c r="M220" s="24">
        <x:f>IF($B220&lt;=Inputs!$C$6,MAX(0,$C220-$F220-$G220-$H220),0)</x:f>
      </x:c>
    </x:row>
    <x:row r="221">
      <x:c r="B221" s="22" t="n">
        <x:v>218</x:v>
      </x:c>
      <x:c r="C221" s="23">
        <x:f>IF($B221&lt;=Inputs!$C$6+Inputs!$C$11,$M220,"")</x:f>
      </x:c>
      <x:c r="D221" s="24">
        <x:f>IF($B221&lt;=Inputs!$C$6,-PMT(Inputs!$C$5/12,Inputs!$C$6,Inputs!$C$4),0)</x:f>
      </x:c>
      <x:c r="E221" s="24">
        <x:f>IF($B221&lt;=Inputs!$C$6+Inputs!$C$11,$C221*Inputs!$C$5/12,0)</x:f>
      </x:c>
      <x:c r="F221" s="24">
        <x:f>IF($B221&lt;=Inputs!$C$6,MAX(0,$D221-$E221),0)</x:f>
      </x:c>
      <x:c r="G221" s="24">
        <x:f>IF($B221&lt;=Inputs!$C$6,MAX(0,($C221-$F221))*(1-(1-Inputs!$C$8)^(1/12)),0)</x:f>
      </x:c>
      <x:c r="H221" s="24">
        <x:f>IF($B221&lt;=Inputs!$C$6,MAX(0,($C221-$F221-$G221))*(1-(1-Inputs!$C$9)^(1/12)),0)</x:f>
      </x:c>
      <x:c r="I221" s="24">
        <x:f>IF($B221&gt;Inputs!$C$11,INDEX($H:$H,ROW()-Inputs!$C$11)* (1-Inputs!$C$10),0)</x:f>
      </x:c>
      <x:c r="J221" s="24">
        <x:f>$H221*Inputs!$C$10</x:f>
      </x:c>
      <x:c r="K221" s="24">
        <x:f>IF($B221&lt;=Inputs!$C$6+Inputs!$C$11,$C221*Inputs!$C$7/12,0)</x:f>
      </x:c>
      <x:c r="L221" s="24">
        <x:f>IF($B221&lt;=Inputs!$C$6+Inputs!$C$11,$E221+$F221+$G221+$I221-$K221,0)</x:f>
      </x:c>
      <x:c r="M221" s="24">
        <x:f>IF($B221&lt;=Inputs!$C$6,MAX(0,$C221-$F221-$G221-$H221),0)</x:f>
      </x:c>
    </x:row>
    <x:row r="222">
      <x:c r="B222" s="22" t="n">
        <x:v>219</x:v>
      </x:c>
      <x:c r="C222" s="23">
        <x:f>IF($B222&lt;=Inputs!$C$6+Inputs!$C$11,$M221,"")</x:f>
      </x:c>
      <x:c r="D222" s="24">
        <x:f>IF($B222&lt;=Inputs!$C$6,-PMT(Inputs!$C$5/12,Inputs!$C$6,Inputs!$C$4),0)</x:f>
      </x:c>
      <x:c r="E222" s="24">
        <x:f>IF($B222&lt;=Inputs!$C$6+Inputs!$C$11,$C222*Inputs!$C$5/12,0)</x:f>
      </x:c>
      <x:c r="F222" s="24">
        <x:f>IF($B222&lt;=Inputs!$C$6,MAX(0,$D222-$E222),0)</x:f>
      </x:c>
      <x:c r="G222" s="24">
        <x:f>IF($B222&lt;=Inputs!$C$6,MAX(0,($C222-$F222))*(1-(1-Inputs!$C$8)^(1/12)),0)</x:f>
      </x:c>
      <x:c r="H222" s="24">
        <x:f>IF($B222&lt;=Inputs!$C$6,MAX(0,($C222-$F222-$G222))*(1-(1-Inputs!$C$9)^(1/12)),0)</x:f>
      </x:c>
      <x:c r="I222" s="24">
        <x:f>IF($B222&gt;Inputs!$C$11,INDEX($H:$H,ROW()-Inputs!$C$11)* (1-Inputs!$C$10),0)</x:f>
      </x:c>
      <x:c r="J222" s="24">
        <x:f>$H222*Inputs!$C$10</x:f>
      </x:c>
      <x:c r="K222" s="24">
        <x:f>IF($B222&lt;=Inputs!$C$6+Inputs!$C$11,$C222*Inputs!$C$7/12,0)</x:f>
      </x:c>
      <x:c r="L222" s="24">
        <x:f>IF($B222&lt;=Inputs!$C$6+Inputs!$C$11,$E222+$F222+$G222+$I222-$K222,0)</x:f>
      </x:c>
      <x:c r="M222" s="24">
        <x:f>IF($B222&lt;=Inputs!$C$6,MAX(0,$C222-$F222-$G222-$H222),0)</x:f>
      </x:c>
    </x:row>
    <x:row r="223">
      <x:c r="B223" s="22" t="n">
        <x:v>220</x:v>
      </x:c>
      <x:c r="C223" s="23">
        <x:f>IF($B223&lt;=Inputs!$C$6+Inputs!$C$11,$M222,"")</x:f>
      </x:c>
      <x:c r="D223" s="24">
        <x:f>IF($B223&lt;=Inputs!$C$6,-PMT(Inputs!$C$5/12,Inputs!$C$6,Inputs!$C$4),0)</x:f>
      </x:c>
      <x:c r="E223" s="24">
        <x:f>IF($B223&lt;=Inputs!$C$6+Inputs!$C$11,$C223*Inputs!$C$5/12,0)</x:f>
      </x:c>
      <x:c r="F223" s="24">
        <x:f>IF($B223&lt;=Inputs!$C$6,MAX(0,$D223-$E223),0)</x:f>
      </x:c>
      <x:c r="G223" s="24">
        <x:f>IF($B223&lt;=Inputs!$C$6,MAX(0,($C223-$F223))*(1-(1-Inputs!$C$8)^(1/12)),0)</x:f>
      </x:c>
      <x:c r="H223" s="24">
        <x:f>IF($B223&lt;=Inputs!$C$6,MAX(0,($C223-$F223-$G223))*(1-(1-Inputs!$C$9)^(1/12)),0)</x:f>
      </x:c>
      <x:c r="I223" s="24">
        <x:f>IF($B223&gt;Inputs!$C$11,INDEX($H:$H,ROW()-Inputs!$C$11)* (1-Inputs!$C$10),0)</x:f>
      </x:c>
      <x:c r="J223" s="24">
        <x:f>$H223*Inputs!$C$10</x:f>
      </x:c>
      <x:c r="K223" s="24">
        <x:f>IF($B223&lt;=Inputs!$C$6+Inputs!$C$11,$C223*Inputs!$C$7/12,0)</x:f>
      </x:c>
      <x:c r="L223" s="24">
        <x:f>IF($B223&lt;=Inputs!$C$6+Inputs!$C$11,$E223+$F223+$G223+$I223-$K223,0)</x:f>
      </x:c>
      <x:c r="M223" s="24">
        <x:f>IF($B223&lt;=Inputs!$C$6,MAX(0,$C223-$F223-$G223-$H223),0)</x:f>
      </x:c>
    </x:row>
    <x:row r="224">
      <x:c r="B224" s="22" t="n">
        <x:v>221</x:v>
      </x:c>
      <x:c r="C224" s="23">
        <x:f>IF($B224&lt;=Inputs!$C$6+Inputs!$C$11,$M223,"")</x:f>
      </x:c>
      <x:c r="D224" s="24">
        <x:f>IF($B224&lt;=Inputs!$C$6,-PMT(Inputs!$C$5/12,Inputs!$C$6,Inputs!$C$4),0)</x:f>
      </x:c>
      <x:c r="E224" s="24">
        <x:f>IF($B224&lt;=Inputs!$C$6+Inputs!$C$11,$C224*Inputs!$C$5/12,0)</x:f>
      </x:c>
      <x:c r="F224" s="24">
        <x:f>IF($B224&lt;=Inputs!$C$6,MAX(0,$D224-$E224),0)</x:f>
      </x:c>
      <x:c r="G224" s="24">
        <x:f>IF($B224&lt;=Inputs!$C$6,MAX(0,($C224-$F224))*(1-(1-Inputs!$C$8)^(1/12)),0)</x:f>
      </x:c>
      <x:c r="H224" s="24">
        <x:f>IF($B224&lt;=Inputs!$C$6,MAX(0,($C224-$F224-$G224))*(1-(1-Inputs!$C$9)^(1/12)),0)</x:f>
      </x:c>
      <x:c r="I224" s="24">
        <x:f>IF($B224&gt;Inputs!$C$11,INDEX($H:$H,ROW()-Inputs!$C$11)* (1-Inputs!$C$10),0)</x:f>
      </x:c>
      <x:c r="J224" s="24">
        <x:f>$H224*Inputs!$C$10</x:f>
      </x:c>
      <x:c r="K224" s="24">
        <x:f>IF($B224&lt;=Inputs!$C$6+Inputs!$C$11,$C224*Inputs!$C$7/12,0)</x:f>
      </x:c>
      <x:c r="L224" s="24">
        <x:f>IF($B224&lt;=Inputs!$C$6+Inputs!$C$11,$E224+$F224+$G224+$I224-$K224,0)</x:f>
      </x:c>
      <x:c r="M224" s="24">
        <x:f>IF($B224&lt;=Inputs!$C$6,MAX(0,$C224-$F224-$G224-$H224),0)</x:f>
      </x:c>
    </x:row>
    <x:row r="225">
      <x:c r="B225" s="22" t="n">
        <x:v>222</x:v>
      </x:c>
      <x:c r="C225" s="23">
        <x:f>IF($B225&lt;=Inputs!$C$6+Inputs!$C$11,$M224,"")</x:f>
      </x:c>
      <x:c r="D225" s="24">
        <x:f>IF($B225&lt;=Inputs!$C$6,-PMT(Inputs!$C$5/12,Inputs!$C$6,Inputs!$C$4),0)</x:f>
      </x:c>
      <x:c r="E225" s="24">
        <x:f>IF($B225&lt;=Inputs!$C$6+Inputs!$C$11,$C225*Inputs!$C$5/12,0)</x:f>
      </x:c>
      <x:c r="F225" s="24">
        <x:f>IF($B225&lt;=Inputs!$C$6,MAX(0,$D225-$E225),0)</x:f>
      </x:c>
      <x:c r="G225" s="24">
        <x:f>IF($B225&lt;=Inputs!$C$6,MAX(0,($C225-$F225))*(1-(1-Inputs!$C$8)^(1/12)),0)</x:f>
      </x:c>
      <x:c r="H225" s="24">
        <x:f>IF($B225&lt;=Inputs!$C$6,MAX(0,($C225-$F225-$G225))*(1-(1-Inputs!$C$9)^(1/12)),0)</x:f>
      </x:c>
      <x:c r="I225" s="24">
        <x:f>IF($B225&gt;Inputs!$C$11,INDEX($H:$H,ROW()-Inputs!$C$11)* (1-Inputs!$C$10),0)</x:f>
      </x:c>
      <x:c r="J225" s="24">
        <x:f>$H225*Inputs!$C$10</x:f>
      </x:c>
      <x:c r="K225" s="24">
        <x:f>IF($B225&lt;=Inputs!$C$6+Inputs!$C$11,$C225*Inputs!$C$7/12,0)</x:f>
      </x:c>
      <x:c r="L225" s="24">
        <x:f>IF($B225&lt;=Inputs!$C$6+Inputs!$C$11,$E225+$F225+$G225+$I225-$K225,0)</x:f>
      </x:c>
      <x:c r="M225" s="24">
        <x:f>IF($B225&lt;=Inputs!$C$6,MAX(0,$C225-$F225-$G225-$H225),0)</x:f>
      </x:c>
    </x:row>
    <x:row r="226">
      <x:c r="B226" s="22" t="n">
        <x:v>223</x:v>
      </x:c>
      <x:c r="C226" s="23">
        <x:f>IF($B226&lt;=Inputs!$C$6+Inputs!$C$11,$M225,"")</x:f>
      </x:c>
      <x:c r="D226" s="24">
        <x:f>IF($B226&lt;=Inputs!$C$6,-PMT(Inputs!$C$5/12,Inputs!$C$6,Inputs!$C$4),0)</x:f>
      </x:c>
      <x:c r="E226" s="24">
        <x:f>IF($B226&lt;=Inputs!$C$6+Inputs!$C$11,$C226*Inputs!$C$5/12,0)</x:f>
      </x:c>
      <x:c r="F226" s="24">
        <x:f>IF($B226&lt;=Inputs!$C$6,MAX(0,$D226-$E226),0)</x:f>
      </x:c>
      <x:c r="G226" s="24">
        <x:f>IF($B226&lt;=Inputs!$C$6,MAX(0,($C226-$F226))*(1-(1-Inputs!$C$8)^(1/12)),0)</x:f>
      </x:c>
      <x:c r="H226" s="24">
        <x:f>IF($B226&lt;=Inputs!$C$6,MAX(0,($C226-$F226-$G226))*(1-(1-Inputs!$C$9)^(1/12)),0)</x:f>
      </x:c>
      <x:c r="I226" s="24">
        <x:f>IF($B226&gt;Inputs!$C$11,INDEX($H:$H,ROW()-Inputs!$C$11)* (1-Inputs!$C$10),0)</x:f>
      </x:c>
      <x:c r="J226" s="24">
        <x:f>$H226*Inputs!$C$10</x:f>
      </x:c>
      <x:c r="K226" s="24">
        <x:f>IF($B226&lt;=Inputs!$C$6+Inputs!$C$11,$C226*Inputs!$C$7/12,0)</x:f>
      </x:c>
      <x:c r="L226" s="24">
        <x:f>IF($B226&lt;=Inputs!$C$6+Inputs!$C$11,$E226+$F226+$G226+$I226-$K226,0)</x:f>
      </x:c>
      <x:c r="M226" s="24">
        <x:f>IF($B226&lt;=Inputs!$C$6,MAX(0,$C226-$F226-$G226-$H226),0)</x:f>
      </x:c>
    </x:row>
    <x:row r="227">
      <x:c r="B227" s="22" t="n">
        <x:v>224</x:v>
      </x:c>
      <x:c r="C227" s="23">
        <x:f>IF($B227&lt;=Inputs!$C$6+Inputs!$C$11,$M226,"")</x:f>
      </x:c>
      <x:c r="D227" s="24">
        <x:f>IF($B227&lt;=Inputs!$C$6,-PMT(Inputs!$C$5/12,Inputs!$C$6,Inputs!$C$4),0)</x:f>
      </x:c>
      <x:c r="E227" s="24">
        <x:f>IF($B227&lt;=Inputs!$C$6+Inputs!$C$11,$C227*Inputs!$C$5/12,0)</x:f>
      </x:c>
      <x:c r="F227" s="24">
        <x:f>IF($B227&lt;=Inputs!$C$6,MAX(0,$D227-$E227),0)</x:f>
      </x:c>
      <x:c r="G227" s="24">
        <x:f>IF($B227&lt;=Inputs!$C$6,MAX(0,($C227-$F227))*(1-(1-Inputs!$C$8)^(1/12)),0)</x:f>
      </x:c>
      <x:c r="H227" s="24">
        <x:f>IF($B227&lt;=Inputs!$C$6,MAX(0,($C227-$F227-$G227))*(1-(1-Inputs!$C$9)^(1/12)),0)</x:f>
      </x:c>
      <x:c r="I227" s="24">
        <x:f>IF($B227&gt;Inputs!$C$11,INDEX($H:$H,ROW()-Inputs!$C$11)* (1-Inputs!$C$10),0)</x:f>
      </x:c>
      <x:c r="J227" s="24">
        <x:f>$H227*Inputs!$C$10</x:f>
      </x:c>
      <x:c r="K227" s="24">
        <x:f>IF($B227&lt;=Inputs!$C$6+Inputs!$C$11,$C227*Inputs!$C$7/12,0)</x:f>
      </x:c>
      <x:c r="L227" s="24">
        <x:f>IF($B227&lt;=Inputs!$C$6+Inputs!$C$11,$E227+$F227+$G227+$I227-$K227,0)</x:f>
      </x:c>
      <x:c r="M227" s="24">
        <x:f>IF($B227&lt;=Inputs!$C$6,MAX(0,$C227-$F227-$G227-$H227),0)</x:f>
      </x:c>
    </x:row>
    <x:row r="228">
      <x:c r="B228" s="22" t="n">
        <x:v>225</x:v>
      </x:c>
      <x:c r="C228" s="23">
        <x:f>IF($B228&lt;=Inputs!$C$6+Inputs!$C$11,$M227,"")</x:f>
      </x:c>
      <x:c r="D228" s="24">
        <x:f>IF($B228&lt;=Inputs!$C$6,-PMT(Inputs!$C$5/12,Inputs!$C$6,Inputs!$C$4),0)</x:f>
      </x:c>
      <x:c r="E228" s="24">
        <x:f>IF($B228&lt;=Inputs!$C$6+Inputs!$C$11,$C228*Inputs!$C$5/12,0)</x:f>
      </x:c>
      <x:c r="F228" s="24">
        <x:f>IF($B228&lt;=Inputs!$C$6,MAX(0,$D228-$E228),0)</x:f>
      </x:c>
      <x:c r="G228" s="24">
        <x:f>IF($B228&lt;=Inputs!$C$6,MAX(0,($C228-$F228))*(1-(1-Inputs!$C$8)^(1/12)),0)</x:f>
      </x:c>
      <x:c r="H228" s="24">
        <x:f>IF($B228&lt;=Inputs!$C$6,MAX(0,($C228-$F228-$G228))*(1-(1-Inputs!$C$9)^(1/12)),0)</x:f>
      </x:c>
      <x:c r="I228" s="24">
        <x:f>IF($B228&gt;Inputs!$C$11,INDEX($H:$H,ROW()-Inputs!$C$11)* (1-Inputs!$C$10),0)</x:f>
      </x:c>
      <x:c r="J228" s="24">
        <x:f>$H228*Inputs!$C$10</x:f>
      </x:c>
      <x:c r="K228" s="24">
        <x:f>IF($B228&lt;=Inputs!$C$6+Inputs!$C$11,$C228*Inputs!$C$7/12,0)</x:f>
      </x:c>
      <x:c r="L228" s="24">
        <x:f>IF($B228&lt;=Inputs!$C$6+Inputs!$C$11,$E228+$F228+$G228+$I228-$K228,0)</x:f>
      </x:c>
      <x:c r="M228" s="24">
        <x:f>IF($B228&lt;=Inputs!$C$6,MAX(0,$C228-$F228-$G228-$H228),0)</x:f>
      </x:c>
    </x:row>
    <x:row r="229">
      <x:c r="B229" s="22" t="n">
        <x:v>226</x:v>
      </x:c>
      <x:c r="C229" s="23">
        <x:f>IF($B229&lt;=Inputs!$C$6+Inputs!$C$11,$M228,"")</x:f>
      </x:c>
      <x:c r="D229" s="24">
        <x:f>IF($B229&lt;=Inputs!$C$6,-PMT(Inputs!$C$5/12,Inputs!$C$6,Inputs!$C$4),0)</x:f>
      </x:c>
      <x:c r="E229" s="24">
        <x:f>IF($B229&lt;=Inputs!$C$6+Inputs!$C$11,$C229*Inputs!$C$5/12,0)</x:f>
      </x:c>
      <x:c r="F229" s="24">
        <x:f>IF($B229&lt;=Inputs!$C$6,MAX(0,$D229-$E229),0)</x:f>
      </x:c>
      <x:c r="G229" s="24">
        <x:f>IF($B229&lt;=Inputs!$C$6,MAX(0,($C229-$F229))*(1-(1-Inputs!$C$8)^(1/12)),0)</x:f>
      </x:c>
      <x:c r="H229" s="24">
        <x:f>IF($B229&lt;=Inputs!$C$6,MAX(0,($C229-$F229-$G229))*(1-(1-Inputs!$C$9)^(1/12)),0)</x:f>
      </x:c>
      <x:c r="I229" s="24">
        <x:f>IF($B229&gt;Inputs!$C$11,INDEX($H:$H,ROW()-Inputs!$C$11)* (1-Inputs!$C$10),0)</x:f>
      </x:c>
      <x:c r="J229" s="24">
        <x:f>$H229*Inputs!$C$10</x:f>
      </x:c>
      <x:c r="K229" s="24">
        <x:f>IF($B229&lt;=Inputs!$C$6+Inputs!$C$11,$C229*Inputs!$C$7/12,0)</x:f>
      </x:c>
      <x:c r="L229" s="24">
        <x:f>IF($B229&lt;=Inputs!$C$6+Inputs!$C$11,$E229+$F229+$G229+$I229-$K229,0)</x:f>
      </x:c>
      <x:c r="M229" s="24">
        <x:f>IF($B229&lt;=Inputs!$C$6,MAX(0,$C229-$F229-$G229-$H229),0)</x:f>
      </x:c>
    </x:row>
    <x:row r="230">
      <x:c r="B230" s="22" t="n">
        <x:v>227</x:v>
      </x:c>
      <x:c r="C230" s="23">
        <x:f>IF($B230&lt;=Inputs!$C$6+Inputs!$C$11,$M229,"")</x:f>
      </x:c>
      <x:c r="D230" s="24">
        <x:f>IF($B230&lt;=Inputs!$C$6,-PMT(Inputs!$C$5/12,Inputs!$C$6,Inputs!$C$4),0)</x:f>
      </x:c>
      <x:c r="E230" s="24">
        <x:f>IF($B230&lt;=Inputs!$C$6+Inputs!$C$11,$C230*Inputs!$C$5/12,0)</x:f>
      </x:c>
      <x:c r="F230" s="24">
        <x:f>IF($B230&lt;=Inputs!$C$6,MAX(0,$D230-$E230),0)</x:f>
      </x:c>
      <x:c r="G230" s="24">
        <x:f>IF($B230&lt;=Inputs!$C$6,MAX(0,($C230-$F230))*(1-(1-Inputs!$C$8)^(1/12)),0)</x:f>
      </x:c>
      <x:c r="H230" s="24">
        <x:f>IF($B230&lt;=Inputs!$C$6,MAX(0,($C230-$F230-$G230))*(1-(1-Inputs!$C$9)^(1/12)),0)</x:f>
      </x:c>
      <x:c r="I230" s="24">
        <x:f>IF($B230&gt;Inputs!$C$11,INDEX($H:$H,ROW()-Inputs!$C$11)* (1-Inputs!$C$10),0)</x:f>
      </x:c>
      <x:c r="J230" s="24">
        <x:f>$H230*Inputs!$C$10</x:f>
      </x:c>
      <x:c r="K230" s="24">
        <x:f>IF($B230&lt;=Inputs!$C$6+Inputs!$C$11,$C230*Inputs!$C$7/12,0)</x:f>
      </x:c>
      <x:c r="L230" s="24">
        <x:f>IF($B230&lt;=Inputs!$C$6+Inputs!$C$11,$E230+$F230+$G230+$I230-$K230,0)</x:f>
      </x:c>
      <x:c r="M230" s="24">
        <x:f>IF($B230&lt;=Inputs!$C$6,MAX(0,$C230-$F230-$G230-$H230),0)</x:f>
      </x:c>
    </x:row>
    <x:row r="231">
      <x:c r="B231" s="22" t="n">
        <x:v>228</x:v>
      </x:c>
      <x:c r="C231" s="23">
        <x:f>IF($B231&lt;=Inputs!$C$6+Inputs!$C$11,$M230,"")</x:f>
      </x:c>
      <x:c r="D231" s="24">
        <x:f>IF($B231&lt;=Inputs!$C$6,-PMT(Inputs!$C$5/12,Inputs!$C$6,Inputs!$C$4),0)</x:f>
      </x:c>
      <x:c r="E231" s="24">
        <x:f>IF($B231&lt;=Inputs!$C$6+Inputs!$C$11,$C231*Inputs!$C$5/12,0)</x:f>
      </x:c>
      <x:c r="F231" s="24">
        <x:f>IF($B231&lt;=Inputs!$C$6,MAX(0,$D231-$E231),0)</x:f>
      </x:c>
      <x:c r="G231" s="24">
        <x:f>IF($B231&lt;=Inputs!$C$6,MAX(0,($C231-$F231))*(1-(1-Inputs!$C$8)^(1/12)),0)</x:f>
      </x:c>
      <x:c r="H231" s="24">
        <x:f>IF($B231&lt;=Inputs!$C$6,MAX(0,($C231-$F231-$G231))*(1-(1-Inputs!$C$9)^(1/12)),0)</x:f>
      </x:c>
      <x:c r="I231" s="24">
        <x:f>IF($B231&gt;Inputs!$C$11,INDEX($H:$H,ROW()-Inputs!$C$11)* (1-Inputs!$C$10),0)</x:f>
      </x:c>
      <x:c r="J231" s="24">
        <x:f>$H231*Inputs!$C$10</x:f>
      </x:c>
      <x:c r="K231" s="24">
        <x:f>IF($B231&lt;=Inputs!$C$6+Inputs!$C$11,$C231*Inputs!$C$7/12,0)</x:f>
      </x:c>
      <x:c r="L231" s="24">
        <x:f>IF($B231&lt;=Inputs!$C$6+Inputs!$C$11,$E231+$F231+$G231+$I231-$K231,0)</x:f>
      </x:c>
      <x:c r="M231" s="24">
        <x:f>IF($B231&lt;=Inputs!$C$6,MAX(0,$C231-$F231-$G231-$H231),0)</x:f>
      </x:c>
    </x:row>
    <x:row r="232">
      <x:c r="B232" s="22" t="n">
        <x:v>229</x:v>
      </x:c>
      <x:c r="C232" s="23">
        <x:f>IF($B232&lt;=Inputs!$C$6+Inputs!$C$11,$M231,"")</x:f>
      </x:c>
      <x:c r="D232" s="24">
        <x:f>IF($B232&lt;=Inputs!$C$6,-PMT(Inputs!$C$5/12,Inputs!$C$6,Inputs!$C$4),0)</x:f>
      </x:c>
      <x:c r="E232" s="24">
        <x:f>IF($B232&lt;=Inputs!$C$6+Inputs!$C$11,$C232*Inputs!$C$5/12,0)</x:f>
      </x:c>
      <x:c r="F232" s="24">
        <x:f>IF($B232&lt;=Inputs!$C$6,MAX(0,$D232-$E232),0)</x:f>
      </x:c>
      <x:c r="G232" s="24">
        <x:f>IF($B232&lt;=Inputs!$C$6,MAX(0,($C232-$F232))*(1-(1-Inputs!$C$8)^(1/12)),0)</x:f>
      </x:c>
      <x:c r="H232" s="24">
        <x:f>IF($B232&lt;=Inputs!$C$6,MAX(0,($C232-$F232-$G232))*(1-(1-Inputs!$C$9)^(1/12)),0)</x:f>
      </x:c>
      <x:c r="I232" s="24">
        <x:f>IF($B232&gt;Inputs!$C$11,INDEX($H:$H,ROW()-Inputs!$C$11)* (1-Inputs!$C$10),0)</x:f>
      </x:c>
      <x:c r="J232" s="24">
        <x:f>$H232*Inputs!$C$10</x:f>
      </x:c>
      <x:c r="K232" s="24">
        <x:f>IF($B232&lt;=Inputs!$C$6+Inputs!$C$11,$C232*Inputs!$C$7/12,0)</x:f>
      </x:c>
      <x:c r="L232" s="24">
        <x:f>IF($B232&lt;=Inputs!$C$6+Inputs!$C$11,$E232+$F232+$G232+$I232-$K232,0)</x:f>
      </x:c>
      <x:c r="M232" s="24">
        <x:f>IF($B232&lt;=Inputs!$C$6,MAX(0,$C232-$F232-$G232-$H232),0)</x:f>
      </x:c>
    </x:row>
    <x:row r="233">
      <x:c r="B233" s="22" t="n">
        <x:v>230</x:v>
      </x:c>
      <x:c r="C233" s="23">
        <x:f>IF($B233&lt;=Inputs!$C$6+Inputs!$C$11,$M232,"")</x:f>
      </x:c>
      <x:c r="D233" s="24">
        <x:f>IF($B233&lt;=Inputs!$C$6,-PMT(Inputs!$C$5/12,Inputs!$C$6,Inputs!$C$4),0)</x:f>
      </x:c>
      <x:c r="E233" s="24">
        <x:f>IF($B233&lt;=Inputs!$C$6+Inputs!$C$11,$C233*Inputs!$C$5/12,0)</x:f>
      </x:c>
      <x:c r="F233" s="24">
        <x:f>IF($B233&lt;=Inputs!$C$6,MAX(0,$D233-$E233),0)</x:f>
      </x:c>
      <x:c r="G233" s="24">
        <x:f>IF($B233&lt;=Inputs!$C$6,MAX(0,($C233-$F233))*(1-(1-Inputs!$C$8)^(1/12)),0)</x:f>
      </x:c>
      <x:c r="H233" s="24">
        <x:f>IF($B233&lt;=Inputs!$C$6,MAX(0,($C233-$F233-$G233))*(1-(1-Inputs!$C$9)^(1/12)),0)</x:f>
      </x:c>
      <x:c r="I233" s="24">
        <x:f>IF($B233&gt;Inputs!$C$11,INDEX($H:$H,ROW()-Inputs!$C$11)* (1-Inputs!$C$10),0)</x:f>
      </x:c>
      <x:c r="J233" s="24">
        <x:f>$H233*Inputs!$C$10</x:f>
      </x:c>
      <x:c r="K233" s="24">
        <x:f>IF($B233&lt;=Inputs!$C$6+Inputs!$C$11,$C233*Inputs!$C$7/12,0)</x:f>
      </x:c>
      <x:c r="L233" s="24">
        <x:f>IF($B233&lt;=Inputs!$C$6+Inputs!$C$11,$E233+$F233+$G233+$I233-$K233,0)</x:f>
      </x:c>
      <x:c r="M233" s="24">
        <x:f>IF($B233&lt;=Inputs!$C$6,MAX(0,$C233-$F233-$G233-$H233),0)</x:f>
      </x:c>
    </x:row>
    <x:row r="234">
      <x:c r="B234" s="22" t="n">
        <x:v>231</x:v>
      </x:c>
      <x:c r="C234" s="23">
        <x:f>IF($B234&lt;=Inputs!$C$6+Inputs!$C$11,$M233,"")</x:f>
      </x:c>
      <x:c r="D234" s="24">
        <x:f>IF($B234&lt;=Inputs!$C$6,-PMT(Inputs!$C$5/12,Inputs!$C$6,Inputs!$C$4),0)</x:f>
      </x:c>
      <x:c r="E234" s="24">
        <x:f>IF($B234&lt;=Inputs!$C$6+Inputs!$C$11,$C234*Inputs!$C$5/12,0)</x:f>
      </x:c>
      <x:c r="F234" s="24">
        <x:f>IF($B234&lt;=Inputs!$C$6,MAX(0,$D234-$E234),0)</x:f>
      </x:c>
      <x:c r="G234" s="24">
        <x:f>IF($B234&lt;=Inputs!$C$6,MAX(0,($C234-$F234))*(1-(1-Inputs!$C$8)^(1/12)),0)</x:f>
      </x:c>
      <x:c r="H234" s="24">
        <x:f>IF($B234&lt;=Inputs!$C$6,MAX(0,($C234-$F234-$G234))*(1-(1-Inputs!$C$9)^(1/12)),0)</x:f>
      </x:c>
      <x:c r="I234" s="24">
        <x:f>IF($B234&gt;Inputs!$C$11,INDEX($H:$H,ROW()-Inputs!$C$11)* (1-Inputs!$C$10),0)</x:f>
      </x:c>
      <x:c r="J234" s="24">
        <x:f>$H234*Inputs!$C$10</x:f>
      </x:c>
      <x:c r="K234" s="24">
        <x:f>IF($B234&lt;=Inputs!$C$6+Inputs!$C$11,$C234*Inputs!$C$7/12,0)</x:f>
      </x:c>
      <x:c r="L234" s="24">
        <x:f>IF($B234&lt;=Inputs!$C$6+Inputs!$C$11,$E234+$F234+$G234+$I234-$K234,0)</x:f>
      </x:c>
      <x:c r="M234" s="24">
        <x:f>IF($B234&lt;=Inputs!$C$6,MAX(0,$C234-$F234-$G234-$H234),0)</x:f>
      </x:c>
    </x:row>
    <x:row r="235">
      <x:c r="B235" s="22" t="n">
        <x:v>232</x:v>
      </x:c>
      <x:c r="C235" s="23">
        <x:f>IF($B235&lt;=Inputs!$C$6+Inputs!$C$11,$M234,"")</x:f>
      </x:c>
      <x:c r="D235" s="24">
        <x:f>IF($B235&lt;=Inputs!$C$6,-PMT(Inputs!$C$5/12,Inputs!$C$6,Inputs!$C$4),0)</x:f>
      </x:c>
      <x:c r="E235" s="24">
        <x:f>IF($B235&lt;=Inputs!$C$6+Inputs!$C$11,$C235*Inputs!$C$5/12,0)</x:f>
      </x:c>
      <x:c r="F235" s="24">
        <x:f>IF($B235&lt;=Inputs!$C$6,MAX(0,$D235-$E235),0)</x:f>
      </x:c>
      <x:c r="G235" s="24">
        <x:f>IF($B235&lt;=Inputs!$C$6,MAX(0,($C235-$F235))*(1-(1-Inputs!$C$8)^(1/12)),0)</x:f>
      </x:c>
      <x:c r="H235" s="24">
        <x:f>IF($B235&lt;=Inputs!$C$6,MAX(0,($C235-$F235-$G235))*(1-(1-Inputs!$C$9)^(1/12)),0)</x:f>
      </x:c>
      <x:c r="I235" s="24">
        <x:f>IF($B235&gt;Inputs!$C$11,INDEX($H:$H,ROW()-Inputs!$C$11)* (1-Inputs!$C$10),0)</x:f>
      </x:c>
      <x:c r="J235" s="24">
        <x:f>$H235*Inputs!$C$10</x:f>
      </x:c>
      <x:c r="K235" s="24">
        <x:f>IF($B235&lt;=Inputs!$C$6+Inputs!$C$11,$C235*Inputs!$C$7/12,0)</x:f>
      </x:c>
      <x:c r="L235" s="24">
        <x:f>IF($B235&lt;=Inputs!$C$6+Inputs!$C$11,$E235+$F235+$G235+$I235-$K235,0)</x:f>
      </x:c>
      <x:c r="M235" s="24">
        <x:f>IF($B235&lt;=Inputs!$C$6,MAX(0,$C235-$F235-$G235-$H235),0)</x:f>
      </x:c>
    </x:row>
    <x:row r="236">
      <x:c r="B236" s="22" t="n">
        <x:v>233</x:v>
      </x:c>
      <x:c r="C236" s="23">
        <x:f>IF($B236&lt;=Inputs!$C$6+Inputs!$C$11,$M235,"")</x:f>
      </x:c>
      <x:c r="D236" s="24">
        <x:f>IF($B236&lt;=Inputs!$C$6,-PMT(Inputs!$C$5/12,Inputs!$C$6,Inputs!$C$4),0)</x:f>
      </x:c>
      <x:c r="E236" s="24">
        <x:f>IF($B236&lt;=Inputs!$C$6+Inputs!$C$11,$C236*Inputs!$C$5/12,0)</x:f>
      </x:c>
      <x:c r="F236" s="24">
        <x:f>IF($B236&lt;=Inputs!$C$6,MAX(0,$D236-$E236),0)</x:f>
      </x:c>
      <x:c r="G236" s="24">
        <x:f>IF($B236&lt;=Inputs!$C$6,MAX(0,($C236-$F236))*(1-(1-Inputs!$C$8)^(1/12)),0)</x:f>
      </x:c>
      <x:c r="H236" s="24">
        <x:f>IF($B236&lt;=Inputs!$C$6,MAX(0,($C236-$F236-$G236))*(1-(1-Inputs!$C$9)^(1/12)),0)</x:f>
      </x:c>
      <x:c r="I236" s="24">
        <x:f>IF($B236&gt;Inputs!$C$11,INDEX($H:$H,ROW()-Inputs!$C$11)* (1-Inputs!$C$10),0)</x:f>
      </x:c>
      <x:c r="J236" s="24">
        <x:f>$H236*Inputs!$C$10</x:f>
      </x:c>
      <x:c r="K236" s="24">
        <x:f>IF($B236&lt;=Inputs!$C$6+Inputs!$C$11,$C236*Inputs!$C$7/12,0)</x:f>
      </x:c>
      <x:c r="L236" s="24">
        <x:f>IF($B236&lt;=Inputs!$C$6+Inputs!$C$11,$E236+$F236+$G236+$I236-$K236,0)</x:f>
      </x:c>
      <x:c r="M236" s="24">
        <x:f>IF($B236&lt;=Inputs!$C$6,MAX(0,$C236-$F236-$G236-$H236),0)</x:f>
      </x:c>
    </x:row>
    <x:row r="237">
      <x:c r="B237" s="22" t="n">
        <x:v>234</x:v>
      </x:c>
      <x:c r="C237" s="23">
        <x:f>IF($B237&lt;=Inputs!$C$6+Inputs!$C$11,$M236,"")</x:f>
      </x:c>
      <x:c r="D237" s="24">
        <x:f>IF($B237&lt;=Inputs!$C$6,-PMT(Inputs!$C$5/12,Inputs!$C$6,Inputs!$C$4),0)</x:f>
      </x:c>
      <x:c r="E237" s="24">
        <x:f>IF($B237&lt;=Inputs!$C$6+Inputs!$C$11,$C237*Inputs!$C$5/12,0)</x:f>
      </x:c>
      <x:c r="F237" s="24">
        <x:f>IF($B237&lt;=Inputs!$C$6,MAX(0,$D237-$E237),0)</x:f>
      </x:c>
      <x:c r="G237" s="24">
        <x:f>IF($B237&lt;=Inputs!$C$6,MAX(0,($C237-$F237))*(1-(1-Inputs!$C$8)^(1/12)),0)</x:f>
      </x:c>
      <x:c r="H237" s="24">
        <x:f>IF($B237&lt;=Inputs!$C$6,MAX(0,($C237-$F237-$G237))*(1-(1-Inputs!$C$9)^(1/12)),0)</x:f>
      </x:c>
      <x:c r="I237" s="24">
        <x:f>IF($B237&gt;Inputs!$C$11,INDEX($H:$H,ROW()-Inputs!$C$11)* (1-Inputs!$C$10),0)</x:f>
      </x:c>
      <x:c r="J237" s="24">
        <x:f>$H237*Inputs!$C$10</x:f>
      </x:c>
      <x:c r="K237" s="24">
        <x:f>IF($B237&lt;=Inputs!$C$6+Inputs!$C$11,$C237*Inputs!$C$7/12,0)</x:f>
      </x:c>
      <x:c r="L237" s="24">
        <x:f>IF($B237&lt;=Inputs!$C$6+Inputs!$C$11,$E237+$F237+$G237+$I237-$K237,0)</x:f>
      </x:c>
      <x:c r="M237" s="24">
        <x:f>IF($B237&lt;=Inputs!$C$6,MAX(0,$C237-$F237-$G237-$H237),0)</x:f>
      </x:c>
    </x:row>
    <x:row r="238">
      <x:c r="B238" s="22" t="n">
        <x:v>235</x:v>
      </x:c>
      <x:c r="C238" s="23">
        <x:f>IF($B238&lt;=Inputs!$C$6+Inputs!$C$11,$M237,"")</x:f>
      </x:c>
      <x:c r="D238" s="24">
        <x:f>IF($B238&lt;=Inputs!$C$6,-PMT(Inputs!$C$5/12,Inputs!$C$6,Inputs!$C$4),0)</x:f>
      </x:c>
      <x:c r="E238" s="24">
        <x:f>IF($B238&lt;=Inputs!$C$6+Inputs!$C$11,$C238*Inputs!$C$5/12,0)</x:f>
      </x:c>
      <x:c r="F238" s="24">
        <x:f>IF($B238&lt;=Inputs!$C$6,MAX(0,$D238-$E238),0)</x:f>
      </x:c>
      <x:c r="G238" s="24">
        <x:f>IF($B238&lt;=Inputs!$C$6,MAX(0,($C238-$F238))*(1-(1-Inputs!$C$8)^(1/12)),0)</x:f>
      </x:c>
      <x:c r="H238" s="24">
        <x:f>IF($B238&lt;=Inputs!$C$6,MAX(0,($C238-$F238-$G238))*(1-(1-Inputs!$C$9)^(1/12)),0)</x:f>
      </x:c>
      <x:c r="I238" s="24">
        <x:f>IF($B238&gt;Inputs!$C$11,INDEX($H:$H,ROW()-Inputs!$C$11)* (1-Inputs!$C$10),0)</x:f>
      </x:c>
      <x:c r="J238" s="24">
        <x:f>$H238*Inputs!$C$10</x:f>
      </x:c>
      <x:c r="K238" s="24">
        <x:f>IF($B238&lt;=Inputs!$C$6+Inputs!$C$11,$C238*Inputs!$C$7/12,0)</x:f>
      </x:c>
      <x:c r="L238" s="24">
        <x:f>IF($B238&lt;=Inputs!$C$6+Inputs!$C$11,$E238+$F238+$G238+$I238-$K238,0)</x:f>
      </x:c>
      <x:c r="M238" s="24">
        <x:f>IF($B238&lt;=Inputs!$C$6,MAX(0,$C238-$F238-$G238-$H238),0)</x:f>
      </x:c>
    </x:row>
    <x:row r="239">
      <x:c r="B239" s="22" t="n">
        <x:v>236</x:v>
      </x:c>
      <x:c r="C239" s="23">
        <x:f>IF($B239&lt;=Inputs!$C$6+Inputs!$C$11,$M238,"")</x:f>
      </x:c>
      <x:c r="D239" s="24">
        <x:f>IF($B239&lt;=Inputs!$C$6,-PMT(Inputs!$C$5/12,Inputs!$C$6,Inputs!$C$4),0)</x:f>
      </x:c>
      <x:c r="E239" s="24">
        <x:f>IF($B239&lt;=Inputs!$C$6+Inputs!$C$11,$C239*Inputs!$C$5/12,0)</x:f>
      </x:c>
      <x:c r="F239" s="24">
        <x:f>IF($B239&lt;=Inputs!$C$6,MAX(0,$D239-$E239),0)</x:f>
      </x:c>
      <x:c r="G239" s="24">
        <x:f>IF($B239&lt;=Inputs!$C$6,MAX(0,($C239-$F239))*(1-(1-Inputs!$C$8)^(1/12)),0)</x:f>
      </x:c>
      <x:c r="H239" s="24">
        <x:f>IF($B239&lt;=Inputs!$C$6,MAX(0,($C239-$F239-$G239))*(1-(1-Inputs!$C$9)^(1/12)),0)</x:f>
      </x:c>
      <x:c r="I239" s="24">
        <x:f>IF($B239&gt;Inputs!$C$11,INDEX($H:$H,ROW()-Inputs!$C$11)* (1-Inputs!$C$10),0)</x:f>
      </x:c>
      <x:c r="J239" s="24">
        <x:f>$H239*Inputs!$C$10</x:f>
      </x:c>
      <x:c r="K239" s="24">
        <x:f>IF($B239&lt;=Inputs!$C$6+Inputs!$C$11,$C239*Inputs!$C$7/12,0)</x:f>
      </x:c>
      <x:c r="L239" s="24">
        <x:f>IF($B239&lt;=Inputs!$C$6+Inputs!$C$11,$E239+$F239+$G239+$I239-$K239,0)</x:f>
      </x:c>
      <x:c r="M239" s="24">
        <x:f>IF($B239&lt;=Inputs!$C$6,MAX(0,$C239-$F239-$G239-$H239),0)</x:f>
      </x:c>
    </x:row>
    <x:row r="240">
      <x:c r="B240" s="22" t="n">
        <x:v>237</x:v>
      </x:c>
      <x:c r="C240" s="23">
        <x:f>IF($B240&lt;=Inputs!$C$6+Inputs!$C$11,$M239,"")</x:f>
      </x:c>
      <x:c r="D240" s="24">
        <x:f>IF($B240&lt;=Inputs!$C$6,-PMT(Inputs!$C$5/12,Inputs!$C$6,Inputs!$C$4),0)</x:f>
      </x:c>
      <x:c r="E240" s="24">
        <x:f>IF($B240&lt;=Inputs!$C$6+Inputs!$C$11,$C240*Inputs!$C$5/12,0)</x:f>
      </x:c>
      <x:c r="F240" s="24">
        <x:f>IF($B240&lt;=Inputs!$C$6,MAX(0,$D240-$E240),0)</x:f>
      </x:c>
      <x:c r="G240" s="24">
        <x:f>IF($B240&lt;=Inputs!$C$6,MAX(0,($C240-$F240))*(1-(1-Inputs!$C$8)^(1/12)),0)</x:f>
      </x:c>
      <x:c r="H240" s="24">
        <x:f>IF($B240&lt;=Inputs!$C$6,MAX(0,($C240-$F240-$G240))*(1-(1-Inputs!$C$9)^(1/12)),0)</x:f>
      </x:c>
      <x:c r="I240" s="24">
        <x:f>IF($B240&gt;Inputs!$C$11,INDEX($H:$H,ROW()-Inputs!$C$11)* (1-Inputs!$C$10),0)</x:f>
      </x:c>
      <x:c r="J240" s="24">
        <x:f>$H240*Inputs!$C$10</x:f>
      </x:c>
      <x:c r="K240" s="24">
        <x:f>IF($B240&lt;=Inputs!$C$6+Inputs!$C$11,$C240*Inputs!$C$7/12,0)</x:f>
      </x:c>
      <x:c r="L240" s="24">
        <x:f>IF($B240&lt;=Inputs!$C$6+Inputs!$C$11,$E240+$F240+$G240+$I240-$K240,0)</x:f>
      </x:c>
      <x:c r="M240" s="24">
        <x:f>IF($B240&lt;=Inputs!$C$6,MAX(0,$C240-$F240-$G240-$H240),0)</x:f>
      </x:c>
    </x:row>
    <x:row r="241">
      <x:c r="B241" s="22" t="n">
        <x:v>238</x:v>
      </x:c>
      <x:c r="C241" s="23">
        <x:f>IF($B241&lt;=Inputs!$C$6+Inputs!$C$11,$M240,"")</x:f>
      </x:c>
      <x:c r="D241" s="24">
        <x:f>IF($B241&lt;=Inputs!$C$6,-PMT(Inputs!$C$5/12,Inputs!$C$6,Inputs!$C$4),0)</x:f>
      </x:c>
      <x:c r="E241" s="24">
        <x:f>IF($B241&lt;=Inputs!$C$6+Inputs!$C$11,$C241*Inputs!$C$5/12,0)</x:f>
      </x:c>
      <x:c r="F241" s="24">
        <x:f>IF($B241&lt;=Inputs!$C$6,MAX(0,$D241-$E241),0)</x:f>
      </x:c>
      <x:c r="G241" s="24">
        <x:f>IF($B241&lt;=Inputs!$C$6,MAX(0,($C241-$F241))*(1-(1-Inputs!$C$8)^(1/12)),0)</x:f>
      </x:c>
      <x:c r="H241" s="24">
        <x:f>IF($B241&lt;=Inputs!$C$6,MAX(0,($C241-$F241-$G241))*(1-(1-Inputs!$C$9)^(1/12)),0)</x:f>
      </x:c>
      <x:c r="I241" s="24">
        <x:f>IF($B241&gt;Inputs!$C$11,INDEX($H:$H,ROW()-Inputs!$C$11)* (1-Inputs!$C$10),0)</x:f>
      </x:c>
      <x:c r="J241" s="24">
        <x:f>$H241*Inputs!$C$10</x:f>
      </x:c>
      <x:c r="K241" s="24">
        <x:f>IF($B241&lt;=Inputs!$C$6+Inputs!$C$11,$C241*Inputs!$C$7/12,0)</x:f>
      </x:c>
      <x:c r="L241" s="24">
        <x:f>IF($B241&lt;=Inputs!$C$6+Inputs!$C$11,$E241+$F241+$G241+$I241-$K241,0)</x:f>
      </x:c>
      <x:c r="M241" s="24">
        <x:f>IF($B241&lt;=Inputs!$C$6,MAX(0,$C241-$F241-$G241-$H241),0)</x:f>
      </x:c>
    </x:row>
    <x:row r="242">
      <x:c r="B242" s="22" t="n">
        <x:v>239</x:v>
      </x:c>
      <x:c r="C242" s="23">
        <x:f>IF($B242&lt;=Inputs!$C$6+Inputs!$C$11,$M241,"")</x:f>
      </x:c>
      <x:c r="D242" s="24">
        <x:f>IF($B242&lt;=Inputs!$C$6,-PMT(Inputs!$C$5/12,Inputs!$C$6,Inputs!$C$4),0)</x:f>
      </x:c>
      <x:c r="E242" s="24">
        <x:f>IF($B242&lt;=Inputs!$C$6+Inputs!$C$11,$C242*Inputs!$C$5/12,0)</x:f>
      </x:c>
      <x:c r="F242" s="24">
        <x:f>IF($B242&lt;=Inputs!$C$6,MAX(0,$D242-$E242),0)</x:f>
      </x:c>
      <x:c r="G242" s="24">
        <x:f>IF($B242&lt;=Inputs!$C$6,MAX(0,($C242-$F242))*(1-(1-Inputs!$C$8)^(1/12)),0)</x:f>
      </x:c>
      <x:c r="H242" s="24">
        <x:f>IF($B242&lt;=Inputs!$C$6,MAX(0,($C242-$F242-$G242))*(1-(1-Inputs!$C$9)^(1/12)),0)</x:f>
      </x:c>
      <x:c r="I242" s="24">
        <x:f>IF($B242&gt;Inputs!$C$11,INDEX($H:$H,ROW()-Inputs!$C$11)* (1-Inputs!$C$10),0)</x:f>
      </x:c>
      <x:c r="J242" s="24">
        <x:f>$H242*Inputs!$C$10</x:f>
      </x:c>
      <x:c r="K242" s="24">
        <x:f>IF($B242&lt;=Inputs!$C$6+Inputs!$C$11,$C242*Inputs!$C$7/12,0)</x:f>
      </x:c>
      <x:c r="L242" s="24">
        <x:f>IF($B242&lt;=Inputs!$C$6+Inputs!$C$11,$E242+$F242+$G242+$I242-$K242,0)</x:f>
      </x:c>
      <x:c r="M242" s="24">
        <x:f>IF($B242&lt;=Inputs!$C$6,MAX(0,$C242-$F242-$G242-$H242),0)</x:f>
      </x:c>
    </x:row>
    <x:row r="243">
      <x:c r="B243" s="22" t="n">
        <x:v>240</x:v>
      </x:c>
      <x:c r="C243" s="23">
        <x:f>IF($B243&lt;=Inputs!$C$6+Inputs!$C$11,$M242,"")</x:f>
      </x:c>
      <x:c r="D243" s="24">
        <x:f>IF($B243&lt;=Inputs!$C$6,-PMT(Inputs!$C$5/12,Inputs!$C$6,Inputs!$C$4),0)</x:f>
      </x:c>
      <x:c r="E243" s="24">
        <x:f>IF($B243&lt;=Inputs!$C$6+Inputs!$C$11,$C243*Inputs!$C$5/12,0)</x:f>
      </x:c>
      <x:c r="F243" s="24">
        <x:f>IF($B243&lt;=Inputs!$C$6,MAX(0,$D243-$E243),0)</x:f>
      </x:c>
      <x:c r="G243" s="24">
        <x:f>IF($B243&lt;=Inputs!$C$6,MAX(0,($C243-$F243))*(1-(1-Inputs!$C$8)^(1/12)),0)</x:f>
      </x:c>
      <x:c r="H243" s="24">
        <x:f>IF($B243&lt;=Inputs!$C$6,MAX(0,($C243-$F243-$G243))*(1-(1-Inputs!$C$9)^(1/12)),0)</x:f>
      </x:c>
      <x:c r="I243" s="24">
        <x:f>IF($B243&gt;Inputs!$C$11,INDEX($H:$H,ROW()-Inputs!$C$11)* (1-Inputs!$C$10),0)</x:f>
      </x:c>
      <x:c r="J243" s="24">
        <x:f>$H243*Inputs!$C$10</x:f>
      </x:c>
      <x:c r="K243" s="24">
        <x:f>IF($B243&lt;=Inputs!$C$6+Inputs!$C$11,$C243*Inputs!$C$7/12,0)</x:f>
      </x:c>
      <x:c r="L243" s="24">
        <x:f>IF($B243&lt;=Inputs!$C$6+Inputs!$C$11,$E243+$F243+$G243+$I243-$K243,0)</x:f>
      </x:c>
      <x:c r="M243" s="24">
        <x:f>IF($B243&lt;=Inputs!$C$6,MAX(0,$C243-$F243-$G243-$H243),0)</x:f>
      </x:c>
    </x:row>
    <x:row r="244">
      <x:c r="B244" s="22" t="n">
        <x:v>241</x:v>
      </x:c>
      <x:c r="C244" s="23">
        <x:f>IF($B244&lt;=Inputs!$C$6+Inputs!$C$11,$M243,"")</x:f>
      </x:c>
      <x:c r="D244" s="24">
        <x:f>IF($B244&lt;=Inputs!$C$6,-PMT(Inputs!$C$5/12,Inputs!$C$6,Inputs!$C$4),0)</x:f>
      </x:c>
      <x:c r="E244" s="24">
        <x:f>IF($B244&lt;=Inputs!$C$6+Inputs!$C$11,$C244*Inputs!$C$5/12,0)</x:f>
      </x:c>
      <x:c r="F244" s="24">
        <x:f>IF($B244&lt;=Inputs!$C$6,MAX(0,$D244-$E244),0)</x:f>
      </x:c>
      <x:c r="G244" s="24">
        <x:f>IF($B244&lt;=Inputs!$C$6,MAX(0,($C244-$F244))*(1-(1-Inputs!$C$8)^(1/12)),0)</x:f>
      </x:c>
      <x:c r="H244" s="24">
        <x:f>IF($B244&lt;=Inputs!$C$6,MAX(0,($C244-$F244-$G244))*(1-(1-Inputs!$C$9)^(1/12)),0)</x:f>
      </x:c>
      <x:c r="I244" s="24">
        <x:f>IF($B244&gt;Inputs!$C$11,INDEX($H:$H,ROW()-Inputs!$C$11)* (1-Inputs!$C$10),0)</x:f>
      </x:c>
      <x:c r="J244" s="24">
        <x:f>$H244*Inputs!$C$10</x:f>
      </x:c>
      <x:c r="K244" s="24">
        <x:f>IF($B244&lt;=Inputs!$C$6+Inputs!$C$11,$C244*Inputs!$C$7/12,0)</x:f>
      </x:c>
      <x:c r="L244" s="24">
        <x:f>IF($B244&lt;=Inputs!$C$6+Inputs!$C$11,$E244+$F244+$G244+$I244-$K244,0)</x:f>
      </x:c>
      <x:c r="M244" s="24">
        <x:f>IF($B244&lt;=Inputs!$C$6,MAX(0,$C244-$F244-$G244-$H244),0)</x:f>
      </x:c>
    </x:row>
    <x:row r="245">
      <x:c r="B245" s="22" t="n">
        <x:v>242</x:v>
      </x:c>
      <x:c r="C245" s="23">
        <x:f>IF($B245&lt;=Inputs!$C$6+Inputs!$C$11,$M244,"")</x:f>
      </x:c>
      <x:c r="D245" s="24">
        <x:f>IF($B245&lt;=Inputs!$C$6,-PMT(Inputs!$C$5/12,Inputs!$C$6,Inputs!$C$4),0)</x:f>
      </x:c>
      <x:c r="E245" s="24">
        <x:f>IF($B245&lt;=Inputs!$C$6+Inputs!$C$11,$C245*Inputs!$C$5/12,0)</x:f>
      </x:c>
      <x:c r="F245" s="24">
        <x:f>IF($B245&lt;=Inputs!$C$6,MAX(0,$D245-$E245),0)</x:f>
      </x:c>
      <x:c r="G245" s="24">
        <x:f>IF($B245&lt;=Inputs!$C$6,MAX(0,($C245-$F245))*(1-(1-Inputs!$C$8)^(1/12)),0)</x:f>
      </x:c>
      <x:c r="H245" s="24">
        <x:f>IF($B245&lt;=Inputs!$C$6,MAX(0,($C245-$F245-$G245))*(1-(1-Inputs!$C$9)^(1/12)),0)</x:f>
      </x:c>
      <x:c r="I245" s="24">
        <x:f>IF($B245&gt;Inputs!$C$11,INDEX($H:$H,ROW()-Inputs!$C$11)* (1-Inputs!$C$10),0)</x:f>
      </x:c>
      <x:c r="J245" s="24">
        <x:f>$H245*Inputs!$C$10</x:f>
      </x:c>
      <x:c r="K245" s="24">
        <x:f>IF($B245&lt;=Inputs!$C$6+Inputs!$C$11,$C245*Inputs!$C$7/12,0)</x:f>
      </x:c>
      <x:c r="L245" s="24">
        <x:f>IF($B245&lt;=Inputs!$C$6+Inputs!$C$11,$E245+$F245+$G245+$I245-$K245,0)</x:f>
      </x:c>
      <x:c r="M245" s="24">
        <x:f>IF($B245&lt;=Inputs!$C$6,MAX(0,$C245-$F245-$G245-$H245),0)</x:f>
      </x:c>
    </x:row>
    <x:row r="246">
      <x:c r="B246" s="22" t="n">
        <x:v>243</x:v>
      </x:c>
      <x:c r="C246" s="23">
        <x:f>IF($B246&lt;=Inputs!$C$6+Inputs!$C$11,$M245,"")</x:f>
      </x:c>
      <x:c r="D246" s="24">
        <x:f>IF($B246&lt;=Inputs!$C$6,-PMT(Inputs!$C$5/12,Inputs!$C$6,Inputs!$C$4),0)</x:f>
      </x:c>
      <x:c r="E246" s="24">
        <x:f>IF($B246&lt;=Inputs!$C$6+Inputs!$C$11,$C246*Inputs!$C$5/12,0)</x:f>
      </x:c>
      <x:c r="F246" s="24">
        <x:f>IF($B246&lt;=Inputs!$C$6,MAX(0,$D246-$E246),0)</x:f>
      </x:c>
      <x:c r="G246" s="24">
        <x:f>IF($B246&lt;=Inputs!$C$6,MAX(0,($C246-$F246))*(1-(1-Inputs!$C$8)^(1/12)),0)</x:f>
      </x:c>
      <x:c r="H246" s="24">
        <x:f>IF($B246&lt;=Inputs!$C$6,MAX(0,($C246-$F246-$G246))*(1-(1-Inputs!$C$9)^(1/12)),0)</x:f>
      </x:c>
      <x:c r="I246" s="24">
        <x:f>IF($B246&gt;Inputs!$C$11,INDEX($H:$H,ROW()-Inputs!$C$11)* (1-Inputs!$C$10),0)</x:f>
      </x:c>
      <x:c r="J246" s="24">
        <x:f>$H246*Inputs!$C$10</x:f>
      </x:c>
      <x:c r="K246" s="24">
        <x:f>IF($B246&lt;=Inputs!$C$6+Inputs!$C$11,$C246*Inputs!$C$7/12,0)</x:f>
      </x:c>
      <x:c r="L246" s="24">
        <x:f>IF($B246&lt;=Inputs!$C$6+Inputs!$C$11,$E246+$F246+$G246+$I246-$K246,0)</x:f>
      </x:c>
      <x:c r="M246" s="24">
        <x:f>IF($B246&lt;=Inputs!$C$6,MAX(0,$C246-$F246-$G246-$H246),0)</x:f>
      </x:c>
    </x:row>
    <x:row r="247">
      <x:c r="B247" s="22" t="n">
        <x:v>244</x:v>
      </x:c>
      <x:c r="C247" s="23">
        <x:f>IF($B247&lt;=Inputs!$C$6+Inputs!$C$11,$M246,"")</x:f>
      </x:c>
      <x:c r="D247" s="24">
        <x:f>IF($B247&lt;=Inputs!$C$6,-PMT(Inputs!$C$5/12,Inputs!$C$6,Inputs!$C$4),0)</x:f>
      </x:c>
      <x:c r="E247" s="24">
        <x:f>IF($B247&lt;=Inputs!$C$6+Inputs!$C$11,$C247*Inputs!$C$5/12,0)</x:f>
      </x:c>
      <x:c r="F247" s="24">
        <x:f>IF($B247&lt;=Inputs!$C$6,MAX(0,$D247-$E247),0)</x:f>
      </x:c>
      <x:c r="G247" s="24">
        <x:f>IF($B247&lt;=Inputs!$C$6,MAX(0,($C247-$F247))*(1-(1-Inputs!$C$8)^(1/12)),0)</x:f>
      </x:c>
      <x:c r="H247" s="24">
        <x:f>IF($B247&lt;=Inputs!$C$6,MAX(0,($C247-$F247-$G247))*(1-(1-Inputs!$C$9)^(1/12)),0)</x:f>
      </x:c>
      <x:c r="I247" s="24">
        <x:f>IF($B247&gt;Inputs!$C$11,INDEX($H:$H,ROW()-Inputs!$C$11)* (1-Inputs!$C$10),0)</x:f>
      </x:c>
      <x:c r="J247" s="24">
        <x:f>$H247*Inputs!$C$10</x:f>
      </x:c>
      <x:c r="K247" s="24">
        <x:f>IF($B247&lt;=Inputs!$C$6+Inputs!$C$11,$C247*Inputs!$C$7/12,0)</x:f>
      </x:c>
      <x:c r="L247" s="24">
        <x:f>IF($B247&lt;=Inputs!$C$6+Inputs!$C$11,$E247+$F247+$G247+$I247-$K247,0)</x:f>
      </x:c>
      <x:c r="M247" s="24">
        <x:f>IF($B247&lt;=Inputs!$C$6,MAX(0,$C247-$F247-$G247-$H247),0)</x:f>
      </x:c>
    </x:row>
    <x:row r="248">
      <x:c r="B248" s="22" t="n">
        <x:v>245</x:v>
      </x:c>
      <x:c r="C248" s="23">
        <x:f>IF($B248&lt;=Inputs!$C$6+Inputs!$C$11,$M247,"")</x:f>
      </x:c>
      <x:c r="D248" s="24">
        <x:f>IF($B248&lt;=Inputs!$C$6,-PMT(Inputs!$C$5/12,Inputs!$C$6,Inputs!$C$4),0)</x:f>
      </x:c>
      <x:c r="E248" s="24">
        <x:f>IF($B248&lt;=Inputs!$C$6+Inputs!$C$11,$C248*Inputs!$C$5/12,0)</x:f>
      </x:c>
      <x:c r="F248" s="24">
        <x:f>IF($B248&lt;=Inputs!$C$6,MAX(0,$D248-$E248),0)</x:f>
      </x:c>
      <x:c r="G248" s="24">
        <x:f>IF($B248&lt;=Inputs!$C$6,MAX(0,($C248-$F248))*(1-(1-Inputs!$C$8)^(1/12)),0)</x:f>
      </x:c>
      <x:c r="H248" s="24">
        <x:f>IF($B248&lt;=Inputs!$C$6,MAX(0,($C248-$F248-$G248))*(1-(1-Inputs!$C$9)^(1/12)),0)</x:f>
      </x:c>
      <x:c r="I248" s="24">
        <x:f>IF($B248&gt;Inputs!$C$11,INDEX($H:$H,ROW()-Inputs!$C$11)* (1-Inputs!$C$10),0)</x:f>
      </x:c>
      <x:c r="J248" s="24">
        <x:f>$H248*Inputs!$C$10</x:f>
      </x:c>
      <x:c r="K248" s="24">
        <x:f>IF($B248&lt;=Inputs!$C$6+Inputs!$C$11,$C248*Inputs!$C$7/12,0)</x:f>
      </x:c>
      <x:c r="L248" s="24">
        <x:f>IF($B248&lt;=Inputs!$C$6+Inputs!$C$11,$E248+$F248+$G248+$I248-$K248,0)</x:f>
      </x:c>
      <x:c r="M248" s="24">
        <x:f>IF($B248&lt;=Inputs!$C$6,MAX(0,$C248-$F248-$G248-$H248),0)</x:f>
      </x:c>
    </x:row>
    <x:row r="249">
      <x:c r="B249" s="22" t="n">
        <x:v>246</x:v>
      </x:c>
      <x:c r="C249" s="23">
        <x:f>IF($B249&lt;=Inputs!$C$6+Inputs!$C$11,$M248,"")</x:f>
      </x:c>
      <x:c r="D249" s="24">
        <x:f>IF($B249&lt;=Inputs!$C$6,-PMT(Inputs!$C$5/12,Inputs!$C$6,Inputs!$C$4),0)</x:f>
      </x:c>
      <x:c r="E249" s="24">
        <x:f>IF($B249&lt;=Inputs!$C$6+Inputs!$C$11,$C249*Inputs!$C$5/12,0)</x:f>
      </x:c>
      <x:c r="F249" s="24">
        <x:f>IF($B249&lt;=Inputs!$C$6,MAX(0,$D249-$E249),0)</x:f>
      </x:c>
      <x:c r="G249" s="24">
        <x:f>IF($B249&lt;=Inputs!$C$6,MAX(0,($C249-$F249))*(1-(1-Inputs!$C$8)^(1/12)),0)</x:f>
      </x:c>
      <x:c r="H249" s="24">
        <x:f>IF($B249&lt;=Inputs!$C$6,MAX(0,($C249-$F249-$G249))*(1-(1-Inputs!$C$9)^(1/12)),0)</x:f>
      </x:c>
      <x:c r="I249" s="24">
        <x:f>IF($B249&gt;Inputs!$C$11,INDEX($H:$H,ROW()-Inputs!$C$11)* (1-Inputs!$C$10),0)</x:f>
      </x:c>
      <x:c r="J249" s="24">
        <x:f>$H249*Inputs!$C$10</x:f>
      </x:c>
      <x:c r="K249" s="24">
        <x:f>IF($B249&lt;=Inputs!$C$6+Inputs!$C$11,$C249*Inputs!$C$7/12,0)</x:f>
      </x:c>
      <x:c r="L249" s="24">
        <x:f>IF($B249&lt;=Inputs!$C$6+Inputs!$C$11,$E249+$F249+$G249+$I249-$K249,0)</x:f>
      </x:c>
      <x:c r="M249" s="24">
        <x:f>IF($B249&lt;=Inputs!$C$6,MAX(0,$C249-$F249-$G249-$H249),0)</x:f>
      </x:c>
    </x:row>
    <x:row r="250">
      <x:c r="B250" s="22" t="n">
        <x:v>247</x:v>
      </x:c>
      <x:c r="C250" s="23">
        <x:f>IF($B250&lt;=Inputs!$C$6+Inputs!$C$11,$M249,"")</x:f>
      </x:c>
      <x:c r="D250" s="24">
        <x:f>IF($B250&lt;=Inputs!$C$6,-PMT(Inputs!$C$5/12,Inputs!$C$6,Inputs!$C$4),0)</x:f>
      </x:c>
      <x:c r="E250" s="24">
        <x:f>IF($B250&lt;=Inputs!$C$6+Inputs!$C$11,$C250*Inputs!$C$5/12,0)</x:f>
      </x:c>
      <x:c r="F250" s="24">
        <x:f>IF($B250&lt;=Inputs!$C$6,MAX(0,$D250-$E250),0)</x:f>
      </x:c>
      <x:c r="G250" s="24">
        <x:f>IF($B250&lt;=Inputs!$C$6,MAX(0,($C250-$F250))*(1-(1-Inputs!$C$8)^(1/12)),0)</x:f>
      </x:c>
      <x:c r="H250" s="24">
        <x:f>IF($B250&lt;=Inputs!$C$6,MAX(0,($C250-$F250-$G250))*(1-(1-Inputs!$C$9)^(1/12)),0)</x:f>
      </x:c>
      <x:c r="I250" s="24">
        <x:f>IF($B250&gt;Inputs!$C$11,INDEX($H:$H,ROW()-Inputs!$C$11)* (1-Inputs!$C$10),0)</x:f>
      </x:c>
      <x:c r="J250" s="24">
        <x:f>$H250*Inputs!$C$10</x:f>
      </x:c>
      <x:c r="K250" s="24">
        <x:f>IF($B250&lt;=Inputs!$C$6+Inputs!$C$11,$C250*Inputs!$C$7/12,0)</x:f>
      </x:c>
      <x:c r="L250" s="24">
        <x:f>IF($B250&lt;=Inputs!$C$6+Inputs!$C$11,$E250+$F250+$G250+$I250-$K250,0)</x:f>
      </x:c>
      <x:c r="M250" s="24">
        <x:f>IF($B250&lt;=Inputs!$C$6,MAX(0,$C250-$F250-$G250-$H250),0)</x:f>
      </x:c>
    </x:row>
    <x:row r="251">
      <x:c r="B251" s="22" t="n">
        <x:v>248</x:v>
      </x:c>
      <x:c r="C251" s="23">
        <x:f>IF($B251&lt;=Inputs!$C$6+Inputs!$C$11,$M250,"")</x:f>
      </x:c>
      <x:c r="D251" s="24">
        <x:f>IF($B251&lt;=Inputs!$C$6,-PMT(Inputs!$C$5/12,Inputs!$C$6,Inputs!$C$4),0)</x:f>
      </x:c>
      <x:c r="E251" s="24">
        <x:f>IF($B251&lt;=Inputs!$C$6+Inputs!$C$11,$C251*Inputs!$C$5/12,0)</x:f>
      </x:c>
      <x:c r="F251" s="24">
        <x:f>IF($B251&lt;=Inputs!$C$6,MAX(0,$D251-$E251),0)</x:f>
      </x:c>
      <x:c r="G251" s="24">
        <x:f>IF($B251&lt;=Inputs!$C$6,MAX(0,($C251-$F251))*(1-(1-Inputs!$C$8)^(1/12)),0)</x:f>
      </x:c>
      <x:c r="H251" s="24">
        <x:f>IF($B251&lt;=Inputs!$C$6,MAX(0,($C251-$F251-$G251))*(1-(1-Inputs!$C$9)^(1/12)),0)</x:f>
      </x:c>
      <x:c r="I251" s="24">
        <x:f>IF($B251&gt;Inputs!$C$11,INDEX($H:$H,ROW()-Inputs!$C$11)* (1-Inputs!$C$10),0)</x:f>
      </x:c>
      <x:c r="J251" s="24">
        <x:f>$H251*Inputs!$C$10</x:f>
      </x:c>
      <x:c r="K251" s="24">
        <x:f>IF($B251&lt;=Inputs!$C$6+Inputs!$C$11,$C251*Inputs!$C$7/12,0)</x:f>
      </x:c>
      <x:c r="L251" s="24">
        <x:f>IF($B251&lt;=Inputs!$C$6+Inputs!$C$11,$E251+$F251+$G251+$I251-$K251,0)</x:f>
      </x:c>
      <x:c r="M251" s="24">
        <x:f>IF($B251&lt;=Inputs!$C$6,MAX(0,$C251-$F251-$G251-$H251),0)</x:f>
      </x:c>
    </x:row>
    <x:row r="252">
      <x:c r="B252" s="22" t="n">
        <x:v>249</x:v>
      </x:c>
      <x:c r="C252" s="23">
        <x:f>IF($B252&lt;=Inputs!$C$6+Inputs!$C$11,$M251,"")</x:f>
      </x:c>
      <x:c r="D252" s="24">
        <x:f>IF($B252&lt;=Inputs!$C$6,-PMT(Inputs!$C$5/12,Inputs!$C$6,Inputs!$C$4),0)</x:f>
      </x:c>
      <x:c r="E252" s="24">
        <x:f>IF($B252&lt;=Inputs!$C$6+Inputs!$C$11,$C252*Inputs!$C$5/12,0)</x:f>
      </x:c>
      <x:c r="F252" s="24">
        <x:f>IF($B252&lt;=Inputs!$C$6,MAX(0,$D252-$E252),0)</x:f>
      </x:c>
      <x:c r="G252" s="24">
        <x:f>IF($B252&lt;=Inputs!$C$6,MAX(0,($C252-$F252))*(1-(1-Inputs!$C$8)^(1/12)),0)</x:f>
      </x:c>
      <x:c r="H252" s="24">
        <x:f>IF($B252&lt;=Inputs!$C$6,MAX(0,($C252-$F252-$G252))*(1-(1-Inputs!$C$9)^(1/12)),0)</x:f>
      </x:c>
      <x:c r="I252" s="24">
        <x:f>IF($B252&gt;Inputs!$C$11,INDEX($H:$H,ROW()-Inputs!$C$11)* (1-Inputs!$C$10),0)</x:f>
      </x:c>
      <x:c r="J252" s="24">
        <x:f>$H252*Inputs!$C$10</x:f>
      </x:c>
      <x:c r="K252" s="24">
        <x:f>IF($B252&lt;=Inputs!$C$6+Inputs!$C$11,$C252*Inputs!$C$7/12,0)</x:f>
      </x:c>
      <x:c r="L252" s="24">
        <x:f>IF($B252&lt;=Inputs!$C$6+Inputs!$C$11,$E252+$F252+$G252+$I252-$K252,0)</x:f>
      </x:c>
      <x:c r="M252" s="24">
        <x:f>IF($B252&lt;=Inputs!$C$6,MAX(0,$C252-$F252-$G252-$H252),0)</x:f>
      </x:c>
    </x:row>
    <x:row r="253">
      <x:c r="B253" s="22" t="n">
        <x:v>250</x:v>
      </x:c>
      <x:c r="C253" s="23">
        <x:f>IF($B253&lt;=Inputs!$C$6+Inputs!$C$11,$M252,"")</x:f>
      </x:c>
      <x:c r="D253" s="24">
        <x:f>IF($B253&lt;=Inputs!$C$6,-PMT(Inputs!$C$5/12,Inputs!$C$6,Inputs!$C$4),0)</x:f>
      </x:c>
      <x:c r="E253" s="24">
        <x:f>IF($B253&lt;=Inputs!$C$6+Inputs!$C$11,$C253*Inputs!$C$5/12,0)</x:f>
      </x:c>
      <x:c r="F253" s="24">
        <x:f>IF($B253&lt;=Inputs!$C$6,MAX(0,$D253-$E253),0)</x:f>
      </x:c>
      <x:c r="G253" s="24">
        <x:f>IF($B253&lt;=Inputs!$C$6,MAX(0,($C253-$F253))*(1-(1-Inputs!$C$8)^(1/12)),0)</x:f>
      </x:c>
      <x:c r="H253" s="24">
        <x:f>IF($B253&lt;=Inputs!$C$6,MAX(0,($C253-$F253-$G253))*(1-(1-Inputs!$C$9)^(1/12)),0)</x:f>
      </x:c>
      <x:c r="I253" s="24">
        <x:f>IF($B253&gt;Inputs!$C$11,INDEX($H:$H,ROW()-Inputs!$C$11)* (1-Inputs!$C$10),0)</x:f>
      </x:c>
      <x:c r="J253" s="24">
        <x:f>$H253*Inputs!$C$10</x:f>
      </x:c>
      <x:c r="K253" s="24">
        <x:f>IF($B253&lt;=Inputs!$C$6+Inputs!$C$11,$C253*Inputs!$C$7/12,0)</x:f>
      </x:c>
      <x:c r="L253" s="24">
        <x:f>IF($B253&lt;=Inputs!$C$6+Inputs!$C$11,$E253+$F253+$G253+$I253-$K253,0)</x:f>
      </x:c>
      <x:c r="M253" s="24">
        <x:f>IF($B253&lt;=Inputs!$C$6,MAX(0,$C253-$F253-$G253-$H253),0)</x:f>
      </x:c>
    </x:row>
    <x:row r="254">
      <x:c r="B254" s="22" t="n">
        <x:v>251</x:v>
      </x:c>
      <x:c r="C254" s="23">
        <x:f>IF($B254&lt;=Inputs!$C$6+Inputs!$C$11,$M253,"")</x:f>
      </x:c>
      <x:c r="D254" s="24">
        <x:f>IF($B254&lt;=Inputs!$C$6,-PMT(Inputs!$C$5/12,Inputs!$C$6,Inputs!$C$4),0)</x:f>
      </x:c>
      <x:c r="E254" s="24">
        <x:f>IF($B254&lt;=Inputs!$C$6+Inputs!$C$11,$C254*Inputs!$C$5/12,0)</x:f>
      </x:c>
      <x:c r="F254" s="24">
        <x:f>IF($B254&lt;=Inputs!$C$6,MAX(0,$D254-$E254),0)</x:f>
      </x:c>
      <x:c r="G254" s="24">
        <x:f>IF($B254&lt;=Inputs!$C$6,MAX(0,($C254-$F254))*(1-(1-Inputs!$C$8)^(1/12)),0)</x:f>
      </x:c>
      <x:c r="H254" s="24">
        <x:f>IF($B254&lt;=Inputs!$C$6,MAX(0,($C254-$F254-$G254))*(1-(1-Inputs!$C$9)^(1/12)),0)</x:f>
      </x:c>
      <x:c r="I254" s="24">
        <x:f>IF($B254&gt;Inputs!$C$11,INDEX($H:$H,ROW()-Inputs!$C$11)* (1-Inputs!$C$10),0)</x:f>
      </x:c>
      <x:c r="J254" s="24">
        <x:f>$H254*Inputs!$C$10</x:f>
      </x:c>
      <x:c r="K254" s="24">
        <x:f>IF($B254&lt;=Inputs!$C$6+Inputs!$C$11,$C254*Inputs!$C$7/12,0)</x:f>
      </x:c>
      <x:c r="L254" s="24">
        <x:f>IF($B254&lt;=Inputs!$C$6+Inputs!$C$11,$E254+$F254+$G254+$I254-$K254,0)</x:f>
      </x:c>
      <x:c r="M254" s="24">
        <x:f>IF($B254&lt;=Inputs!$C$6,MAX(0,$C254-$F254-$G254-$H254),0)</x:f>
      </x:c>
    </x:row>
    <x:row r="255">
      <x:c r="B255" s="22" t="n">
        <x:v>252</x:v>
      </x:c>
      <x:c r="C255" s="23">
        <x:f>IF($B255&lt;=Inputs!$C$6+Inputs!$C$11,$M254,"")</x:f>
      </x:c>
      <x:c r="D255" s="24">
        <x:f>IF($B255&lt;=Inputs!$C$6,-PMT(Inputs!$C$5/12,Inputs!$C$6,Inputs!$C$4),0)</x:f>
      </x:c>
      <x:c r="E255" s="24">
        <x:f>IF($B255&lt;=Inputs!$C$6+Inputs!$C$11,$C255*Inputs!$C$5/12,0)</x:f>
      </x:c>
      <x:c r="F255" s="24">
        <x:f>IF($B255&lt;=Inputs!$C$6,MAX(0,$D255-$E255),0)</x:f>
      </x:c>
      <x:c r="G255" s="24">
        <x:f>IF($B255&lt;=Inputs!$C$6,MAX(0,($C255-$F255))*(1-(1-Inputs!$C$8)^(1/12)),0)</x:f>
      </x:c>
      <x:c r="H255" s="24">
        <x:f>IF($B255&lt;=Inputs!$C$6,MAX(0,($C255-$F255-$G255))*(1-(1-Inputs!$C$9)^(1/12)),0)</x:f>
      </x:c>
      <x:c r="I255" s="24">
        <x:f>IF($B255&gt;Inputs!$C$11,INDEX($H:$H,ROW()-Inputs!$C$11)* (1-Inputs!$C$10),0)</x:f>
      </x:c>
      <x:c r="J255" s="24">
        <x:f>$H255*Inputs!$C$10</x:f>
      </x:c>
      <x:c r="K255" s="24">
        <x:f>IF($B255&lt;=Inputs!$C$6+Inputs!$C$11,$C255*Inputs!$C$7/12,0)</x:f>
      </x:c>
      <x:c r="L255" s="24">
        <x:f>IF($B255&lt;=Inputs!$C$6+Inputs!$C$11,$E255+$F255+$G255+$I255-$K255,0)</x:f>
      </x:c>
      <x:c r="M255" s="24">
        <x:f>IF($B255&lt;=Inputs!$C$6,MAX(0,$C255-$F255-$G255-$H255),0)</x:f>
      </x:c>
    </x:row>
    <x:row r="256">
      <x:c r="B256" s="22" t="n">
        <x:v>253</x:v>
      </x:c>
      <x:c r="C256" s="23">
        <x:f>IF($B256&lt;=Inputs!$C$6+Inputs!$C$11,$M255,"")</x:f>
      </x:c>
      <x:c r="D256" s="24">
        <x:f>IF($B256&lt;=Inputs!$C$6,-PMT(Inputs!$C$5/12,Inputs!$C$6,Inputs!$C$4),0)</x:f>
      </x:c>
      <x:c r="E256" s="24">
        <x:f>IF($B256&lt;=Inputs!$C$6+Inputs!$C$11,$C256*Inputs!$C$5/12,0)</x:f>
      </x:c>
      <x:c r="F256" s="24">
        <x:f>IF($B256&lt;=Inputs!$C$6,MAX(0,$D256-$E256),0)</x:f>
      </x:c>
      <x:c r="G256" s="24">
        <x:f>IF($B256&lt;=Inputs!$C$6,MAX(0,($C256-$F256))*(1-(1-Inputs!$C$8)^(1/12)),0)</x:f>
      </x:c>
      <x:c r="H256" s="24">
        <x:f>IF($B256&lt;=Inputs!$C$6,MAX(0,($C256-$F256-$G256))*(1-(1-Inputs!$C$9)^(1/12)),0)</x:f>
      </x:c>
      <x:c r="I256" s="24">
        <x:f>IF($B256&gt;Inputs!$C$11,INDEX($H:$H,ROW()-Inputs!$C$11)* (1-Inputs!$C$10),0)</x:f>
      </x:c>
      <x:c r="J256" s="24">
        <x:f>$H256*Inputs!$C$10</x:f>
      </x:c>
      <x:c r="K256" s="24">
        <x:f>IF($B256&lt;=Inputs!$C$6+Inputs!$C$11,$C256*Inputs!$C$7/12,0)</x:f>
      </x:c>
      <x:c r="L256" s="24">
        <x:f>IF($B256&lt;=Inputs!$C$6+Inputs!$C$11,$E256+$F256+$G256+$I256-$K256,0)</x:f>
      </x:c>
      <x:c r="M256" s="24">
        <x:f>IF($B256&lt;=Inputs!$C$6,MAX(0,$C256-$F256-$G256-$H256),0)</x:f>
      </x:c>
    </x:row>
    <x:row r="257">
      <x:c r="B257" s="22" t="n">
        <x:v>254</x:v>
      </x:c>
      <x:c r="C257" s="23">
        <x:f>IF($B257&lt;=Inputs!$C$6+Inputs!$C$11,$M256,"")</x:f>
      </x:c>
      <x:c r="D257" s="24">
        <x:f>IF($B257&lt;=Inputs!$C$6,-PMT(Inputs!$C$5/12,Inputs!$C$6,Inputs!$C$4),0)</x:f>
      </x:c>
      <x:c r="E257" s="24">
        <x:f>IF($B257&lt;=Inputs!$C$6+Inputs!$C$11,$C257*Inputs!$C$5/12,0)</x:f>
      </x:c>
      <x:c r="F257" s="24">
        <x:f>IF($B257&lt;=Inputs!$C$6,MAX(0,$D257-$E257),0)</x:f>
      </x:c>
      <x:c r="G257" s="24">
        <x:f>IF($B257&lt;=Inputs!$C$6,MAX(0,($C257-$F257))*(1-(1-Inputs!$C$8)^(1/12)),0)</x:f>
      </x:c>
      <x:c r="H257" s="24">
        <x:f>IF($B257&lt;=Inputs!$C$6,MAX(0,($C257-$F257-$G257))*(1-(1-Inputs!$C$9)^(1/12)),0)</x:f>
      </x:c>
      <x:c r="I257" s="24">
        <x:f>IF($B257&gt;Inputs!$C$11,INDEX($H:$H,ROW()-Inputs!$C$11)* (1-Inputs!$C$10),0)</x:f>
      </x:c>
      <x:c r="J257" s="24">
        <x:f>$H257*Inputs!$C$10</x:f>
      </x:c>
      <x:c r="K257" s="24">
        <x:f>IF($B257&lt;=Inputs!$C$6+Inputs!$C$11,$C257*Inputs!$C$7/12,0)</x:f>
      </x:c>
      <x:c r="L257" s="24">
        <x:f>IF($B257&lt;=Inputs!$C$6+Inputs!$C$11,$E257+$F257+$G257+$I257-$K257,0)</x:f>
      </x:c>
      <x:c r="M257" s="24">
        <x:f>IF($B257&lt;=Inputs!$C$6,MAX(0,$C257-$F257-$G257-$H257),0)</x:f>
      </x:c>
    </x:row>
    <x:row r="258">
      <x:c r="B258" s="22" t="n">
        <x:v>255</x:v>
      </x:c>
      <x:c r="C258" s="23">
        <x:f>IF($B258&lt;=Inputs!$C$6+Inputs!$C$11,$M257,"")</x:f>
      </x:c>
      <x:c r="D258" s="24">
        <x:f>IF($B258&lt;=Inputs!$C$6,-PMT(Inputs!$C$5/12,Inputs!$C$6,Inputs!$C$4),0)</x:f>
      </x:c>
      <x:c r="E258" s="24">
        <x:f>IF($B258&lt;=Inputs!$C$6+Inputs!$C$11,$C258*Inputs!$C$5/12,0)</x:f>
      </x:c>
      <x:c r="F258" s="24">
        <x:f>IF($B258&lt;=Inputs!$C$6,MAX(0,$D258-$E258),0)</x:f>
      </x:c>
      <x:c r="G258" s="24">
        <x:f>IF($B258&lt;=Inputs!$C$6,MAX(0,($C258-$F258))*(1-(1-Inputs!$C$8)^(1/12)),0)</x:f>
      </x:c>
      <x:c r="H258" s="24">
        <x:f>IF($B258&lt;=Inputs!$C$6,MAX(0,($C258-$F258-$G258))*(1-(1-Inputs!$C$9)^(1/12)),0)</x:f>
      </x:c>
      <x:c r="I258" s="24">
        <x:f>IF($B258&gt;Inputs!$C$11,INDEX($H:$H,ROW()-Inputs!$C$11)* (1-Inputs!$C$10),0)</x:f>
      </x:c>
      <x:c r="J258" s="24">
        <x:f>$H258*Inputs!$C$10</x:f>
      </x:c>
      <x:c r="K258" s="24">
        <x:f>IF($B258&lt;=Inputs!$C$6+Inputs!$C$11,$C258*Inputs!$C$7/12,0)</x:f>
      </x:c>
      <x:c r="L258" s="24">
        <x:f>IF($B258&lt;=Inputs!$C$6+Inputs!$C$11,$E258+$F258+$G258+$I258-$K258,0)</x:f>
      </x:c>
      <x:c r="M258" s="24">
        <x:f>IF($B258&lt;=Inputs!$C$6,MAX(0,$C258-$F258-$G258-$H258),0)</x:f>
      </x:c>
    </x:row>
    <x:row r="259">
      <x:c r="B259" s="22" t="n">
        <x:v>256</x:v>
      </x:c>
      <x:c r="C259" s="23">
        <x:f>IF($B259&lt;=Inputs!$C$6+Inputs!$C$11,$M258,"")</x:f>
      </x:c>
      <x:c r="D259" s="24">
        <x:f>IF($B259&lt;=Inputs!$C$6,-PMT(Inputs!$C$5/12,Inputs!$C$6,Inputs!$C$4),0)</x:f>
      </x:c>
      <x:c r="E259" s="24">
        <x:f>IF($B259&lt;=Inputs!$C$6+Inputs!$C$11,$C259*Inputs!$C$5/12,0)</x:f>
      </x:c>
      <x:c r="F259" s="24">
        <x:f>IF($B259&lt;=Inputs!$C$6,MAX(0,$D259-$E259),0)</x:f>
      </x:c>
      <x:c r="G259" s="24">
        <x:f>IF($B259&lt;=Inputs!$C$6,MAX(0,($C259-$F259))*(1-(1-Inputs!$C$8)^(1/12)),0)</x:f>
      </x:c>
      <x:c r="H259" s="24">
        <x:f>IF($B259&lt;=Inputs!$C$6,MAX(0,($C259-$F259-$G259))*(1-(1-Inputs!$C$9)^(1/12)),0)</x:f>
      </x:c>
      <x:c r="I259" s="24">
        <x:f>IF($B259&gt;Inputs!$C$11,INDEX($H:$H,ROW()-Inputs!$C$11)* (1-Inputs!$C$10),0)</x:f>
      </x:c>
      <x:c r="J259" s="24">
        <x:f>$H259*Inputs!$C$10</x:f>
      </x:c>
      <x:c r="K259" s="24">
        <x:f>IF($B259&lt;=Inputs!$C$6+Inputs!$C$11,$C259*Inputs!$C$7/12,0)</x:f>
      </x:c>
      <x:c r="L259" s="24">
        <x:f>IF($B259&lt;=Inputs!$C$6+Inputs!$C$11,$E259+$F259+$G259+$I259-$K259,0)</x:f>
      </x:c>
      <x:c r="M259" s="24">
        <x:f>IF($B259&lt;=Inputs!$C$6,MAX(0,$C259-$F259-$G259-$H259),0)</x:f>
      </x:c>
    </x:row>
    <x:row r="260">
      <x:c r="B260" s="22" t="n">
        <x:v>257</x:v>
      </x:c>
      <x:c r="C260" s="23">
        <x:f>IF($B260&lt;=Inputs!$C$6+Inputs!$C$11,$M259,"")</x:f>
      </x:c>
      <x:c r="D260" s="24">
        <x:f>IF($B260&lt;=Inputs!$C$6,-PMT(Inputs!$C$5/12,Inputs!$C$6,Inputs!$C$4),0)</x:f>
      </x:c>
      <x:c r="E260" s="24">
        <x:f>IF($B260&lt;=Inputs!$C$6+Inputs!$C$11,$C260*Inputs!$C$5/12,0)</x:f>
      </x:c>
      <x:c r="F260" s="24">
        <x:f>IF($B260&lt;=Inputs!$C$6,MAX(0,$D260-$E260),0)</x:f>
      </x:c>
      <x:c r="G260" s="24">
        <x:f>IF($B260&lt;=Inputs!$C$6,MAX(0,($C260-$F260))*(1-(1-Inputs!$C$8)^(1/12)),0)</x:f>
      </x:c>
      <x:c r="H260" s="24">
        <x:f>IF($B260&lt;=Inputs!$C$6,MAX(0,($C260-$F260-$G260))*(1-(1-Inputs!$C$9)^(1/12)),0)</x:f>
      </x:c>
      <x:c r="I260" s="24">
        <x:f>IF($B260&gt;Inputs!$C$11,INDEX($H:$H,ROW()-Inputs!$C$11)* (1-Inputs!$C$10),0)</x:f>
      </x:c>
      <x:c r="J260" s="24">
        <x:f>$H260*Inputs!$C$10</x:f>
      </x:c>
      <x:c r="K260" s="24">
        <x:f>IF($B260&lt;=Inputs!$C$6+Inputs!$C$11,$C260*Inputs!$C$7/12,0)</x:f>
      </x:c>
      <x:c r="L260" s="24">
        <x:f>IF($B260&lt;=Inputs!$C$6+Inputs!$C$11,$E260+$F260+$G260+$I260-$K260,0)</x:f>
      </x:c>
      <x:c r="M260" s="24">
        <x:f>IF($B260&lt;=Inputs!$C$6,MAX(0,$C260-$F260-$G260-$H260),0)</x:f>
      </x:c>
    </x:row>
    <x:row r="261">
      <x:c r="B261" s="22" t="n">
        <x:v>258</x:v>
      </x:c>
      <x:c r="C261" s="23">
        <x:f>IF($B261&lt;=Inputs!$C$6+Inputs!$C$11,$M260,"")</x:f>
      </x:c>
      <x:c r="D261" s="24">
        <x:f>IF($B261&lt;=Inputs!$C$6,-PMT(Inputs!$C$5/12,Inputs!$C$6,Inputs!$C$4),0)</x:f>
      </x:c>
      <x:c r="E261" s="24">
        <x:f>IF($B261&lt;=Inputs!$C$6+Inputs!$C$11,$C261*Inputs!$C$5/12,0)</x:f>
      </x:c>
      <x:c r="F261" s="24">
        <x:f>IF($B261&lt;=Inputs!$C$6,MAX(0,$D261-$E261),0)</x:f>
      </x:c>
      <x:c r="G261" s="24">
        <x:f>IF($B261&lt;=Inputs!$C$6,MAX(0,($C261-$F261))*(1-(1-Inputs!$C$8)^(1/12)),0)</x:f>
      </x:c>
      <x:c r="H261" s="24">
        <x:f>IF($B261&lt;=Inputs!$C$6,MAX(0,($C261-$F261-$G261))*(1-(1-Inputs!$C$9)^(1/12)),0)</x:f>
      </x:c>
      <x:c r="I261" s="24">
        <x:f>IF($B261&gt;Inputs!$C$11,INDEX($H:$H,ROW()-Inputs!$C$11)* (1-Inputs!$C$10),0)</x:f>
      </x:c>
      <x:c r="J261" s="24">
        <x:f>$H261*Inputs!$C$10</x:f>
      </x:c>
      <x:c r="K261" s="24">
        <x:f>IF($B261&lt;=Inputs!$C$6+Inputs!$C$11,$C261*Inputs!$C$7/12,0)</x:f>
      </x:c>
      <x:c r="L261" s="24">
        <x:f>IF($B261&lt;=Inputs!$C$6+Inputs!$C$11,$E261+$F261+$G261+$I261-$K261,0)</x:f>
      </x:c>
      <x:c r="M261" s="24">
        <x:f>IF($B261&lt;=Inputs!$C$6,MAX(0,$C261-$F261-$G261-$H261),0)</x:f>
      </x:c>
    </x:row>
    <x:row r="262">
      <x:c r="B262" s="22" t="n">
        <x:v>259</x:v>
      </x:c>
      <x:c r="C262" s="23">
        <x:f>IF($B262&lt;=Inputs!$C$6+Inputs!$C$11,$M261,"")</x:f>
      </x:c>
      <x:c r="D262" s="24">
        <x:f>IF($B262&lt;=Inputs!$C$6,-PMT(Inputs!$C$5/12,Inputs!$C$6,Inputs!$C$4),0)</x:f>
      </x:c>
      <x:c r="E262" s="24">
        <x:f>IF($B262&lt;=Inputs!$C$6+Inputs!$C$11,$C262*Inputs!$C$5/12,0)</x:f>
      </x:c>
      <x:c r="F262" s="24">
        <x:f>IF($B262&lt;=Inputs!$C$6,MAX(0,$D262-$E262),0)</x:f>
      </x:c>
      <x:c r="G262" s="24">
        <x:f>IF($B262&lt;=Inputs!$C$6,MAX(0,($C262-$F262))*(1-(1-Inputs!$C$8)^(1/12)),0)</x:f>
      </x:c>
      <x:c r="H262" s="24">
        <x:f>IF($B262&lt;=Inputs!$C$6,MAX(0,($C262-$F262-$G262))*(1-(1-Inputs!$C$9)^(1/12)),0)</x:f>
      </x:c>
      <x:c r="I262" s="24">
        <x:f>IF($B262&gt;Inputs!$C$11,INDEX($H:$H,ROW()-Inputs!$C$11)* (1-Inputs!$C$10),0)</x:f>
      </x:c>
      <x:c r="J262" s="24">
        <x:f>$H262*Inputs!$C$10</x:f>
      </x:c>
      <x:c r="K262" s="24">
        <x:f>IF($B262&lt;=Inputs!$C$6+Inputs!$C$11,$C262*Inputs!$C$7/12,0)</x:f>
      </x:c>
      <x:c r="L262" s="24">
        <x:f>IF($B262&lt;=Inputs!$C$6+Inputs!$C$11,$E262+$F262+$G262+$I262-$K262,0)</x:f>
      </x:c>
      <x:c r="M262" s="24">
        <x:f>IF($B262&lt;=Inputs!$C$6,MAX(0,$C262-$F262-$G262-$H262),0)</x:f>
      </x:c>
    </x:row>
    <x:row r="263">
      <x:c r="B263" s="22" t="n">
        <x:v>260</x:v>
      </x:c>
      <x:c r="C263" s="23">
        <x:f>IF($B263&lt;=Inputs!$C$6+Inputs!$C$11,$M262,"")</x:f>
      </x:c>
      <x:c r="D263" s="24">
        <x:f>IF($B263&lt;=Inputs!$C$6,-PMT(Inputs!$C$5/12,Inputs!$C$6,Inputs!$C$4),0)</x:f>
      </x:c>
      <x:c r="E263" s="24">
        <x:f>IF($B263&lt;=Inputs!$C$6+Inputs!$C$11,$C263*Inputs!$C$5/12,0)</x:f>
      </x:c>
      <x:c r="F263" s="24">
        <x:f>IF($B263&lt;=Inputs!$C$6,MAX(0,$D263-$E263),0)</x:f>
      </x:c>
      <x:c r="G263" s="24">
        <x:f>IF($B263&lt;=Inputs!$C$6,MAX(0,($C263-$F263))*(1-(1-Inputs!$C$8)^(1/12)),0)</x:f>
      </x:c>
      <x:c r="H263" s="24">
        <x:f>IF($B263&lt;=Inputs!$C$6,MAX(0,($C263-$F263-$G263))*(1-(1-Inputs!$C$9)^(1/12)),0)</x:f>
      </x:c>
      <x:c r="I263" s="24">
        <x:f>IF($B263&gt;Inputs!$C$11,INDEX($H:$H,ROW()-Inputs!$C$11)* (1-Inputs!$C$10),0)</x:f>
      </x:c>
      <x:c r="J263" s="24">
        <x:f>$H263*Inputs!$C$10</x:f>
      </x:c>
      <x:c r="K263" s="24">
        <x:f>IF($B263&lt;=Inputs!$C$6+Inputs!$C$11,$C263*Inputs!$C$7/12,0)</x:f>
      </x:c>
      <x:c r="L263" s="24">
        <x:f>IF($B263&lt;=Inputs!$C$6+Inputs!$C$11,$E263+$F263+$G263+$I263-$K263,0)</x:f>
      </x:c>
      <x:c r="M263" s="24">
        <x:f>IF($B263&lt;=Inputs!$C$6,MAX(0,$C263-$F263-$G263-$H263),0)</x:f>
      </x:c>
    </x:row>
    <x:row r="264">
      <x:c r="B264" s="22" t="n">
        <x:v>261</x:v>
      </x:c>
      <x:c r="C264" s="23">
        <x:f>IF($B264&lt;=Inputs!$C$6+Inputs!$C$11,$M263,"")</x:f>
      </x:c>
      <x:c r="D264" s="24">
        <x:f>IF($B264&lt;=Inputs!$C$6,-PMT(Inputs!$C$5/12,Inputs!$C$6,Inputs!$C$4),0)</x:f>
      </x:c>
      <x:c r="E264" s="24">
        <x:f>IF($B264&lt;=Inputs!$C$6+Inputs!$C$11,$C264*Inputs!$C$5/12,0)</x:f>
      </x:c>
      <x:c r="F264" s="24">
        <x:f>IF($B264&lt;=Inputs!$C$6,MAX(0,$D264-$E264),0)</x:f>
      </x:c>
      <x:c r="G264" s="24">
        <x:f>IF($B264&lt;=Inputs!$C$6,MAX(0,($C264-$F264))*(1-(1-Inputs!$C$8)^(1/12)),0)</x:f>
      </x:c>
      <x:c r="H264" s="24">
        <x:f>IF($B264&lt;=Inputs!$C$6,MAX(0,($C264-$F264-$G264))*(1-(1-Inputs!$C$9)^(1/12)),0)</x:f>
      </x:c>
      <x:c r="I264" s="24">
        <x:f>IF($B264&gt;Inputs!$C$11,INDEX($H:$H,ROW()-Inputs!$C$11)* (1-Inputs!$C$10),0)</x:f>
      </x:c>
      <x:c r="J264" s="24">
        <x:f>$H264*Inputs!$C$10</x:f>
      </x:c>
      <x:c r="K264" s="24">
        <x:f>IF($B264&lt;=Inputs!$C$6+Inputs!$C$11,$C264*Inputs!$C$7/12,0)</x:f>
      </x:c>
      <x:c r="L264" s="24">
        <x:f>IF($B264&lt;=Inputs!$C$6+Inputs!$C$11,$E264+$F264+$G264+$I264-$K264,0)</x:f>
      </x:c>
      <x:c r="M264" s="24">
        <x:f>IF($B264&lt;=Inputs!$C$6,MAX(0,$C264-$F264-$G264-$H264),0)</x:f>
      </x:c>
    </x:row>
    <x:row r="265">
      <x:c r="B265" s="22" t="n">
        <x:v>262</x:v>
      </x:c>
      <x:c r="C265" s="23">
        <x:f>IF($B265&lt;=Inputs!$C$6+Inputs!$C$11,$M264,"")</x:f>
      </x:c>
      <x:c r="D265" s="24">
        <x:f>IF($B265&lt;=Inputs!$C$6,-PMT(Inputs!$C$5/12,Inputs!$C$6,Inputs!$C$4),0)</x:f>
      </x:c>
      <x:c r="E265" s="24">
        <x:f>IF($B265&lt;=Inputs!$C$6+Inputs!$C$11,$C265*Inputs!$C$5/12,0)</x:f>
      </x:c>
      <x:c r="F265" s="24">
        <x:f>IF($B265&lt;=Inputs!$C$6,MAX(0,$D265-$E265),0)</x:f>
      </x:c>
      <x:c r="G265" s="24">
        <x:f>IF($B265&lt;=Inputs!$C$6,MAX(0,($C265-$F265))*(1-(1-Inputs!$C$8)^(1/12)),0)</x:f>
      </x:c>
      <x:c r="H265" s="24">
        <x:f>IF($B265&lt;=Inputs!$C$6,MAX(0,($C265-$F265-$G265))*(1-(1-Inputs!$C$9)^(1/12)),0)</x:f>
      </x:c>
      <x:c r="I265" s="24">
        <x:f>IF($B265&gt;Inputs!$C$11,INDEX($H:$H,ROW()-Inputs!$C$11)* (1-Inputs!$C$10),0)</x:f>
      </x:c>
      <x:c r="J265" s="24">
        <x:f>$H265*Inputs!$C$10</x:f>
      </x:c>
      <x:c r="K265" s="24">
        <x:f>IF($B265&lt;=Inputs!$C$6+Inputs!$C$11,$C265*Inputs!$C$7/12,0)</x:f>
      </x:c>
      <x:c r="L265" s="24">
        <x:f>IF($B265&lt;=Inputs!$C$6+Inputs!$C$11,$E265+$F265+$G265+$I265-$K265,0)</x:f>
      </x:c>
      <x:c r="M265" s="24">
        <x:f>IF($B265&lt;=Inputs!$C$6,MAX(0,$C265-$F265-$G265-$H265),0)</x:f>
      </x:c>
    </x:row>
    <x:row r="266">
      <x:c r="B266" s="22" t="n">
        <x:v>263</x:v>
      </x:c>
      <x:c r="C266" s="23">
        <x:f>IF($B266&lt;=Inputs!$C$6+Inputs!$C$11,$M265,"")</x:f>
      </x:c>
      <x:c r="D266" s="24">
        <x:f>IF($B266&lt;=Inputs!$C$6,-PMT(Inputs!$C$5/12,Inputs!$C$6,Inputs!$C$4),0)</x:f>
      </x:c>
      <x:c r="E266" s="24">
        <x:f>IF($B266&lt;=Inputs!$C$6+Inputs!$C$11,$C266*Inputs!$C$5/12,0)</x:f>
      </x:c>
      <x:c r="F266" s="24">
        <x:f>IF($B266&lt;=Inputs!$C$6,MAX(0,$D266-$E266),0)</x:f>
      </x:c>
      <x:c r="G266" s="24">
        <x:f>IF($B266&lt;=Inputs!$C$6,MAX(0,($C266-$F266))*(1-(1-Inputs!$C$8)^(1/12)),0)</x:f>
      </x:c>
      <x:c r="H266" s="24">
        <x:f>IF($B266&lt;=Inputs!$C$6,MAX(0,($C266-$F266-$G266))*(1-(1-Inputs!$C$9)^(1/12)),0)</x:f>
      </x:c>
      <x:c r="I266" s="24">
        <x:f>IF($B266&gt;Inputs!$C$11,INDEX($H:$H,ROW()-Inputs!$C$11)* (1-Inputs!$C$10),0)</x:f>
      </x:c>
      <x:c r="J266" s="24">
        <x:f>$H266*Inputs!$C$10</x:f>
      </x:c>
      <x:c r="K266" s="24">
        <x:f>IF($B266&lt;=Inputs!$C$6+Inputs!$C$11,$C266*Inputs!$C$7/12,0)</x:f>
      </x:c>
      <x:c r="L266" s="24">
        <x:f>IF($B266&lt;=Inputs!$C$6+Inputs!$C$11,$E266+$F266+$G266+$I266-$K266,0)</x:f>
      </x:c>
      <x:c r="M266" s="24">
        <x:f>IF($B266&lt;=Inputs!$C$6,MAX(0,$C266-$F266-$G266-$H266),0)</x:f>
      </x:c>
    </x:row>
    <x:row r="267">
      <x:c r="B267" s="22" t="n">
        <x:v>264</x:v>
      </x:c>
      <x:c r="C267" s="23">
        <x:f>IF($B267&lt;=Inputs!$C$6+Inputs!$C$11,$M266,"")</x:f>
      </x:c>
      <x:c r="D267" s="24">
        <x:f>IF($B267&lt;=Inputs!$C$6,-PMT(Inputs!$C$5/12,Inputs!$C$6,Inputs!$C$4),0)</x:f>
      </x:c>
      <x:c r="E267" s="24">
        <x:f>IF($B267&lt;=Inputs!$C$6+Inputs!$C$11,$C267*Inputs!$C$5/12,0)</x:f>
      </x:c>
      <x:c r="F267" s="24">
        <x:f>IF($B267&lt;=Inputs!$C$6,MAX(0,$D267-$E267),0)</x:f>
      </x:c>
      <x:c r="G267" s="24">
        <x:f>IF($B267&lt;=Inputs!$C$6,MAX(0,($C267-$F267))*(1-(1-Inputs!$C$8)^(1/12)),0)</x:f>
      </x:c>
      <x:c r="H267" s="24">
        <x:f>IF($B267&lt;=Inputs!$C$6,MAX(0,($C267-$F267-$G267))*(1-(1-Inputs!$C$9)^(1/12)),0)</x:f>
      </x:c>
      <x:c r="I267" s="24">
        <x:f>IF($B267&gt;Inputs!$C$11,INDEX($H:$H,ROW()-Inputs!$C$11)* (1-Inputs!$C$10),0)</x:f>
      </x:c>
      <x:c r="J267" s="24">
        <x:f>$H267*Inputs!$C$10</x:f>
      </x:c>
      <x:c r="K267" s="24">
        <x:f>IF($B267&lt;=Inputs!$C$6+Inputs!$C$11,$C267*Inputs!$C$7/12,0)</x:f>
      </x:c>
      <x:c r="L267" s="24">
        <x:f>IF($B267&lt;=Inputs!$C$6+Inputs!$C$11,$E267+$F267+$G267+$I267-$K267,0)</x:f>
      </x:c>
      <x:c r="M267" s="24">
        <x:f>IF($B267&lt;=Inputs!$C$6,MAX(0,$C267-$F267-$G267-$H267),0)</x:f>
      </x:c>
    </x:row>
    <x:row r="268">
      <x:c r="B268" s="22" t="n">
        <x:v>265</x:v>
      </x:c>
      <x:c r="C268" s="23">
        <x:f>IF($B268&lt;=Inputs!$C$6+Inputs!$C$11,$M267,"")</x:f>
      </x:c>
      <x:c r="D268" s="24">
        <x:f>IF($B268&lt;=Inputs!$C$6,-PMT(Inputs!$C$5/12,Inputs!$C$6,Inputs!$C$4),0)</x:f>
      </x:c>
      <x:c r="E268" s="24">
        <x:f>IF($B268&lt;=Inputs!$C$6+Inputs!$C$11,$C268*Inputs!$C$5/12,0)</x:f>
      </x:c>
      <x:c r="F268" s="24">
        <x:f>IF($B268&lt;=Inputs!$C$6,MAX(0,$D268-$E268),0)</x:f>
      </x:c>
      <x:c r="G268" s="24">
        <x:f>IF($B268&lt;=Inputs!$C$6,MAX(0,($C268-$F268))*(1-(1-Inputs!$C$8)^(1/12)),0)</x:f>
      </x:c>
      <x:c r="H268" s="24">
        <x:f>IF($B268&lt;=Inputs!$C$6,MAX(0,($C268-$F268-$G268))*(1-(1-Inputs!$C$9)^(1/12)),0)</x:f>
      </x:c>
      <x:c r="I268" s="24">
        <x:f>IF($B268&gt;Inputs!$C$11,INDEX($H:$H,ROW()-Inputs!$C$11)* (1-Inputs!$C$10),0)</x:f>
      </x:c>
      <x:c r="J268" s="24">
        <x:f>$H268*Inputs!$C$10</x:f>
      </x:c>
      <x:c r="K268" s="24">
        <x:f>IF($B268&lt;=Inputs!$C$6+Inputs!$C$11,$C268*Inputs!$C$7/12,0)</x:f>
      </x:c>
      <x:c r="L268" s="24">
        <x:f>IF($B268&lt;=Inputs!$C$6+Inputs!$C$11,$E268+$F268+$G268+$I268-$K268,0)</x:f>
      </x:c>
      <x:c r="M268" s="24">
        <x:f>IF($B268&lt;=Inputs!$C$6,MAX(0,$C268-$F268-$G268-$H268),0)</x:f>
      </x:c>
    </x:row>
    <x:row r="269">
      <x:c r="B269" s="22" t="n">
        <x:v>266</x:v>
      </x:c>
      <x:c r="C269" s="23">
        <x:f>IF($B269&lt;=Inputs!$C$6+Inputs!$C$11,$M268,"")</x:f>
      </x:c>
      <x:c r="D269" s="24">
        <x:f>IF($B269&lt;=Inputs!$C$6,-PMT(Inputs!$C$5/12,Inputs!$C$6,Inputs!$C$4),0)</x:f>
      </x:c>
      <x:c r="E269" s="24">
        <x:f>IF($B269&lt;=Inputs!$C$6+Inputs!$C$11,$C269*Inputs!$C$5/12,0)</x:f>
      </x:c>
      <x:c r="F269" s="24">
        <x:f>IF($B269&lt;=Inputs!$C$6,MAX(0,$D269-$E269),0)</x:f>
      </x:c>
      <x:c r="G269" s="24">
        <x:f>IF($B269&lt;=Inputs!$C$6,MAX(0,($C269-$F269))*(1-(1-Inputs!$C$8)^(1/12)),0)</x:f>
      </x:c>
      <x:c r="H269" s="24">
        <x:f>IF($B269&lt;=Inputs!$C$6,MAX(0,($C269-$F269-$G269))*(1-(1-Inputs!$C$9)^(1/12)),0)</x:f>
      </x:c>
      <x:c r="I269" s="24">
        <x:f>IF($B269&gt;Inputs!$C$11,INDEX($H:$H,ROW()-Inputs!$C$11)* (1-Inputs!$C$10),0)</x:f>
      </x:c>
      <x:c r="J269" s="24">
        <x:f>$H269*Inputs!$C$10</x:f>
      </x:c>
      <x:c r="K269" s="24">
        <x:f>IF($B269&lt;=Inputs!$C$6+Inputs!$C$11,$C269*Inputs!$C$7/12,0)</x:f>
      </x:c>
      <x:c r="L269" s="24">
        <x:f>IF($B269&lt;=Inputs!$C$6+Inputs!$C$11,$E269+$F269+$G269+$I269-$K269,0)</x:f>
      </x:c>
      <x:c r="M269" s="24">
        <x:f>IF($B269&lt;=Inputs!$C$6,MAX(0,$C269-$F269-$G269-$H269),0)</x:f>
      </x:c>
    </x:row>
    <x:row r="270">
      <x:c r="B270" s="22" t="n">
        <x:v>267</x:v>
      </x:c>
      <x:c r="C270" s="23">
        <x:f>IF($B270&lt;=Inputs!$C$6+Inputs!$C$11,$M269,"")</x:f>
      </x:c>
      <x:c r="D270" s="24">
        <x:f>IF($B270&lt;=Inputs!$C$6,-PMT(Inputs!$C$5/12,Inputs!$C$6,Inputs!$C$4),0)</x:f>
      </x:c>
      <x:c r="E270" s="24">
        <x:f>IF($B270&lt;=Inputs!$C$6+Inputs!$C$11,$C270*Inputs!$C$5/12,0)</x:f>
      </x:c>
      <x:c r="F270" s="24">
        <x:f>IF($B270&lt;=Inputs!$C$6,MAX(0,$D270-$E270),0)</x:f>
      </x:c>
      <x:c r="G270" s="24">
        <x:f>IF($B270&lt;=Inputs!$C$6,MAX(0,($C270-$F270))*(1-(1-Inputs!$C$8)^(1/12)),0)</x:f>
      </x:c>
      <x:c r="H270" s="24">
        <x:f>IF($B270&lt;=Inputs!$C$6,MAX(0,($C270-$F270-$G270))*(1-(1-Inputs!$C$9)^(1/12)),0)</x:f>
      </x:c>
      <x:c r="I270" s="24">
        <x:f>IF($B270&gt;Inputs!$C$11,INDEX($H:$H,ROW()-Inputs!$C$11)* (1-Inputs!$C$10),0)</x:f>
      </x:c>
      <x:c r="J270" s="24">
        <x:f>$H270*Inputs!$C$10</x:f>
      </x:c>
      <x:c r="K270" s="24">
        <x:f>IF($B270&lt;=Inputs!$C$6+Inputs!$C$11,$C270*Inputs!$C$7/12,0)</x:f>
      </x:c>
      <x:c r="L270" s="24">
        <x:f>IF($B270&lt;=Inputs!$C$6+Inputs!$C$11,$E270+$F270+$G270+$I270-$K270,0)</x:f>
      </x:c>
      <x:c r="M270" s="24">
        <x:f>IF($B270&lt;=Inputs!$C$6,MAX(0,$C270-$F270-$G270-$H270),0)</x:f>
      </x:c>
    </x:row>
    <x:row r="271">
      <x:c r="B271" s="22" t="n">
        <x:v>268</x:v>
      </x:c>
      <x:c r="C271" s="23">
        <x:f>IF($B271&lt;=Inputs!$C$6+Inputs!$C$11,$M270,"")</x:f>
      </x:c>
      <x:c r="D271" s="24">
        <x:f>IF($B271&lt;=Inputs!$C$6,-PMT(Inputs!$C$5/12,Inputs!$C$6,Inputs!$C$4),0)</x:f>
      </x:c>
      <x:c r="E271" s="24">
        <x:f>IF($B271&lt;=Inputs!$C$6+Inputs!$C$11,$C271*Inputs!$C$5/12,0)</x:f>
      </x:c>
      <x:c r="F271" s="24">
        <x:f>IF($B271&lt;=Inputs!$C$6,MAX(0,$D271-$E271),0)</x:f>
      </x:c>
      <x:c r="G271" s="24">
        <x:f>IF($B271&lt;=Inputs!$C$6,MAX(0,($C271-$F271))*(1-(1-Inputs!$C$8)^(1/12)),0)</x:f>
      </x:c>
      <x:c r="H271" s="24">
        <x:f>IF($B271&lt;=Inputs!$C$6,MAX(0,($C271-$F271-$G271))*(1-(1-Inputs!$C$9)^(1/12)),0)</x:f>
      </x:c>
      <x:c r="I271" s="24">
        <x:f>IF($B271&gt;Inputs!$C$11,INDEX($H:$H,ROW()-Inputs!$C$11)* (1-Inputs!$C$10),0)</x:f>
      </x:c>
      <x:c r="J271" s="24">
        <x:f>$H271*Inputs!$C$10</x:f>
      </x:c>
      <x:c r="K271" s="24">
        <x:f>IF($B271&lt;=Inputs!$C$6+Inputs!$C$11,$C271*Inputs!$C$7/12,0)</x:f>
      </x:c>
      <x:c r="L271" s="24">
        <x:f>IF($B271&lt;=Inputs!$C$6+Inputs!$C$11,$E271+$F271+$G271+$I271-$K271,0)</x:f>
      </x:c>
      <x:c r="M271" s="24">
        <x:f>IF($B271&lt;=Inputs!$C$6,MAX(0,$C271-$F271-$G271-$H271),0)</x:f>
      </x:c>
    </x:row>
    <x:row r="272">
      <x:c r="B272" s="22" t="n">
        <x:v>269</x:v>
      </x:c>
      <x:c r="C272" s="23">
        <x:f>IF($B272&lt;=Inputs!$C$6+Inputs!$C$11,$M271,"")</x:f>
      </x:c>
      <x:c r="D272" s="24">
        <x:f>IF($B272&lt;=Inputs!$C$6,-PMT(Inputs!$C$5/12,Inputs!$C$6,Inputs!$C$4),0)</x:f>
      </x:c>
      <x:c r="E272" s="24">
        <x:f>IF($B272&lt;=Inputs!$C$6+Inputs!$C$11,$C272*Inputs!$C$5/12,0)</x:f>
      </x:c>
      <x:c r="F272" s="24">
        <x:f>IF($B272&lt;=Inputs!$C$6,MAX(0,$D272-$E272),0)</x:f>
      </x:c>
      <x:c r="G272" s="24">
        <x:f>IF($B272&lt;=Inputs!$C$6,MAX(0,($C272-$F272))*(1-(1-Inputs!$C$8)^(1/12)),0)</x:f>
      </x:c>
      <x:c r="H272" s="24">
        <x:f>IF($B272&lt;=Inputs!$C$6,MAX(0,($C272-$F272-$G272))*(1-(1-Inputs!$C$9)^(1/12)),0)</x:f>
      </x:c>
      <x:c r="I272" s="24">
        <x:f>IF($B272&gt;Inputs!$C$11,INDEX($H:$H,ROW()-Inputs!$C$11)* (1-Inputs!$C$10),0)</x:f>
      </x:c>
      <x:c r="J272" s="24">
        <x:f>$H272*Inputs!$C$10</x:f>
      </x:c>
      <x:c r="K272" s="24">
        <x:f>IF($B272&lt;=Inputs!$C$6+Inputs!$C$11,$C272*Inputs!$C$7/12,0)</x:f>
      </x:c>
      <x:c r="L272" s="24">
        <x:f>IF($B272&lt;=Inputs!$C$6+Inputs!$C$11,$E272+$F272+$G272+$I272-$K272,0)</x:f>
      </x:c>
      <x:c r="M272" s="24">
        <x:f>IF($B272&lt;=Inputs!$C$6,MAX(0,$C272-$F272-$G272-$H272),0)</x:f>
      </x:c>
    </x:row>
    <x:row r="273">
      <x:c r="B273" s="22" t="n">
        <x:v>270</x:v>
      </x:c>
      <x:c r="C273" s="23">
        <x:f>IF($B273&lt;=Inputs!$C$6+Inputs!$C$11,$M272,"")</x:f>
      </x:c>
      <x:c r="D273" s="24">
        <x:f>IF($B273&lt;=Inputs!$C$6,-PMT(Inputs!$C$5/12,Inputs!$C$6,Inputs!$C$4),0)</x:f>
      </x:c>
      <x:c r="E273" s="24">
        <x:f>IF($B273&lt;=Inputs!$C$6+Inputs!$C$11,$C273*Inputs!$C$5/12,0)</x:f>
      </x:c>
      <x:c r="F273" s="24">
        <x:f>IF($B273&lt;=Inputs!$C$6,MAX(0,$D273-$E273),0)</x:f>
      </x:c>
      <x:c r="G273" s="24">
        <x:f>IF($B273&lt;=Inputs!$C$6,MAX(0,($C273-$F273))*(1-(1-Inputs!$C$8)^(1/12)),0)</x:f>
      </x:c>
      <x:c r="H273" s="24">
        <x:f>IF($B273&lt;=Inputs!$C$6,MAX(0,($C273-$F273-$G273))*(1-(1-Inputs!$C$9)^(1/12)),0)</x:f>
      </x:c>
      <x:c r="I273" s="24">
        <x:f>IF($B273&gt;Inputs!$C$11,INDEX($H:$H,ROW()-Inputs!$C$11)* (1-Inputs!$C$10),0)</x:f>
      </x:c>
      <x:c r="J273" s="24">
        <x:f>$H273*Inputs!$C$10</x:f>
      </x:c>
      <x:c r="K273" s="24">
        <x:f>IF($B273&lt;=Inputs!$C$6+Inputs!$C$11,$C273*Inputs!$C$7/12,0)</x:f>
      </x:c>
      <x:c r="L273" s="24">
        <x:f>IF($B273&lt;=Inputs!$C$6+Inputs!$C$11,$E273+$F273+$G273+$I273-$K273,0)</x:f>
      </x:c>
      <x:c r="M273" s="24">
        <x:f>IF($B273&lt;=Inputs!$C$6,MAX(0,$C273-$F273-$G273-$H273),0)</x:f>
      </x:c>
    </x:row>
    <x:row r="274">
      <x:c r="B274" s="22" t="n">
        <x:v>271</x:v>
      </x:c>
      <x:c r="C274" s="23">
        <x:f>IF($B274&lt;=Inputs!$C$6+Inputs!$C$11,$M273,"")</x:f>
      </x:c>
      <x:c r="D274" s="24">
        <x:f>IF($B274&lt;=Inputs!$C$6,-PMT(Inputs!$C$5/12,Inputs!$C$6,Inputs!$C$4),0)</x:f>
      </x:c>
      <x:c r="E274" s="24">
        <x:f>IF($B274&lt;=Inputs!$C$6+Inputs!$C$11,$C274*Inputs!$C$5/12,0)</x:f>
      </x:c>
      <x:c r="F274" s="24">
        <x:f>IF($B274&lt;=Inputs!$C$6,MAX(0,$D274-$E274),0)</x:f>
      </x:c>
      <x:c r="G274" s="24">
        <x:f>IF($B274&lt;=Inputs!$C$6,MAX(0,($C274-$F274))*(1-(1-Inputs!$C$8)^(1/12)),0)</x:f>
      </x:c>
      <x:c r="H274" s="24">
        <x:f>IF($B274&lt;=Inputs!$C$6,MAX(0,($C274-$F274-$G274))*(1-(1-Inputs!$C$9)^(1/12)),0)</x:f>
      </x:c>
      <x:c r="I274" s="24">
        <x:f>IF($B274&gt;Inputs!$C$11,INDEX($H:$H,ROW()-Inputs!$C$11)* (1-Inputs!$C$10),0)</x:f>
      </x:c>
      <x:c r="J274" s="24">
        <x:f>$H274*Inputs!$C$10</x:f>
      </x:c>
      <x:c r="K274" s="24">
        <x:f>IF($B274&lt;=Inputs!$C$6+Inputs!$C$11,$C274*Inputs!$C$7/12,0)</x:f>
      </x:c>
      <x:c r="L274" s="24">
        <x:f>IF($B274&lt;=Inputs!$C$6+Inputs!$C$11,$E274+$F274+$G274+$I274-$K274,0)</x:f>
      </x:c>
      <x:c r="M274" s="24">
        <x:f>IF($B274&lt;=Inputs!$C$6,MAX(0,$C274-$F274-$G274-$H274),0)</x:f>
      </x:c>
    </x:row>
    <x:row r="275">
      <x:c r="B275" s="22" t="n">
        <x:v>272</x:v>
      </x:c>
      <x:c r="C275" s="23">
        <x:f>IF($B275&lt;=Inputs!$C$6+Inputs!$C$11,$M274,"")</x:f>
      </x:c>
      <x:c r="D275" s="24">
        <x:f>IF($B275&lt;=Inputs!$C$6,-PMT(Inputs!$C$5/12,Inputs!$C$6,Inputs!$C$4),0)</x:f>
      </x:c>
      <x:c r="E275" s="24">
        <x:f>IF($B275&lt;=Inputs!$C$6+Inputs!$C$11,$C275*Inputs!$C$5/12,0)</x:f>
      </x:c>
      <x:c r="F275" s="24">
        <x:f>IF($B275&lt;=Inputs!$C$6,MAX(0,$D275-$E275),0)</x:f>
      </x:c>
      <x:c r="G275" s="24">
        <x:f>IF($B275&lt;=Inputs!$C$6,MAX(0,($C275-$F275))*(1-(1-Inputs!$C$8)^(1/12)),0)</x:f>
      </x:c>
      <x:c r="H275" s="24">
        <x:f>IF($B275&lt;=Inputs!$C$6,MAX(0,($C275-$F275-$G275))*(1-(1-Inputs!$C$9)^(1/12)),0)</x:f>
      </x:c>
      <x:c r="I275" s="24">
        <x:f>IF($B275&gt;Inputs!$C$11,INDEX($H:$H,ROW()-Inputs!$C$11)* (1-Inputs!$C$10),0)</x:f>
      </x:c>
      <x:c r="J275" s="24">
        <x:f>$H275*Inputs!$C$10</x:f>
      </x:c>
      <x:c r="K275" s="24">
        <x:f>IF($B275&lt;=Inputs!$C$6+Inputs!$C$11,$C275*Inputs!$C$7/12,0)</x:f>
      </x:c>
      <x:c r="L275" s="24">
        <x:f>IF($B275&lt;=Inputs!$C$6+Inputs!$C$11,$E275+$F275+$G275+$I275-$K275,0)</x:f>
      </x:c>
      <x:c r="M275" s="24">
        <x:f>IF($B275&lt;=Inputs!$C$6,MAX(0,$C275-$F275-$G275-$H275),0)</x:f>
      </x:c>
    </x:row>
    <x:row r="276">
      <x:c r="B276" s="22" t="n">
        <x:v>273</x:v>
      </x:c>
      <x:c r="C276" s="23">
        <x:f>IF($B276&lt;=Inputs!$C$6+Inputs!$C$11,$M275,"")</x:f>
      </x:c>
      <x:c r="D276" s="24">
        <x:f>IF($B276&lt;=Inputs!$C$6,-PMT(Inputs!$C$5/12,Inputs!$C$6,Inputs!$C$4),0)</x:f>
      </x:c>
      <x:c r="E276" s="24">
        <x:f>IF($B276&lt;=Inputs!$C$6+Inputs!$C$11,$C276*Inputs!$C$5/12,0)</x:f>
      </x:c>
      <x:c r="F276" s="24">
        <x:f>IF($B276&lt;=Inputs!$C$6,MAX(0,$D276-$E276),0)</x:f>
      </x:c>
      <x:c r="G276" s="24">
        <x:f>IF($B276&lt;=Inputs!$C$6,MAX(0,($C276-$F276))*(1-(1-Inputs!$C$8)^(1/12)),0)</x:f>
      </x:c>
      <x:c r="H276" s="24">
        <x:f>IF($B276&lt;=Inputs!$C$6,MAX(0,($C276-$F276-$G276))*(1-(1-Inputs!$C$9)^(1/12)),0)</x:f>
      </x:c>
      <x:c r="I276" s="24">
        <x:f>IF($B276&gt;Inputs!$C$11,INDEX($H:$H,ROW()-Inputs!$C$11)* (1-Inputs!$C$10),0)</x:f>
      </x:c>
      <x:c r="J276" s="24">
        <x:f>$H276*Inputs!$C$10</x:f>
      </x:c>
      <x:c r="K276" s="24">
        <x:f>IF($B276&lt;=Inputs!$C$6+Inputs!$C$11,$C276*Inputs!$C$7/12,0)</x:f>
      </x:c>
      <x:c r="L276" s="24">
        <x:f>IF($B276&lt;=Inputs!$C$6+Inputs!$C$11,$E276+$F276+$G276+$I276-$K276,0)</x:f>
      </x:c>
      <x:c r="M276" s="24">
        <x:f>IF($B276&lt;=Inputs!$C$6,MAX(0,$C276-$F276-$G276-$H276),0)</x:f>
      </x:c>
    </x:row>
    <x:row r="277">
      <x:c r="B277" s="22" t="n">
        <x:v>274</x:v>
      </x:c>
      <x:c r="C277" s="23">
        <x:f>IF($B277&lt;=Inputs!$C$6+Inputs!$C$11,$M276,"")</x:f>
      </x:c>
      <x:c r="D277" s="24">
        <x:f>IF($B277&lt;=Inputs!$C$6,-PMT(Inputs!$C$5/12,Inputs!$C$6,Inputs!$C$4),0)</x:f>
      </x:c>
      <x:c r="E277" s="24">
        <x:f>IF($B277&lt;=Inputs!$C$6+Inputs!$C$11,$C277*Inputs!$C$5/12,0)</x:f>
      </x:c>
      <x:c r="F277" s="24">
        <x:f>IF($B277&lt;=Inputs!$C$6,MAX(0,$D277-$E277),0)</x:f>
      </x:c>
      <x:c r="G277" s="24">
        <x:f>IF($B277&lt;=Inputs!$C$6,MAX(0,($C277-$F277))*(1-(1-Inputs!$C$8)^(1/12)),0)</x:f>
      </x:c>
      <x:c r="H277" s="24">
        <x:f>IF($B277&lt;=Inputs!$C$6,MAX(0,($C277-$F277-$G277))*(1-(1-Inputs!$C$9)^(1/12)),0)</x:f>
      </x:c>
      <x:c r="I277" s="24">
        <x:f>IF($B277&gt;Inputs!$C$11,INDEX($H:$H,ROW()-Inputs!$C$11)* (1-Inputs!$C$10),0)</x:f>
      </x:c>
      <x:c r="J277" s="24">
        <x:f>$H277*Inputs!$C$10</x:f>
      </x:c>
      <x:c r="K277" s="24">
        <x:f>IF($B277&lt;=Inputs!$C$6+Inputs!$C$11,$C277*Inputs!$C$7/12,0)</x:f>
      </x:c>
      <x:c r="L277" s="24">
        <x:f>IF($B277&lt;=Inputs!$C$6+Inputs!$C$11,$E277+$F277+$G277+$I277-$K277,0)</x:f>
      </x:c>
      <x:c r="M277" s="24">
        <x:f>IF($B277&lt;=Inputs!$C$6,MAX(0,$C277-$F277-$G277-$H277),0)</x:f>
      </x:c>
    </x:row>
    <x:row r="278">
      <x:c r="B278" s="22" t="n">
        <x:v>275</x:v>
      </x:c>
      <x:c r="C278" s="23">
        <x:f>IF($B278&lt;=Inputs!$C$6+Inputs!$C$11,$M277,"")</x:f>
      </x:c>
      <x:c r="D278" s="24">
        <x:f>IF($B278&lt;=Inputs!$C$6,-PMT(Inputs!$C$5/12,Inputs!$C$6,Inputs!$C$4),0)</x:f>
      </x:c>
      <x:c r="E278" s="24">
        <x:f>IF($B278&lt;=Inputs!$C$6+Inputs!$C$11,$C278*Inputs!$C$5/12,0)</x:f>
      </x:c>
      <x:c r="F278" s="24">
        <x:f>IF($B278&lt;=Inputs!$C$6,MAX(0,$D278-$E278),0)</x:f>
      </x:c>
      <x:c r="G278" s="24">
        <x:f>IF($B278&lt;=Inputs!$C$6,MAX(0,($C278-$F278))*(1-(1-Inputs!$C$8)^(1/12)),0)</x:f>
      </x:c>
      <x:c r="H278" s="24">
        <x:f>IF($B278&lt;=Inputs!$C$6,MAX(0,($C278-$F278-$G278))*(1-(1-Inputs!$C$9)^(1/12)),0)</x:f>
      </x:c>
      <x:c r="I278" s="24">
        <x:f>IF($B278&gt;Inputs!$C$11,INDEX($H:$H,ROW()-Inputs!$C$11)* (1-Inputs!$C$10),0)</x:f>
      </x:c>
      <x:c r="J278" s="24">
        <x:f>$H278*Inputs!$C$10</x:f>
      </x:c>
      <x:c r="K278" s="24">
        <x:f>IF($B278&lt;=Inputs!$C$6+Inputs!$C$11,$C278*Inputs!$C$7/12,0)</x:f>
      </x:c>
      <x:c r="L278" s="24">
        <x:f>IF($B278&lt;=Inputs!$C$6+Inputs!$C$11,$E278+$F278+$G278+$I278-$K278,0)</x:f>
      </x:c>
      <x:c r="M278" s="24">
        <x:f>IF($B278&lt;=Inputs!$C$6,MAX(0,$C278-$F278-$G278-$H278),0)</x:f>
      </x:c>
    </x:row>
    <x:row r="279">
      <x:c r="B279" s="22" t="n">
        <x:v>276</x:v>
      </x:c>
      <x:c r="C279" s="23">
        <x:f>IF($B279&lt;=Inputs!$C$6+Inputs!$C$11,$M278,"")</x:f>
      </x:c>
      <x:c r="D279" s="24">
        <x:f>IF($B279&lt;=Inputs!$C$6,-PMT(Inputs!$C$5/12,Inputs!$C$6,Inputs!$C$4),0)</x:f>
      </x:c>
      <x:c r="E279" s="24">
        <x:f>IF($B279&lt;=Inputs!$C$6+Inputs!$C$11,$C279*Inputs!$C$5/12,0)</x:f>
      </x:c>
      <x:c r="F279" s="24">
        <x:f>IF($B279&lt;=Inputs!$C$6,MAX(0,$D279-$E279),0)</x:f>
      </x:c>
      <x:c r="G279" s="24">
        <x:f>IF($B279&lt;=Inputs!$C$6,MAX(0,($C279-$F279))*(1-(1-Inputs!$C$8)^(1/12)),0)</x:f>
      </x:c>
      <x:c r="H279" s="24">
        <x:f>IF($B279&lt;=Inputs!$C$6,MAX(0,($C279-$F279-$G279))*(1-(1-Inputs!$C$9)^(1/12)),0)</x:f>
      </x:c>
      <x:c r="I279" s="24">
        <x:f>IF($B279&gt;Inputs!$C$11,INDEX($H:$H,ROW()-Inputs!$C$11)* (1-Inputs!$C$10),0)</x:f>
      </x:c>
      <x:c r="J279" s="24">
        <x:f>$H279*Inputs!$C$10</x:f>
      </x:c>
      <x:c r="K279" s="24">
        <x:f>IF($B279&lt;=Inputs!$C$6+Inputs!$C$11,$C279*Inputs!$C$7/12,0)</x:f>
      </x:c>
      <x:c r="L279" s="24">
        <x:f>IF($B279&lt;=Inputs!$C$6+Inputs!$C$11,$E279+$F279+$G279+$I279-$K279,0)</x:f>
      </x:c>
      <x:c r="M279" s="24">
        <x:f>IF($B279&lt;=Inputs!$C$6,MAX(0,$C279-$F279-$G279-$H279),0)</x:f>
      </x:c>
    </x:row>
    <x:row r="280">
      <x:c r="B280" s="22" t="n">
        <x:v>277</x:v>
      </x:c>
      <x:c r="C280" s="23">
        <x:f>IF($B280&lt;=Inputs!$C$6+Inputs!$C$11,$M279,"")</x:f>
      </x:c>
      <x:c r="D280" s="24">
        <x:f>IF($B280&lt;=Inputs!$C$6,-PMT(Inputs!$C$5/12,Inputs!$C$6,Inputs!$C$4),0)</x:f>
      </x:c>
      <x:c r="E280" s="24">
        <x:f>IF($B280&lt;=Inputs!$C$6+Inputs!$C$11,$C280*Inputs!$C$5/12,0)</x:f>
      </x:c>
      <x:c r="F280" s="24">
        <x:f>IF($B280&lt;=Inputs!$C$6,MAX(0,$D280-$E280),0)</x:f>
      </x:c>
      <x:c r="G280" s="24">
        <x:f>IF($B280&lt;=Inputs!$C$6,MAX(0,($C280-$F280))*(1-(1-Inputs!$C$8)^(1/12)),0)</x:f>
      </x:c>
      <x:c r="H280" s="24">
        <x:f>IF($B280&lt;=Inputs!$C$6,MAX(0,($C280-$F280-$G280))*(1-(1-Inputs!$C$9)^(1/12)),0)</x:f>
      </x:c>
      <x:c r="I280" s="24">
        <x:f>IF($B280&gt;Inputs!$C$11,INDEX($H:$H,ROW()-Inputs!$C$11)* (1-Inputs!$C$10),0)</x:f>
      </x:c>
      <x:c r="J280" s="24">
        <x:f>$H280*Inputs!$C$10</x:f>
      </x:c>
      <x:c r="K280" s="24">
        <x:f>IF($B280&lt;=Inputs!$C$6+Inputs!$C$11,$C280*Inputs!$C$7/12,0)</x:f>
      </x:c>
      <x:c r="L280" s="24">
        <x:f>IF($B280&lt;=Inputs!$C$6+Inputs!$C$11,$E280+$F280+$G280+$I280-$K280,0)</x:f>
      </x:c>
      <x:c r="M280" s="24">
        <x:f>IF($B280&lt;=Inputs!$C$6,MAX(0,$C280-$F280-$G280-$H280),0)</x:f>
      </x:c>
    </x:row>
    <x:row r="281">
      <x:c r="B281" s="22" t="n">
        <x:v>278</x:v>
      </x:c>
      <x:c r="C281" s="23">
        <x:f>IF($B281&lt;=Inputs!$C$6+Inputs!$C$11,$M280,"")</x:f>
      </x:c>
      <x:c r="D281" s="24">
        <x:f>IF($B281&lt;=Inputs!$C$6,-PMT(Inputs!$C$5/12,Inputs!$C$6,Inputs!$C$4),0)</x:f>
      </x:c>
      <x:c r="E281" s="24">
        <x:f>IF($B281&lt;=Inputs!$C$6+Inputs!$C$11,$C281*Inputs!$C$5/12,0)</x:f>
      </x:c>
      <x:c r="F281" s="24">
        <x:f>IF($B281&lt;=Inputs!$C$6,MAX(0,$D281-$E281),0)</x:f>
      </x:c>
      <x:c r="G281" s="24">
        <x:f>IF($B281&lt;=Inputs!$C$6,MAX(0,($C281-$F281))*(1-(1-Inputs!$C$8)^(1/12)),0)</x:f>
      </x:c>
      <x:c r="H281" s="24">
        <x:f>IF($B281&lt;=Inputs!$C$6,MAX(0,($C281-$F281-$G281))*(1-(1-Inputs!$C$9)^(1/12)),0)</x:f>
      </x:c>
      <x:c r="I281" s="24">
        <x:f>IF($B281&gt;Inputs!$C$11,INDEX($H:$H,ROW()-Inputs!$C$11)* (1-Inputs!$C$10),0)</x:f>
      </x:c>
      <x:c r="J281" s="24">
        <x:f>$H281*Inputs!$C$10</x:f>
      </x:c>
      <x:c r="K281" s="24">
        <x:f>IF($B281&lt;=Inputs!$C$6+Inputs!$C$11,$C281*Inputs!$C$7/12,0)</x:f>
      </x:c>
      <x:c r="L281" s="24">
        <x:f>IF($B281&lt;=Inputs!$C$6+Inputs!$C$11,$E281+$F281+$G281+$I281-$K281,0)</x:f>
      </x:c>
      <x:c r="M281" s="24">
        <x:f>IF($B281&lt;=Inputs!$C$6,MAX(0,$C281-$F281-$G281-$H281),0)</x:f>
      </x:c>
    </x:row>
    <x:row r="282">
      <x:c r="B282" s="22" t="n">
        <x:v>279</x:v>
      </x:c>
      <x:c r="C282" s="23">
        <x:f>IF($B282&lt;=Inputs!$C$6+Inputs!$C$11,$M281,"")</x:f>
      </x:c>
      <x:c r="D282" s="24">
        <x:f>IF($B282&lt;=Inputs!$C$6,-PMT(Inputs!$C$5/12,Inputs!$C$6,Inputs!$C$4),0)</x:f>
      </x:c>
      <x:c r="E282" s="24">
        <x:f>IF($B282&lt;=Inputs!$C$6+Inputs!$C$11,$C282*Inputs!$C$5/12,0)</x:f>
      </x:c>
      <x:c r="F282" s="24">
        <x:f>IF($B282&lt;=Inputs!$C$6,MAX(0,$D282-$E282),0)</x:f>
      </x:c>
      <x:c r="G282" s="24">
        <x:f>IF($B282&lt;=Inputs!$C$6,MAX(0,($C282-$F282))*(1-(1-Inputs!$C$8)^(1/12)),0)</x:f>
      </x:c>
      <x:c r="H282" s="24">
        <x:f>IF($B282&lt;=Inputs!$C$6,MAX(0,($C282-$F282-$G282))*(1-(1-Inputs!$C$9)^(1/12)),0)</x:f>
      </x:c>
      <x:c r="I282" s="24">
        <x:f>IF($B282&gt;Inputs!$C$11,INDEX($H:$H,ROW()-Inputs!$C$11)* (1-Inputs!$C$10),0)</x:f>
      </x:c>
      <x:c r="J282" s="24">
        <x:f>$H282*Inputs!$C$10</x:f>
      </x:c>
      <x:c r="K282" s="24">
        <x:f>IF($B282&lt;=Inputs!$C$6+Inputs!$C$11,$C282*Inputs!$C$7/12,0)</x:f>
      </x:c>
      <x:c r="L282" s="24">
        <x:f>IF($B282&lt;=Inputs!$C$6+Inputs!$C$11,$E282+$F282+$G282+$I282-$K282,0)</x:f>
      </x:c>
      <x:c r="M282" s="24">
        <x:f>IF($B282&lt;=Inputs!$C$6,MAX(0,$C282-$F282-$G282-$H282),0)</x:f>
      </x:c>
    </x:row>
    <x:row r="283">
      <x:c r="B283" s="22" t="n">
        <x:v>280</x:v>
      </x:c>
      <x:c r="C283" s="23">
        <x:f>IF($B283&lt;=Inputs!$C$6+Inputs!$C$11,$M282,"")</x:f>
      </x:c>
      <x:c r="D283" s="24">
        <x:f>IF($B283&lt;=Inputs!$C$6,-PMT(Inputs!$C$5/12,Inputs!$C$6,Inputs!$C$4),0)</x:f>
      </x:c>
      <x:c r="E283" s="24">
        <x:f>IF($B283&lt;=Inputs!$C$6+Inputs!$C$11,$C283*Inputs!$C$5/12,0)</x:f>
      </x:c>
      <x:c r="F283" s="24">
        <x:f>IF($B283&lt;=Inputs!$C$6,MAX(0,$D283-$E283),0)</x:f>
      </x:c>
      <x:c r="G283" s="24">
        <x:f>IF($B283&lt;=Inputs!$C$6,MAX(0,($C283-$F283))*(1-(1-Inputs!$C$8)^(1/12)),0)</x:f>
      </x:c>
      <x:c r="H283" s="24">
        <x:f>IF($B283&lt;=Inputs!$C$6,MAX(0,($C283-$F283-$G283))*(1-(1-Inputs!$C$9)^(1/12)),0)</x:f>
      </x:c>
      <x:c r="I283" s="24">
        <x:f>IF($B283&gt;Inputs!$C$11,INDEX($H:$H,ROW()-Inputs!$C$11)* (1-Inputs!$C$10),0)</x:f>
      </x:c>
      <x:c r="J283" s="24">
        <x:f>$H283*Inputs!$C$10</x:f>
      </x:c>
      <x:c r="K283" s="24">
        <x:f>IF($B283&lt;=Inputs!$C$6+Inputs!$C$11,$C283*Inputs!$C$7/12,0)</x:f>
      </x:c>
      <x:c r="L283" s="24">
        <x:f>IF($B283&lt;=Inputs!$C$6+Inputs!$C$11,$E283+$F283+$G283+$I283-$K283,0)</x:f>
      </x:c>
      <x:c r="M283" s="24">
        <x:f>IF($B283&lt;=Inputs!$C$6,MAX(0,$C283-$F283-$G283-$H283),0)</x:f>
      </x:c>
    </x:row>
    <x:row r="284">
      <x:c r="B284" s="22" t="n">
        <x:v>281</x:v>
      </x:c>
      <x:c r="C284" s="23">
        <x:f>IF($B284&lt;=Inputs!$C$6+Inputs!$C$11,$M283,"")</x:f>
      </x:c>
      <x:c r="D284" s="24">
        <x:f>IF($B284&lt;=Inputs!$C$6,-PMT(Inputs!$C$5/12,Inputs!$C$6,Inputs!$C$4),0)</x:f>
      </x:c>
      <x:c r="E284" s="24">
        <x:f>IF($B284&lt;=Inputs!$C$6+Inputs!$C$11,$C284*Inputs!$C$5/12,0)</x:f>
      </x:c>
      <x:c r="F284" s="24">
        <x:f>IF($B284&lt;=Inputs!$C$6,MAX(0,$D284-$E284),0)</x:f>
      </x:c>
      <x:c r="G284" s="24">
        <x:f>IF($B284&lt;=Inputs!$C$6,MAX(0,($C284-$F284))*(1-(1-Inputs!$C$8)^(1/12)),0)</x:f>
      </x:c>
      <x:c r="H284" s="24">
        <x:f>IF($B284&lt;=Inputs!$C$6,MAX(0,($C284-$F284-$G284))*(1-(1-Inputs!$C$9)^(1/12)),0)</x:f>
      </x:c>
      <x:c r="I284" s="24">
        <x:f>IF($B284&gt;Inputs!$C$11,INDEX($H:$H,ROW()-Inputs!$C$11)* (1-Inputs!$C$10),0)</x:f>
      </x:c>
      <x:c r="J284" s="24">
        <x:f>$H284*Inputs!$C$10</x:f>
      </x:c>
      <x:c r="K284" s="24">
        <x:f>IF($B284&lt;=Inputs!$C$6+Inputs!$C$11,$C284*Inputs!$C$7/12,0)</x:f>
      </x:c>
      <x:c r="L284" s="24">
        <x:f>IF($B284&lt;=Inputs!$C$6+Inputs!$C$11,$E284+$F284+$G284+$I284-$K284,0)</x:f>
      </x:c>
      <x:c r="M284" s="24">
        <x:f>IF($B284&lt;=Inputs!$C$6,MAX(0,$C284-$F284-$G284-$H284),0)</x:f>
      </x:c>
    </x:row>
    <x:row r="285">
      <x:c r="B285" s="22" t="n">
        <x:v>282</x:v>
      </x:c>
      <x:c r="C285" s="23">
        <x:f>IF($B285&lt;=Inputs!$C$6+Inputs!$C$11,$M284,"")</x:f>
      </x:c>
      <x:c r="D285" s="24">
        <x:f>IF($B285&lt;=Inputs!$C$6,-PMT(Inputs!$C$5/12,Inputs!$C$6,Inputs!$C$4),0)</x:f>
      </x:c>
      <x:c r="E285" s="24">
        <x:f>IF($B285&lt;=Inputs!$C$6+Inputs!$C$11,$C285*Inputs!$C$5/12,0)</x:f>
      </x:c>
      <x:c r="F285" s="24">
        <x:f>IF($B285&lt;=Inputs!$C$6,MAX(0,$D285-$E285),0)</x:f>
      </x:c>
      <x:c r="G285" s="24">
        <x:f>IF($B285&lt;=Inputs!$C$6,MAX(0,($C285-$F285))*(1-(1-Inputs!$C$8)^(1/12)),0)</x:f>
      </x:c>
      <x:c r="H285" s="24">
        <x:f>IF($B285&lt;=Inputs!$C$6,MAX(0,($C285-$F285-$G285))*(1-(1-Inputs!$C$9)^(1/12)),0)</x:f>
      </x:c>
      <x:c r="I285" s="24">
        <x:f>IF($B285&gt;Inputs!$C$11,INDEX($H:$H,ROW()-Inputs!$C$11)* (1-Inputs!$C$10),0)</x:f>
      </x:c>
      <x:c r="J285" s="24">
        <x:f>$H285*Inputs!$C$10</x:f>
      </x:c>
      <x:c r="K285" s="24">
        <x:f>IF($B285&lt;=Inputs!$C$6+Inputs!$C$11,$C285*Inputs!$C$7/12,0)</x:f>
      </x:c>
      <x:c r="L285" s="24">
        <x:f>IF($B285&lt;=Inputs!$C$6+Inputs!$C$11,$E285+$F285+$G285+$I285-$K285,0)</x:f>
      </x:c>
      <x:c r="M285" s="24">
        <x:f>IF($B285&lt;=Inputs!$C$6,MAX(0,$C285-$F285-$G285-$H285),0)</x:f>
      </x:c>
    </x:row>
    <x:row r="286">
      <x:c r="B286" s="22" t="n">
        <x:v>283</x:v>
      </x:c>
      <x:c r="C286" s="23">
        <x:f>IF($B286&lt;=Inputs!$C$6+Inputs!$C$11,$M285,"")</x:f>
      </x:c>
      <x:c r="D286" s="24">
        <x:f>IF($B286&lt;=Inputs!$C$6,-PMT(Inputs!$C$5/12,Inputs!$C$6,Inputs!$C$4),0)</x:f>
      </x:c>
      <x:c r="E286" s="24">
        <x:f>IF($B286&lt;=Inputs!$C$6+Inputs!$C$11,$C286*Inputs!$C$5/12,0)</x:f>
      </x:c>
      <x:c r="F286" s="24">
        <x:f>IF($B286&lt;=Inputs!$C$6,MAX(0,$D286-$E286),0)</x:f>
      </x:c>
      <x:c r="G286" s="24">
        <x:f>IF($B286&lt;=Inputs!$C$6,MAX(0,($C286-$F286))*(1-(1-Inputs!$C$8)^(1/12)),0)</x:f>
      </x:c>
      <x:c r="H286" s="24">
        <x:f>IF($B286&lt;=Inputs!$C$6,MAX(0,($C286-$F286-$G286))*(1-(1-Inputs!$C$9)^(1/12)),0)</x:f>
      </x:c>
      <x:c r="I286" s="24">
        <x:f>IF($B286&gt;Inputs!$C$11,INDEX($H:$H,ROW()-Inputs!$C$11)* (1-Inputs!$C$10),0)</x:f>
      </x:c>
      <x:c r="J286" s="24">
        <x:f>$H286*Inputs!$C$10</x:f>
      </x:c>
      <x:c r="K286" s="24">
        <x:f>IF($B286&lt;=Inputs!$C$6+Inputs!$C$11,$C286*Inputs!$C$7/12,0)</x:f>
      </x:c>
      <x:c r="L286" s="24">
        <x:f>IF($B286&lt;=Inputs!$C$6+Inputs!$C$11,$E286+$F286+$G286+$I286-$K286,0)</x:f>
      </x:c>
      <x:c r="M286" s="24">
        <x:f>IF($B286&lt;=Inputs!$C$6,MAX(0,$C286-$F286-$G286-$H286),0)</x:f>
      </x:c>
    </x:row>
    <x:row r="287">
      <x:c r="B287" s="22" t="n">
        <x:v>284</x:v>
      </x:c>
      <x:c r="C287" s="23">
        <x:f>IF($B287&lt;=Inputs!$C$6+Inputs!$C$11,$M286,"")</x:f>
      </x:c>
      <x:c r="D287" s="24">
        <x:f>IF($B287&lt;=Inputs!$C$6,-PMT(Inputs!$C$5/12,Inputs!$C$6,Inputs!$C$4),0)</x:f>
      </x:c>
      <x:c r="E287" s="24">
        <x:f>IF($B287&lt;=Inputs!$C$6+Inputs!$C$11,$C287*Inputs!$C$5/12,0)</x:f>
      </x:c>
      <x:c r="F287" s="24">
        <x:f>IF($B287&lt;=Inputs!$C$6,MAX(0,$D287-$E287),0)</x:f>
      </x:c>
      <x:c r="G287" s="24">
        <x:f>IF($B287&lt;=Inputs!$C$6,MAX(0,($C287-$F287))*(1-(1-Inputs!$C$8)^(1/12)),0)</x:f>
      </x:c>
      <x:c r="H287" s="24">
        <x:f>IF($B287&lt;=Inputs!$C$6,MAX(0,($C287-$F287-$G287))*(1-(1-Inputs!$C$9)^(1/12)),0)</x:f>
      </x:c>
      <x:c r="I287" s="24">
        <x:f>IF($B287&gt;Inputs!$C$11,INDEX($H:$H,ROW()-Inputs!$C$11)* (1-Inputs!$C$10),0)</x:f>
      </x:c>
      <x:c r="J287" s="24">
        <x:f>$H287*Inputs!$C$10</x:f>
      </x:c>
      <x:c r="K287" s="24">
        <x:f>IF($B287&lt;=Inputs!$C$6+Inputs!$C$11,$C287*Inputs!$C$7/12,0)</x:f>
      </x:c>
      <x:c r="L287" s="24">
        <x:f>IF($B287&lt;=Inputs!$C$6+Inputs!$C$11,$E287+$F287+$G287+$I287-$K287,0)</x:f>
      </x:c>
      <x:c r="M287" s="24">
        <x:f>IF($B287&lt;=Inputs!$C$6,MAX(0,$C287-$F287-$G287-$H287),0)</x:f>
      </x:c>
    </x:row>
    <x:row r="288">
      <x:c r="B288" s="22" t="n">
        <x:v>285</x:v>
      </x:c>
      <x:c r="C288" s="23">
        <x:f>IF($B288&lt;=Inputs!$C$6+Inputs!$C$11,$M287,"")</x:f>
      </x:c>
      <x:c r="D288" s="24">
        <x:f>IF($B288&lt;=Inputs!$C$6,-PMT(Inputs!$C$5/12,Inputs!$C$6,Inputs!$C$4),0)</x:f>
      </x:c>
      <x:c r="E288" s="24">
        <x:f>IF($B288&lt;=Inputs!$C$6+Inputs!$C$11,$C288*Inputs!$C$5/12,0)</x:f>
      </x:c>
      <x:c r="F288" s="24">
        <x:f>IF($B288&lt;=Inputs!$C$6,MAX(0,$D288-$E288),0)</x:f>
      </x:c>
      <x:c r="G288" s="24">
        <x:f>IF($B288&lt;=Inputs!$C$6,MAX(0,($C288-$F288))*(1-(1-Inputs!$C$8)^(1/12)),0)</x:f>
      </x:c>
      <x:c r="H288" s="24">
        <x:f>IF($B288&lt;=Inputs!$C$6,MAX(0,($C288-$F288-$G288))*(1-(1-Inputs!$C$9)^(1/12)),0)</x:f>
      </x:c>
      <x:c r="I288" s="24">
        <x:f>IF($B288&gt;Inputs!$C$11,INDEX($H:$H,ROW()-Inputs!$C$11)* (1-Inputs!$C$10),0)</x:f>
      </x:c>
      <x:c r="J288" s="24">
        <x:f>$H288*Inputs!$C$10</x:f>
      </x:c>
      <x:c r="K288" s="24">
        <x:f>IF($B288&lt;=Inputs!$C$6+Inputs!$C$11,$C288*Inputs!$C$7/12,0)</x:f>
      </x:c>
      <x:c r="L288" s="24">
        <x:f>IF($B288&lt;=Inputs!$C$6+Inputs!$C$11,$E288+$F288+$G288+$I288-$K288,0)</x:f>
      </x:c>
      <x:c r="M288" s="24">
        <x:f>IF($B288&lt;=Inputs!$C$6,MAX(0,$C288-$F288-$G288-$H288),0)</x:f>
      </x:c>
    </x:row>
    <x:row r="289">
      <x:c r="B289" s="22" t="n">
        <x:v>286</x:v>
      </x:c>
      <x:c r="C289" s="23">
        <x:f>IF($B289&lt;=Inputs!$C$6+Inputs!$C$11,$M288,"")</x:f>
      </x:c>
      <x:c r="D289" s="24">
        <x:f>IF($B289&lt;=Inputs!$C$6,-PMT(Inputs!$C$5/12,Inputs!$C$6,Inputs!$C$4),0)</x:f>
      </x:c>
      <x:c r="E289" s="24">
        <x:f>IF($B289&lt;=Inputs!$C$6+Inputs!$C$11,$C289*Inputs!$C$5/12,0)</x:f>
      </x:c>
      <x:c r="F289" s="24">
        <x:f>IF($B289&lt;=Inputs!$C$6,MAX(0,$D289-$E289),0)</x:f>
      </x:c>
      <x:c r="G289" s="24">
        <x:f>IF($B289&lt;=Inputs!$C$6,MAX(0,($C289-$F289))*(1-(1-Inputs!$C$8)^(1/12)),0)</x:f>
      </x:c>
      <x:c r="H289" s="24">
        <x:f>IF($B289&lt;=Inputs!$C$6,MAX(0,($C289-$F289-$G289))*(1-(1-Inputs!$C$9)^(1/12)),0)</x:f>
      </x:c>
      <x:c r="I289" s="24">
        <x:f>IF($B289&gt;Inputs!$C$11,INDEX($H:$H,ROW()-Inputs!$C$11)* (1-Inputs!$C$10),0)</x:f>
      </x:c>
      <x:c r="J289" s="24">
        <x:f>$H289*Inputs!$C$10</x:f>
      </x:c>
      <x:c r="K289" s="24">
        <x:f>IF($B289&lt;=Inputs!$C$6+Inputs!$C$11,$C289*Inputs!$C$7/12,0)</x:f>
      </x:c>
      <x:c r="L289" s="24">
        <x:f>IF($B289&lt;=Inputs!$C$6+Inputs!$C$11,$E289+$F289+$G289+$I289-$K289,0)</x:f>
      </x:c>
      <x:c r="M289" s="24">
        <x:f>IF($B289&lt;=Inputs!$C$6,MAX(0,$C289-$F289-$G289-$H289),0)</x:f>
      </x:c>
    </x:row>
    <x:row r="290">
      <x:c r="B290" s="22" t="n">
        <x:v>287</x:v>
      </x:c>
      <x:c r="C290" s="23">
        <x:f>IF($B290&lt;=Inputs!$C$6+Inputs!$C$11,$M289,"")</x:f>
      </x:c>
      <x:c r="D290" s="24">
        <x:f>IF($B290&lt;=Inputs!$C$6,-PMT(Inputs!$C$5/12,Inputs!$C$6,Inputs!$C$4),0)</x:f>
      </x:c>
      <x:c r="E290" s="24">
        <x:f>IF($B290&lt;=Inputs!$C$6+Inputs!$C$11,$C290*Inputs!$C$5/12,0)</x:f>
      </x:c>
      <x:c r="F290" s="24">
        <x:f>IF($B290&lt;=Inputs!$C$6,MAX(0,$D290-$E290),0)</x:f>
      </x:c>
      <x:c r="G290" s="24">
        <x:f>IF($B290&lt;=Inputs!$C$6,MAX(0,($C290-$F290))*(1-(1-Inputs!$C$8)^(1/12)),0)</x:f>
      </x:c>
      <x:c r="H290" s="24">
        <x:f>IF($B290&lt;=Inputs!$C$6,MAX(0,($C290-$F290-$G290))*(1-(1-Inputs!$C$9)^(1/12)),0)</x:f>
      </x:c>
      <x:c r="I290" s="24">
        <x:f>IF($B290&gt;Inputs!$C$11,INDEX($H:$H,ROW()-Inputs!$C$11)* (1-Inputs!$C$10),0)</x:f>
      </x:c>
      <x:c r="J290" s="24">
        <x:f>$H290*Inputs!$C$10</x:f>
      </x:c>
      <x:c r="K290" s="24">
        <x:f>IF($B290&lt;=Inputs!$C$6+Inputs!$C$11,$C290*Inputs!$C$7/12,0)</x:f>
      </x:c>
      <x:c r="L290" s="24">
        <x:f>IF($B290&lt;=Inputs!$C$6+Inputs!$C$11,$E290+$F290+$G290+$I290-$K290,0)</x:f>
      </x:c>
      <x:c r="M290" s="24">
        <x:f>IF($B290&lt;=Inputs!$C$6,MAX(0,$C290-$F290-$G290-$H290),0)</x:f>
      </x:c>
    </x:row>
    <x:row r="291">
      <x:c r="B291" s="22" t="n">
        <x:v>288</x:v>
      </x:c>
      <x:c r="C291" s="23">
        <x:f>IF($B291&lt;=Inputs!$C$6+Inputs!$C$11,$M290,"")</x:f>
      </x:c>
      <x:c r="D291" s="24">
        <x:f>IF($B291&lt;=Inputs!$C$6,-PMT(Inputs!$C$5/12,Inputs!$C$6,Inputs!$C$4),0)</x:f>
      </x:c>
      <x:c r="E291" s="24">
        <x:f>IF($B291&lt;=Inputs!$C$6+Inputs!$C$11,$C291*Inputs!$C$5/12,0)</x:f>
      </x:c>
      <x:c r="F291" s="24">
        <x:f>IF($B291&lt;=Inputs!$C$6,MAX(0,$D291-$E291),0)</x:f>
      </x:c>
      <x:c r="G291" s="24">
        <x:f>IF($B291&lt;=Inputs!$C$6,MAX(0,($C291-$F291))*(1-(1-Inputs!$C$8)^(1/12)),0)</x:f>
      </x:c>
      <x:c r="H291" s="24">
        <x:f>IF($B291&lt;=Inputs!$C$6,MAX(0,($C291-$F291-$G291))*(1-(1-Inputs!$C$9)^(1/12)),0)</x:f>
      </x:c>
      <x:c r="I291" s="24">
        <x:f>IF($B291&gt;Inputs!$C$11,INDEX($H:$H,ROW()-Inputs!$C$11)* (1-Inputs!$C$10),0)</x:f>
      </x:c>
      <x:c r="J291" s="24">
        <x:f>$H291*Inputs!$C$10</x:f>
      </x:c>
      <x:c r="K291" s="24">
        <x:f>IF($B291&lt;=Inputs!$C$6+Inputs!$C$11,$C291*Inputs!$C$7/12,0)</x:f>
      </x:c>
      <x:c r="L291" s="24">
        <x:f>IF($B291&lt;=Inputs!$C$6+Inputs!$C$11,$E291+$F291+$G291+$I291-$K291,0)</x:f>
      </x:c>
      <x:c r="M291" s="24">
        <x:f>IF($B291&lt;=Inputs!$C$6,MAX(0,$C291-$F291-$G291-$H291),0)</x:f>
      </x:c>
    </x:row>
    <x:row r="292">
      <x:c r="B292" s="22" t="n">
        <x:v>289</x:v>
      </x:c>
      <x:c r="C292" s="23">
        <x:f>IF($B292&lt;=Inputs!$C$6+Inputs!$C$11,$M291,"")</x:f>
      </x:c>
      <x:c r="D292" s="24">
        <x:f>IF($B292&lt;=Inputs!$C$6,-PMT(Inputs!$C$5/12,Inputs!$C$6,Inputs!$C$4),0)</x:f>
      </x:c>
      <x:c r="E292" s="24">
        <x:f>IF($B292&lt;=Inputs!$C$6+Inputs!$C$11,$C292*Inputs!$C$5/12,0)</x:f>
      </x:c>
      <x:c r="F292" s="24">
        <x:f>IF($B292&lt;=Inputs!$C$6,MAX(0,$D292-$E292),0)</x:f>
      </x:c>
      <x:c r="G292" s="24">
        <x:f>IF($B292&lt;=Inputs!$C$6,MAX(0,($C292-$F292))*(1-(1-Inputs!$C$8)^(1/12)),0)</x:f>
      </x:c>
      <x:c r="H292" s="24">
        <x:f>IF($B292&lt;=Inputs!$C$6,MAX(0,($C292-$F292-$G292))*(1-(1-Inputs!$C$9)^(1/12)),0)</x:f>
      </x:c>
      <x:c r="I292" s="24">
        <x:f>IF($B292&gt;Inputs!$C$11,INDEX($H:$H,ROW()-Inputs!$C$11)* (1-Inputs!$C$10),0)</x:f>
      </x:c>
      <x:c r="J292" s="24">
        <x:f>$H292*Inputs!$C$10</x:f>
      </x:c>
      <x:c r="K292" s="24">
        <x:f>IF($B292&lt;=Inputs!$C$6+Inputs!$C$11,$C292*Inputs!$C$7/12,0)</x:f>
      </x:c>
      <x:c r="L292" s="24">
        <x:f>IF($B292&lt;=Inputs!$C$6+Inputs!$C$11,$E292+$F292+$G292+$I292-$K292,0)</x:f>
      </x:c>
      <x:c r="M292" s="24">
        <x:f>IF($B292&lt;=Inputs!$C$6,MAX(0,$C292-$F292-$G292-$H292),0)</x:f>
      </x:c>
    </x:row>
    <x:row r="293">
      <x:c r="B293" s="22" t="n">
        <x:v>290</x:v>
      </x:c>
      <x:c r="C293" s="23">
        <x:f>IF($B293&lt;=Inputs!$C$6+Inputs!$C$11,$M292,"")</x:f>
      </x:c>
      <x:c r="D293" s="24">
        <x:f>IF($B293&lt;=Inputs!$C$6,-PMT(Inputs!$C$5/12,Inputs!$C$6,Inputs!$C$4),0)</x:f>
      </x:c>
      <x:c r="E293" s="24">
        <x:f>IF($B293&lt;=Inputs!$C$6+Inputs!$C$11,$C293*Inputs!$C$5/12,0)</x:f>
      </x:c>
      <x:c r="F293" s="24">
        <x:f>IF($B293&lt;=Inputs!$C$6,MAX(0,$D293-$E293),0)</x:f>
      </x:c>
      <x:c r="G293" s="24">
        <x:f>IF($B293&lt;=Inputs!$C$6,MAX(0,($C293-$F293))*(1-(1-Inputs!$C$8)^(1/12)),0)</x:f>
      </x:c>
      <x:c r="H293" s="24">
        <x:f>IF($B293&lt;=Inputs!$C$6,MAX(0,($C293-$F293-$G293))*(1-(1-Inputs!$C$9)^(1/12)),0)</x:f>
      </x:c>
      <x:c r="I293" s="24">
        <x:f>IF($B293&gt;Inputs!$C$11,INDEX($H:$H,ROW()-Inputs!$C$11)* (1-Inputs!$C$10),0)</x:f>
      </x:c>
      <x:c r="J293" s="24">
        <x:f>$H293*Inputs!$C$10</x:f>
      </x:c>
      <x:c r="K293" s="24">
        <x:f>IF($B293&lt;=Inputs!$C$6+Inputs!$C$11,$C293*Inputs!$C$7/12,0)</x:f>
      </x:c>
      <x:c r="L293" s="24">
        <x:f>IF($B293&lt;=Inputs!$C$6+Inputs!$C$11,$E293+$F293+$G293+$I293-$K293,0)</x:f>
      </x:c>
      <x:c r="M293" s="24">
        <x:f>IF($B293&lt;=Inputs!$C$6,MAX(0,$C293-$F293-$G293-$H293),0)</x:f>
      </x:c>
    </x:row>
    <x:row r="294">
      <x:c r="B294" s="22" t="n">
        <x:v>291</x:v>
      </x:c>
      <x:c r="C294" s="23">
        <x:f>IF($B294&lt;=Inputs!$C$6+Inputs!$C$11,$M293,"")</x:f>
      </x:c>
      <x:c r="D294" s="24">
        <x:f>IF($B294&lt;=Inputs!$C$6,-PMT(Inputs!$C$5/12,Inputs!$C$6,Inputs!$C$4),0)</x:f>
      </x:c>
      <x:c r="E294" s="24">
        <x:f>IF($B294&lt;=Inputs!$C$6+Inputs!$C$11,$C294*Inputs!$C$5/12,0)</x:f>
      </x:c>
      <x:c r="F294" s="24">
        <x:f>IF($B294&lt;=Inputs!$C$6,MAX(0,$D294-$E294),0)</x:f>
      </x:c>
      <x:c r="G294" s="24">
        <x:f>IF($B294&lt;=Inputs!$C$6,MAX(0,($C294-$F294))*(1-(1-Inputs!$C$8)^(1/12)),0)</x:f>
      </x:c>
      <x:c r="H294" s="24">
        <x:f>IF($B294&lt;=Inputs!$C$6,MAX(0,($C294-$F294-$G294))*(1-(1-Inputs!$C$9)^(1/12)),0)</x:f>
      </x:c>
      <x:c r="I294" s="24">
        <x:f>IF($B294&gt;Inputs!$C$11,INDEX($H:$H,ROW()-Inputs!$C$11)* (1-Inputs!$C$10),0)</x:f>
      </x:c>
      <x:c r="J294" s="24">
        <x:f>$H294*Inputs!$C$10</x:f>
      </x:c>
      <x:c r="K294" s="24">
        <x:f>IF($B294&lt;=Inputs!$C$6+Inputs!$C$11,$C294*Inputs!$C$7/12,0)</x:f>
      </x:c>
      <x:c r="L294" s="24">
        <x:f>IF($B294&lt;=Inputs!$C$6+Inputs!$C$11,$E294+$F294+$G294+$I294-$K294,0)</x:f>
      </x:c>
      <x:c r="M294" s="24">
        <x:f>IF($B294&lt;=Inputs!$C$6,MAX(0,$C294-$F294-$G294-$H294),0)</x:f>
      </x:c>
    </x:row>
    <x:row r="295">
      <x:c r="B295" s="22" t="n">
        <x:v>292</x:v>
      </x:c>
      <x:c r="C295" s="23">
        <x:f>IF($B295&lt;=Inputs!$C$6+Inputs!$C$11,$M294,"")</x:f>
      </x:c>
      <x:c r="D295" s="24">
        <x:f>IF($B295&lt;=Inputs!$C$6,-PMT(Inputs!$C$5/12,Inputs!$C$6,Inputs!$C$4),0)</x:f>
      </x:c>
      <x:c r="E295" s="24">
        <x:f>IF($B295&lt;=Inputs!$C$6+Inputs!$C$11,$C295*Inputs!$C$5/12,0)</x:f>
      </x:c>
      <x:c r="F295" s="24">
        <x:f>IF($B295&lt;=Inputs!$C$6,MAX(0,$D295-$E295),0)</x:f>
      </x:c>
      <x:c r="G295" s="24">
        <x:f>IF($B295&lt;=Inputs!$C$6,MAX(0,($C295-$F295))*(1-(1-Inputs!$C$8)^(1/12)),0)</x:f>
      </x:c>
      <x:c r="H295" s="24">
        <x:f>IF($B295&lt;=Inputs!$C$6,MAX(0,($C295-$F295-$G295))*(1-(1-Inputs!$C$9)^(1/12)),0)</x:f>
      </x:c>
      <x:c r="I295" s="24">
        <x:f>IF($B295&gt;Inputs!$C$11,INDEX($H:$H,ROW()-Inputs!$C$11)* (1-Inputs!$C$10),0)</x:f>
      </x:c>
      <x:c r="J295" s="24">
        <x:f>$H295*Inputs!$C$10</x:f>
      </x:c>
      <x:c r="K295" s="24">
        <x:f>IF($B295&lt;=Inputs!$C$6+Inputs!$C$11,$C295*Inputs!$C$7/12,0)</x:f>
      </x:c>
      <x:c r="L295" s="24">
        <x:f>IF($B295&lt;=Inputs!$C$6+Inputs!$C$11,$E295+$F295+$G295+$I295-$K295,0)</x:f>
      </x:c>
      <x:c r="M295" s="24">
        <x:f>IF($B295&lt;=Inputs!$C$6,MAX(0,$C295-$F295-$G295-$H295),0)</x:f>
      </x:c>
    </x:row>
    <x:row r="296">
      <x:c r="B296" s="22" t="n">
        <x:v>293</x:v>
      </x:c>
      <x:c r="C296" s="23">
        <x:f>IF($B296&lt;=Inputs!$C$6+Inputs!$C$11,$M295,"")</x:f>
      </x:c>
      <x:c r="D296" s="24">
        <x:f>IF($B296&lt;=Inputs!$C$6,-PMT(Inputs!$C$5/12,Inputs!$C$6,Inputs!$C$4),0)</x:f>
      </x:c>
      <x:c r="E296" s="24">
        <x:f>IF($B296&lt;=Inputs!$C$6+Inputs!$C$11,$C296*Inputs!$C$5/12,0)</x:f>
      </x:c>
      <x:c r="F296" s="24">
        <x:f>IF($B296&lt;=Inputs!$C$6,MAX(0,$D296-$E296),0)</x:f>
      </x:c>
      <x:c r="G296" s="24">
        <x:f>IF($B296&lt;=Inputs!$C$6,MAX(0,($C296-$F296))*(1-(1-Inputs!$C$8)^(1/12)),0)</x:f>
      </x:c>
      <x:c r="H296" s="24">
        <x:f>IF($B296&lt;=Inputs!$C$6,MAX(0,($C296-$F296-$G296))*(1-(1-Inputs!$C$9)^(1/12)),0)</x:f>
      </x:c>
      <x:c r="I296" s="24">
        <x:f>IF($B296&gt;Inputs!$C$11,INDEX($H:$H,ROW()-Inputs!$C$11)* (1-Inputs!$C$10),0)</x:f>
      </x:c>
      <x:c r="J296" s="24">
        <x:f>$H296*Inputs!$C$10</x:f>
      </x:c>
      <x:c r="K296" s="24">
        <x:f>IF($B296&lt;=Inputs!$C$6+Inputs!$C$11,$C296*Inputs!$C$7/12,0)</x:f>
      </x:c>
      <x:c r="L296" s="24">
        <x:f>IF($B296&lt;=Inputs!$C$6+Inputs!$C$11,$E296+$F296+$G296+$I296-$K296,0)</x:f>
      </x:c>
      <x:c r="M296" s="24">
        <x:f>IF($B296&lt;=Inputs!$C$6,MAX(0,$C296-$F296-$G296-$H296),0)</x:f>
      </x:c>
    </x:row>
    <x:row r="297">
      <x:c r="B297" s="22" t="n">
        <x:v>294</x:v>
      </x:c>
      <x:c r="C297" s="23">
        <x:f>IF($B297&lt;=Inputs!$C$6+Inputs!$C$11,$M296,"")</x:f>
      </x:c>
      <x:c r="D297" s="24">
        <x:f>IF($B297&lt;=Inputs!$C$6,-PMT(Inputs!$C$5/12,Inputs!$C$6,Inputs!$C$4),0)</x:f>
      </x:c>
      <x:c r="E297" s="24">
        <x:f>IF($B297&lt;=Inputs!$C$6+Inputs!$C$11,$C297*Inputs!$C$5/12,0)</x:f>
      </x:c>
      <x:c r="F297" s="24">
        <x:f>IF($B297&lt;=Inputs!$C$6,MAX(0,$D297-$E297),0)</x:f>
      </x:c>
      <x:c r="G297" s="24">
        <x:f>IF($B297&lt;=Inputs!$C$6,MAX(0,($C297-$F297))*(1-(1-Inputs!$C$8)^(1/12)),0)</x:f>
      </x:c>
      <x:c r="H297" s="24">
        <x:f>IF($B297&lt;=Inputs!$C$6,MAX(0,($C297-$F297-$G297))*(1-(1-Inputs!$C$9)^(1/12)),0)</x:f>
      </x:c>
      <x:c r="I297" s="24">
        <x:f>IF($B297&gt;Inputs!$C$11,INDEX($H:$H,ROW()-Inputs!$C$11)* (1-Inputs!$C$10),0)</x:f>
      </x:c>
      <x:c r="J297" s="24">
        <x:f>$H297*Inputs!$C$10</x:f>
      </x:c>
      <x:c r="K297" s="24">
        <x:f>IF($B297&lt;=Inputs!$C$6+Inputs!$C$11,$C297*Inputs!$C$7/12,0)</x:f>
      </x:c>
      <x:c r="L297" s="24">
        <x:f>IF($B297&lt;=Inputs!$C$6+Inputs!$C$11,$E297+$F297+$G297+$I297-$K297,0)</x:f>
      </x:c>
      <x:c r="M297" s="24">
        <x:f>IF($B297&lt;=Inputs!$C$6,MAX(0,$C297-$F297-$G297-$H297),0)</x:f>
      </x:c>
    </x:row>
    <x:row r="298">
      <x:c r="B298" s="22" t="n">
        <x:v>295</x:v>
      </x:c>
      <x:c r="C298" s="23">
        <x:f>IF($B298&lt;=Inputs!$C$6+Inputs!$C$11,$M297,"")</x:f>
      </x:c>
      <x:c r="D298" s="24">
        <x:f>IF($B298&lt;=Inputs!$C$6,-PMT(Inputs!$C$5/12,Inputs!$C$6,Inputs!$C$4),0)</x:f>
      </x:c>
      <x:c r="E298" s="24">
        <x:f>IF($B298&lt;=Inputs!$C$6+Inputs!$C$11,$C298*Inputs!$C$5/12,0)</x:f>
      </x:c>
      <x:c r="F298" s="24">
        <x:f>IF($B298&lt;=Inputs!$C$6,MAX(0,$D298-$E298),0)</x:f>
      </x:c>
      <x:c r="G298" s="24">
        <x:f>IF($B298&lt;=Inputs!$C$6,MAX(0,($C298-$F298))*(1-(1-Inputs!$C$8)^(1/12)),0)</x:f>
      </x:c>
      <x:c r="H298" s="24">
        <x:f>IF($B298&lt;=Inputs!$C$6,MAX(0,($C298-$F298-$G298))*(1-(1-Inputs!$C$9)^(1/12)),0)</x:f>
      </x:c>
      <x:c r="I298" s="24">
        <x:f>IF($B298&gt;Inputs!$C$11,INDEX($H:$H,ROW()-Inputs!$C$11)* (1-Inputs!$C$10),0)</x:f>
      </x:c>
      <x:c r="J298" s="24">
        <x:f>$H298*Inputs!$C$10</x:f>
      </x:c>
      <x:c r="K298" s="24">
        <x:f>IF($B298&lt;=Inputs!$C$6+Inputs!$C$11,$C298*Inputs!$C$7/12,0)</x:f>
      </x:c>
      <x:c r="L298" s="24">
        <x:f>IF($B298&lt;=Inputs!$C$6+Inputs!$C$11,$E298+$F298+$G298+$I298-$K298,0)</x:f>
      </x:c>
      <x:c r="M298" s="24">
        <x:f>IF($B298&lt;=Inputs!$C$6,MAX(0,$C298-$F298-$G298-$H298),0)</x:f>
      </x:c>
    </x:row>
    <x:row r="299">
      <x:c r="B299" s="22" t="n">
        <x:v>296</x:v>
      </x:c>
      <x:c r="C299" s="23">
        <x:f>IF($B299&lt;=Inputs!$C$6+Inputs!$C$11,$M298,"")</x:f>
      </x:c>
      <x:c r="D299" s="24">
        <x:f>IF($B299&lt;=Inputs!$C$6,-PMT(Inputs!$C$5/12,Inputs!$C$6,Inputs!$C$4),0)</x:f>
      </x:c>
      <x:c r="E299" s="24">
        <x:f>IF($B299&lt;=Inputs!$C$6+Inputs!$C$11,$C299*Inputs!$C$5/12,0)</x:f>
      </x:c>
      <x:c r="F299" s="24">
        <x:f>IF($B299&lt;=Inputs!$C$6,MAX(0,$D299-$E299),0)</x:f>
      </x:c>
      <x:c r="G299" s="24">
        <x:f>IF($B299&lt;=Inputs!$C$6,MAX(0,($C299-$F299))*(1-(1-Inputs!$C$8)^(1/12)),0)</x:f>
      </x:c>
      <x:c r="H299" s="24">
        <x:f>IF($B299&lt;=Inputs!$C$6,MAX(0,($C299-$F299-$G299))*(1-(1-Inputs!$C$9)^(1/12)),0)</x:f>
      </x:c>
      <x:c r="I299" s="24">
        <x:f>IF($B299&gt;Inputs!$C$11,INDEX($H:$H,ROW()-Inputs!$C$11)* (1-Inputs!$C$10),0)</x:f>
      </x:c>
      <x:c r="J299" s="24">
        <x:f>$H299*Inputs!$C$10</x:f>
      </x:c>
      <x:c r="K299" s="24">
        <x:f>IF($B299&lt;=Inputs!$C$6+Inputs!$C$11,$C299*Inputs!$C$7/12,0)</x:f>
      </x:c>
      <x:c r="L299" s="24">
        <x:f>IF($B299&lt;=Inputs!$C$6+Inputs!$C$11,$E299+$F299+$G299+$I299-$K299,0)</x:f>
      </x:c>
      <x:c r="M299" s="24">
        <x:f>IF($B299&lt;=Inputs!$C$6,MAX(0,$C299-$F299-$G299-$H299),0)</x:f>
      </x:c>
    </x:row>
    <x:row r="300">
      <x:c r="B300" s="22" t="n">
        <x:v>297</x:v>
      </x:c>
      <x:c r="C300" s="23">
        <x:f>IF($B300&lt;=Inputs!$C$6+Inputs!$C$11,$M299,"")</x:f>
      </x:c>
      <x:c r="D300" s="24">
        <x:f>IF($B300&lt;=Inputs!$C$6,-PMT(Inputs!$C$5/12,Inputs!$C$6,Inputs!$C$4),0)</x:f>
      </x:c>
      <x:c r="E300" s="24">
        <x:f>IF($B300&lt;=Inputs!$C$6+Inputs!$C$11,$C300*Inputs!$C$5/12,0)</x:f>
      </x:c>
      <x:c r="F300" s="24">
        <x:f>IF($B300&lt;=Inputs!$C$6,MAX(0,$D300-$E300),0)</x:f>
      </x:c>
      <x:c r="G300" s="24">
        <x:f>IF($B300&lt;=Inputs!$C$6,MAX(0,($C300-$F300))*(1-(1-Inputs!$C$8)^(1/12)),0)</x:f>
      </x:c>
      <x:c r="H300" s="24">
        <x:f>IF($B300&lt;=Inputs!$C$6,MAX(0,($C300-$F300-$G300))*(1-(1-Inputs!$C$9)^(1/12)),0)</x:f>
      </x:c>
      <x:c r="I300" s="24">
        <x:f>IF($B300&gt;Inputs!$C$11,INDEX($H:$H,ROW()-Inputs!$C$11)* (1-Inputs!$C$10),0)</x:f>
      </x:c>
      <x:c r="J300" s="24">
        <x:f>$H300*Inputs!$C$10</x:f>
      </x:c>
      <x:c r="K300" s="24">
        <x:f>IF($B300&lt;=Inputs!$C$6+Inputs!$C$11,$C300*Inputs!$C$7/12,0)</x:f>
      </x:c>
      <x:c r="L300" s="24">
        <x:f>IF($B300&lt;=Inputs!$C$6+Inputs!$C$11,$E300+$F300+$G300+$I300-$K300,0)</x:f>
      </x:c>
      <x:c r="M300" s="24">
        <x:f>IF($B300&lt;=Inputs!$C$6,MAX(0,$C300-$F300-$G300-$H300),0)</x:f>
      </x:c>
    </x:row>
    <x:row r="301">
      <x:c r="B301" s="22" t="n">
        <x:v>298</x:v>
      </x:c>
      <x:c r="C301" s="23">
        <x:f>IF($B301&lt;=Inputs!$C$6+Inputs!$C$11,$M300,"")</x:f>
      </x:c>
      <x:c r="D301" s="24">
        <x:f>IF($B301&lt;=Inputs!$C$6,-PMT(Inputs!$C$5/12,Inputs!$C$6,Inputs!$C$4),0)</x:f>
      </x:c>
      <x:c r="E301" s="24">
        <x:f>IF($B301&lt;=Inputs!$C$6+Inputs!$C$11,$C301*Inputs!$C$5/12,0)</x:f>
      </x:c>
      <x:c r="F301" s="24">
        <x:f>IF($B301&lt;=Inputs!$C$6,MAX(0,$D301-$E301),0)</x:f>
      </x:c>
      <x:c r="G301" s="24">
        <x:f>IF($B301&lt;=Inputs!$C$6,MAX(0,($C301-$F301))*(1-(1-Inputs!$C$8)^(1/12)),0)</x:f>
      </x:c>
      <x:c r="H301" s="24">
        <x:f>IF($B301&lt;=Inputs!$C$6,MAX(0,($C301-$F301-$G301))*(1-(1-Inputs!$C$9)^(1/12)),0)</x:f>
      </x:c>
      <x:c r="I301" s="24">
        <x:f>IF($B301&gt;Inputs!$C$11,INDEX($H:$H,ROW()-Inputs!$C$11)* (1-Inputs!$C$10),0)</x:f>
      </x:c>
      <x:c r="J301" s="24">
        <x:f>$H301*Inputs!$C$10</x:f>
      </x:c>
      <x:c r="K301" s="24">
        <x:f>IF($B301&lt;=Inputs!$C$6+Inputs!$C$11,$C301*Inputs!$C$7/12,0)</x:f>
      </x:c>
      <x:c r="L301" s="24">
        <x:f>IF($B301&lt;=Inputs!$C$6+Inputs!$C$11,$E301+$F301+$G301+$I301-$K301,0)</x:f>
      </x:c>
      <x:c r="M301" s="24">
        <x:f>IF($B301&lt;=Inputs!$C$6,MAX(0,$C301-$F301-$G301-$H301),0)</x:f>
      </x:c>
    </x:row>
    <x:row r="302">
      <x:c r="B302" s="22" t="n">
        <x:v>299</x:v>
      </x:c>
      <x:c r="C302" s="23">
        <x:f>IF($B302&lt;=Inputs!$C$6+Inputs!$C$11,$M301,"")</x:f>
      </x:c>
      <x:c r="D302" s="24">
        <x:f>IF($B302&lt;=Inputs!$C$6,-PMT(Inputs!$C$5/12,Inputs!$C$6,Inputs!$C$4),0)</x:f>
      </x:c>
      <x:c r="E302" s="24">
        <x:f>IF($B302&lt;=Inputs!$C$6+Inputs!$C$11,$C302*Inputs!$C$5/12,0)</x:f>
      </x:c>
      <x:c r="F302" s="24">
        <x:f>IF($B302&lt;=Inputs!$C$6,MAX(0,$D302-$E302),0)</x:f>
      </x:c>
      <x:c r="G302" s="24">
        <x:f>IF($B302&lt;=Inputs!$C$6,MAX(0,($C302-$F302))*(1-(1-Inputs!$C$8)^(1/12)),0)</x:f>
      </x:c>
      <x:c r="H302" s="24">
        <x:f>IF($B302&lt;=Inputs!$C$6,MAX(0,($C302-$F302-$G302))*(1-(1-Inputs!$C$9)^(1/12)),0)</x:f>
      </x:c>
      <x:c r="I302" s="24">
        <x:f>IF($B302&gt;Inputs!$C$11,INDEX($H:$H,ROW()-Inputs!$C$11)* (1-Inputs!$C$10),0)</x:f>
      </x:c>
      <x:c r="J302" s="24">
        <x:f>$H302*Inputs!$C$10</x:f>
      </x:c>
      <x:c r="K302" s="24">
        <x:f>IF($B302&lt;=Inputs!$C$6+Inputs!$C$11,$C302*Inputs!$C$7/12,0)</x:f>
      </x:c>
      <x:c r="L302" s="24">
        <x:f>IF($B302&lt;=Inputs!$C$6+Inputs!$C$11,$E302+$F302+$G302+$I302-$K302,0)</x:f>
      </x:c>
      <x:c r="M302" s="24">
        <x:f>IF($B302&lt;=Inputs!$C$6,MAX(0,$C302-$F302-$G302-$H302),0)</x:f>
      </x:c>
    </x:row>
    <x:row r="303">
      <x:c r="B303" s="22" t="n">
        <x:v>300</x:v>
      </x:c>
      <x:c r="C303" s="23">
        <x:f>IF($B303&lt;=Inputs!$C$6+Inputs!$C$11,$M302,"")</x:f>
      </x:c>
      <x:c r="D303" s="24">
        <x:f>IF($B303&lt;=Inputs!$C$6,-PMT(Inputs!$C$5/12,Inputs!$C$6,Inputs!$C$4),0)</x:f>
      </x:c>
      <x:c r="E303" s="24">
        <x:f>IF($B303&lt;=Inputs!$C$6+Inputs!$C$11,$C303*Inputs!$C$5/12,0)</x:f>
      </x:c>
      <x:c r="F303" s="24">
        <x:f>IF($B303&lt;=Inputs!$C$6,MAX(0,$D303-$E303),0)</x:f>
      </x:c>
      <x:c r="G303" s="24">
        <x:f>IF($B303&lt;=Inputs!$C$6,MAX(0,($C303-$F303))*(1-(1-Inputs!$C$8)^(1/12)),0)</x:f>
      </x:c>
      <x:c r="H303" s="24">
        <x:f>IF($B303&lt;=Inputs!$C$6,MAX(0,($C303-$F303-$G303))*(1-(1-Inputs!$C$9)^(1/12)),0)</x:f>
      </x:c>
      <x:c r="I303" s="24">
        <x:f>IF($B303&gt;Inputs!$C$11,INDEX($H:$H,ROW()-Inputs!$C$11)* (1-Inputs!$C$10),0)</x:f>
      </x:c>
      <x:c r="J303" s="24">
        <x:f>$H303*Inputs!$C$10</x:f>
      </x:c>
      <x:c r="K303" s="24">
        <x:f>IF($B303&lt;=Inputs!$C$6+Inputs!$C$11,$C303*Inputs!$C$7/12,0)</x:f>
      </x:c>
      <x:c r="L303" s="24">
        <x:f>IF($B303&lt;=Inputs!$C$6+Inputs!$C$11,$E303+$F303+$G303+$I303-$K303,0)</x:f>
      </x:c>
      <x:c r="M303" s="24">
        <x:f>IF($B303&lt;=Inputs!$C$6,MAX(0,$C303-$F303-$G303-$H303),0)</x:f>
      </x:c>
    </x:row>
    <x:row r="304">
      <x:c r="B304" s="22" t="n">
        <x:v>301</x:v>
      </x:c>
      <x:c r="C304" s="23">
        <x:f>IF($B304&lt;=Inputs!$C$6+Inputs!$C$11,$M303,"")</x:f>
      </x:c>
      <x:c r="D304" s="24">
        <x:f>IF($B304&lt;=Inputs!$C$6,-PMT(Inputs!$C$5/12,Inputs!$C$6,Inputs!$C$4),0)</x:f>
      </x:c>
      <x:c r="E304" s="24">
        <x:f>IF($B304&lt;=Inputs!$C$6+Inputs!$C$11,$C304*Inputs!$C$5/12,0)</x:f>
      </x:c>
      <x:c r="F304" s="24">
        <x:f>IF($B304&lt;=Inputs!$C$6,MAX(0,$D304-$E304),0)</x:f>
      </x:c>
      <x:c r="G304" s="24">
        <x:f>IF($B304&lt;=Inputs!$C$6,MAX(0,($C304-$F304))*(1-(1-Inputs!$C$8)^(1/12)),0)</x:f>
      </x:c>
      <x:c r="H304" s="24">
        <x:f>IF($B304&lt;=Inputs!$C$6,MAX(0,($C304-$F304-$G304))*(1-(1-Inputs!$C$9)^(1/12)),0)</x:f>
      </x:c>
      <x:c r="I304" s="24">
        <x:f>IF($B304&gt;Inputs!$C$11,INDEX($H:$H,ROW()-Inputs!$C$11)* (1-Inputs!$C$10),0)</x:f>
      </x:c>
      <x:c r="J304" s="24">
        <x:f>$H304*Inputs!$C$10</x:f>
      </x:c>
      <x:c r="K304" s="24">
        <x:f>IF($B304&lt;=Inputs!$C$6+Inputs!$C$11,$C304*Inputs!$C$7/12,0)</x:f>
      </x:c>
      <x:c r="L304" s="24">
        <x:f>IF($B304&lt;=Inputs!$C$6+Inputs!$C$11,$E304+$F304+$G304+$I304-$K304,0)</x:f>
      </x:c>
      <x:c r="M304" s="24">
        <x:f>IF($B304&lt;=Inputs!$C$6,MAX(0,$C304-$F304-$G304-$H304),0)</x:f>
      </x:c>
    </x:row>
    <x:row r="305">
      <x:c r="B305" s="22" t="n">
        <x:v>302</x:v>
      </x:c>
      <x:c r="C305" s="23">
        <x:f>IF($B305&lt;=Inputs!$C$6+Inputs!$C$11,$M304,"")</x:f>
      </x:c>
      <x:c r="D305" s="24">
        <x:f>IF($B305&lt;=Inputs!$C$6,-PMT(Inputs!$C$5/12,Inputs!$C$6,Inputs!$C$4),0)</x:f>
      </x:c>
      <x:c r="E305" s="24">
        <x:f>IF($B305&lt;=Inputs!$C$6+Inputs!$C$11,$C305*Inputs!$C$5/12,0)</x:f>
      </x:c>
      <x:c r="F305" s="24">
        <x:f>IF($B305&lt;=Inputs!$C$6,MAX(0,$D305-$E305),0)</x:f>
      </x:c>
      <x:c r="G305" s="24">
        <x:f>IF($B305&lt;=Inputs!$C$6,MAX(0,($C305-$F305))*(1-(1-Inputs!$C$8)^(1/12)),0)</x:f>
      </x:c>
      <x:c r="H305" s="24">
        <x:f>IF($B305&lt;=Inputs!$C$6,MAX(0,($C305-$F305-$G305))*(1-(1-Inputs!$C$9)^(1/12)),0)</x:f>
      </x:c>
      <x:c r="I305" s="24">
        <x:f>IF($B305&gt;Inputs!$C$11,INDEX($H:$H,ROW()-Inputs!$C$11)* (1-Inputs!$C$10),0)</x:f>
      </x:c>
      <x:c r="J305" s="24">
        <x:f>$H305*Inputs!$C$10</x:f>
      </x:c>
      <x:c r="K305" s="24">
        <x:f>IF($B305&lt;=Inputs!$C$6+Inputs!$C$11,$C305*Inputs!$C$7/12,0)</x:f>
      </x:c>
      <x:c r="L305" s="24">
        <x:f>IF($B305&lt;=Inputs!$C$6+Inputs!$C$11,$E305+$F305+$G305+$I305-$K305,0)</x:f>
      </x:c>
      <x:c r="M305" s="24">
        <x:f>IF($B305&lt;=Inputs!$C$6,MAX(0,$C305-$F305-$G305-$H305),0)</x:f>
      </x:c>
    </x:row>
    <x:row r="306">
      <x:c r="B306" s="22" t="n">
        <x:v>303</x:v>
      </x:c>
      <x:c r="C306" s="23">
        <x:f>IF($B306&lt;=Inputs!$C$6+Inputs!$C$11,$M305,"")</x:f>
      </x:c>
      <x:c r="D306" s="24">
        <x:f>IF($B306&lt;=Inputs!$C$6,-PMT(Inputs!$C$5/12,Inputs!$C$6,Inputs!$C$4),0)</x:f>
      </x:c>
      <x:c r="E306" s="24">
        <x:f>IF($B306&lt;=Inputs!$C$6+Inputs!$C$11,$C306*Inputs!$C$5/12,0)</x:f>
      </x:c>
      <x:c r="F306" s="24">
        <x:f>IF($B306&lt;=Inputs!$C$6,MAX(0,$D306-$E306),0)</x:f>
      </x:c>
      <x:c r="G306" s="24">
        <x:f>IF($B306&lt;=Inputs!$C$6,MAX(0,($C306-$F306))*(1-(1-Inputs!$C$8)^(1/12)),0)</x:f>
      </x:c>
      <x:c r="H306" s="24">
        <x:f>IF($B306&lt;=Inputs!$C$6,MAX(0,($C306-$F306-$G306))*(1-(1-Inputs!$C$9)^(1/12)),0)</x:f>
      </x:c>
      <x:c r="I306" s="24">
        <x:f>IF($B306&gt;Inputs!$C$11,INDEX($H:$H,ROW()-Inputs!$C$11)* (1-Inputs!$C$10),0)</x:f>
      </x:c>
      <x:c r="J306" s="24">
        <x:f>$H306*Inputs!$C$10</x:f>
      </x:c>
      <x:c r="K306" s="24">
        <x:f>IF($B306&lt;=Inputs!$C$6+Inputs!$C$11,$C306*Inputs!$C$7/12,0)</x:f>
      </x:c>
      <x:c r="L306" s="24">
        <x:f>IF($B306&lt;=Inputs!$C$6+Inputs!$C$11,$E306+$F306+$G306+$I306-$K306,0)</x:f>
      </x:c>
      <x:c r="M306" s="24">
        <x:f>IF($B306&lt;=Inputs!$C$6,MAX(0,$C306-$F306-$G306-$H306),0)</x:f>
      </x:c>
    </x:row>
    <x:row r="307">
      <x:c r="B307" s="22" t="n">
        <x:v>304</x:v>
      </x:c>
      <x:c r="C307" s="23">
        <x:f>IF($B307&lt;=Inputs!$C$6+Inputs!$C$11,$M306,"")</x:f>
      </x:c>
      <x:c r="D307" s="24">
        <x:f>IF($B307&lt;=Inputs!$C$6,-PMT(Inputs!$C$5/12,Inputs!$C$6,Inputs!$C$4),0)</x:f>
      </x:c>
      <x:c r="E307" s="24">
        <x:f>IF($B307&lt;=Inputs!$C$6+Inputs!$C$11,$C307*Inputs!$C$5/12,0)</x:f>
      </x:c>
      <x:c r="F307" s="24">
        <x:f>IF($B307&lt;=Inputs!$C$6,MAX(0,$D307-$E307),0)</x:f>
      </x:c>
      <x:c r="G307" s="24">
        <x:f>IF($B307&lt;=Inputs!$C$6,MAX(0,($C307-$F307))*(1-(1-Inputs!$C$8)^(1/12)),0)</x:f>
      </x:c>
      <x:c r="H307" s="24">
        <x:f>IF($B307&lt;=Inputs!$C$6,MAX(0,($C307-$F307-$G307))*(1-(1-Inputs!$C$9)^(1/12)),0)</x:f>
      </x:c>
      <x:c r="I307" s="24">
        <x:f>IF($B307&gt;Inputs!$C$11,INDEX($H:$H,ROW()-Inputs!$C$11)* (1-Inputs!$C$10),0)</x:f>
      </x:c>
      <x:c r="J307" s="24">
        <x:f>$H307*Inputs!$C$10</x:f>
      </x:c>
      <x:c r="K307" s="24">
        <x:f>IF($B307&lt;=Inputs!$C$6+Inputs!$C$11,$C307*Inputs!$C$7/12,0)</x:f>
      </x:c>
      <x:c r="L307" s="24">
        <x:f>IF($B307&lt;=Inputs!$C$6+Inputs!$C$11,$E307+$F307+$G307+$I307-$K307,0)</x:f>
      </x:c>
      <x:c r="M307" s="24">
        <x:f>IF($B307&lt;=Inputs!$C$6,MAX(0,$C307-$F307-$G307-$H307),0)</x:f>
      </x:c>
    </x:row>
    <x:row r="308">
      <x:c r="B308" s="22" t="n">
        <x:v>305</x:v>
      </x:c>
      <x:c r="C308" s="23">
        <x:f>IF($B308&lt;=Inputs!$C$6+Inputs!$C$11,$M307,"")</x:f>
      </x:c>
      <x:c r="D308" s="24">
        <x:f>IF($B308&lt;=Inputs!$C$6,-PMT(Inputs!$C$5/12,Inputs!$C$6,Inputs!$C$4),0)</x:f>
      </x:c>
      <x:c r="E308" s="24">
        <x:f>IF($B308&lt;=Inputs!$C$6+Inputs!$C$11,$C308*Inputs!$C$5/12,0)</x:f>
      </x:c>
      <x:c r="F308" s="24">
        <x:f>IF($B308&lt;=Inputs!$C$6,MAX(0,$D308-$E308),0)</x:f>
      </x:c>
      <x:c r="G308" s="24">
        <x:f>IF($B308&lt;=Inputs!$C$6,MAX(0,($C308-$F308))*(1-(1-Inputs!$C$8)^(1/12)),0)</x:f>
      </x:c>
      <x:c r="H308" s="24">
        <x:f>IF($B308&lt;=Inputs!$C$6,MAX(0,($C308-$F308-$G308))*(1-(1-Inputs!$C$9)^(1/12)),0)</x:f>
      </x:c>
      <x:c r="I308" s="24">
        <x:f>IF($B308&gt;Inputs!$C$11,INDEX($H:$H,ROW()-Inputs!$C$11)* (1-Inputs!$C$10),0)</x:f>
      </x:c>
      <x:c r="J308" s="24">
        <x:f>$H308*Inputs!$C$10</x:f>
      </x:c>
      <x:c r="K308" s="24">
        <x:f>IF($B308&lt;=Inputs!$C$6+Inputs!$C$11,$C308*Inputs!$C$7/12,0)</x:f>
      </x:c>
      <x:c r="L308" s="24">
        <x:f>IF($B308&lt;=Inputs!$C$6+Inputs!$C$11,$E308+$F308+$G308+$I308-$K308,0)</x:f>
      </x:c>
      <x:c r="M308" s="24">
        <x:f>IF($B308&lt;=Inputs!$C$6,MAX(0,$C308-$F308-$G308-$H308),0)</x:f>
      </x:c>
    </x:row>
    <x:row r="309">
      <x:c r="B309" s="22" t="n">
        <x:v>306</x:v>
      </x:c>
      <x:c r="C309" s="23">
        <x:f>IF($B309&lt;=Inputs!$C$6+Inputs!$C$11,$M308,"")</x:f>
      </x:c>
      <x:c r="D309" s="24">
        <x:f>IF($B309&lt;=Inputs!$C$6,-PMT(Inputs!$C$5/12,Inputs!$C$6,Inputs!$C$4),0)</x:f>
      </x:c>
      <x:c r="E309" s="24">
        <x:f>IF($B309&lt;=Inputs!$C$6+Inputs!$C$11,$C309*Inputs!$C$5/12,0)</x:f>
      </x:c>
      <x:c r="F309" s="24">
        <x:f>IF($B309&lt;=Inputs!$C$6,MAX(0,$D309-$E309),0)</x:f>
      </x:c>
      <x:c r="G309" s="24">
        <x:f>IF($B309&lt;=Inputs!$C$6,MAX(0,($C309-$F309))*(1-(1-Inputs!$C$8)^(1/12)),0)</x:f>
      </x:c>
      <x:c r="H309" s="24">
        <x:f>IF($B309&lt;=Inputs!$C$6,MAX(0,($C309-$F309-$G309))*(1-(1-Inputs!$C$9)^(1/12)),0)</x:f>
      </x:c>
      <x:c r="I309" s="24">
        <x:f>IF($B309&gt;Inputs!$C$11,INDEX($H:$H,ROW()-Inputs!$C$11)* (1-Inputs!$C$10),0)</x:f>
      </x:c>
      <x:c r="J309" s="24">
        <x:f>$H309*Inputs!$C$10</x:f>
      </x:c>
      <x:c r="K309" s="24">
        <x:f>IF($B309&lt;=Inputs!$C$6+Inputs!$C$11,$C309*Inputs!$C$7/12,0)</x:f>
      </x:c>
      <x:c r="L309" s="24">
        <x:f>IF($B309&lt;=Inputs!$C$6+Inputs!$C$11,$E309+$F309+$G309+$I309-$K309,0)</x:f>
      </x:c>
      <x:c r="M309" s="24">
        <x:f>IF($B309&lt;=Inputs!$C$6,MAX(0,$C309-$F309-$G309-$H309),0)</x:f>
      </x:c>
    </x:row>
    <x:row r="310">
      <x:c r="B310" s="22" t="n">
        <x:v>307</x:v>
      </x:c>
      <x:c r="C310" s="23">
        <x:f>IF($B310&lt;=Inputs!$C$6+Inputs!$C$11,$M309,"")</x:f>
      </x:c>
      <x:c r="D310" s="24">
        <x:f>IF($B310&lt;=Inputs!$C$6,-PMT(Inputs!$C$5/12,Inputs!$C$6,Inputs!$C$4),0)</x:f>
      </x:c>
      <x:c r="E310" s="24">
        <x:f>IF($B310&lt;=Inputs!$C$6+Inputs!$C$11,$C310*Inputs!$C$5/12,0)</x:f>
      </x:c>
      <x:c r="F310" s="24">
        <x:f>IF($B310&lt;=Inputs!$C$6,MAX(0,$D310-$E310),0)</x:f>
      </x:c>
      <x:c r="G310" s="24">
        <x:f>IF($B310&lt;=Inputs!$C$6,MAX(0,($C310-$F310))*(1-(1-Inputs!$C$8)^(1/12)),0)</x:f>
      </x:c>
      <x:c r="H310" s="24">
        <x:f>IF($B310&lt;=Inputs!$C$6,MAX(0,($C310-$F310-$G310))*(1-(1-Inputs!$C$9)^(1/12)),0)</x:f>
      </x:c>
      <x:c r="I310" s="24">
        <x:f>IF($B310&gt;Inputs!$C$11,INDEX($H:$H,ROW()-Inputs!$C$11)* (1-Inputs!$C$10),0)</x:f>
      </x:c>
      <x:c r="J310" s="24">
        <x:f>$H310*Inputs!$C$10</x:f>
      </x:c>
      <x:c r="K310" s="24">
        <x:f>IF($B310&lt;=Inputs!$C$6+Inputs!$C$11,$C310*Inputs!$C$7/12,0)</x:f>
      </x:c>
      <x:c r="L310" s="24">
        <x:f>IF($B310&lt;=Inputs!$C$6+Inputs!$C$11,$E310+$F310+$G310+$I310-$K310,0)</x:f>
      </x:c>
      <x:c r="M310" s="24">
        <x:f>IF($B310&lt;=Inputs!$C$6,MAX(0,$C310-$F310-$G310-$H310),0)</x:f>
      </x:c>
    </x:row>
    <x:row r="311">
      <x:c r="B311" s="22" t="n">
        <x:v>308</x:v>
      </x:c>
      <x:c r="C311" s="23">
        <x:f>IF($B311&lt;=Inputs!$C$6+Inputs!$C$11,$M310,"")</x:f>
      </x:c>
      <x:c r="D311" s="24">
        <x:f>IF($B311&lt;=Inputs!$C$6,-PMT(Inputs!$C$5/12,Inputs!$C$6,Inputs!$C$4),0)</x:f>
      </x:c>
      <x:c r="E311" s="24">
        <x:f>IF($B311&lt;=Inputs!$C$6+Inputs!$C$11,$C311*Inputs!$C$5/12,0)</x:f>
      </x:c>
      <x:c r="F311" s="24">
        <x:f>IF($B311&lt;=Inputs!$C$6,MAX(0,$D311-$E311),0)</x:f>
      </x:c>
      <x:c r="G311" s="24">
        <x:f>IF($B311&lt;=Inputs!$C$6,MAX(0,($C311-$F311))*(1-(1-Inputs!$C$8)^(1/12)),0)</x:f>
      </x:c>
      <x:c r="H311" s="24">
        <x:f>IF($B311&lt;=Inputs!$C$6,MAX(0,($C311-$F311-$G311))*(1-(1-Inputs!$C$9)^(1/12)),0)</x:f>
      </x:c>
      <x:c r="I311" s="24">
        <x:f>IF($B311&gt;Inputs!$C$11,INDEX($H:$H,ROW()-Inputs!$C$11)* (1-Inputs!$C$10),0)</x:f>
      </x:c>
      <x:c r="J311" s="24">
        <x:f>$H311*Inputs!$C$10</x:f>
      </x:c>
      <x:c r="K311" s="24">
        <x:f>IF($B311&lt;=Inputs!$C$6+Inputs!$C$11,$C311*Inputs!$C$7/12,0)</x:f>
      </x:c>
      <x:c r="L311" s="24">
        <x:f>IF($B311&lt;=Inputs!$C$6+Inputs!$C$11,$E311+$F311+$G311+$I311-$K311,0)</x:f>
      </x:c>
      <x:c r="M311" s="24">
        <x:f>IF($B311&lt;=Inputs!$C$6,MAX(0,$C311-$F311-$G311-$H311),0)</x:f>
      </x:c>
    </x:row>
    <x:row r="312">
      <x:c r="B312" s="22" t="n">
        <x:v>309</x:v>
      </x:c>
      <x:c r="C312" s="23">
        <x:f>IF($B312&lt;=Inputs!$C$6+Inputs!$C$11,$M311,"")</x:f>
      </x:c>
      <x:c r="D312" s="24">
        <x:f>IF($B312&lt;=Inputs!$C$6,-PMT(Inputs!$C$5/12,Inputs!$C$6,Inputs!$C$4),0)</x:f>
      </x:c>
      <x:c r="E312" s="24">
        <x:f>IF($B312&lt;=Inputs!$C$6+Inputs!$C$11,$C312*Inputs!$C$5/12,0)</x:f>
      </x:c>
      <x:c r="F312" s="24">
        <x:f>IF($B312&lt;=Inputs!$C$6,MAX(0,$D312-$E312),0)</x:f>
      </x:c>
      <x:c r="G312" s="24">
        <x:f>IF($B312&lt;=Inputs!$C$6,MAX(0,($C312-$F312))*(1-(1-Inputs!$C$8)^(1/12)),0)</x:f>
      </x:c>
      <x:c r="H312" s="24">
        <x:f>IF($B312&lt;=Inputs!$C$6,MAX(0,($C312-$F312-$G312))*(1-(1-Inputs!$C$9)^(1/12)),0)</x:f>
      </x:c>
      <x:c r="I312" s="24">
        <x:f>IF($B312&gt;Inputs!$C$11,INDEX($H:$H,ROW()-Inputs!$C$11)* (1-Inputs!$C$10),0)</x:f>
      </x:c>
      <x:c r="J312" s="24">
        <x:f>$H312*Inputs!$C$10</x:f>
      </x:c>
      <x:c r="K312" s="24">
        <x:f>IF($B312&lt;=Inputs!$C$6+Inputs!$C$11,$C312*Inputs!$C$7/12,0)</x:f>
      </x:c>
      <x:c r="L312" s="24">
        <x:f>IF($B312&lt;=Inputs!$C$6+Inputs!$C$11,$E312+$F312+$G312+$I312-$K312,0)</x:f>
      </x:c>
      <x:c r="M312" s="24">
        <x:f>IF($B312&lt;=Inputs!$C$6,MAX(0,$C312-$F312-$G312-$H312),0)</x:f>
      </x:c>
    </x:row>
    <x:row r="313">
      <x:c r="B313" s="22" t="n">
        <x:v>310</x:v>
      </x:c>
      <x:c r="C313" s="23">
        <x:f>IF($B313&lt;=Inputs!$C$6+Inputs!$C$11,$M312,"")</x:f>
      </x:c>
      <x:c r="D313" s="24">
        <x:f>IF($B313&lt;=Inputs!$C$6,-PMT(Inputs!$C$5/12,Inputs!$C$6,Inputs!$C$4),0)</x:f>
      </x:c>
      <x:c r="E313" s="24">
        <x:f>IF($B313&lt;=Inputs!$C$6+Inputs!$C$11,$C313*Inputs!$C$5/12,0)</x:f>
      </x:c>
      <x:c r="F313" s="24">
        <x:f>IF($B313&lt;=Inputs!$C$6,MAX(0,$D313-$E313),0)</x:f>
      </x:c>
      <x:c r="G313" s="24">
        <x:f>IF($B313&lt;=Inputs!$C$6,MAX(0,($C313-$F313))*(1-(1-Inputs!$C$8)^(1/12)),0)</x:f>
      </x:c>
      <x:c r="H313" s="24">
        <x:f>IF($B313&lt;=Inputs!$C$6,MAX(0,($C313-$F313-$G313))*(1-(1-Inputs!$C$9)^(1/12)),0)</x:f>
      </x:c>
      <x:c r="I313" s="24">
        <x:f>IF($B313&gt;Inputs!$C$11,INDEX($H:$H,ROW()-Inputs!$C$11)* (1-Inputs!$C$10),0)</x:f>
      </x:c>
      <x:c r="J313" s="24">
        <x:f>$H313*Inputs!$C$10</x:f>
      </x:c>
      <x:c r="K313" s="24">
        <x:f>IF($B313&lt;=Inputs!$C$6+Inputs!$C$11,$C313*Inputs!$C$7/12,0)</x:f>
      </x:c>
      <x:c r="L313" s="24">
        <x:f>IF($B313&lt;=Inputs!$C$6+Inputs!$C$11,$E313+$F313+$G313+$I313-$K313,0)</x:f>
      </x:c>
      <x:c r="M313" s="24">
        <x:f>IF($B313&lt;=Inputs!$C$6,MAX(0,$C313-$F313-$G313-$H313),0)</x:f>
      </x:c>
    </x:row>
    <x:row r="314">
      <x:c r="B314" s="22" t="n">
        <x:v>311</x:v>
      </x:c>
      <x:c r="C314" s="23">
        <x:f>IF($B314&lt;=Inputs!$C$6+Inputs!$C$11,$M313,"")</x:f>
      </x:c>
      <x:c r="D314" s="24">
        <x:f>IF($B314&lt;=Inputs!$C$6,-PMT(Inputs!$C$5/12,Inputs!$C$6,Inputs!$C$4),0)</x:f>
      </x:c>
      <x:c r="E314" s="24">
        <x:f>IF($B314&lt;=Inputs!$C$6+Inputs!$C$11,$C314*Inputs!$C$5/12,0)</x:f>
      </x:c>
      <x:c r="F314" s="24">
        <x:f>IF($B314&lt;=Inputs!$C$6,MAX(0,$D314-$E314),0)</x:f>
      </x:c>
      <x:c r="G314" s="24">
        <x:f>IF($B314&lt;=Inputs!$C$6,MAX(0,($C314-$F314))*(1-(1-Inputs!$C$8)^(1/12)),0)</x:f>
      </x:c>
      <x:c r="H314" s="24">
        <x:f>IF($B314&lt;=Inputs!$C$6,MAX(0,($C314-$F314-$G314))*(1-(1-Inputs!$C$9)^(1/12)),0)</x:f>
      </x:c>
      <x:c r="I314" s="24">
        <x:f>IF($B314&gt;Inputs!$C$11,INDEX($H:$H,ROW()-Inputs!$C$11)* (1-Inputs!$C$10),0)</x:f>
      </x:c>
      <x:c r="J314" s="24">
        <x:f>$H314*Inputs!$C$10</x:f>
      </x:c>
      <x:c r="K314" s="24">
        <x:f>IF($B314&lt;=Inputs!$C$6+Inputs!$C$11,$C314*Inputs!$C$7/12,0)</x:f>
      </x:c>
      <x:c r="L314" s="24">
        <x:f>IF($B314&lt;=Inputs!$C$6+Inputs!$C$11,$E314+$F314+$G314+$I314-$K314,0)</x:f>
      </x:c>
      <x:c r="M314" s="24">
        <x:f>IF($B314&lt;=Inputs!$C$6,MAX(0,$C314-$F314-$G314-$H314),0)</x:f>
      </x:c>
    </x:row>
    <x:row r="315">
      <x:c r="B315" s="22" t="n">
        <x:v>312</x:v>
      </x:c>
      <x:c r="C315" s="23">
        <x:f>IF($B315&lt;=Inputs!$C$6+Inputs!$C$11,$M314,"")</x:f>
      </x:c>
      <x:c r="D315" s="24">
        <x:f>IF($B315&lt;=Inputs!$C$6,-PMT(Inputs!$C$5/12,Inputs!$C$6,Inputs!$C$4),0)</x:f>
      </x:c>
      <x:c r="E315" s="24">
        <x:f>IF($B315&lt;=Inputs!$C$6+Inputs!$C$11,$C315*Inputs!$C$5/12,0)</x:f>
      </x:c>
      <x:c r="F315" s="24">
        <x:f>IF($B315&lt;=Inputs!$C$6,MAX(0,$D315-$E315),0)</x:f>
      </x:c>
      <x:c r="G315" s="24">
        <x:f>IF($B315&lt;=Inputs!$C$6,MAX(0,($C315-$F315))*(1-(1-Inputs!$C$8)^(1/12)),0)</x:f>
      </x:c>
      <x:c r="H315" s="24">
        <x:f>IF($B315&lt;=Inputs!$C$6,MAX(0,($C315-$F315-$G315))*(1-(1-Inputs!$C$9)^(1/12)),0)</x:f>
      </x:c>
      <x:c r="I315" s="24">
        <x:f>IF($B315&gt;Inputs!$C$11,INDEX($H:$H,ROW()-Inputs!$C$11)* (1-Inputs!$C$10),0)</x:f>
      </x:c>
      <x:c r="J315" s="24">
        <x:f>$H315*Inputs!$C$10</x:f>
      </x:c>
      <x:c r="K315" s="24">
        <x:f>IF($B315&lt;=Inputs!$C$6+Inputs!$C$11,$C315*Inputs!$C$7/12,0)</x:f>
      </x:c>
      <x:c r="L315" s="24">
        <x:f>IF($B315&lt;=Inputs!$C$6+Inputs!$C$11,$E315+$F315+$G315+$I315-$K315,0)</x:f>
      </x:c>
      <x:c r="M315" s="24">
        <x:f>IF($B315&lt;=Inputs!$C$6,MAX(0,$C315-$F315-$G315-$H315),0)</x:f>
      </x:c>
    </x:row>
    <x:row r="316">
      <x:c r="B316" s="22" t="n">
        <x:v>313</x:v>
      </x:c>
      <x:c r="C316" s="23">
        <x:f>IF($B316&lt;=Inputs!$C$6+Inputs!$C$11,$M315,"")</x:f>
      </x:c>
      <x:c r="D316" s="24">
        <x:f>IF($B316&lt;=Inputs!$C$6,-PMT(Inputs!$C$5/12,Inputs!$C$6,Inputs!$C$4),0)</x:f>
      </x:c>
      <x:c r="E316" s="24">
        <x:f>IF($B316&lt;=Inputs!$C$6+Inputs!$C$11,$C316*Inputs!$C$5/12,0)</x:f>
      </x:c>
      <x:c r="F316" s="24">
        <x:f>IF($B316&lt;=Inputs!$C$6,MAX(0,$D316-$E316),0)</x:f>
      </x:c>
      <x:c r="G316" s="24">
        <x:f>IF($B316&lt;=Inputs!$C$6,MAX(0,($C316-$F316))*(1-(1-Inputs!$C$8)^(1/12)),0)</x:f>
      </x:c>
      <x:c r="H316" s="24">
        <x:f>IF($B316&lt;=Inputs!$C$6,MAX(0,($C316-$F316-$G316))*(1-(1-Inputs!$C$9)^(1/12)),0)</x:f>
      </x:c>
      <x:c r="I316" s="24">
        <x:f>IF($B316&gt;Inputs!$C$11,INDEX($H:$H,ROW()-Inputs!$C$11)* (1-Inputs!$C$10),0)</x:f>
      </x:c>
      <x:c r="J316" s="24">
        <x:f>$H316*Inputs!$C$10</x:f>
      </x:c>
      <x:c r="K316" s="24">
        <x:f>IF($B316&lt;=Inputs!$C$6+Inputs!$C$11,$C316*Inputs!$C$7/12,0)</x:f>
      </x:c>
      <x:c r="L316" s="24">
        <x:f>IF($B316&lt;=Inputs!$C$6+Inputs!$C$11,$E316+$F316+$G316+$I316-$K316,0)</x:f>
      </x:c>
      <x:c r="M316" s="24">
        <x:f>IF($B316&lt;=Inputs!$C$6,MAX(0,$C316-$F316-$G316-$H316),0)</x:f>
      </x:c>
    </x:row>
    <x:row r="317">
      <x:c r="B317" s="22" t="n">
        <x:v>314</x:v>
      </x:c>
      <x:c r="C317" s="23">
        <x:f>IF($B317&lt;=Inputs!$C$6+Inputs!$C$11,$M316,"")</x:f>
      </x:c>
      <x:c r="D317" s="24">
        <x:f>IF($B317&lt;=Inputs!$C$6,-PMT(Inputs!$C$5/12,Inputs!$C$6,Inputs!$C$4),0)</x:f>
      </x:c>
      <x:c r="E317" s="24">
        <x:f>IF($B317&lt;=Inputs!$C$6+Inputs!$C$11,$C317*Inputs!$C$5/12,0)</x:f>
      </x:c>
      <x:c r="F317" s="24">
        <x:f>IF($B317&lt;=Inputs!$C$6,MAX(0,$D317-$E317),0)</x:f>
      </x:c>
      <x:c r="G317" s="24">
        <x:f>IF($B317&lt;=Inputs!$C$6,MAX(0,($C317-$F317))*(1-(1-Inputs!$C$8)^(1/12)),0)</x:f>
      </x:c>
      <x:c r="H317" s="24">
        <x:f>IF($B317&lt;=Inputs!$C$6,MAX(0,($C317-$F317-$G317))*(1-(1-Inputs!$C$9)^(1/12)),0)</x:f>
      </x:c>
      <x:c r="I317" s="24">
        <x:f>IF($B317&gt;Inputs!$C$11,INDEX($H:$H,ROW()-Inputs!$C$11)* (1-Inputs!$C$10),0)</x:f>
      </x:c>
      <x:c r="J317" s="24">
        <x:f>$H317*Inputs!$C$10</x:f>
      </x:c>
      <x:c r="K317" s="24">
        <x:f>IF($B317&lt;=Inputs!$C$6+Inputs!$C$11,$C317*Inputs!$C$7/12,0)</x:f>
      </x:c>
      <x:c r="L317" s="24">
        <x:f>IF($B317&lt;=Inputs!$C$6+Inputs!$C$11,$E317+$F317+$G317+$I317-$K317,0)</x:f>
      </x:c>
      <x:c r="M317" s="24">
        <x:f>IF($B317&lt;=Inputs!$C$6,MAX(0,$C317-$F317-$G317-$H317),0)</x:f>
      </x:c>
    </x:row>
    <x:row r="318">
      <x:c r="B318" s="22" t="n">
        <x:v>315</x:v>
      </x:c>
      <x:c r="C318" s="23">
        <x:f>IF($B318&lt;=Inputs!$C$6+Inputs!$C$11,$M317,"")</x:f>
      </x:c>
      <x:c r="D318" s="24">
        <x:f>IF($B318&lt;=Inputs!$C$6,-PMT(Inputs!$C$5/12,Inputs!$C$6,Inputs!$C$4),0)</x:f>
      </x:c>
      <x:c r="E318" s="24">
        <x:f>IF($B318&lt;=Inputs!$C$6+Inputs!$C$11,$C318*Inputs!$C$5/12,0)</x:f>
      </x:c>
      <x:c r="F318" s="24">
        <x:f>IF($B318&lt;=Inputs!$C$6,MAX(0,$D318-$E318),0)</x:f>
      </x:c>
      <x:c r="G318" s="24">
        <x:f>IF($B318&lt;=Inputs!$C$6,MAX(0,($C318-$F318))*(1-(1-Inputs!$C$8)^(1/12)),0)</x:f>
      </x:c>
      <x:c r="H318" s="24">
        <x:f>IF($B318&lt;=Inputs!$C$6,MAX(0,($C318-$F318-$G318))*(1-(1-Inputs!$C$9)^(1/12)),0)</x:f>
      </x:c>
      <x:c r="I318" s="24">
        <x:f>IF($B318&gt;Inputs!$C$11,INDEX($H:$H,ROW()-Inputs!$C$11)* (1-Inputs!$C$10),0)</x:f>
      </x:c>
      <x:c r="J318" s="24">
        <x:f>$H318*Inputs!$C$10</x:f>
      </x:c>
      <x:c r="K318" s="24">
        <x:f>IF($B318&lt;=Inputs!$C$6+Inputs!$C$11,$C318*Inputs!$C$7/12,0)</x:f>
      </x:c>
      <x:c r="L318" s="24">
        <x:f>IF($B318&lt;=Inputs!$C$6+Inputs!$C$11,$E318+$F318+$G318+$I318-$K318,0)</x:f>
      </x:c>
      <x:c r="M318" s="24">
        <x:f>IF($B318&lt;=Inputs!$C$6,MAX(0,$C318-$F318-$G318-$H318),0)</x:f>
      </x:c>
    </x:row>
    <x:row r="319">
      <x:c r="B319" s="22" t="n">
        <x:v>316</x:v>
      </x:c>
      <x:c r="C319" s="23">
        <x:f>IF($B319&lt;=Inputs!$C$6+Inputs!$C$11,$M318,"")</x:f>
      </x:c>
      <x:c r="D319" s="24">
        <x:f>IF($B319&lt;=Inputs!$C$6,-PMT(Inputs!$C$5/12,Inputs!$C$6,Inputs!$C$4),0)</x:f>
      </x:c>
      <x:c r="E319" s="24">
        <x:f>IF($B319&lt;=Inputs!$C$6+Inputs!$C$11,$C319*Inputs!$C$5/12,0)</x:f>
      </x:c>
      <x:c r="F319" s="24">
        <x:f>IF($B319&lt;=Inputs!$C$6,MAX(0,$D319-$E319),0)</x:f>
      </x:c>
      <x:c r="G319" s="24">
        <x:f>IF($B319&lt;=Inputs!$C$6,MAX(0,($C319-$F319))*(1-(1-Inputs!$C$8)^(1/12)),0)</x:f>
      </x:c>
      <x:c r="H319" s="24">
        <x:f>IF($B319&lt;=Inputs!$C$6,MAX(0,($C319-$F319-$G319))*(1-(1-Inputs!$C$9)^(1/12)),0)</x:f>
      </x:c>
      <x:c r="I319" s="24">
        <x:f>IF($B319&gt;Inputs!$C$11,INDEX($H:$H,ROW()-Inputs!$C$11)* (1-Inputs!$C$10),0)</x:f>
      </x:c>
      <x:c r="J319" s="24">
        <x:f>$H319*Inputs!$C$10</x:f>
      </x:c>
      <x:c r="K319" s="24">
        <x:f>IF($B319&lt;=Inputs!$C$6+Inputs!$C$11,$C319*Inputs!$C$7/12,0)</x:f>
      </x:c>
      <x:c r="L319" s="24">
        <x:f>IF($B319&lt;=Inputs!$C$6+Inputs!$C$11,$E319+$F319+$G319+$I319-$K319,0)</x:f>
      </x:c>
      <x:c r="M319" s="24">
        <x:f>IF($B319&lt;=Inputs!$C$6,MAX(0,$C319-$F319-$G319-$H319),0)</x:f>
      </x:c>
    </x:row>
    <x:row r="320">
      <x:c r="B320" s="22" t="n">
        <x:v>317</x:v>
      </x:c>
      <x:c r="C320" s="23">
        <x:f>IF($B320&lt;=Inputs!$C$6+Inputs!$C$11,$M319,"")</x:f>
      </x:c>
      <x:c r="D320" s="24">
        <x:f>IF($B320&lt;=Inputs!$C$6,-PMT(Inputs!$C$5/12,Inputs!$C$6,Inputs!$C$4),0)</x:f>
      </x:c>
      <x:c r="E320" s="24">
        <x:f>IF($B320&lt;=Inputs!$C$6+Inputs!$C$11,$C320*Inputs!$C$5/12,0)</x:f>
      </x:c>
      <x:c r="F320" s="24">
        <x:f>IF($B320&lt;=Inputs!$C$6,MAX(0,$D320-$E320),0)</x:f>
      </x:c>
      <x:c r="G320" s="24">
        <x:f>IF($B320&lt;=Inputs!$C$6,MAX(0,($C320-$F320))*(1-(1-Inputs!$C$8)^(1/12)),0)</x:f>
      </x:c>
      <x:c r="H320" s="24">
        <x:f>IF($B320&lt;=Inputs!$C$6,MAX(0,($C320-$F320-$G320))*(1-(1-Inputs!$C$9)^(1/12)),0)</x:f>
      </x:c>
      <x:c r="I320" s="24">
        <x:f>IF($B320&gt;Inputs!$C$11,INDEX($H:$H,ROW()-Inputs!$C$11)* (1-Inputs!$C$10),0)</x:f>
      </x:c>
      <x:c r="J320" s="24">
        <x:f>$H320*Inputs!$C$10</x:f>
      </x:c>
      <x:c r="K320" s="24">
        <x:f>IF($B320&lt;=Inputs!$C$6+Inputs!$C$11,$C320*Inputs!$C$7/12,0)</x:f>
      </x:c>
      <x:c r="L320" s="24">
        <x:f>IF($B320&lt;=Inputs!$C$6+Inputs!$C$11,$E320+$F320+$G320+$I320-$K320,0)</x:f>
      </x:c>
      <x:c r="M320" s="24">
        <x:f>IF($B320&lt;=Inputs!$C$6,MAX(0,$C320-$F320-$G320-$H320),0)</x:f>
      </x:c>
    </x:row>
    <x:row r="321">
      <x:c r="B321" s="22" t="n">
        <x:v>318</x:v>
      </x:c>
      <x:c r="C321" s="23">
        <x:f>IF($B321&lt;=Inputs!$C$6+Inputs!$C$11,$M320,"")</x:f>
      </x:c>
      <x:c r="D321" s="24">
        <x:f>IF($B321&lt;=Inputs!$C$6,-PMT(Inputs!$C$5/12,Inputs!$C$6,Inputs!$C$4),0)</x:f>
      </x:c>
      <x:c r="E321" s="24">
        <x:f>IF($B321&lt;=Inputs!$C$6+Inputs!$C$11,$C321*Inputs!$C$5/12,0)</x:f>
      </x:c>
      <x:c r="F321" s="24">
        <x:f>IF($B321&lt;=Inputs!$C$6,MAX(0,$D321-$E321),0)</x:f>
      </x:c>
      <x:c r="G321" s="24">
        <x:f>IF($B321&lt;=Inputs!$C$6,MAX(0,($C321-$F321))*(1-(1-Inputs!$C$8)^(1/12)),0)</x:f>
      </x:c>
      <x:c r="H321" s="24">
        <x:f>IF($B321&lt;=Inputs!$C$6,MAX(0,($C321-$F321-$G321))*(1-(1-Inputs!$C$9)^(1/12)),0)</x:f>
      </x:c>
      <x:c r="I321" s="24">
        <x:f>IF($B321&gt;Inputs!$C$11,INDEX($H:$H,ROW()-Inputs!$C$11)* (1-Inputs!$C$10),0)</x:f>
      </x:c>
      <x:c r="J321" s="24">
        <x:f>$H321*Inputs!$C$10</x:f>
      </x:c>
      <x:c r="K321" s="24">
        <x:f>IF($B321&lt;=Inputs!$C$6+Inputs!$C$11,$C321*Inputs!$C$7/12,0)</x:f>
      </x:c>
      <x:c r="L321" s="24">
        <x:f>IF($B321&lt;=Inputs!$C$6+Inputs!$C$11,$E321+$F321+$G321+$I321-$K321,0)</x:f>
      </x:c>
      <x:c r="M321" s="24">
        <x:f>IF($B321&lt;=Inputs!$C$6,MAX(0,$C321-$F321-$G321-$H321),0)</x:f>
      </x:c>
    </x:row>
    <x:row r="322">
      <x:c r="B322" s="22" t="n">
        <x:v>319</x:v>
      </x:c>
      <x:c r="C322" s="23">
        <x:f>IF($B322&lt;=Inputs!$C$6+Inputs!$C$11,$M321,"")</x:f>
      </x:c>
      <x:c r="D322" s="24">
        <x:f>IF($B322&lt;=Inputs!$C$6,-PMT(Inputs!$C$5/12,Inputs!$C$6,Inputs!$C$4),0)</x:f>
      </x:c>
      <x:c r="E322" s="24">
        <x:f>IF($B322&lt;=Inputs!$C$6+Inputs!$C$11,$C322*Inputs!$C$5/12,0)</x:f>
      </x:c>
      <x:c r="F322" s="24">
        <x:f>IF($B322&lt;=Inputs!$C$6,MAX(0,$D322-$E322),0)</x:f>
      </x:c>
      <x:c r="G322" s="24">
        <x:f>IF($B322&lt;=Inputs!$C$6,MAX(0,($C322-$F322))*(1-(1-Inputs!$C$8)^(1/12)),0)</x:f>
      </x:c>
      <x:c r="H322" s="24">
        <x:f>IF($B322&lt;=Inputs!$C$6,MAX(0,($C322-$F322-$G322))*(1-(1-Inputs!$C$9)^(1/12)),0)</x:f>
      </x:c>
      <x:c r="I322" s="24">
        <x:f>IF($B322&gt;Inputs!$C$11,INDEX($H:$H,ROW()-Inputs!$C$11)* (1-Inputs!$C$10),0)</x:f>
      </x:c>
      <x:c r="J322" s="24">
        <x:f>$H322*Inputs!$C$10</x:f>
      </x:c>
      <x:c r="K322" s="24">
        <x:f>IF($B322&lt;=Inputs!$C$6+Inputs!$C$11,$C322*Inputs!$C$7/12,0)</x:f>
      </x:c>
      <x:c r="L322" s="24">
        <x:f>IF($B322&lt;=Inputs!$C$6+Inputs!$C$11,$E322+$F322+$G322+$I322-$K322,0)</x:f>
      </x:c>
      <x:c r="M322" s="24">
        <x:f>IF($B322&lt;=Inputs!$C$6,MAX(0,$C322-$F322-$G322-$H322),0)</x:f>
      </x:c>
    </x:row>
    <x:row r="323">
      <x:c r="B323" s="22" t="n">
        <x:v>320</x:v>
      </x:c>
      <x:c r="C323" s="23">
        <x:f>IF($B323&lt;=Inputs!$C$6+Inputs!$C$11,$M322,"")</x:f>
      </x:c>
      <x:c r="D323" s="24">
        <x:f>IF($B323&lt;=Inputs!$C$6,-PMT(Inputs!$C$5/12,Inputs!$C$6,Inputs!$C$4),0)</x:f>
      </x:c>
      <x:c r="E323" s="24">
        <x:f>IF($B323&lt;=Inputs!$C$6+Inputs!$C$11,$C323*Inputs!$C$5/12,0)</x:f>
      </x:c>
      <x:c r="F323" s="24">
        <x:f>IF($B323&lt;=Inputs!$C$6,MAX(0,$D323-$E323),0)</x:f>
      </x:c>
      <x:c r="G323" s="24">
        <x:f>IF($B323&lt;=Inputs!$C$6,MAX(0,($C323-$F323))*(1-(1-Inputs!$C$8)^(1/12)),0)</x:f>
      </x:c>
      <x:c r="H323" s="24">
        <x:f>IF($B323&lt;=Inputs!$C$6,MAX(0,($C323-$F323-$G323))*(1-(1-Inputs!$C$9)^(1/12)),0)</x:f>
      </x:c>
      <x:c r="I323" s="24">
        <x:f>IF($B323&gt;Inputs!$C$11,INDEX($H:$H,ROW()-Inputs!$C$11)* (1-Inputs!$C$10),0)</x:f>
      </x:c>
      <x:c r="J323" s="24">
        <x:f>$H323*Inputs!$C$10</x:f>
      </x:c>
      <x:c r="K323" s="24">
        <x:f>IF($B323&lt;=Inputs!$C$6+Inputs!$C$11,$C323*Inputs!$C$7/12,0)</x:f>
      </x:c>
      <x:c r="L323" s="24">
        <x:f>IF($B323&lt;=Inputs!$C$6+Inputs!$C$11,$E323+$F323+$G323+$I323-$K323,0)</x:f>
      </x:c>
      <x:c r="M323" s="24">
        <x:f>IF($B323&lt;=Inputs!$C$6,MAX(0,$C323-$F323-$G323-$H323),0)</x:f>
      </x:c>
    </x:row>
    <x:row r="324">
      <x:c r="B324" s="22" t="n">
        <x:v>321</x:v>
      </x:c>
      <x:c r="C324" s="23">
        <x:f>IF($B324&lt;=Inputs!$C$6+Inputs!$C$11,$M323,"")</x:f>
      </x:c>
      <x:c r="D324" s="24">
        <x:f>IF($B324&lt;=Inputs!$C$6,-PMT(Inputs!$C$5/12,Inputs!$C$6,Inputs!$C$4),0)</x:f>
      </x:c>
      <x:c r="E324" s="24">
        <x:f>IF($B324&lt;=Inputs!$C$6+Inputs!$C$11,$C324*Inputs!$C$5/12,0)</x:f>
      </x:c>
      <x:c r="F324" s="24">
        <x:f>IF($B324&lt;=Inputs!$C$6,MAX(0,$D324-$E324),0)</x:f>
      </x:c>
      <x:c r="G324" s="24">
        <x:f>IF($B324&lt;=Inputs!$C$6,MAX(0,($C324-$F324))*(1-(1-Inputs!$C$8)^(1/12)),0)</x:f>
      </x:c>
      <x:c r="H324" s="24">
        <x:f>IF($B324&lt;=Inputs!$C$6,MAX(0,($C324-$F324-$G324))*(1-(1-Inputs!$C$9)^(1/12)),0)</x:f>
      </x:c>
      <x:c r="I324" s="24">
        <x:f>IF($B324&gt;Inputs!$C$11,INDEX($H:$H,ROW()-Inputs!$C$11)* (1-Inputs!$C$10),0)</x:f>
      </x:c>
      <x:c r="J324" s="24">
        <x:f>$H324*Inputs!$C$10</x:f>
      </x:c>
      <x:c r="K324" s="24">
        <x:f>IF($B324&lt;=Inputs!$C$6+Inputs!$C$11,$C324*Inputs!$C$7/12,0)</x:f>
      </x:c>
      <x:c r="L324" s="24">
        <x:f>IF($B324&lt;=Inputs!$C$6+Inputs!$C$11,$E324+$F324+$G324+$I324-$K324,0)</x:f>
      </x:c>
      <x:c r="M324" s="24">
        <x:f>IF($B324&lt;=Inputs!$C$6,MAX(0,$C324-$F324-$G324-$H324),0)</x:f>
      </x:c>
    </x:row>
    <x:row r="325">
      <x:c r="B325" s="22" t="n">
        <x:v>322</x:v>
      </x:c>
      <x:c r="C325" s="23">
        <x:f>IF($B325&lt;=Inputs!$C$6+Inputs!$C$11,$M324,"")</x:f>
      </x:c>
      <x:c r="D325" s="24">
        <x:f>IF($B325&lt;=Inputs!$C$6,-PMT(Inputs!$C$5/12,Inputs!$C$6,Inputs!$C$4),0)</x:f>
      </x:c>
      <x:c r="E325" s="24">
        <x:f>IF($B325&lt;=Inputs!$C$6+Inputs!$C$11,$C325*Inputs!$C$5/12,0)</x:f>
      </x:c>
      <x:c r="F325" s="24">
        <x:f>IF($B325&lt;=Inputs!$C$6,MAX(0,$D325-$E325),0)</x:f>
      </x:c>
      <x:c r="G325" s="24">
        <x:f>IF($B325&lt;=Inputs!$C$6,MAX(0,($C325-$F325))*(1-(1-Inputs!$C$8)^(1/12)),0)</x:f>
      </x:c>
      <x:c r="H325" s="24">
        <x:f>IF($B325&lt;=Inputs!$C$6,MAX(0,($C325-$F325-$G325))*(1-(1-Inputs!$C$9)^(1/12)),0)</x:f>
      </x:c>
      <x:c r="I325" s="24">
        <x:f>IF($B325&gt;Inputs!$C$11,INDEX($H:$H,ROW()-Inputs!$C$11)* (1-Inputs!$C$10),0)</x:f>
      </x:c>
      <x:c r="J325" s="24">
        <x:f>$H325*Inputs!$C$10</x:f>
      </x:c>
      <x:c r="K325" s="24">
        <x:f>IF($B325&lt;=Inputs!$C$6+Inputs!$C$11,$C325*Inputs!$C$7/12,0)</x:f>
      </x:c>
      <x:c r="L325" s="24">
        <x:f>IF($B325&lt;=Inputs!$C$6+Inputs!$C$11,$E325+$F325+$G325+$I325-$K325,0)</x:f>
      </x:c>
      <x:c r="M325" s="24">
        <x:f>IF($B325&lt;=Inputs!$C$6,MAX(0,$C325-$F325-$G325-$H325),0)</x:f>
      </x:c>
    </x:row>
    <x:row r="326">
      <x:c r="B326" s="22" t="n">
        <x:v>323</x:v>
      </x:c>
      <x:c r="C326" s="23">
        <x:f>IF($B326&lt;=Inputs!$C$6+Inputs!$C$11,$M325,"")</x:f>
      </x:c>
      <x:c r="D326" s="24">
        <x:f>IF($B326&lt;=Inputs!$C$6,-PMT(Inputs!$C$5/12,Inputs!$C$6,Inputs!$C$4),0)</x:f>
      </x:c>
      <x:c r="E326" s="24">
        <x:f>IF($B326&lt;=Inputs!$C$6+Inputs!$C$11,$C326*Inputs!$C$5/12,0)</x:f>
      </x:c>
      <x:c r="F326" s="24">
        <x:f>IF($B326&lt;=Inputs!$C$6,MAX(0,$D326-$E326),0)</x:f>
      </x:c>
      <x:c r="G326" s="24">
        <x:f>IF($B326&lt;=Inputs!$C$6,MAX(0,($C326-$F326))*(1-(1-Inputs!$C$8)^(1/12)),0)</x:f>
      </x:c>
      <x:c r="H326" s="24">
        <x:f>IF($B326&lt;=Inputs!$C$6,MAX(0,($C326-$F326-$G326))*(1-(1-Inputs!$C$9)^(1/12)),0)</x:f>
      </x:c>
      <x:c r="I326" s="24">
        <x:f>IF($B326&gt;Inputs!$C$11,INDEX($H:$H,ROW()-Inputs!$C$11)* (1-Inputs!$C$10),0)</x:f>
      </x:c>
      <x:c r="J326" s="24">
        <x:f>$H326*Inputs!$C$10</x:f>
      </x:c>
      <x:c r="K326" s="24">
        <x:f>IF($B326&lt;=Inputs!$C$6+Inputs!$C$11,$C326*Inputs!$C$7/12,0)</x:f>
      </x:c>
      <x:c r="L326" s="24">
        <x:f>IF($B326&lt;=Inputs!$C$6+Inputs!$C$11,$E326+$F326+$G326+$I326-$K326,0)</x:f>
      </x:c>
      <x:c r="M326" s="24">
        <x:f>IF($B326&lt;=Inputs!$C$6,MAX(0,$C326-$F326-$G326-$H326),0)</x:f>
      </x:c>
    </x:row>
    <x:row r="327">
      <x:c r="B327" s="22" t="n">
        <x:v>324</x:v>
      </x:c>
      <x:c r="C327" s="23">
        <x:f>IF($B327&lt;=Inputs!$C$6+Inputs!$C$11,$M326,"")</x:f>
      </x:c>
      <x:c r="D327" s="24">
        <x:f>IF($B327&lt;=Inputs!$C$6,-PMT(Inputs!$C$5/12,Inputs!$C$6,Inputs!$C$4),0)</x:f>
      </x:c>
      <x:c r="E327" s="24">
        <x:f>IF($B327&lt;=Inputs!$C$6+Inputs!$C$11,$C327*Inputs!$C$5/12,0)</x:f>
      </x:c>
      <x:c r="F327" s="24">
        <x:f>IF($B327&lt;=Inputs!$C$6,MAX(0,$D327-$E327),0)</x:f>
      </x:c>
      <x:c r="G327" s="24">
        <x:f>IF($B327&lt;=Inputs!$C$6,MAX(0,($C327-$F327))*(1-(1-Inputs!$C$8)^(1/12)),0)</x:f>
      </x:c>
      <x:c r="H327" s="24">
        <x:f>IF($B327&lt;=Inputs!$C$6,MAX(0,($C327-$F327-$G327))*(1-(1-Inputs!$C$9)^(1/12)),0)</x:f>
      </x:c>
      <x:c r="I327" s="24">
        <x:f>IF($B327&gt;Inputs!$C$11,INDEX($H:$H,ROW()-Inputs!$C$11)* (1-Inputs!$C$10),0)</x:f>
      </x:c>
      <x:c r="J327" s="24">
        <x:f>$H327*Inputs!$C$10</x:f>
      </x:c>
      <x:c r="K327" s="24">
        <x:f>IF($B327&lt;=Inputs!$C$6+Inputs!$C$11,$C327*Inputs!$C$7/12,0)</x:f>
      </x:c>
      <x:c r="L327" s="24">
        <x:f>IF($B327&lt;=Inputs!$C$6+Inputs!$C$11,$E327+$F327+$G327+$I327-$K327,0)</x:f>
      </x:c>
      <x:c r="M327" s="24">
        <x:f>IF($B327&lt;=Inputs!$C$6,MAX(0,$C327-$F327-$G327-$H327),0)</x:f>
      </x:c>
    </x:row>
    <x:row r="328">
      <x:c r="B328" s="22" t="n">
        <x:v>325</x:v>
      </x:c>
      <x:c r="C328" s="23">
        <x:f>IF($B328&lt;=Inputs!$C$6+Inputs!$C$11,$M327,"")</x:f>
      </x:c>
      <x:c r="D328" s="24">
        <x:f>IF($B328&lt;=Inputs!$C$6,-PMT(Inputs!$C$5/12,Inputs!$C$6,Inputs!$C$4),0)</x:f>
      </x:c>
      <x:c r="E328" s="24">
        <x:f>IF($B328&lt;=Inputs!$C$6+Inputs!$C$11,$C328*Inputs!$C$5/12,0)</x:f>
      </x:c>
      <x:c r="F328" s="24">
        <x:f>IF($B328&lt;=Inputs!$C$6,MAX(0,$D328-$E328),0)</x:f>
      </x:c>
      <x:c r="G328" s="24">
        <x:f>IF($B328&lt;=Inputs!$C$6,MAX(0,($C328-$F328))*(1-(1-Inputs!$C$8)^(1/12)),0)</x:f>
      </x:c>
      <x:c r="H328" s="24">
        <x:f>IF($B328&lt;=Inputs!$C$6,MAX(0,($C328-$F328-$G328))*(1-(1-Inputs!$C$9)^(1/12)),0)</x:f>
      </x:c>
      <x:c r="I328" s="24">
        <x:f>IF($B328&gt;Inputs!$C$11,INDEX($H:$H,ROW()-Inputs!$C$11)* (1-Inputs!$C$10),0)</x:f>
      </x:c>
      <x:c r="J328" s="24">
        <x:f>$H328*Inputs!$C$10</x:f>
      </x:c>
      <x:c r="K328" s="24">
        <x:f>IF($B328&lt;=Inputs!$C$6+Inputs!$C$11,$C328*Inputs!$C$7/12,0)</x:f>
      </x:c>
      <x:c r="L328" s="24">
        <x:f>IF($B328&lt;=Inputs!$C$6+Inputs!$C$11,$E328+$F328+$G328+$I328-$K328,0)</x:f>
      </x:c>
      <x:c r="M328" s="24">
        <x:f>IF($B328&lt;=Inputs!$C$6,MAX(0,$C328-$F328-$G328-$H328),0)</x:f>
      </x:c>
    </x:row>
    <x:row r="329">
      <x:c r="B329" s="22" t="n">
        <x:v>326</x:v>
      </x:c>
      <x:c r="C329" s="23">
        <x:f>IF($B329&lt;=Inputs!$C$6+Inputs!$C$11,$M328,"")</x:f>
      </x:c>
      <x:c r="D329" s="24">
        <x:f>IF($B329&lt;=Inputs!$C$6,-PMT(Inputs!$C$5/12,Inputs!$C$6,Inputs!$C$4),0)</x:f>
      </x:c>
      <x:c r="E329" s="24">
        <x:f>IF($B329&lt;=Inputs!$C$6+Inputs!$C$11,$C329*Inputs!$C$5/12,0)</x:f>
      </x:c>
      <x:c r="F329" s="24">
        <x:f>IF($B329&lt;=Inputs!$C$6,MAX(0,$D329-$E329),0)</x:f>
      </x:c>
      <x:c r="G329" s="24">
        <x:f>IF($B329&lt;=Inputs!$C$6,MAX(0,($C329-$F329))*(1-(1-Inputs!$C$8)^(1/12)),0)</x:f>
      </x:c>
      <x:c r="H329" s="24">
        <x:f>IF($B329&lt;=Inputs!$C$6,MAX(0,($C329-$F329-$G329))*(1-(1-Inputs!$C$9)^(1/12)),0)</x:f>
      </x:c>
      <x:c r="I329" s="24">
        <x:f>IF($B329&gt;Inputs!$C$11,INDEX($H:$H,ROW()-Inputs!$C$11)* (1-Inputs!$C$10),0)</x:f>
      </x:c>
      <x:c r="J329" s="24">
        <x:f>$H329*Inputs!$C$10</x:f>
      </x:c>
      <x:c r="K329" s="24">
        <x:f>IF($B329&lt;=Inputs!$C$6+Inputs!$C$11,$C329*Inputs!$C$7/12,0)</x:f>
      </x:c>
      <x:c r="L329" s="24">
        <x:f>IF($B329&lt;=Inputs!$C$6+Inputs!$C$11,$E329+$F329+$G329+$I329-$K329,0)</x:f>
      </x:c>
      <x:c r="M329" s="24">
        <x:f>IF($B329&lt;=Inputs!$C$6,MAX(0,$C329-$F329-$G329-$H329),0)</x:f>
      </x:c>
    </x:row>
    <x:row r="330">
      <x:c r="B330" s="22" t="n">
        <x:v>327</x:v>
      </x:c>
      <x:c r="C330" s="23">
        <x:f>IF($B330&lt;=Inputs!$C$6+Inputs!$C$11,$M329,"")</x:f>
      </x:c>
      <x:c r="D330" s="24">
        <x:f>IF($B330&lt;=Inputs!$C$6,-PMT(Inputs!$C$5/12,Inputs!$C$6,Inputs!$C$4),0)</x:f>
      </x:c>
      <x:c r="E330" s="24">
        <x:f>IF($B330&lt;=Inputs!$C$6+Inputs!$C$11,$C330*Inputs!$C$5/12,0)</x:f>
      </x:c>
      <x:c r="F330" s="24">
        <x:f>IF($B330&lt;=Inputs!$C$6,MAX(0,$D330-$E330),0)</x:f>
      </x:c>
      <x:c r="G330" s="24">
        <x:f>IF($B330&lt;=Inputs!$C$6,MAX(0,($C330-$F330))*(1-(1-Inputs!$C$8)^(1/12)),0)</x:f>
      </x:c>
      <x:c r="H330" s="24">
        <x:f>IF($B330&lt;=Inputs!$C$6,MAX(0,($C330-$F330-$G330))*(1-(1-Inputs!$C$9)^(1/12)),0)</x:f>
      </x:c>
      <x:c r="I330" s="24">
        <x:f>IF($B330&gt;Inputs!$C$11,INDEX($H:$H,ROW()-Inputs!$C$11)* (1-Inputs!$C$10),0)</x:f>
      </x:c>
      <x:c r="J330" s="24">
        <x:f>$H330*Inputs!$C$10</x:f>
      </x:c>
      <x:c r="K330" s="24">
        <x:f>IF($B330&lt;=Inputs!$C$6+Inputs!$C$11,$C330*Inputs!$C$7/12,0)</x:f>
      </x:c>
      <x:c r="L330" s="24">
        <x:f>IF($B330&lt;=Inputs!$C$6+Inputs!$C$11,$E330+$F330+$G330+$I330-$K330,0)</x:f>
      </x:c>
      <x:c r="M330" s="24">
        <x:f>IF($B330&lt;=Inputs!$C$6,MAX(0,$C330-$F330-$G330-$H330),0)</x:f>
      </x:c>
    </x:row>
    <x:row r="331">
      <x:c r="B331" s="22" t="n">
        <x:v>328</x:v>
      </x:c>
      <x:c r="C331" s="23">
        <x:f>IF($B331&lt;=Inputs!$C$6+Inputs!$C$11,$M330,"")</x:f>
      </x:c>
      <x:c r="D331" s="24">
        <x:f>IF($B331&lt;=Inputs!$C$6,-PMT(Inputs!$C$5/12,Inputs!$C$6,Inputs!$C$4),0)</x:f>
      </x:c>
      <x:c r="E331" s="24">
        <x:f>IF($B331&lt;=Inputs!$C$6+Inputs!$C$11,$C331*Inputs!$C$5/12,0)</x:f>
      </x:c>
      <x:c r="F331" s="24">
        <x:f>IF($B331&lt;=Inputs!$C$6,MAX(0,$D331-$E331),0)</x:f>
      </x:c>
      <x:c r="G331" s="24">
        <x:f>IF($B331&lt;=Inputs!$C$6,MAX(0,($C331-$F331))*(1-(1-Inputs!$C$8)^(1/12)),0)</x:f>
      </x:c>
      <x:c r="H331" s="24">
        <x:f>IF($B331&lt;=Inputs!$C$6,MAX(0,($C331-$F331-$G331))*(1-(1-Inputs!$C$9)^(1/12)),0)</x:f>
      </x:c>
      <x:c r="I331" s="24">
        <x:f>IF($B331&gt;Inputs!$C$11,INDEX($H:$H,ROW()-Inputs!$C$11)* (1-Inputs!$C$10),0)</x:f>
      </x:c>
      <x:c r="J331" s="24">
        <x:f>$H331*Inputs!$C$10</x:f>
      </x:c>
      <x:c r="K331" s="24">
        <x:f>IF($B331&lt;=Inputs!$C$6+Inputs!$C$11,$C331*Inputs!$C$7/12,0)</x:f>
      </x:c>
      <x:c r="L331" s="24">
        <x:f>IF($B331&lt;=Inputs!$C$6+Inputs!$C$11,$E331+$F331+$G331+$I331-$K331,0)</x:f>
      </x:c>
      <x:c r="M331" s="24">
        <x:f>IF($B331&lt;=Inputs!$C$6,MAX(0,$C331-$F331-$G331-$H331),0)</x:f>
      </x:c>
    </x:row>
    <x:row r="332">
      <x:c r="B332" s="22" t="n">
        <x:v>329</x:v>
      </x:c>
      <x:c r="C332" s="23">
        <x:f>IF($B332&lt;=Inputs!$C$6+Inputs!$C$11,$M331,"")</x:f>
      </x:c>
      <x:c r="D332" s="24">
        <x:f>IF($B332&lt;=Inputs!$C$6,-PMT(Inputs!$C$5/12,Inputs!$C$6,Inputs!$C$4),0)</x:f>
      </x:c>
      <x:c r="E332" s="24">
        <x:f>IF($B332&lt;=Inputs!$C$6+Inputs!$C$11,$C332*Inputs!$C$5/12,0)</x:f>
      </x:c>
      <x:c r="F332" s="24">
        <x:f>IF($B332&lt;=Inputs!$C$6,MAX(0,$D332-$E332),0)</x:f>
      </x:c>
      <x:c r="G332" s="24">
        <x:f>IF($B332&lt;=Inputs!$C$6,MAX(0,($C332-$F332))*(1-(1-Inputs!$C$8)^(1/12)),0)</x:f>
      </x:c>
      <x:c r="H332" s="24">
        <x:f>IF($B332&lt;=Inputs!$C$6,MAX(0,($C332-$F332-$G332))*(1-(1-Inputs!$C$9)^(1/12)),0)</x:f>
      </x:c>
      <x:c r="I332" s="24">
        <x:f>IF($B332&gt;Inputs!$C$11,INDEX($H:$H,ROW()-Inputs!$C$11)* (1-Inputs!$C$10),0)</x:f>
      </x:c>
      <x:c r="J332" s="24">
        <x:f>$H332*Inputs!$C$10</x:f>
      </x:c>
      <x:c r="K332" s="24">
        <x:f>IF($B332&lt;=Inputs!$C$6+Inputs!$C$11,$C332*Inputs!$C$7/12,0)</x:f>
      </x:c>
      <x:c r="L332" s="24">
        <x:f>IF($B332&lt;=Inputs!$C$6+Inputs!$C$11,$E332+$F332+$G332+$I332-$K332,0)</x:f>
      </x:c>
      <x:c r="M332" s="24">
        <x:f>IF($B332&lt;=Inputs!$C$6,MAX(0,$C332-$F332-$G332-$H332),0)</x:f>
      </x:c>
    </x:row>
    <x:row r="333">
      <x:c r="B333" s="22" t="n">
        <x:v>330</x:v>
      </x:c>
      <x:c r="C333" s="23">
        <x:f>IF($B333&lt;=Inputs!$C$6+Inputs!$C$11,$M332,"")</x:f>
      </x:c>
      <x:c r="D333" s="24">
        <x:f>IF($B333&lt;=Inputs!$C$6,-PMT(Inputs!$C$5/12,Inputs!$C$6,Inputs!$C$4),0)</x:f>
      </x:c>
      <x:c r="E333" s="24">
        <x:f>IF($B333&lt;=Inputs!$C$6+Inputs!$C$11,$C333*Inputs!$C$5/12,0)</x:f>
      </x:c>
      <x:c r="F333" s="24">
        <x:f>IF($B333&lt;=Inputs!$C$6,MAX(0,$D333-$E333),0)</x:f>
      </x:c>
      <x:c r="G333" s="24">
        <x:f>IF($B333&lt;=Inputs!$C$6,MAX(0,($C333-$F333))*(1-(1-Inputs!$C$8)^(1/12)),0)</x:f>
      </x:c>
      <x:c r="H333" s="24">
        <x:f>IF($B333&lt;=Inputs!$C$6,MAX(0,($C333-$F333-$G333))*(1-(1-Inputs!$C$9)^(1/12)),0)</x:f>
      </x:c>
      <x:c r="I333" s="24">
        <x:f>IF($B333&gt;Inputs!$C$11,INDEX($H:$H,ROW()-Inputs!$C$11)* (1-Inputs!$C$10),0)</x:f>
      </x:c>
      <x:c r="J333" s="24">
        <x:f>$H333*Inputs!$C$10</x:f>
      </x:c>
      <x:c r="K333" s="24">
        <x:f>IF($B333&lt;=Inputs!$C$6+Inputs!$C$11,$C333*Inputs!$C$7/12,0)</x:f>
      </x:c>
      <x:c r="L333" s="24">
        <x:f>IF($B333&lt;=Inputs!$C$6+Inputs!$C$11,$E333+$F333+$G333+$I333-$K333,0)</x:f>
      </x:c>
      <x:c r="M333" s="24">
        <x:f>IF($B333&lt;=Inputs!$C$6,MAX(0,$C333-$F333-$G333-$H333),0)</x:f>
      </x:c>
    </x:row>
    <x:row r="334">
      <x:c r="B334" s="22" t="n">
        <x:v>331</x:v>
      </x:c>
      <x:c r="C334" s="23">
        <x:f>IF($B334&lt;=Inputs!$C$6+Inputs!$C$11,$M333,"")</x:f>
      </x:c>
      <x:c r="D334" s="24">
        <x:f>IF($B334&lt;=Inputs!$C$6,-PMT(Inputs!$C$5/12,Inputs!$C$6,Inputs!$C$4),0)</x:f>
      </x:c>
      <x:c r="E334" s="24">
        <x:f>IF($B334&lt;=Inputs!$C$6+Inputs!$C$11,$C334*Inputs!$C$5/12,0)</x:f>
      </x:c>
      <x:c r="F334" s="24">
        <x:f>IF($B334&lt;=Inputs!$C$6,MAX(0,$D334-$E334),0)</x:f>
      </x:c>
      <x:c r="G334" s="24">
        <x:f>IF($B334&lt;=Inputs!$C$6,MAX(0,($C334-$F334))*(1-(1-Inputs!$C$8)^(1/12)),0)</x:f>
      </x:c>
      <x:c r="H334" s="24">
        <x:f>IF($B334&lt;=Inputs!$C$6,MAX(0,($C334-$F334-$G334))*(1-(1-Inputs!$C$9)^(1/12)),0)</x:f>
      </x:c>
      <x:c r="I334" s="24">
        <x:f>IF($B334&gt;Inputs!$C$11,INDEX($H:$H,ROW()-Inputs!$C$11)* (1-Inputs!$C$10),0)</x:f>
      </x:c>
      <x:c r="J334" s="24">
        <x:f>$H334*Inputs!$C$10</x:f>
      </x:c>
      <x:c r="K334" s="24">
        <x:f>IF($B334&lt;=Inputs!$C$6+Inputs!$C$11,$C334*Inputs!$C$7/12,0)</x:f>
      </x:c>
      <x:c r="L334" s="24">
        <x:f>IF($B334&lt;=Inputs!$C$6+Inputs!$C$11,$E334+$F334+$G334+$I334-$K334,0)</x:f>
      </x:c>
      <x:c r="M334" s="24">
        <x:f>IF($B334&lt;=Inputs!$C$6,MAX(0,$C334-$F334-$G334-$H334),0)</x:f>
      </x:c>
    </x:row>
    <x:row r="335">
      <x:c r="B335" s="22" t="n">
        <x:v>332</x:v>
      </x:c>
      <x:c r="C335" s="23">
        <x:f>IF($B335&lt;=Inputs!$C$6+Inputs!$C$11,$M334,"")</x:f>
      </x:c>
      <x:c r="D335" s="24">
        <x:f>IF($B335&lt;=Inputs!$C$6,-PMT(Inputs!$C$5/12,Inputs!$C$6,Inputs!$C$4),0)</x:f>
      </x:c>
      <x:c r="E335" s="24">
        <x:f>IF($B335&lt;=Inputs!$C$6+Inputs!$C$11,$C335*Inputs!$C$5/12,0)</x:f>
      </x:c>
      <x:c r="F335" s="24">
        <x:f>IF($B335&lt;=Inputs!$C$6,MAX(0,$D335-$E335),0)</x:f>
      </x:c>
      <x:c r="G335" s="24">
        <x:f>IF($B335&lt;=Inputs!$C$6,MAX(0,($C335-$F335))*(1-(1-Inputs!$C$8)^(1/12)),0)</x:f>
      </x:c>
      <x:c r="H335" s="24">
        <x:f>IF($B335&lt;=Inputs!$C$6,MAX(0,($C335-$F335-$G335))*(1-(1-Inputs!$C$9)^(1/12)),0)</x:f>
      </x:c>
      <x:c r="I335" s="24">
        <x:f>IF($B335&gt;Inputs!$C$11,INDEX($H:$H,ROW()-Inputs!$C$11)* (1-Inputs!$C$10),0)</x:f>
      </x:c>
      <x:c r="J335" s="24">
        <x:f>$H335*Inputs!$C$10</x:f>
      </x:c>
      <x:c r="K335" s="24">
        <x:f>IF($B335&lt;=Inputs!$C$6+Inputs!$C$11,$C335*Inputs!$C$7/12,0)</x:f>
      </x:c>
      <x:c r="L335" s="24">
        <x:f>IF($B335&lt;=Inputs!$C$6+Inputs!$C$11,$E335+$F335+$G335+$I335-$K335,0)</x:f>
      </x:c>
      <x:c r="M335" s="24">
        <x:f>IF($B335&lt;=Inputs!$C$6,MAX(0,$C335-$F335-$G335-$H335),0)</x:f>
      </x:c>
    </x:row>
    <x:row r="336">
      <x:c r="B336" s="22" t="n">
        <x:v>333</x:v>
      </x:c>
      <x:c r="C336" s="23">
        <x:f>IF($B336&lt;=Inputs!$C$6+Inputs!$C$11,$M335,"")</x:f>
      </x:c>
      <x:c r="D336" s="24">
        <x:f>IF($B336&lt;=Inputs!$C$6,-PMT(Inputs!$C$5/12,Inputs!$C$6,Inputs!$C$4),0)</x:f>
      </x:c>
      <x:c r="E336" s="24">
        <x:f>IF($B336&lt;=Inputs!$C$6+Inputs!$C$11,$C336*Inputs!$C$5/12,0)</x:f>
      </x:c>
      <x:c r="F336" s="24">
        <x:f>IF($B336&lt;=Inputs!$C$6,MAX(0,$D336-$E336),0)</x:f>
      </x:c>
      <x:c r="G336" s="24">
        <x:f>IF($B336&lt;=Inputs!$C$6,MAX(0,($C336-$F336))*(1-(1-Inputs!$C$8)^(1/12)),0)</x:f>
      </x:c>
      <x:c r="H336" s="24">
        <x:f>IF($B336&lt;=Inputs!$C$6,MAX(0,($C336-$F336-$G336))*(1-(1-Inputs!$C$9)^(1/12)),0)</x:f>
      </x:c>
      <x:c r="I336" s="24">
        <x:f>IF($B336&gt;Inputs!$C$11,INDEX($H:$H,ROW()-Inputs!$C$11)* (1-Inputs!$C$10),0)</x:f>
      </x:c>
      <x:c r="J336" s="24">
        <x:f>$H336*Inputs!$C$10</x:f>
      </x:c>
      <x:c r="K336" s="24">
        <x:f>IF($B336&lt;=Inputs!$C$6+Inputs!$C$11,$C336*Inputs!$C$7/12,0)</x:f>
      </x:c>
      <x:c r="L336" s="24">
        <x:f>IF($B336&lt;=Inputs!$C$6+Inputs!$C$11,$E336+$F336+$G336+$I336-$K336,0)</x:f>
      </x:c>
      <x:c r="M336" s="24">
        <x:f>IF($B336&lt;=Inputs!$C$6,MAX(0,$C336-$F336-$G336-$H336),0)</x:f>
      </x:c>
    </x:row>
    <x:row r="337">
      <x:c r="B337" s="22" t="n">
        <x:v>334</x:v>
      </x:c>
      <x:c r="C337" s="23">
        <x:f>IF($B337&lt;=Inputs!$C$6+Inputs!$C$11,$M336,"")</x:f>
      </x:c>
      <x:c r="D337" s="24">
        <x:f>IF($B337&lt;=Inputs!$C$6,-PMT(Inputs!$C$5/12,Inputs!$C$6,Inputs!$C$4),0)</x:f>
      </x:c>
      <x:c r="E337" s="24">
        <x:f>IF($B337&lt;=Inputs!$C$6+Inputs!$C$11,$C337*Inputs!$C$5/12,0)</x:f>
      </x:c>
      <x:c r="F337" s="24">
        <x:f>IF($B337&lt;=Inputs!$C$6,MAX(0,$D337-$E337),0)</x:f>
      </x:c>
      <x:c r="G337" s="24">
        <x:f>IF($B337&lt;=Inputs!$C$6,MAX(0,($C337-$F337))*(1-(1-Inputs!$C$8)^(1/12)),0)</x:f>
      </x:c>
      <x:c r="H337" s="24">
        <x:f>IF($B337&lt;=Inputs!$C$6,MAX(0,($C337-$F337-$G337))*(1-(1-Inputs!$C$9)^(1/12)),0)</x:f>
      </x:c>
      <x:c r="I337" s="24">
        <x:f>IF($B337&gt;Inputs!$C$11,INDEX($H:$H,ROW()-Inputs!$C$11)* (1-Inputs!$C$10),0)</x:f>
      </x:c>
      <x:c r="J337" s="24">
        <x:f>$H337*Inputs!$C$10</x:f>
      </x:c>
      <x:c r="K337" s="24">
        <x:f>IF($B337&lt;=Inputs!$C$6+Inputs!$C$11,$C337*Inputs!$C$7/12,0)</x:f>
      </x:c>
      <x:c r="L337" s="24">
        <x:f>IF($B337&lt;=Inputs!$C$6+Inputs!$C$11,$E337+$F337+$G337+$I337-$K337,0)</x:f>
      </x:c>
      <x:c r="M337" s="24">
        <x:f>IF($B337&lt;=Inputs!$C$6,MAX(0,$C337-$F337-$G337-$H337),0)</x:f>
      </x:c>
    </x:row>
    <x:row r="338">
      <x:c r="B338" s="22" t="n">
        <x:v>335</x:v>
      </x:c>
      <x:c r="C338" s="23">
        <x:f>IF($B338&lt;=Inputs!$C$6+Inputs!$C$11,$M337,"")</x:f>
      </x:c>
      <x:c r="D338" s="24">
        <x:f>IF($B338&lt;=Inputs!$C$6,-PMT(Inputs!$C$5/12,Inputs!$C$6,Inputs!$C$4),0)</x:f>
      </x:c>
      <x:c r="E338" s="24">
        <x:f>IF($B338&lt;=Inputs!$C$6+Inputs!$C$11,$C338*Inputs!$C$5/12,0)</x:f>
      </x:c>
      <x:c r="F338" s="24">
        <x:f>IF($B338&lt;=Inputs!$C$6,MAX(0,$D338-$E338),0)</x:f>
      </x:c>
      <x:c r="G338" s="24">
        <x:f>IF($B338&lt;=Inputs!$C$6,MAX(0,($C338-$F338))*(1-(1-Inputs!$C$8)^(1/12)),0)</x:f>
      </x:c>
      <x:c r="H338" s="24">
        <x:f>IF($B338&lt;=Inputs!$C$6,MAX(0,($C338-$F338-$G338))*(1-(1-Inputs!$C$9)^(1/12)),0)</x:f>
      </x:c>
      <x:c r="I338" s="24">
        <x:f>IF($B338&gt;Inputs!$C$11,INDEX($H:$H,ROW()-Inputs!$C$11)* (1-Inputs!$C$10),0)</x:f>
      </x:c>
      <x:c r="J338" s="24">
        <x:f>$H338*Inputs!$C$10</x:f>
      </x:c>
      <x:c r="K338" s="24">
        <x:f>IF($B338&lt;=Inputs!$C$6+Inputs!$C$11,$C338*Inputs!$C$7/12,0)</x:f>
      </x:c>
      <x:c r="L338" s="24">
        <x:f>IF($B338&lt;=Inputs!$C$6+Inputs!$C$11,$E338+$F338+$G338+$I338-$K338,0)</x:f>
      </x:c>
      <x:c r="M338" s="24">
        <x:f>IF($B338&lt;=Inputs!$C$6,MAX(0,$C338-$F338-$G338-$H338),0)</x:f>
      </x:c>
    </x:row>
    <x:row r="339">
      <x:c r="B339" s="22" t="n">
        <x:v>336</x:v>
      </x:c>
      <x:c r="C339" s="23">
        <x:f>IF($B339&lt;=Inputs!$C$6+Inputs!$C$11,$M338,"")</x:f>
      </x:c>
      <x:c r="D339" s="24">
        <x:f>IF($B339&lt;=Inputs!$C$6,-PMT(Inputs!$C$5/12,Inputs!$C$6,Inputs!$C$4),0)</x:f>
      </x:c>
      <x:c r="E339" s="24">
        <x:f>IF($B339&lt;=Inputs!$C$6+Inputs!$C$11,$C339*Inputs!$C$5/12,0)</x:f>
      </x:c>
      <x:c r="F339" s="24">
        <x:f>IF($B339&lt;=Inputs!$C$6,MAX(0,$D339-$E339),0)</x:f>
      </x:c>
      <x:c r="G339" s="24">
        <x:f>IF($B339&lt;=Inputs!$C$6,MAX(0,($C339-$F339))*(1-(1-Inputs!$C$8)^(1/12)),0)</x:f>
      </x:c>
      <x:c r="H339" s="24">
        <x:f>IF($B339&lt;=Inputs!$C$6,MAX(0,($C339-$F339-$G339))*(1-(1-Inputs!$C$9)^(1/12)),0)</x:f>
      </x:c>
      <x:c r="I339" s="24">
        <x:f>IF($B339&gt;Inputs!$C$11,INDEX($H:$H,ROW()-Inputs!$C$11)* (1-Inputs!$C$10),0)</x:f>
      </x:c>
      <x:c r="J339" s="24">
        <x:f>$H339*Inputs!$C$10</x:f>
      </x:c>
      <x:c r="K339" s="24">
        <x:f>IF($B339&lt;=Inputs!$C$6+Inputs!$C$11,$C339*Inputs!$C$7/12,0)</x:f>
      </x:c>
      <x:c r="L339" s="24">
        <x:f>IF($B339&lt;=Inputs!$C$6+Inputs!$C$11,$E339+$F339+$G339+$I339-$K339,0)</x:f>
      </x:c>
      <x:c r="M339" s="24">
        <x:f>IF($B339&lt;=Inputs!$C$6,MAX(0,$C339-$F339-$G339-$H339),0)</x:f>
      </x:c>
    </x:row>
    <x:row r="340">
      <x:c r="B340" s="22" t="n">
        <x:v>337</x:v>
      </x:c>
      <x:c r="C340" s="23">
        <x:f>IF($B340&lt;=Inputs!$C$6+Inputs!$C$11,$M339,"")</x:f>
      </x:c>
      <x:c r="D340" s="24">
        <x:f>IF($B340&lt;=Inputs!$C$6,-PMT(Inputs!$C$5/12,Inputs!$C$6,Inputs!$C$4),0)</x:f>
      </x:c>
      <x:c r="E340" s="24">
        <x:f>IF($B340&lt;=Inputs!$C$6+Inputs!$C$11,$C340*Inputs!$C$5/12,0)</x:f>
      </x:c>
      <x:c r="F340" s="24">
        <x:f>IF($B340&lt;=Inputs!$C$6,MAX(0,$D340-$E340),0)</x:f>
      </x:c>
      <x:c r="G340" s="24">
        <x:f>IF($B340&lt;=Inputs!$C$6,MAX(0,($C340-$F340))*(1-(1-Inputs!$C$8)^(1/12)),0)</x:f>
      </x:c>
      <x:c r="H340" s="24">
        <x:f>IF($B340&lt;=Inputs!$C$6,MAX(0,($C340-$F340-$G340))*(1-(1-Inputs!$C$9)^(1/12)),0)</x:f>
      </x:c>
      <x:c r="I340" s="24">
        <x:f>IF($B340&gt;Inputs!$C$11,INDEX($H:$H,ROW()-Inputs!$C$11)* (1-Inputs!$C$10),0)</x:f>
      </x:c>
      <x:c r="J340" s="24">
        <x:f>$H340*Inputs!$C$10</x:f>
      </x:c>
      <x:c r="K340" s="24">
        <x:f>IF($B340&lt;=Inputs!$C$6+Inputs!$C$11,$C340*Inputs!$C$7/12,0)</x:f>
      </x:c>
      <x:c r="L340" s="24">
        <x:f>IF($B340&lt;=Inputs!$C$6+Inputs!$C$11,$E340+$F340+$G340+$I340-$K340,0)</x:f>
      </x:c>
      <x:c r="M340" s="24">
        <x:f>IF($B340&lt;=Inputs!$C$6,MAX(0,$C340-$F340-$G340-$H340),0)</x:f>
      </x:c>
    </x:row>
    <x:row r="341">
      <x:c r="B341" s="22" t="n">
        <x:v>338</x:v>
      </x:c>
      <x:c r="C341" s="23">
        <x:f>IF($B341&lt;=Inputs!$C$6+Inputs!$C$11,$M340,"")</x:f>
      </x:c>
      <x:c r="D341" s="24">
        <x:f>IF($B341&lt;=Inputs!$C$6,-PMT(Inputs!$C$5/12,Inputs!$C$6,Inputs!$C$4),0)</x:f>
      </x:c>
      <x:c r="E341" s="24">
        <x:f>IF($B341&lt;=Inputs!$C$6+Inputs!$C$11,$C341*Inputs!$C$5/12,0)</x:f>
      </x:c>
      <x:c r="F341" s="24">
        <x:f>IF($B341&lt;=Inputs!$C$6,MAX(0,$D341-$E341),0)</x:f>
      </x:c>
      <x:c r="G341" s="24">
        <x:f>IF($B341&lt;=Inputs!$C$6,MAX(0,($C341-$F341))*(1-(1-Inputs!$C$8)^(1/12)),0)</x:f>
      </x:c>
      <x:c r="H341" s="24">
        <x:f>IF($B341&lt;=Inputs!$C$6,MAX(0,($C341-$F341-$G341))*(1-(1-Inputs!$C$9)^(1/12)),0)</x:f>
      </x:c>
      <x:c r="I341" s="24">
        <x:f>IF($B341&gt;Inputs!$C$11,INDEX($H:$H,ROW()-Inputs!$C$11)* (1-Inputs!$C$10),0)</x:f>
      </x:c>
      <x:c r="J341" s="24">
        <x:f>$H341*Inputs!$C$10</x:f>
      </x:c>
      <x:c r="K341" s="24">
        <x:f>IF($B341&lt;=Inputs!$C$6+Inputs!$C$11,$C341*Inputs!$C$7/12,0)</x:f>
      </x:c>
      <x:c r="L341" s="24">
        <x:f>IF($B341&lt;=Inputs!$C$6+Inputs!$C$11,$E341+$F341+$G341+$I341-$K341,0)</x:f>
      </x:c>
      <x:c r="M341" s="24">
        <x:f>IF($B341&lt;=Inputs!$C$6,MAX(0,$C341-$F341-$G341-$H341),0)</x:f>
      </x:c>
    </x:row>
    <x:row r="342">
      <x:c r="B342" s="22" t="n">
        <x:v>339</x:v>
      </x:c>
      <x:c r="C342" s="23">
        <x:f>IF($B342&lt;=Inputs!$C$6+Inputs!$C$11,$M341,"")</x:f>
      </x:c>
      <x:c r="D342" s="24">
        <x:f>IF($B342&lt;=Inputs!$C$6,-PMT(Inputs!$C$5/12,Inputs!$C$6,Inputs!$C$4),0)</x:f>
      </x:c>
      <x:c r="E342" s="24">
        <x:f>IF($B342&lt;=Inputs!$C$6+Inputs!$C$11,$C342*Inputs!$C$5/12,0)</x:f>
      </x:c>
      <x:c r="F342" s="24">
        <x:f>IF($B342&lt;=Inputs!$C$6,MAX(0,$D342-$E342),0)</x:f>
      </x:c>
      <x:c r="G342" s="24">
        <x:f>IF($B342&lt;=Inputs!$C$6,MAX(0,($C342-$F342))*(1-(1-Inputs!$C$8)^(1/12)),0)</x:f>
      </x:c>
      <x:c r="H342" s="24">
        <x:f>IF($B342&lt;=Inputs!$C$6,MAX(0,($C342-$F342-$G342))*(1-(1-Inputs!$C$9)^(1/12)),0)</x:f>
      </x:c>
      <x:c r="I342" s="24">
        <x:f>IF($B342&gt;Inputs!$C$11,INDEX($H:$H,ROW()-Inputs!$C$11)* (1-Inputs!$C$10),0)</x:f>
      </x:c>
      <x:c r="J342" s="24">
        <x:f>$H342*Inputs!$C$10</x:f>
      </x:c>
      <x:c r="K342" s="24">
        <x:f>IF($B342&lt;=Inputs!$C$6+Inputs!$C$11,$C342*Inputs!$C$7/12,0)</x:f>
      </x:c>
      <x:c r="L342" s="24">
        <x:f>IF($B342&lt;=Inputs!$C$6+Inputs!$C$11,$E342+$F342+$G342+$I342-$K342,0)</x:f>
      </x:c>
      <x:c r="M342" s="24">
        <x:f>IF($B342&lt;=Inputs!$C$6,MAX(0,$C342-$F342-$G342-$H342),0)</x:f>
      </x:c>
    </x:row>
    <x:row r="343">
      <x:c r="B343" s="22" t="n">
        <x:v>340</x:v>
      </x:c>
      <x:c r="C343" s="23">
        <x:f>IF($B343&lt;=Inputs!$C$6+Inputs!$C$11,$M342,"")</x:f>
      </x:c>
      <x:c r="D343" s="24">
        <x:f>IF($B343&lt;=Inputs!$C$6,-PMT(Inputs!$C$5/12,Inputs!$C$6,Inputs!$C$4),0)</x:f>
      </x:c>
      <x:c r="E343" s="24">
        <x:f>IF($B343&lt;=Inputs!$C$6+Inputs!$C$11,$C343*Inputs!$C$5/12,0)</x:f>
      </x:c>
      <x:c r="F343" s="24">
        <x:f>IF($B343&lt;=Inputs!$C$6,MAX(0,$D343-$E343),0)</x:f>
      </x:c>
      <x:c r="G343" s="24">
        <x:f>IF($B343&lt;=Inputs!$C$6,MAX(0,($C343-$F343))*(1-(1-Inputs!$C$8)^(1/12)),0)</x:f>
      </x:c>
      <x:c r="H343" s="24">
        <x:f>IF($B343&lt;=Inputs!$C$6,MAX(0,($C343-$F343-$G343))*(1-(1-Inputs!$C$9)^(1/12)),0)</x:f>
      </x:c>
      <x:c r="I343" s="24">
        <x:f>IF($B343&gt;Inputs!$C$11,INDEX($H:$H,ROW()-Inputs!$C$11)* (1-Inputs!$C$10),0)</x:f>
      </x:c>
      <x:c r="J343" s="24">
        <x:f>$H343*Inputs!$C$10</x:f>
      </x:c>
      <x:c r="K343" s="24">
        <x:f>IF($B343&lt;=Inputs!$C$6+Inputs!$C$11,$C343*Inputs!$C$7/12,0)</x:f>
      </x:c>
      <x:c r="L343" s="24">
        <x:f>IF($B343&lt;=Inputs!$C$6+Inputs!$C$11,$E343+$F343+$G343+$I343-$K343,0)</x:f>
      </x:c>
      <x:c r="M343" s="24">
        <x:f>IF($B343&lt;=Inputs!$C$6,MAX(0,$C343-$F343-$G343-$H343),0)</x:f>
      </x:c>
    </x:row>
    <x:row r="344">
      <x:c r="B344" s="22" t="n">
        <x:v>341</x:v>
      </x:c>
      <x:c r="C344" s="23">
        <x:f>IF($B344&lt;=Inputs!$C$6+Inputs!$C$11,$M343,"")</x:f>
      </x:c>
      <x:c r="D344" s="24">
        <x:f>IF($B344&lt;=Inputs!$C$6,-PMT(Inputs!$C$5/12,Inputs!$C$6,Inputs!$C$4),0)</x:f>
      </x:c>
      <x:c r="E344" s="24">
        <x:f>IF($B344&lt;=Inputs!$C$6+Inputs!$C$11,$C344*Inputs!$C$5/12,0)</x:f>
      </x:c>
      <x:c r="F344" s="24">
        <x:f>IF($B344&lt;=Inputs!$C$6,MAX(0,$D344-$E344),0)</x:f>
      </x:c>
      <x:c r="G344" s="24">
        <x:f>IF($B344&lt;=Inputs!$C$6,MAX(0,($C344-$F344))*(1-(1-Inputs!$C$8)^(1/12)),0)</x:f>
      </x:c>
      <x:c r="H344" s="24">
        <x:f>IF($B344&lt;=Inputs!$C$6,MAX(0,($C344-$F344-$G344))*(1-(1-Inputs!$C$9)^(1/12)),0)</x:f>
      </x:c>
      <x:c r="I344" s="24">
        <x:f>IF($B344&gt;Inputs!$C$11,INDEX($H:$H,ROW()-Inputs!$C$11)* (1-Inputs!$C$10),0)</x:f>
      </x:c>
      <x:c r="J344" s="24">
        <x:f>$H344*Inputs!$C$10</x:f>
      </x:c>
      <x:c r="K344" s="24">
        <x:f>IF($B344&lt;=Inputs!$C$6+Inputs!$C$11,$C344*Inputs!$C$7/12,0)</x:f>
      </x:c>
      <x:c r="L344" s="24">
        <x:f>IF($B344&lt;=Inputs!$C$6+Inputs!$C$11,$E344+$F344+$G344+$I344-$K344,0)</x:f>
      </x:c>
      <x:c r="M344" s="24">
        <x:f>IF($B344&lt;=Inputs!$C$6,MAX(0,$C344-$F344-$G344-$H344),0)</x:f>
      </x:c>
    </x:row>
    <x:row r="345">
      <x:c r="B345" s="22" t="n">
        <x:v>342</x:v>
      </x:c>
      <x:c r="C345" s="23">
        <x:f>IF($B345&lt;=Inputs!$C$6+Inputs!$C$11,$M344,"")</x:f>
      </x:c>
      <x:c r="D345" s="24">
        <x:f>IF($B345&lt;=Inputs!$C$6,-PMT(Inputs!$C$5/12,Inputs!$C$6,Inputs!$C$4),0)</x:f>
      </x:c>
      <x:c r="E345" s="24">
        <x:f>IF($B345&lt;=Inputs!$C$6+Inputs!$C$11,$C345*Inputs!$C$5/12,0)</x:f>
      </x:c>
      <x:c r="F345" s="24">
        <x:f>IF($B345&lt;=Inputs!$C$6,MAX(0,$D345-$E345),0)</x:f>
      </x:c>
      <x:c r="G345" s="24">
        <x:f>IF($B345&lt;=Inputs!$C$6,MAX(0,($C345-$F345))*(1-(1-Inputs!$C$8)^(1/12)),0)</x:f>
      </x:c>
      <x:c r="H345" s="24">
        <x:f>IF($B345&lt;=Inputs!$C$6,MAX(0,($C345-$F345-$G345))*(1-(1-Inputs!$C$9)^(1/12)),0)</x:f>
      </x:c>
      <x:c r="I345" s="24">
        <x:f>IF($B345&gt;Inputs!$C$11,INDEX($H:$H,ROW()-Inputs!$C$11)* (1-Inputs!$C$10),0)</x:f>
      </x:c>
      <x:c r="J345" s="24">
        <x:f>$H345*Inputs!$C$10</x:f>
      </x:c>
      <x:c r="K345" s="24">
        <x:f>IF($B345&lt;=Inputs!$C$6+Inputs!$C$11,$C345*Inputs!$C$7/12,0)</x:f>
      </x:c>
      <x:c r="L345" s="24">
        <x:f>IF($B345&lt;=Inputs!$C$6+Inputs!$C$11,$E345+$F345+$G345+$I345-$K345,0)</x:f>
      </x:c>
      <x:c r="M345" s="24">
        <x:f>IF($B345&lt;=Inputs!$C$6,MAX(0,$C345-$F345-$G345-$H345),0)</x:f>
      </x:c>
    </x:row>
    <x:row r="346">
      <x:c r="B346" s="22" t="n">
        <x:v>343</x:v>
      </x:c>
      <x:c r="C346" s="23">
        <x:f>IF($B346&lt;=Inputs!$C$6+Inputs!$C$11,$M345,"")</x:f>
      </x:c>
      <x:c r="D346" s="24">
        <x:f>IF($B346&lt;=Inputs!$C$6,-PMT(Inputs!$C$5/12,Inputs!$C$6,Inputs!$C$4),0)</x:f>
      </x:c>
      <x:c r="E346" s="24">
        <x:f>IF($B346&lt;=Inputs!$C$6+Inputs!$C$11,$C346*Inputs!$C$5/12,0)</x:f>
      </x:c>
      <x:c r="F346" s="24">
        <x:f>IF($B346&lt;=Inputs!$C$6,MAX(0,$D346-$E346),0)</x:f>
      </x:c>
      <x:c r="G346" s="24">
        <x:f>IF($B346&lt;=Inputs!$C$6,MAX(0,($C346-$F346))*(1-(1-Inputs!$C$8)^(1/12)),0)</x:f>
      </x:c>
      <x:c r="H346" s="24">
        <x:f>IF($B346&lt;=Inputs!$C$6,MAX(0,($C346-$F346-$G346))*(1-(1-Inputs!$C$9)^(1/12)),0)</x:f>
      </x:c>
      <x:c r="I346" s="24">
        <x:f>IF($B346&gt;Inputs!$C$11,INDEX($H:$H,ROW()-Inputs!$C$11)* (1-Inputs!$C$10),0)</x:f>
      </x:c>
      <x:c r="J346" s="24">
        <x:f>$H346*Inputs!$C$10</x:f>
      </x:c>
      <x:c r="K346" s="24">
        <x:f>IF($B346&lt;=Inputs!$C$6+Inputs!$C$11,$C346*Inputs!$C$7/12,0)</x:f>
      </x:c>
      <x:c r="L346" s="24">
        <x:f>IF($B346&lt;=Inputs!$C$6+Inputs!$C$11,$E346+$F346+$G346+$I346-$K346,0)</x:f>
      </x:c>
      <x:c r="M346" s="24">
        <x:f>IF($B346&lt;=Inputs!$C$6,MAX(0,$C346-$F346-$G346-$H346),0)</x:f>
      </x:c>
    </x:row>
    <x:row r="347">
      <x:c r="B347" s="22" t="n">
        <x:v>344</x:v>
      </x:c>
      <x:c r="C347" s="23">
        <x:f>IF($B347&lt;=Inputs!$C$6+Inputs!$C$11,$M346,"")</x:f>
      </x:c>
      <x:c r="D347" s="24">
        <x:f>IF($B347&lt;=Inputs!$C$6,-PMT(Inputs!$C$5/12,Inputs!$C$6,Inputs!$C$4),0)</x:f>
      </x:c>
      <x:c r="E347" s="24">
        <x:f>IF($B347&lt;=Inputs!$C$6+Inputs!$C$11,$C347*Inputs!$C$5/12,0)</x:f>
      </x:c>
      <x:c r="F347" s="24">
        <x:f>IF($B347&lt;=Inputs!$C$6,MAX(0,$D347-$E347),0)</x:f>
      </x:c>
      <x:c r="G347" s="24">
        <x:f>IF($B347&lt;=Inputs!$C$6,MAX(0,($C347-$F347))*(1-(1-Inputs!$C$8)^(1/12)),0)</x:f>
      </x:c>
      <x:c r="H347" s="24">
        <x:f>IF($B347&lt;=Inputs!$C$6,MAX(0,($C347-$F347-$G347))*(1-(1-Inputs!$C$9)^(1/12)),0)</x:f>
      </x:c>
      <x:c r="I347" s="24">
        <x:f>IF($B347&gt;Inputs!$C$11,INDEX($H:$H,ROW()-Inputs!$C$11)* (1-Inputs!$C$10),0)</x:f>
      </x:c>
      <x:c r="J347" s="24">
        <x:f>$H347*Inputs!$C$10</x:f>
      </x:c>
      <x:c r="K347" s="24">
        <x:f>IF($B347&lt;=Inputs!$C$6+Inputs!$C$11,$C347*Inputs!$C$7/12,0)</x:f>
      </x:c>
      <x:c r="L347" s="24">
        <x:f>IF($B347&lt;=Inputs!$C$6+Inputs!$C$11,$E347+$F347+$G347+$I347-$K347,0)</x:f>
      </x:c>
      <x:c r="M347" s="24">
        <x:f>IF($B347&lt;=Inputs!$C$6,MAX(0,$C347-$F347-$G347-$H347),0)</x:f>
      </x:c>
    </x:row>
    <x:row r="348">
      <x:c r="B348" s="22" t="n">
        <x:v>345</x:v>
      </x:c>
      <x:c r="C348" s="23">
        <x:f>IF($B348&lt;=Inputs!$C$6+Inputs!$C$11,$M347,"")</x:f>
      </x:c>
      <x:c r="D348" s="24">
        <x:f>IF($B348&lt;=Inputs!$C$6,-PMT(Inputs!$C$5/12,Inputs!$C$6,Inputs!$C$4),0)</x:f>
      </x:c>
      <x:c r="E348" s="24">
        <x:f>IF($B348&lt;=Inputs!$C$6+Inputs!$C$11,$C348*Inputs!$C$5/12,0)</x:f>
      </x:c>
      <x:c r="F348" s="24">
        <x:f>IF($B348&lt;=Inputs!$C$6,MAX(0,$D348-$E348),0)</x:f>
      </x:c>
      <x:c r="G348" s="24">
        <x:f>IF($B348&lt;=Inputs!$C$6,MAX(0,($C348-$F348))*(1-(1-Inputs!$C$8)^(1/12)),0)</x:f>
      </x:c>
      <x:c r="H348" s="24">
        <x:f>IF($B348&lt;=Inputs!$C$6,MAX(0,($C348-$F348-$G348))*(1-(1-Inputs!$C$9)^(1/12)),0)</x:f>
      </x:c>
      <x:c r="I348" s="24">
        <x:f>IF($B348&gt;Inputs!$C$11,INDEX($H:$H,ROW()-Inputs!$C$11)* (1-Inputs!$C$10),0)</x:f>
      </x:c>
      <x:c r="J348" s="24">
        <x:f>$H348*Inputs!$C$10</x:f>
      </x:c>
      <x:c r="K348" s="24">
        <x:f>IF($B348&lt;=Inputs!$C$6+Inputs!$C$11,$C348*Inputs!$C$7/12,0)</x:f>
      </x:c>
      <x:c r="L348" s="24">
        <x:f>IF($B348&lt;=Inputs!$C$6+Inputs!$C$11,$E348+$F348+$G348+$I348-$K348,0)</x:f>
      </x:c>
      <x:c r="M348" s="24">
        <x:f>IF($B348&lt;=Inputs!$C$6,MAX(0,$C348-$F348-$G348-$H348),0)</x:f>
      </x:c>
    </x:row>
    <x:row r="349">
      <x:c r="B349" s="22" t="n">
        <x:v>346</x:v>
      </x:c>
      <x:c r="C349" s="23">
        <x:f>IF($B349&lt;=Inputs!$C$6+Inputs!$C$11,$M348,"")</x:f>
      </x:c>
      <x:c r="D349" s="24">
        <x:f>IF($B349&lt;=Inputs!$C$6,-PMT(Inputs!$C$5/12,Inputs!$C$6,Inputs!$C$4),0)</x:f>
      </x:c>
      <x:c r="E349" s="24">
        <x:f>IF($B349&lt;=Inputs!$C$6+Inputs!$C$11,$C349*Inputs!$C$5/12,0)</x:f>
      </x:c>
      <x:c r="F349" s="24">
        <x:f>IF($B349&lt;=Inputs!$C$6,MAX(0,$D349-$E349),0)</x:f>
      </x:c>
      <x:c r="G349" s="24">
        <x:f>IF($B349&lt;=Inputs!$C$6,MAX(0,($C349-$F349))*(1-(1-Inputs!$C$8)^(1/12)),0)</x:f>
      </x:c>
      <x:c r="H349" s="24">
        <x:f>IF($B349&lt;=Inputs!$C$6,MAX(0,($C349-$F349-$G349))*(1-(1-Inputs!$C$9)^(1/12)),0)</x:f>
      </x:c>
      <x:c r="I349" s="24">
        <x:f>IF($B349&gt;Inputs!$C$11,INDEX($H:$H,ROW()-Inputs!$C$11)* (1-Inputs!$C$10),0)</x:f>
      </x:c>
      <x:c r="J349" s="24">
        <x:f>$H349*Inputs!$C$10</x:f>
      </x:c>
      <x:c r="K349" s="24">
        <x:f>IF($B349&lt;=Inputs!$C$6+Inputs!$C$11,$C349*Inputs!$C$7/12,0)</x:f>
      </x:c>
      <x:c r="L349" s="24">
        <x:f>IF($B349&lt;=Inputs!$C$6+Inputs!$C$11,$E349+$F349+$G349+$I349-$K349,0)</x:f>
      </x:c>
      <x:c r="M349" s="24">
        <x:f>IF($B349&lt;=Inputs!$C$6,MAX(0,$C349-$F349-$G349-$H349),0)</x:f>
      </x:c>
    </x:row>
    <x:row r="350">
      <x:c r="B350" s="22" t="n">
        <x:v>347</x:v>
      </x:c>
      <x:c r="C350" s="23">
        <x:f>IF($B350&lt;=Inputs!$C$6+Inputs!$C$11,$M349,"")</x:f>
      </x:c>
      <x:c r="D350" s="24">
        <x:f>IF($B350&lt;=Inputs!$C$6,-PMT(Inputs!$C$5/12,Inputs!$C$6,Inputs!$C$4),0)</x:f>
      </x:c>
      <x:c r="E350" s="24">
        <x:f>IF($B350&lt;=Inputs!$C$6+Inputs!$C$11,$C350*Inputs!$C$5/12,0)</x:f>
      </x:c>
      <x:c r="F350" s="24">
        <x:f>IF($B350&lt;=Inputs!$C$6,MAX(0,$D350-$E350),0)</x:f>
      </x:c>
      <x:c r="G350" s="24">
        <x:f>IF($B350&lt;=Inputs!$C$6,MAX(0,($C350-$F350))*(1-(1-Inputs!$C$8)^(1/12)),0)</x:f>
      </x:c>
      <x:c r="H350" s="24">
        <x:f>IF($B350&lt;=Inputs!$C$6,MAX(0,($C350-$F350-$G350))*(1-(1-Inputs!$C$9)^(1/12)),0)</x:f>
      </x:c>
      <x:c r="I350" s="24">
        <x:f>IF($B350&gt;Inputs!$C$11,INDEX($H:$H,ROW()-Inputs!$C$11)* (1-Inputs!$C$10),0)</x:f>
      </x:c>
      <x:c r="J350" s="24">
        <x:f>$H350*Inputs!$C$10</x:f>
      </x:c>
      <x:c r="K350" s="24">
        <x:f>IF($B350&lt;=Inputs!$C$6+Inputs!$C$11,$C350*Inputs!$C$7/12,0)</x:f>
      </x:c>
      <x:c r="L350" s="24">
        <x:f>IF($B350&lt;=Inputs!$C$6+Inputs!$C$11,$E350+$F350+$G350+$I350-$K350,0)</x:f>
      </x:c>
      <x:c r="M350" s="24">
        <x:f>IF($B350&lt;=Inputs!$C$6,MAX(0,$C350-$F350-$G350-$H350),0)</x:f>
      </x:c>
    </x:row>
    <x:row r="351">
      <x:c r="B351" s="22" t="n">
        <x:v>348</x:v>
      </x:c>
      <x:c r="C351" s="23">
        <x:f>IF($B351&lt;=Inputs!$C$6+Inputs!$C$11,$M350,"")</x:f>
      </x:c>
      <x:c r="D351" s="24">
        <x:f>IF($B351&lt;=Inputs!$C$6,-PMT(Inputs!$C$5/12,Inputs!$C$6,Inputs!$C$4),0)</x:f>
      </x:c>
      <x:c r="E351" s="24">
        <x:f>IF($B351&lt;=Inputs!$C$6+Inputs!$C$11,$C351*Inputs!$C$5/12,0)</x:f>
      </x:c>
      <x:c r="F351" s="24">
        <x:f>IF($B351&lt;=Inputs!$C$6,MAX(0,$D351-$E351),0)</x:f>
      </x:c>
      <x:c r="G351" s="24">
        <x:f>IF($B351&lt;=Inputs!$C$6,MAX(0,($C351-$F351))*(1-(1-Inputs!$C$8)^(1/12)),0)</x:f>
      </x:c>
      <x:c r="H351" s="24">
        <x:f>IF($B351&lt;=Inputs!$C$6,MAX(0,($C351-$F351-$G351))*(1-(1-Inputs!$C$9)^(1/12)),0)</x:f>
      </x:c>
      <x:c r="I351" s="24">
        <x:f>IF($B351&gt;Inputs!$C$11,INDEX($H:$H,ROW()-Inputs!$C$11)* (1-Inputs!$C$10),0)</x:f>
      </x:c>
      <x:c r="J351" s="24">
        <x:f>$H351*Inputs!$C$10</x:f>
      </x:c>
      <x:c r="K351" s="24">
        <x:f>IF($B351&lt;=Inputs!$C$6+Inputs!$C$11,$C351*Inputs!$C$7/12,0)</x:f>
      </x:c>
      <x:c r="L351" s="24">
        <x:f>IF($B351&lt;=Inputs!$C$6+Inputs!$C$11,$E351+$F351+$G351+$I351-$K351,0)</x:f>
      </x:c>
      <x:c r="M351" s="24">
        <x:f>IF($B351&lt;=Inputs!$C$6,MAX(0,$C351-$F351-$G351-$H351),0)</x:f>
      </x:c>
    </x:row>
    <x:row r="352">
      <x:c r="B352" s="22" t="n">
        <x:v>349</x:v>
      </x:c>
      <x:c r="C352" s="23">
        <x:f>IF($B352&lt;=Inputs!$C$6+Inputs!$C$11,$M351,"")</x:f>
      </x:c>
      <x:c r="D352" s="24">
        <x:f>IF($B352&lt;=Inputs!$C$6,-PMT(Inputs!$C$5/12,Inputs!$C$6,Inputs!$C$4),0)</x:f>
      </x:c>
      <x:c r="E352" s="24">
        <x:f>IF($B352&lt;=Inputs!$C$6+Inputs!$C$11,$C352*Inputs!$C$5/12,0)</x:f>
      </x:c>
      <x:c r="F352" s="24">
        <x:f>IF($B352&lt;=Inputs!$C$6,MAX(0,$D352-$E352),0)</x:f>
      </x:c>
      <x:c r="G352" s="24">
        <x:f>IF($B352&lt;=Inputs!$C$6,MAX(0,($C352-$F352))*(1-(1-Inputs!$C$8)^(1/12)),0)</x:f>
      </x:c>
      <x:c r="H352" s="24">
        <x:f>IF($B352&lt;=Inputs!$C$6,MAX(0,($C352-$F352-$G352))*(1-(1-Inputs!$C$9)^(1/12)),0)</x:f>
      </x:c>
      <x:c r="I352" s="24">
        <x:f>IF($B352&gt;Inputs!$C$11,INDEX($H:$H,ROW()-Inputs!$C$11)* (1-Inputs!$C$10),0)</x:f>
      </x:c>
      <x:c r="J352" s="24">
        <x:f>$H352*Inputs!$C$10</x:f>
      </x:c>
      <x:c r="K352" s="24">
        <x:f>IF($B352&lt;=Inputs!$C$6+Inputs!$C$11,$C352*Inputs!$C$7/12,0)</x:f>
      </x:c>
      <x:c r="L352" s="24">
        <x:f>IF($B352&lt;=Inputs!$C$6+Inputs!$C$11,$E352+$F352+$G352+$I352-$K352,0)</x:f>
      </x:c>
      <x:c r="M352" s="24">
        <x:f>IF($B352&lt;=Inputs!$C$6,MAX(0,$C352-$F352-$G352-$H352),0)</x:f>
      </x:c>
    </x:row>
    <x:row r="353">
      <x:c r="B353" s="22" t="n">
        <x:v>350</x:v>
      </x:c>
      <x:c r="C353" s="23">
        <x:f>IF($B353&lt;=Inputs!$C$6+Inputs!$C$11,$M352,"")</x:f>
      </x:c>
      <x:c r="D353" s="24">
        <x:f>IF($B353&lt;=Inputs!$C$6,-PMT(Inputs!$C$5/12,Inputs!$C$6,Inputs!$C$4),0)</x:f>
      </x:c>
      <x:c r="E353" s="24">
        <x:f>IF($B353&lt;=Inputs!$C$6+Inputs!$C$11,$C353*Inputs!$C$5/12,0)</x:f>
      </x:c>
      <x:c r="F353" s="24">
        <x:f>IF($B353&lt;=Inputs!$C$6,MAX(0,$D353-$E353),0)</x:f>
      </x:c>
      <x:c r="G353" s="24">
        <x:f>IF($B353&lt;=Inputs!$C$6,MAX(0,($C353-$F353))*(1-(1-Inputs!$C$8)^(1/12)),0)</x:f>
      </x:c>
      <x:c r="H353" s="24">
        <x:f>IF($B353&lt;=Inputs!$C$6,MAX(0,($C353-$F353-$G353))*(1-(1-Inputs!$C$9)^(1/12)),0)</x:f>
      </x:c>
      <x:c r="I353" s="24">
        <x:f>IF($B353&gt;Inputs!$C$11,INDEX($H:$H,ROW()-Inputs!$C$11)* (1-Inputs!$C$10),0)</x:f>
      </x:c>
      <x:c r="J353" s="24">
        <x:f>$H353*Inputs!$C$10</x:f>
      </x:c>
      <x:c r="K353" s="24">
        <x:f>IF($B353&lt;=Inputs!$C$6+Inputs!$C$11,$C353*Inputs!$C$7/12,0)</x:f>
      </x:c>
      <x:c r="L353" s="24">
        <x:f>IF($B353&lt;=Inputs!$C$6+Inputs!$C$11,$E353+$F353+$G353+$I353-$K353,0)</x:f>
      </x:c>
      <x:c r="M353" s="24">
        <x:f>IF($B353&lt;=Inputs!$C$6,MAX(0,$C353-$F353-$G353-$H353),0)</x:f>
      </x:c>
    </x:row>
    <x:row r="354">
      <x:c r="B354" s="22" t="n">
        <x:v>351</x:v>
      </x:c>
      <x:c r="C354" s="23">
        <x:f>IF($B354&lt;=Inputs!$C$6+Inputs!$C$11,$M353,"")</x:f>
      </x:c>
      <x:c r="D354" s="24">
        <x:f>IF($B354&lt;=Inputs!$C$6,-PMT(Inputs!$C$5/12,Inputs!$C$6,Inputs!$C$4),0)</x:f>
      </x:c>
      <x:c r="E354" s="24">
        <x:f>IF($B354&lt;=Inputs!$C$6+Inputs!$C$11,$C354*Inputs!$C$5/12,0)</x:f>
      </x:c>
      <x:c r="F354" s="24">
        <x:f>IF($B354&lt;=Inputs!$C$6,MAX(0,$D354-$E354),0)</x:f>
      </x:c>
      <x:c r="G354" s="24">
        <x:f>IF($B354&lt;=Inputs!$C$6,MAX(0,($C354-$F354))*(1-(1-Inputs!$C$8)^(1/12)),0)</x:f>
      </x:c>
      <x:c r="H354" s="24">
        <x:f>IF($B354&lt;=Inputs!$C$6,MAX(0,($C354-$F354-$G354))*(1-(1-Inputs!$C$9)^(1/12)),0)</x:f>
      </x:c>
      <x:c r="I354" s="24">
        <x:f>IF($B354&gt;Inputs!$C$11,INDEX($H:$H,ROW()-Inputs!$C$11)* (1-Inputs!$C$10),0)</x:f>
      </x:c>
      <x:c r="J354" s="24">
        <x:f>$H354*Inputs!$C$10</x:f>
      </x:c>
      <x:c r="K354" s="24">
        <x:f>IF($B354&lt;=Inputs!$C$6+Inputs!$C$11,$C354*Inputs!$C$7/12,0)</x:f>
      </x:c>
      <x:c r="L354" s="24">
        <x:f>IF($B354&lt;=Inputs!$C$6+Inputs!$C$11,$E354+$F354+$G354+$I354-$K354,0)</x:f>
      </x:c>
      <x:c r="M354" s="24">
        <x:f>IF($B354&lt;=Inputs!$C$6,MAX(0,$C354-$F354-$G354-$H354),0)</x:f>
      </x:c>
    </x:row>
    <x:row r="355">
      <x:c r="B355" s="22" t="n">
        <x:v>352</x:v>
      </x:c>
      <x:c r="C355" s="23">
        <x:f>IF($B355&lt;=Inputs!$C$6+Inputs!$C$11,$M354,"")</x:f>
      </x:c>
      <x:c r="D355" s="24">
        <x:f>IF($B355&lt;=Inputs!$C$6,-PMT(Inputs!$C$5/12,Inputs!$C$6,Inputs!$C$4),0)</x:f>
      </x:c>
      <x:c r="E355" s="24">
        <x:f>IF($B355&lt;=Inputs!$C$6+Inputs!$C$11,$C355*Inputs!$C$5/12,0)</x:f>
      </x:c>
      <x:c r="F355" s="24">
        <x:f>IF($B355&lt;=Inputs!$C$6,MAX(0,$D355-$E355),0)</x:f>
      </x:c>
      <x:c r="G355" s="24">
        <x:f>IF($B355&lt;=Inputs!$C$6,MAX(0,($C355-$F355))*(1-(1-Inputs!$C$8)^(1/12)),0)</x:f>
      </x:c>
      <x:c r="H355" s="24">
        <x:f>IF($B355&lt;=Inputs!$C$6,MAX(0,($C355-$F355-$G355))*(1-(1-Inputs!$C$9)^(1/12)),0)</x:f>
      </x:c>
      <x:c r="I355" s="24">
        <x:f>IF($B355&gt;Inputs!$C$11,INDEX($H:$H,ROW()-Inputs!$C$11)* (1-Inputs!$C$10),0)</x:f>
      </x:c>
      <x:c r="J355" s="24">
        <x:f>$H355*Inputs!$C$10</x:f>
      </x:c>
      <x:c r="K355" s="24">
        <x:f>IF($B355&lt;=Inputs!$C$6+Inputs!$C$11,$C355*Inputs!$C$7/12,0)</x:f>
      </x:c>
      <x:c r="L355" s="24">
        <x:f>IF($B355&lt;=Inputs!$C$6+Inputs!$C$11,$E355+$F355+$G355+$I355-$K355,0)</x:f>
      </x:c>
      <x:c r="M355" s="24">
        <x:f>IF($B355&lt;=Inputs!$C$6,MAX(0,$C355-$F355-$G355-$H355),0)</x:f>
      </x:c>
    </x:row>
    <x:row r="356">
      <x:c r="B356" s="22" t="n">
        <x:v>353</x:v>
      </x:c>
      <x:c r="C356" s="23">
        <x:f>IF($B356&lt;=Inputs!$C$6+Inputs!$C$11,$M355,"")</x:f>
      </x:c>
      <x:c r="D356" s="24">
        <x:f>IF($B356&lt;=Inputs!$C$6,-PMT(Inputs!$C$5/12,Inputs!$C$6,Inputs!$C$4),0)</x:f>
      </x:c>
      <x:c r="E356" s="24">
        <x:f>IF($B356&lt;=Inputs!$C$6+Inputs!$C$11,$C356*Inputs!$C$5/12,0)</x:f>
      </x:c>
      <x:c r="F356" s="24">
        <x:f>IF($B356&lt;=Inputs!$C$6,MAX(0,$D356-$E356),0)</x:f>
      </x:c>
      <x:c r="G356" s="24">
        <x:f>IF($B356&lt;=Inputs!$C$6,MAX(0,($C356-$F356))*(1-(1-Inputs!$C$8)^(1/12)),0)</x:f>
      </x:c>
      <x:c r="H356" s="24">
        <x:f>IF($B356&lt;=Inputs!$C$6,MAX(0,($C356-$F356-$G356))*(1-(1-Inputs!$C$9)^(1/12)),0)</x:f>
      </x:c>
      <x:c r="I356" s="24">
        <x:f>IF($B356&gt;Inputs!$C$11,INDEX($H:$H,ROW()-Inputs!$C$11)* (1-Inputs!$C$10),0)</x:f>
      </x:c>
      <x:c r="J356" s="24">
        <x:f>$H356*Inputs!$C$10</x:f>
      </x:c>
      <x:c r="K356" s="24">
        <x:f>IF($B356&lt;=Inputs!$C$6+Inputs!$C$11,$C356*Inputs!$C$7/12,0)</x:f>
      </x:c>
      <x:c r="L356" s="24">
        <x:f>IF($B356&lt;=Inputs!$C$6+Inputs!$C$11,$E356+$F356+$G356+$I356-$K356,0)</x:f>
      </x:c>
      <x:c r="M356" s="24">
        <x:f>IF($B356&lt;=Inputs!$C$6,MAX(0,$C356-$F356-$G356-$H356),0)</x:f>
      </x:c>
    </x:row>
    <x:row r="357">
      <x:c r="B357" s="22" t="n">
        <x:v>354</x:v>
      </x:c>
      <x:c r="C357" s="23">
        <x:f>IF($B357&lt;=Inputs!$C$6+Inputs!$C$11,$M356,"")</x:f>
      </x:c>
      <x:c r="D357" s="24">
        <x:f>IF($B357&lt;=Inputs!$C$6,-PMT(Inputs!$C$5/12,Inputs!$C$6,Inputs!$C$4),0)</x:f>
      </x:c>
      <x:c r="E357" s="24">
        <x:f>IF($B357&lt;=Inputs!$C$6+Inputs!$C$11,$C357*Inputs!$C$5/12,0)</x:f>
      </x:c>
      <x:c r="F357" s="24">
        <x:f>IF($B357&lt;=Inputs!$C$6,MAX(0,$D357-$E357),0)</x:f>
      </x:c>
      <x:c r="G357" s="24">
        <x:f>IF($B357&lt;=Inputs!$C$6,MAX(0,($C357-$F357))*(1-(1-Inputs!$C$8)^(1/12)),0)</x:f>
      </x:c>
      <x:c r="H357" s="24">
        <x:f>IF($B357&lt;=Inputs!$C$6,MAX(0,($C357-$F357-$G357))*(1-(1-Inputs!$C$9)^(1/12)),0)</x:f>
      </x:c>
      <x:c r="I357" s="24">
        <x:f>IF($B357&gt;Inputs!$C$11,INDEX($H:$H,ROW()-Inputs!$C$11)* (1-Inputs!$C$10),0)</x:f>
      </x:c>
      <x:c r="J357" s="24">
        <x:f>$H357*Inputs!$C$10</x:f>
      </x:c>
      <x:c r="K357" s="24">
        <x:f>IF($B357&lt;=Inputs!$C$6+Inputs!$C$11,$C357*Inputs!$C$7/12,0)</x:f>
      </x:c>
      <x:c r="L357" s="24">
        <x:f>IF($B357&lt;=Inputs!$C$6+Inputs!$C$11,$E357+$F357+$G357+$I357-$K357,0)</x:f>
      </x:c>
      <x:c r="M357" s="24">
        <x:f>IF($B357&lt;=Inputs!$C$6,MAX(0,$C357-$F357-$G357-$H357),0)</x:f>
      </x:c>
    </x:row>
    <x:row r="358">
      <x:c r="B358" s="22" t="n">
        <x:v>355</x:v>
      </x:c>
      <x:c r="C358" s="23">
        <x:f>IF($B358&lt;=Inputs!$C$6+Inputs!$C$11,$M357,"")</x:f>
      </x:c>
      <x:c r="D358" s="24">
        <x:f>IF($B358&lt;=Inputs!$C$6,-PMT(Inputs!$C$5/12,Inputs!$C$6,Inputs!$C$4),0)</x:f>
      </x:c>
      <x:c r="E358" s="24">
        <x:f>IF($B358&lt;=Inputs!$C$6+Inputs!$C$11,$C358*Inputs!$C$5/12,0)</x:f>
      </x:c>
      <x:c r="F358" s="24">
        <x:f>IF($B358&lt;=Inputs!$C$6,MAX(0,$D358-$E358),0)</x:f>
      </x:c>
      <x:c r="G358" s="24">
        <x:f>IF($B358&lt;=Inputs!$C$6,MAX(0,($C358-$F358))*(1-(1-Inputs!$C$8)^(1/12)),0)</x:f>
      </x:c>
      <x:c r="H358" s="24">
        <x:f>IF($B358&lt;=Inputs!$C$6,MAX(0,($C358-$F358-$G358))*(1-(1-Inputs!$C$9)^(1/12)),0)</x:f>
      </x:c>
      <x:c r="I358" s="24">
        <x:f>IF($B358&gt;Inputs!$C$11,INDEX($H:$H,ROW()-Inputs!$C$11)* (1-Inputs!$C$10),0)</x:f>
      </x:c>
      <x:c r="J358" s="24">
        <x:f>$H358*Inputs!$C$10</x:f>
      </x:c>
      <x:c r="K358" s="24">
        <x:f>IF($B358&lt;=Inputs!$C$6+Inputs!$C$11,$C358*Inputs!$C$7/12,0)</x:f>
      </x:c>
      <x:c r="L358" s="24">
        <x:f>IF($B358&lt;=Inputs!$C$6+Inputs!$C$11,$E358+$F358+$G358+$I358-$K358,0)</x:f>
      </x:c>
      <x:c r="M358" s="24">
        <x:f>IF($B358&lt;=Inputs!$C$6,MAX(0,$C358-$F358-$G358-$H358),0)</x:f>
      </x:c>
    </x:row>
    <x:row r="359">
      <x:c r="B359" s="22" t="n">
        <x:v>356</x:v>
      </x:c>
      <x:c r="C359" s="23">
        <x:f>IF($B359&lt;=Inputs!$C$6+Inputs!$C$11,$M358,"")</x:f>
      </x:c>
      <x:c r="D359" s="24">
        <x:f>IF($B359&lt;=Inputs!$C$6,-PMT(Inputs!$C$5/12,Inputs!$C$6,Inputs!$C$4),0)</x:f>
      </x:c>
      <x:c r="E359" s="24">
        <x:f>IF($B359&lt;=Inputs!$C$6+Inputs!$C$11,$C359*Inputs!$C$5/12,0)</x:f>
      </x:c>
      <x:c r="F359" s="24">
        <x:f>IF($B359&lt;=Inputs!$C$6,MAX(0,$D359-$E359),0)</x:f>
      </x:c>
      <x:c r="G359" s="24">
        <x:f>IF($B359&lt;=Inputs!$C$6,MAX(0,($C359-$F359))*(1-(1-Inputs!$C$8)^(1/12)),0)</x:f>
      </x:c>
      <x:c r="H359" s="24">
        <x:f>IF($B359&lt;=Inputs!$C$6,MAX(0,($C359-$F359-$G359))*(1-(1-Inputs!$C$9)^(1/12)),0)</x:f>
      </x:c>
      <x:c r="I359" s="24">
        <x:f>IF($B359&gt;Inputs!$C$11,INDEX($H:$H,ROW()-Inputs!$C$11)* (1-Inputs!$C$10),0)</x:f>
      </x:c>
      <x:c r="J359" s="24">
        <x:f>$H359*Inputs!$C$10</x:f>
      </x:c>
      <x:c r="K359" s="24">
        <x:f>IF($B359&lt;=Inputs!$C$6+Inputs!$C$11,$C359*Inputs!$C$7/12,0)</x:f>
      </x:c>
      <x:c r="L359" s="24">
        <x:f>IF($B359&lt;=Inputs!$C$6+Inputs!$C$11,$E359+$F359+$G359+$I359-$K359,0)</x:f>
      </x:c>
      <x:c r="M359" s="24">
        <x:f>IF($B359&lt;=Inputs!$C$6,MAX(0,$C359-$F359-$G359-$H359),0)</x:f>
      </x:c>
    </x:row>
    <x:row r="360">
      <x:c r="B360" s="22" t="n">
        <x:v>357</x:v>
      </x:c>
      <x:c r="C360" s="23">
        <x:f>IF($B360&lt;=Inputs!$C$6+Inputs!$C$11,$M359,"")</x:f>
      </x:c>
      <x:c r="D360" s="24">
        <x:f>IF($B360&lt;=Inputs!$C$6,-PMT(Inputs!$C$5/12,Inputs!$C$6,Inputs!$C$4),0)</x:f>
      </x:c>
      <x:c r="E360" s="24">
        <x:f>IF($B360&lt;=Inputs!$C$6+Inputs!$C$11,$C360*Inputs!$C$5/12,0)</x:f>
      </x:c>
      <x:c r="F360" s="24">
        <x:f>IF($B360&lt;=Inputs!$C$6,MAX(0,$D360-$E360),0)</x:f>
      </x:c>
      <x:c r="G360" s="24">
        <x:f>IF($B360&lt;=Inputs!$C$6,MAX(0,($C360-$F360))*(1-(1-Inputs!$C$8)^(1/12)),0)</x:f>
      </x:c>
      <x:c r="H360" s="24">
        <x:f>IF($B360&lt;=Inputs!$C$6,MAX(0,($C360-$F360-$G360))*(1-(1-Inputs!$C$9)^(1/12)),0)</x:f>
      </x:c>
      <x:c r="I360" s="24">
        <x:f>IF($B360&gt;Inputs!$C$11,INDEX($H:$H,ROW()-Inputs!$C$11)* (1-Inputs!$C$10),0)</x:f>
      </x:c>
      <x:c r="J360" s="24">
        <x:f>$H360*Inputs!$C$10</x:f>
      </x:c>
      <x:c r="K360" s="24">
        <x:f>IF($B360&lt;=Inputs!$C$6+Inputs!$C$11,$C360*Inputs!$C$7/12,0)</x:f>
      </x:c>
      <x:c r="L360" s="24">
        <x:f>IF($B360&lt;=Inputs!$C$6+Inputs!$C$11,$E360+$F360+$G360+$I360-$K360,0)</x:f>
      </x:c>
      <x:c r="M360" s="24">
        <x:f>IF($B360&lt;=Inputs!$C$6,MAX(0,$C360-$F360-$G360-$H360),0)</x:f>
      </x:c>
    </x:row>
    <x:row r="361">
      <x:c r="B361" s="22" t="n">
        <x:v>358</x:v>
      </x:c>
      <x:c r="C361" s="23">
        <x:f>IF($B361&lt;=Inputs!$C$6+Inputs!$C$11,$M360,"")</x:f>
      </x:c>
      <x:c r="D361" s="24">
        <x:f>IF($B361&lt;=Inputs!$C$6,-PMT(Inputs!$C$5/12,Inputs!$C$6,Inputs!$C$4),0)</x:f>
      </x:c>
      <x:c r="E361" s="24">
        <x:f>IF($B361&lt;=Inputs!$C$6+Inputs!$C$11,$C361*Inputs!$C$5/12,0)</x:f>
      </x:c>
      <x:c r="F361" s="24">
        <x:f>IF($B361&lt;=Inputs!$C$6,MAX(0,$D361-$E361),0)</x:f>
      </x:c>
      <x:c r="G361" s="24">
        <x:f>IF($B361&lt;=Inputs!$C$6,MAX(0,($C361-$F361))*(1-(1-Inputs!$C$8)^(1/12)),0)</x:f>
      </x:c>
      <x:c r="H361" s="24">
        <x:f>IF($B361&lt;=Inputs!$C$6,MAX(0,($C361-$F361-$G361))*(1-(1-Inputs!$C$9)^(1/12)),0)</x:f>
      </x:c>
      <x:c r="I361" s="24">
        <x:f>IF($B361&gt;Inputs!$C$11,INDEX($H:$H,ROW()-Inputs!$C$11)* (1-Inputs!$C$10),0)</x:f>
      </x:c>
      <x:c r="J361" s="24">
        <x:f>$H361*Inputs!$C$10</x:f>
      </x:c>
      <x:c r="K361" s="24">
        <x:f>IF($B361&lt;=Inputs!$C$6+Inputs!$C$11,$C361*Inputs!$C$7/12,0)</x:f>
      </x:c>
      <x:c r="L361" s="24">
        <x:f>IF($B361&lt;=Inputs!$C$6+Inputs!$C$11,$E361+$F361+$G361+$I361-$K361,0)</x:f>
      </x:c>
      <x:c r="M361" s="24">
        <x:f>IF($B361&lt;=Inputs!$C$6,MAX(0,$C361-$F361-$G361-$H361),0)</x:f>
      </x:c>
    </x:row>
    <x:row r="362">
      <x:c r="B362" s="22" t="n">
        <x:v>359</x:v>
      </x:c>
      <x:c r="C362" s="23">
        <x:f>IF($B362&lt;=Inputs!$C$6+Inputs!$C$11,$M361,"")</x:f>
      </x:c>
      <x:c r="D362" s="24">
        <x:f>IF($B362&lt;=Inputs!$C$6,-PMT(Inputs!$C$5/12,Inputs!$C$6,Inputs!$C$4),0)</x:f>
      </x:c>
      <x:c r="E362" s="24">
        <x:f>IF($B362&lt;=Inputs!$C$6+Inputs!$C$11,$C362*Inputs!$C$5/12,0)</x:f>
      </x:c>
      <x:c r="F362" s="24">
        <x:f>IF($B362&lt;=Inputs!$C$6,MAX(0,$D362-$E362),0)</x:f>
      </x:c>
      <x:c r="G362" s="24">
        <x:f>IF($B362&lt;=Inputs!$C$6,MAX(0,($C362-$F362))*(1-(1-Inputs!$C$8)^(1/12)),0)</x:f>
      </x:c>
      <x:c r="H362" s="24">
        <x:f>IF($B362&lt;=Inputs!$C$6,MAX(0,($C362-$F362-$G362))*(1-(1-Inputs!$C$9)^(1/12)),0)</x:f>
      </x:c>
      <x:c r="I362" s="24">
        <x:f>IF($B362&gt;Inputs!$C$11,INDEX($H:$H,ROW()-Inputs!$C$11)* (1-Inputs!$C$10),0)</x:f>
      </x:c>
      <x:c r="J362" s="24">
        <x:f>$H362*Inputs!$C$10</x:f>
      </x:c>
      <x:c r="K362" s="24">
        <x:f>IF($B362&lt;=Inputs!$C$6+Inputs!$C$11,$C362*Inputs!$C$7/12,0)</x:f>
      </x:c>
      <x:c r="L362" s="24">
        <x:f>IF($B362&lt;=Inputs!$C$6+Inputs!$C$11,$E362+$F362+$G362+$I362-$K362,0)</x:f>
      </x:c>
      <x:c r="M362" s="24">
        <x:f>IF($B362&lt;=Inputs!$C$6,MAX(0,$C362-$F362-$G362-$H362),0)</x:f>
      </x:c>
    </x:row>
    <x:row r="363">
      <x:c r="B363" s="22" t="n">
        <x:v>360</x:v>
      </x:c>
      <x:c r="C363" s="23">
        <x:f>IF($B363&lt;=Inputs!$C$6+Inputs!$C$11,$M362,"")</x:f>
      </x:c>
      <x:c r="D363" s="24">
        <x:f>IF($B363&lt;=Inputs!$C$6,-PMT(Inputs!$C$5/12,Inputs!$C$6,Inputs!$C$4),0)</x:f>
      </x:c>
      <x:c r="E363" s="24">
        <x:f>IF($B363&lt;=Inputs!$C$6+Inputs!$C$11,$C363*Inputs!$C$5/12,0)</x:f>
      </x:c>
      <x:c r="F363" s="24">
        <x:f>IF($B363&lt;=Inputs!$C$6,MAX(0,$D363-$E363),0)</x:f>
      </x:c>
      <x:c r="G363" s="24">
        <x:f>IF($B363&lt;=Inputs!$C$6,MAX(0,($C363-$F363))*(1-(1-Inputs!$C$8)^(1/12)),0)</x:f>
      </x:c>
      <x:c r="H363" s="24">
        <x:f>IF($B363&lt;=Inputs!$C$6,MAX(0,($C363-$F363-$G363))*(1-(1-Inputs!$C$9)^(1/12)),0)</x:f>
      </x:c>
      <x:c r="I363" s="24">
        <x:f>IF($B363&gt;Inputs!$C$11,INDEX($H:$H,ROW()-Inputs!$C$11)* (1-Inputs!$C$10),0)</x:f>
      </x:c>
      <x:c r="J363" s="24">
        <x:f>$H363*Inputs!$C$10</x:f>
      </x:c>
      <x:c r="K363" s="24">
        <x:f>IF($B363&lt;=Inputs!$C$6+Inputs!$C$11,$C363*Inputs!$C$7/12,0)</x:f>
      </x:c>
      <x:c r="L363" s="24">
        <x:f>IF($B363&lt;=Inputs!$C$6+Inputs!$C$11,$E363+$F363+$G363+$I363-$K363,0)</x:f>
      </x:c>
      <x:c r="M363" s="24">
        <x:f>IF($B363&lt;=Inputs!$C$6,MAX(0,$C363-$F363-$G363-$H363),0)</x:f>
      </x:c>
    </x:row>
  </x:sheetData>
  <x:mergeCells>
    <x:mergeCell ref="B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8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</x:cols>
  <x:sheetData>
    <x:row r="1" ht="22" customHeight="1">
      <x:c r="B1" s="1" t="inlineStr">
        <x:is>
          <x:t xml:space="preserve">Liability waterfall (sequential-pay, reserve &amp; equity cushion)</x:t>
        </x:is>
      </x:c>
      <x:c r="C1" s="38" t="n"/>
      <x:c r="D1" s="38" t="n"/>
      <x:c r="E1" s="38" t="n"/>
      <x:c r="F1" s="38" t="n"/>
      <x:c r="G1" s="38" t="n"/>
      <x:c r="H1" s="38" t="n"/>
      <x:c r="I1" s="38" t="n"/>
      <x:c r="J1" s="38" t="n"/>
      <x:c r="K1" s="38" t="n"/>
      <x:c r="L1" s="38" t="n"/>
      <x:c r="M1" s="38" t="n"/>
      <x:c r="N1" s="38" t="n"/>
      <x:c r="O1" s="38" t="n"/>
      <x:c r="P1" s="38" t="n"/>
      <x:c r="Q1" s="38" t="n"/>
      <x:c r="R1" s="38" t="n"/>
      <x:c r="S1" s="38" t="n"/>
      <x:c r="T1" s="38" t="n"/>
      <x:c r="U1" s="38" t="n"/>
      <x:c r="V1" s="38" t="n"/>
      <x:c r="W1" s="38" t="n"/>
      <x:c r="X1" s="38" t="n"/>
      <x:c r="Y1" s="38" t="n"/>
      <x:c r="Z1" s="37" t="n"/>
    </x:row>
    <x:row r="2">
      <x:c r="B2" s="18" t="inlineStr">
        <x:is>
          <x:t xml:space="preserve">Setup (linked to Inputs)</x:t>
        </x:is>
      </x:c>
      <x:c r="C2" s="6" t="inlineStr">
        <x:is>
          <x:t xml:space="preserve">Pool</x:t>
        </x:is>
      </x:c>
      <x:c r="D2" s="26">
        <x:f>Inputs!$C$4</x:f>
        <x:v>100000000</x:v>
      </x:c>
      <x:c r="E2" s="6" t="inlineStr">
        <x:is>
          <x:t xml:space="preserve">Reserve %</x:t>
        </x:is>
      </x:c>
      <x:c r="F2" s="13">
        <x:f>Inputs!$C$20</x:f>
        <x:v>0.01</x:v>
      </x:c>
      <x:c r="G2" s="6" t="inlineStr">
        <x:is>
          <x:t xml:space="preserve">OC %</x:t>
        </x:is>
      </x:c>
      <x:c r="H2" s="13">
        <x:f>Inputs!$C$21</x:f>
        <x:v>0</x:v>
      </x:c>
      <x:c r="I2" s="6" t="inlineStr">
        <x:is>
          <x:t xml:space="preserve">A % (NoteBase)</x:t>
        </x:is>
      </x:c>
      <x:c r="J2" s="13">
        <x:f>Inputs!$C$16</x:f>
        <x:v>0.15</x:v>
      </x:c>
      <x:c r="K2" s="6" t="inlineStr">
        <x:is>
          <x:t xml:space="preserve">B % (NoteBase)</x:t>
        </x:is>
      </x:c>
      <x:c r="L2" s="13">
        <x:f>Inputs!$C$17</x:f>
        <x:v>0.04999999999999996</x:v>
      </x:c>
      <x:c r="M2" s="6" t="inlineStr">
        <x:is>
          <x:t xml:space="preserve">A coupon</x:t>
        </x:is>
      </x:c>
      <x:c r="N2" s="13">
        <x:f>Inputs!$C$18</x:f>
        <x:v>0.055</x:v>
      </x:c>
      <x:c r="O2" s="6" t="inlineStr">
        <x:is>
          <x:t xml:space="preserve">B coupon</x:t>
        </x:is>
      </x:c>
      <x:c r="P2" s="13">
        <x:f>Inputs!$C$19</x:f>
        <x:v>0.095</x:v>
      </x:c>
      <x:c r="Q2" s="6" t="inlineStr">
        <x:is>
          <x:t xml:space="preserve">Turbo</x:t>
        </x:is>
      </x:c>
      <x:c r="R2" s="27">
        <x:f>Inputs!$C$39</x:f>
        <x:v>1</x:v>
      </x:c>
    </x:row>
    <x:row r="3">
      <x:c r="B3" s="18" t="inlineStr">
        <x:is>
          <x:t xml:space="preserve">Derived</x:t>
        </x:is>
      </x:c>
      <x:c r="C3" s="6" t="inlineStr">
        <x:is>
          <x:t xml:space="preserve">Reserve cash</x:t>
        </x:is>
      </x:c>
      <x:c r="D3" s="26">
        <x:f>Inputs!$C$4*Inputs!$C$20</x:f>
        <x:v>1000000</x:v>
      </x:c>
      <x:c r="E3" s="6" t="inlineStr">
        <x:is>
          <x:t xml:space="preserve">Total Assets @t0</x:t>
        </x:is>
      </x:c>
      <x:c r="F3" s="26">
        <x:f>Inputs!$C$4+$D$3</x:f>
        <x:v>101000000</x:v>
      </x:c>
      <x:c r="G3" s="6" t="inlineStr">
        <x:is>
          <x:t xml:space="preserve">NoteBase</x:t>
        </x:is>
      </x:c>
      <x:c r="H3" s="26">
        <x:f>Inputs!$C$4*(1-Inputs!$C$21)</x:f>
        <x:v>100000000</x:v>
      </x:c>
      <x:c r="I3" s="6" t="inlineStr">
        <x:is>
          <x:t xml:space="preserve">Class A init</x:t>
        </x:is>
      </x:c>
      <x:c r="J3" s="26">
        <x:f>$H$3*Inputs!$C$16</x:f>
        <x:v>15000000</x:v>
      </x:c>
      <x:c r="K3" s="6" t="inlineStr">
        <x:is>
          <x:t xml:space="preserve">Class B init</x:t>
        </x:is>
      </x:c>
      <x:c r="L3" s="26">
        <x:f>$H$3*Inputs!$C$17</x:f>
        <x:v>4999999.999999996</x:v>
      </x:c>
      <x:c r="M3" s="6" t="inlineStr">
        <x:is>
          <x:t xml:space="preserve">Equity cushion init</x:t>
        </x:is>
      </x:c>
      <x:c r="N3" s="26">
        <x:f>$F$3-$J$3-$L$3</x:f>
        <x:v>81000000</x:v>
      </x:c>
      <x:c r="O3" s="6" t="inlineStr">
        <x:is>
          <x:t xml:space="preserve">Check (&gt;=0)</x:t>
        </x:is>
      </x:c>
      <x:c r="P3" s="17" t="str">
        <x:f>IF($N$3&gt;=0,"OK","NEGATIVE")</x:f>
        <x:v>OK</x:v>
      </x:c>
    </x:row>
    <x:row r="5">
      <x:c r="B5" s="28" t="inlineStr">
        <x:is>
          <x:t xml:space="preserve">Month</x:t>
        </x:is>
      </x:c>
      <x:c r="C5" s="28" t="inlineStr">
        <x:is>
          <x:t xml:space="preserve">Avail Int</x:t>
        </x:is>
      </x:c>
      <x:c r="D5" s="28" t="inlineStr">
        <x:is>
          <x:t xml:space="preserve">Avail Prin</x:t>
        </x:is>
      </x:c>
      <x:c r="E5" s="28" t="inlineStr">
        <x:is>
          <x:t xml:space="preserve">Loss (net)</x:t>
        </x:is>
      </x:c>
      <x:c r="F5" s="28" t="inlineStr">
        <x:is>
          <x:t xml:space="preserve">Reserve Beg</x:t>
        </x:is>
      </x:c>
      <x:c r="G5" s="28" t="inlineStr">
        <x:is>
          <x:t xml:space="preserve">Reserve End</x:t>
        </x:is>
      </x:c>
      <x:c r="H5" s="28" t="inlineStr">
        <x:is>
          <x:t xml:space="preserve">EqCush Beg</x:t>
        </x:is>
      </x:c>
      <x:c r="I5" s="28" t="inlineStr">
        <x:is>
          <x:t xml:space="preserve">EqCush Used</x:t>
        </x:is>
      </x:c>
      <x:c r="J5" s="28" t="inlineStr">
        <x:is>
          <x:t xml:space="preserve">EqCush End</x:t>
        </x:is>
      </x:c>
      <x:c r="K5" s="28" t="inlineStr">
        <x:is>
          <x:t xml:space="preserve">A Beg</x:t>
        </x:is>
      </x:c>
      <x:c r="L5" s="28" t="inlineStr">
        <x:is>
          <x:t xml:space="preserve">A Int Due</x:t>
        </x:is>
      </x:c>
      <x:c r="M5" s="28" t="inlineStr">
        <x:is>
          <x:t xml:space="preserve">A Int Paid</x:t>
        </x:is>
      </x:c>
      <x:c r="N5" s="28" t="inlineStr">
        <x:is>
          <x:t xml:space="preserve">A Prin Paid</x:t>
        </x:is>
      </x:c>
      <x:c r="O5" s="28" t="inlineStr">
        <x:is>
          <x:t xml:space="preserve">A Loss</x:t>
        </x:is>
      </x:c>
      <x:c r="P5" s="28" t="inlineStr">
        <x:is>
          <x:t xml:space="preserve">A End</x:t>
        </x:is>
      </x:c>
      <x:c r="Q5" s="28" t="inlineStr">
        <x:is>
          <x:t xml:space="preserve">B Beg</x:t>
        </x:is>
      </x:c>
      <x:c r="R5" s="28" t="inlineStr">
        <x:is>
          <x:t xml:space="preserve">B Int Due</x:t>
        </x:is>
      </x:c>
      <x:c r="S5" s="28" t="inlineStr">
        <x:is>
          <x:t xml:space="preserve">B Int Paid</x:t>
        </x:is>
      </x:c>
      <x:c r="T5" s="28" t="inlineStr">
        <x:is>
          <x:t xml:space="preserve">B Prin Paid</x:t>
        </x:is>
      </x:c>
      <x:c r="U5" s="28" t="inlineStr">
        <x:is>
          <x:t xml:space="preserve">B Loss</x:t>
        </x:is>
      </x:c>
      <x:c r="V5" s="28" t="inlineStr">
        <x:is>
          <x:t xml:space="preserve">B End</x:t>
        </x:is>
      </x:c>
      <x:c r="W5" s="28" t="inlineStr">
        <x:is>
          <x:t xml:space="preserve">Excess Int (post reserve)</x:t>
        </x:is>
      </x:c>
      <x:c r="X5" s="28" t="inlineStr">
        <x:is>
          <x:t xml:space="preserve">Turbo Prin</x:t>
        </x:is>
      </x:c>
      <x:c r="Y5" s="28" t="inlineStr">
        <x:is>
          <x:t xml:space="preserve">Equity Dist (cash)</x:t>
        </x:is>
      </x:c>
    </x:row>
    <x:row r="6">
      <x:c r="B6" s="22" t="n">
        <x:v>1</x:v>
      </x:c>
      <x:c r="C6" s="29">
        <x:f>IF($B6&lt;=Inputs!$C$6+Inputs!$C$11,Cashflow_Asset!$E4-Cashflow_Asset!$K4,0)</x:f>
        <x:v>916666.6666666666</x:v>
      </x:c>
      <x:c r="D6" s="29">
        <x:f>IF($B6&lt;=Inputs!$C$6+Inputs!$C$11,Cashflow_Asset!$F4+Cashflow_Asset!$G4+Cashflow_Asset!$I4,0)</x:f>
        <x:v>1732448.7165162673</x:v>
      </x:c>
      <x:c r="E6" s="29">
        <x:f>IF($B6&lt;=Inputs!$C$6+Inputs!$C$11,Cashflow_Asset!$J4,0)</x:f>
        <x:v>149467.81179979263</x:v>
      </x:c>
      <x:c r="F6" s="29">
        <x:f>$D$3</x:f>
        <x:v>1000000</x:v>
      </x:c>
      <x:c r="G6" s="24">
        <x:f>(MAX(0,$F6-MAX(0,($M6+$S6)-$C6)))+MIN(MAX(0,$D$3-(MAX(0,$F6-MAX(0,($M6+$S6)-$C6)))),MAX(0,MAX(0,($C6+$F6)-$M6)-$S6))</x:f>
        <x:v>1000000</x:v>
      </x:c>
      <x:c r="H6" s="29">
        <x:f>$N$3</x:f>
        <x:v>81000000</x:v>
      </x:c>
      <x:c r="I6" s="24">
        <x:f>MIN($E6,$H6)</x:f>
        <x:v>149467.81179979263</x:v>
      </x:c>
      <x:c r="J6" s="24">
        <x:f>$H6-$I6</x:f>
        <x:v>80850532.1882002</x:v>
      </x:c>
      <x:c r="K6" s="29">
        <x:f>$J$3</x:f>
        <x:v>15000000</x:v>
      </x:c>
      <x:c r="L6" s="24">
        <x:f>$K6*Inputs!$C$18/12</x:f>
        <x:v>68750</x:v>
      </x:c>
      <x:c r="M6" s="24">
        <x:f>MIN(($C6+$F6),$L6)</x:f>
        <x:v>68750</x:v>
      </x:c>
      <x:c r="N6" s="24">
        <x:f>MIN(($D6+$X6),MAX(0,$K6-$O6))</x:f>
        <x:v>3540782.0498496005</x:v>
      </x:c>
      <x:c r="O6" s="24">
        <x:f>MIN(MAX(0,MAX(0,$E6-$I6)-$U6),$K6)</x:f>
        <x:v>0</x:v>
      </x:c>
      <x:c r="P6" s="24">
        <x:f>MAX(0,$K6-$O6)-$N6</x:f>
        <x:v>11459217.9501504</x:v>
      </x:c>
      <x:c r="Q6" s="29">
        <x:f>$L$3</x:f>
        <x:v>4999999.999999996</x:v>
      </x:c>
      <x:c r="R6" s="24">
        <x:f>$Q6*Inputs!$C$19/12</x:f>
        <x:v>39583.33333333331</x:v>
      </x:c>
      <x:c r="S6" s="24">
        <x:f>MIN(MAX(0,($C6+$F6)-$M6),$R6)</x:f>
        <x:v>39583.33333333331</x:v>
      </x:c>
      <x:c r="T6" s="24">
        <x:f>MIN(MAX(0,($D6+$X6)-$N6),MAX(0,$Q6-$U6))</x:f>
        <x:v>0</x:v>
      </x:c>
      <x:c r="U6" s="24">
        <x:f>MIN(MAX(0,$E6-$I6),$Q6)</x:f>
        <x:v>0</x:v>
      </x:c>
      <x:c r="V6" s="24">
        <x:f>MAX(0,$Q6-$U6)-$T6</x:f>
        <x:v>4999999.999999996</x:v>
      </x:c>
      <x:c r="W6" s="24">
        <x:f>MAX(0,MAX(0,($C6+$F6)-$M6)-$S6)-MIN(MAX(0,$D$3-(MAX(0,$F6-MAX(0,($M6+$S6)-$C6)))),MAX(0,MAX(0,($C6+$F6)-$M6)-$S6))</x:f>
        <x:v>1808333.3333333333</x:v>
      </x:c>
      <x:c r="X6" s="24">
        <x:f>IF(Inputs!$C$39=1,$W6,0)</x:f>
        <x:v>1808333.3333333333</x:v>
      </x:c>
      <x:c r="Y6" s="24">
        <x:f>IF(Inputs!$C$39=0,$W6,0)+MAX(0,MAX(0,($D6+$X6)-$N6)-$T6)</x:f>
        <x:v>0</x:v>
      </x:c>
    </x:row>
    <x:row r="7">
      <x:c r="B7" s="22" t="n">
        <x:v>2</x:v>
      </x:c>
      <x:c r="C7" s="29">
        <x:f>IF($B7&lt;=Inputs!$C$6+Inputs!$C$11,Cashflow_Asset!$E5-Cashflow_Asset!$K5,0)</x:f>
        <x:v>898502.3507516596</x:v>
      </x:c>
      <x:c r="D7" s="29">
        <x:f>IF($B7&lt;=Inputs!$C$6+Inputs!$C$11,Cashflow_Asset!$F5+Cashflow_Asset!$G5+Cashflow_Asset!$I5,0)</x:f>
        <x:v>1741971.2244674945</x:v>
      </x:c>
      <x:c r="E7" s="29">
        <x:f>IF($B7&lt;=Inputs!$C$6+Inputs!$C$11,Cashflow_Asset!$J5,0)</x:f>
        <x:v>146439.31458791852</x:v>
      </x:c>
      <x:c r="F7" s="23">
        <x:f>$G6</x:f>
        <x:v>1000000</x:v>
      </x:c>
      <x:c r="G7" s="24">
        <x:f>(MAX(0,$F7-MAX(0,($M7+$S7)-$C7)))+MIN(MAX(0,$D$3-(MAX(0,$F7-MAX(0,($M7+$S7)-$C7)))),MAX(0,MAX(0,($C7+$F7)-$M7)-$S7))</x:f>
        <x:v>1000000</x:v>
      </x:c>
      <x:c r="H7" s="23">
        <x:f>$J6</x:f>
        <x:v>80850532.1882002</x:v>
      </x:c>
      <x:c r="I7" s="24">
        <x:f>MIN($E7,$H7)</x:f>
        <x:v>146439.31458791852</x:v>
      </x:c>
      <x:c r="J7" s="24">
        <x:f>$H7-$I7</x:f>
        <x:v>80704092.87361228</x:v>
      </x:c>
      <x:c r="K7" s="23">
        <x:f>$P6</x:f>
        <x:v>11459217.9501504</x:v>
      </x:c>
      <x:c r="L7" s="24">
        <x:f>$K7*Inputs!$C$18/12</x:f>
        <x:v>52521.415604856</x:v>
      </x:c>
      <x:c r="M7" s="24">
        <x:f>MIN(($C7+$F7),$L7)</x:f>
        <x:v>52521.415604856</x:v>
      </x:c>
      <x:c r="N7" s="24">
        <x:f>MIN(($D7+$X7),MAX(0,$K7-$O7))</x:f>
        <x:v>3548368.8262809645</x:v>
      </x:c>
      <x:c r="O7" s="24">
        <x:f>MIN(MAX(0,MAX(0,$E7-$I7)-$U7),$K7)</x:f>
        <x:v>0</x:v>
      </x:c>
      <x:c r="P7" s="24">
        <x:f>MAX(0,$K7-$O7)-$N7</x:f>
        <x:v>7910849.123869436</x:v>
      </x:c>
      <x:c r="Q7" s="23">
        <x:f>$V6</x:f>
        <x:v>4999999.999999996</x:v>
      </x:c>
      <x:c r="R7" s="24">
        <x:f>$Q7*Inputs!$C$19/12</x:f>
        <x:v>39583.33333333331</x:v>
      </x:c>
      <x:c r="S7" s="24">
        <x:f>MIN(MAX(0,($C7+$F7)-$M7),$R7)</x:f>
        <x:v>39583.33333333331</x:v>
      </x:c>
      <x:c r="T7" s="24">
        <x:f>MIN(MAX(0,($D7+$X7)-$N7),MAX(0,$Q7-$U7))</x:f>
        <x:v>0</x:v>
      </x:c>
      <x:c r="U7" s="24">
        <x:f>MIN(MAX(0,$E7-$I7),$Q7)</x:f>
        <x:v>0</x:v>
      </x:c>
      <x:c r="V7" s="24">
        <x:f>MAX(0,$Q7-$U7)-$T7</x:f>
        <x:v>4999999.999999996</x:v>
      </x:c>
      <x:c r="W7" s="24">
        <x:f>MAX(0,MAX(0,($C7+$F7)-$M7)-$S7)-MIN(MAX(0,$D$3-(MAX(0,$F7-MAX(0,($M7+$S7)-$C7)))),MAX(0,MAX(0,($C7+$F7)-$M7)-$S7))</x:f>
        <x:v>1806397.6018134702</x:v>
      </x:c>
      <x:c r="X7" s="24">
        <x:f>IF(Inputs!$C$39=1,$W7,0)</x:f>
        <x:v>1806397.6018134702</x:v>
      </x:c>
      <x:c r="Y7" s="24">
        <x:f>IF(Inputs!$C$39=0,$W7,0)+MAX(0,MAX(0,($D7+$X7)-$N7)-$T7)</x:f>
        <x:v>0</x:v>
      </x:c>
    </x:row>
    <x:row r="8">
      <x:c r="B8" s="22" t="n">
        <x:v>3</x:v>
      </x:c>
      <x:c r="C8" s="29">
        <x:f>IF($B8&lt;=Inputs!$C$6+Inputs!$C$11,Cashflow_Asset!$E6-Cashflow_Asset!$K6,0)</x:f>
        <x:v>880297.0138878366</x:v>
      </x:c>
      <x:c r="D8" s="29">
        <x:f>IF($B8&lt;=Inputs!$C$6+Inputs!$C$11,Cashflow_Asset!$F6+Cashflow_Asset!$G6+Cashflow_Asset!$I6,0)</x:f>
        <x:v>1751515.2373470156</x:v>
      </x:c>
      <x:c r="E8" s="29">
        <x:f>IF($B8&lt;=Inputs!$C$6+Inputs!$C$11,Cashflow_Asset!$J6,0)</x:f>
        <x:v>143403.978041731</x:v>
      </x:c>
      <x:c r="F8" s="23">
        <x:f>$G7</x:f>
        <x:v>1000000</x:v>
      </x:c>
      <x:c r="G8" s="24">
        <x:f>(MAX(0,$F8-MAX(0,($M8+$S8)-$C8)))+MIN(MAX(0,$D$3-(MAX(0,$F8-MAX(0,($M8+$S8)-$C8)))),MAX(0,MAX(0,($C8+$F8)-$M8)-$S8))</x:f>
        <x:v>1000000</x:v>
      </x:c>
      <x:c r="H8" s="23">
        <x:f>$J7</x:f>
        <x:v>80704092.87361228</x:v>
      </x:c>
      <x:c r="I8" s="24">
        <x:f>MIN($E8,$H8)</x:f>
        <x:v>143403.978041731</x:v>
      </x:c>
      <x:c r="J8" s="24">
        <x:f>$H8-$I8</x:f>
        <x:v>80560688.89557055</x:v>
      </x:c>
      <x:c r="K8" s="23">
        <x:f>$P7</x:f>
        <x:v>7910849.123869436</x:v>
      </x:c>
      <x:c r="L8" s="24">
        <x:f>$K8*Inputs!$C$18/12</x:f>
        <x:v>36258.05848440158</x:v>
      </x:c>
      <x:c r="M8" s="24">
        <x:f>MIN(($C8+$F8),$L8)</x:f>
        <x:v>36258.05848440158</x:v>
      </x:c>
      <x:c r="N8" s="24">
        <x:f>MIN(($D8+$X8),MAX(0,$K8-$O8))</x:f>
        <x:v>3555970.859417117</x:v>
      </x:c>
      <x:c r="O8" s="24">
        <x:f>MIN(MAX(0,MAX(0,$E8-$I8)-$U8),$K8)</x:f>
        <x:v>0</x:v>
      </x:c>
      <x:c r="P8" s="24">
        <x:f>MAX(0,$K8-$O8)-$N8</x:f>
        <x:v>4354878.264452319</x:v>
      </x:c>
      <x:c r="Q8" s="23">
        <x:f>$V7</x:f>
        <x:v>4999999.999999996</x:v>
      </x:c>
      <x:c r="R8" s="24">
        <x:f>$Q8*Inputs!$C$19/12</x:f>
        <x:v>39583.33333333331</x:v>
      </x:c>
      <x:c r="S8" s="24">
        <x:f>MIN(MAX(0,($C8+$F8)-$M8),$R8)</x:f>
        <x:v>39583.33333333331</x:v>
      </x:c>
      <x:c r="T8" s="24">
        <x:f>MIN(MAX(0,($D8+$X8)-$N8),MAX(0,$Q8-$U8))</x:f>
        <x:v>0</x:v>
      </x:c>
      <x:c r="U8" s="24">
        <x:f>MIN(MAX(0,$E8-$I8),$Q8)</x:f>
        <x:v>0</x:v>
      </x:c>
      <x:c r="V8" s="24">
        <x:f>MAX(0,$Q8-$U8)-$T8</x:f>
        <x:v>4999999.999999996</x:v>
      </x:c>
      <x:c r="W8" s="24">
        <x:f>MAX(0,MAX(0,($C8+$F8)-$M8)-$S8)-MIN(MAX(0,$D$3-(MAX(0,$F8-MAX(0,($M8+$S8)-$C8)))),MAX(0,MAX(0,($C8+$F8)-$M8)-$S8))</x:f>
        <x:v>1804455.6220701018</x:v>
      </x:c>
      <x:c r="X8" s="24">
        <x:f>IF(Inputs!$C$39=1,$W8,0)</x:f>
        <x:v>1804455.6220701018</x:v>
      </x:c>
      <x:c r="Y8" s="24">
        <x:f>IF(Inputs!$C$39=0,$W8,0)+MAX(0,MAX(0,($D8+$X8)-$N8)-$T8)</x:f>
        <x:v>0</x:v>
      </x:c>
    </x:row>
    <x:row r="9">
      <x:c r="B9" s="22" t="n">
        <x:v>4</x:v>
      </x:c>
      <x:c r="C9" s="29">
        <x:f>IF($B9&lt;=Inputs!$C$6+Inputs!$C$11,Cashflow_Asset!$E7-Cashflow_Asset!$K7,0)</x:f>
        <x:v>862050.563436518</x:v>
      </x:c>
      <x:c r="D9" s="29">
        <x:f>IF($B9&lt;=Inputs!$C$6+Inputs!$C$11,Cashflow_Asset!$F7+Cashflow_Asset!$G7+Cashflow_Asset!$I7,0)</x:f>
        <x:v>1761080.8037199725</x:v>
      </x:c>
      <x:c r="E9" s="29">
        <x:f>IF($B9&lt;=Inputs!$C$6+Inputs!$C$11,Cashflow_Asset!$J7,0)</x:f>
        <x:v>140361.7867157828</x:v>
      </x:c>
      <x:c r="F9" s="23">
        <x:f>$G8</x:f>
        <x:v>1000000</x:v>
      </x:c>
      <x:c r="G9" s="24">
        <x:f>(MAX(0,$F9-MAX(0,($M9+$S9)-$C9)))+MIN(MAX(0,$D$3-(MAX(0,$F9-MAX(0,($M9+$S9)-$C9)))),MAX(0,MAX(0,($C9+$F9)-$M9)-$S9))</x:f>
        <x:v>1000000</x:v>
      </x:c>
      <x:c r="H9" s="23">
        <x:f>$J8</x:f>
        <x:v>80560688.89557055</x:v>
      </x:c>
      <x:c r="I9" s="24">
        <x:f>MIN($E9,$H9)</x:f>
        <x:v>140361.7867157828</x:v>
      </x:c>
      <x:c r="J9" s="24">
        <x:f>$H9-$I9</x:f>
        <x:v>80420327.10885477</x:v>
      </x:c>
      <x:c r="K9" s="23">
        <x:f>$P8</x:f>
        <x:v>4354878.264452319</x:v>
      </x:c>
      <x:c r="L9" s="24">
        <x:f>$K9*Inputs!$C$18/12</x:f>
        <x:v>19959.858712073128</x:v>
      </x:c>
      <x:c r="M9" s="24">
        <x:f>MIN(($C9+$F9),$L9)</x:f>
        <x:v>19959.858712073128</x:v>
      </x:c>
      <x:c r="N9" s="24">
        <x:f>MIN(($D9+$X9),MAX(0,$K9-$O9))</x:f>
        <x:v>3563588.1751110842</x:v>
      </x:c>
      <x:c r="O9" s="24">
        <x:f>MIN(MAX(0,MAX(0,$E9-$I9)-$U9),$K9)</x:f>
        <x:v>0</x:v>
      </x:c>
      <x:c r="P9" s="24">
        <x:f>MAX(0,$K9-$O9)-$N9</x:f>
        <x:v>791290.0893412344</x:v>
      </x:c>
      <x:c r="Q9" s="23">
        <x:f>$V8</x:f>
        <x:v>4999999.999999996</x:v>
      </x:c>
      <x:c r="R9" s="24">
        <x:f>$Q9*Inputs!$C$19/12</x:f>
        <x:v>39583.33333333331</x:v>
      </x:c>
      <x:c r="S9" s="24">
        <x:f>MIN(MAX(0,($C9+$F9)-$M9),$R9)</x:f>
        <x:v>39583.33333333331</x:v>
      </x:c>
      <x:c r="T9" s="24">
        <x:f>MIN(MAX(0,($D9+$X9)-$N9),MAX(0,$Q9-$U9))</x:f>
        <x:v>0</x:v>
      </x:c>
      <x:c r="U9" s="24">
        <x:f>MIN(MAX(0,$E9-$I9),$Q9)</x:f>
        <x:v>0</x:v>
      </x:c>
      <x:c r="V9" s="24">
        <x:f>MAX(0,$Q9-$U9)-$T9</x:f>
        <x:v>4999999.999999996</x:v>
      </x:c>
      <x:c r="W9" s="24">
        <x:f>MAX(0,MAX(0,($C9+$F9)-$M9)-$S9)-MIN(MAX(0,$D$3-(MAX(0,$F9-MAX(0,($M9+$S9)-$C9)))),MAX(0,MAX(0,($C9+$F9)-$M9)-$S9))</x:f>
        <x:v>1802507.3713911115</x:v>
      </x:c>
      <x:c r="X9" s="24">
        <x:f>IF(Inputs!$C$39=1,$W9,0)</x:f>
        <x:v>1802507.3713911115</x:v>
      </x:c>
      <x:c r="Y9" s="24">
        <x:f>IF(Inputs!$C$39=0,$W9,0)+MAX(0,MAX(0,($D9+$X9)-$N9)-$T9)</x:f>
        <x:v>0</x:v>
      </x:c>
    </x:row>
    <x:row r="10">
      <x:c r="B10" s="22" t="n">
        <x:v>5</x:v>
      </x:c>
      <x:c r="C10" s="29">
        <x:f>IF($B10&lt;=Inputs!$C$6+Inputs!$C$11,Cashflow_Asset!$E8-Cashflow_Asset!$K8,0)</x:f>
        <x:v>843762.9065498159</x:v>
      </x:c>
      <x:c r="D10" s="29">
        <x:f>IF($B10&lt;=Inputs!$C$6+Inputs!$C$11,Cashflow_Asset!$F8+Cashflow_Asset!$G8+Cashflow_Asset!$I8,0)</x:f>
        <x:v>1770667.9722611813</x:v>
      </x:c>
      <x:c r="E10" s="29">
        <x:f>IF($B10&lt;=Inputs!$C$6+Inputs!$C$11,Cashflow_Asset!$J8,0)</x:f>
        <x:v>137312.72512974587</x:v>
      </x:c>
      <x:c r="F10" s="23">
        <x:f>$G9</x:f>
        <x:v>1000000</x:v>
      </x:c>
      <x:c r="G10" s="24">
        <x:f>(MAX(0,$F10-MAX(0,($M10+$S10)-$C10)))+MIN(MAX(0,$D$3-(MAX(0,$F10-MAX(0,($M10+$S10)-$C10)))),MAX(0,MAX(0,($C10+$F10)-$M10)-$S10))</x:f>
        <x:v>1000000</x:v>
      </x:c>
      <x:c r="H10" s="23">
        <x:f>$J9</x:f>
        <x:v>80420327.10885477</x:v>
      </x:c>
      <x:c r="I10" s="24">
        <x:f>MIN($E10,$H10)</x:f>
        <x:v>137312.72512974587</x:v>
      </x:c>
      <x:c r="J10" s="24">
        <x:f>$H10-$I10</x:f>
        <x:v>80283014.38372503</x:v>
      </x:c>
      <x:c r="K10" s="23">
        <x:f>$P9</x:f>
        <x:v>791290.0893412344</x:v>
      </x:c>
      <x:c r="L10" s="24">
        <x:f>$K10*Inputs!$C$18/12</x:f>
        <x:v>3626.746242813991</x:v>
      </x:c>
      <x:c r="M10" s="24">
        <x:f>MIN(($C10+$F10),$L10)</x:f>
        <x:v>3626.746242813991</x:v>
      </x:c>
      <x:c r="N10" s="24">
        <x:f>MIN(($D10+$X10),MAX(0,$K10-$O10))</x:f>
        <x:v>791290.0893412344</x:v>
      </x:c>
      <x:c r="O10" s="24">
        <x:f>MIN(MAX(0,MAX(0,$E10-$I10)-$U10),$K10)</x:f>
        <x:v>0</x:v>
      </x:c>
      <x:c r="P10" s="24">
        <x:f>MAX(0,$K10-$O10)-$N10</x:f>
        <x:v>0</x:v>
      </x:c>
      <x:c r="Q10" s="23">
        <x:f>$V9</x:f>
        <x:v>4999999.999999996</x:v>
      </x:c>
      <x:c r="R10" s="24">
        <x:f>$Q10*Inputs!$C$19/12</x:f>
        <x:v>39583.33333333331</x:v>
      </x:c>
      <x:c r="S10" s="24">
        <x:f>MIN(MAX(0,($C10+$F10)-$M10),$R10)</x:f>
        <x:v>39583.33333333331</x:v>
      </x:c>
      <x:c r="T10" s="24">
        <x:f>MIN(MAX(0,($D10+$X10)-$N10),MAX(0,$Q10-$U10))</x:f>
        <x:v>2779930.709893616</x:v>
      </x:c>
      <x:c r="U10" s="24">
        <x:f>MIN(MAX(0,$E10-$I10),$Q10)</x:f>
        <x:v>0</x:v>
      </x:c>
      <x:c r="V10" s="24">
        <x:f>MAX(0,$Q10-$U10)-$T10</x:f>
        <x:v>2220069.2901063804</x:v>
      </x:c>
      <x:c r="W10" s="24">
        <x:f>MAX(0,MAX(0,($C10+$F10)-$M10)-$S10)-MIN(MAX(0,$D$3-(MAX(0,$F10-MAX(0,($M10+$S10)-$C10)))),MAX(0,MAX(0,($C10+$F10)-$M10)-$S10))</x:f>
        <x:v>1800552.8269736688</x:v>
      </x:c>
      <x:c r="X10" s="24">
        <x:f>IF(Inputs!$C$39=1,$W10,0)</x:f>
        <x:v>1800552.8269736688</x:v>
      </x:c>
      <x:c r="Y10" s="24">
        <x:f>IF(Inputs!$C$39=0,$W10,0)+MAX(0,MAX(0,($D10+$X10)-$N10)-$T10)</x:f>
        <x:v>0</x:v>
      </x:c>
    </x:row>
    <x:row r="11">
      <x:c r="B11" s="22" t="n">
        <x:v>6</x:v>
      </x:c>
      <x:c r="C11" s="29">
        <x:f>IF($B11&lt;=Inputs!$C$6+Inputs!$C$11,Cashflow_Asset!$E9-Cashflow_Asset!$K9,0)</x:f>
        <x:v>825433.9501701619</x:v>
      </x:c>
      <x:c r="D11" s="29">
        <x:f>IF($B11&lt;=Inputs!$C$6+Inputs!$C$11,Cashflow_Asset!$F9+Cashflow_Asset!$G9+Cashflow_Asset!$I9,0)</x:f>
        <x:v>1780276.7917553824</x:v>
      </x:c>
      <x:c r="E11" s="29">
        <x:f>IF($B11&lt;=Inputs!$C$6+Inputs!$C$11,Cashflow_Asset!$J9,0)</x:f>
        <x:v>134256.7777683325</x:v>
      </x:c>
      <x:c r="F11" s="23">
        <x:f>$G10</x:f>
        <x:v>1000000</x:v>
      </x:c>
      <x:c r="G11" s="24">
        <x:f>(MAX(0,$F11-MAX(0,($M11+$S11)-$C11)))+MIN(MAX(0,$D$3-(MAX(0,$F11-MAX(0,($M11+$S11)-$C11)))),MAX(0,MAX(0,($C11+$F11)-$M11)-$S11))</x:f>
        <x:v>1000000</x:v>
      </x:c>
      <x:c r="H11" s="23">
        <x:f>$J10</x:f>
        <x:v>80283014.38372503</x:v>
      </x:c>
      <x:c r="I11" s="24">
        <x:f>MIN($E11,$H11)</x:f>
        <x:v>134256.7777683325</x:v>
      </x:c>
      <x:c r="J11" s="24">
        <x:f>$H11-$I11</x:f>
        <x:v>80148757.6059567</x:v>
      </x:c>
      <x:c r="K11" s="23">
        <x:f>$P10</x:f>
        <x:v>0</x:v>
      </x:c>
      <x:c r="L11" s="24">
        <x:f>$K11*Inputs!$C$18/12</x:f>
        <x:v>0</x:v>
      </x:c>
      <x:c r="M11" s="24">
        <x:f>MIN(($C11+$F11),$L11)</x:f>
        <x:v>0</x:v>
      </x:c>
      <x:c r="N11" s="24">
        <x:f>MIN(($D11+$X11),MAX(0,$K11-$O11))</x:f>
        <x:v>0</x:v>
      </x:c>
      <x:c r="O11" s="24">
        <x:f>MIN(MAX(0,MAX(0,$E11-$I11)-$U11),$K11)</x:f>
        <x:v>0</x:v>
      </x:c>
      <x:c r="P11" s="24">
        <x:f>MAX(0,$K11-$O11)-$N11</x:f>
        <x:v>0</x:v>
      </x:c>
      <x:c r="Q11" s="23">
        <x:f>$V10</x:f>
        <x:v>2220069.2901063804</x:v>
      </x:c>
      <x:c r="R11" s="24">
        <x:f>$Q11*Inputs!$C$19/12</x:f>
        <x:v>17575.548546675513</x:v>
      </x:c>
      <x:c r="S11" s="24">
        <x:f>MIN(MAX(0,($C11+$F11)-$M11),$R11)</x:f>
        <x:v>17575.548546675513</x:v>
      </x:c>
      <x:c r="T11" s="24">
        <x:f>MIN(MAX(0,($D11+$X11)-$N11),MAX(0,$Q11-$U11))</x:f>
        <x:v>2220069.2901063804</x:v>
      </x:c>
      <x:c r="U11" s="24">
        <x:f>MIN(MAX(0,$E11-$I11),$Q11)</x:f>
        <x:v>0</x:v>
      </x:c>
      <x:c r="V11" s="24">
        <x:f>MAX(0,$Q11-$U11)-$T11</x:f>
        <x:v>0</x:v>
      </x:c>
      <x:c r="W11" s="24">
        <x:f>MAX(0,MAX(0,($C11+$F11)-$M11)-$S11)-MIN(MAX(0,$D$3-(MAX(0,$F11-MAX(0,($M11+$S11)-$C11)))),MAX(0,MAX(0,($C11+$F11)-$M11)-$S11))</x:f>
        <x:v>1807858.4016234863</x:v>
      </x:c>
      <x:c r="X11" s="24">
        <x:f>IF(Inputs!$C$39=1,$W11,0)</x:f>
        <x:v>1807858.4016234863</x:v>
      </x:c>
      <x:c r="Y11" s="24">
        <x:f>IF(Inputs!$C$39=0,$W11,0)+MAX(0,MAX(0,($D11+$X11)-$N11)-$T11)</x:f>
        <x:v>1368065.9032724882</x:v>
      </x:c>
    </x:row>
    <x:row r="12">
      <x:c r="B12" s="22" t="n">
        <x:v>7</x:v>
      </x:c>
      <x:c r="C12" s="29">
        <x:f>IF($B12&lt;=Inputs!$C$6+Inputs!$C$11,Cashflow_Asset!$E10-Cashflow_Asset!$K10,0)</x:f>
        <x:v>807063.6010298324</x:v>
      </x:c>
      <x:c r="D12" s="29">
        <x:f>IF($B12&lt;=Inputs!$C$6+Inputs!$C$11,Cashflow_Asset!$F10+Cashflow_Asset!$G10+Cashflow_Asset!$I10,0)</x:f>
        <x:v>1889552.5189640175</x:v>
      </x:c>
      <x:c r="E12" s="29">
        <x:f>IF($B12&lt;=Inputs!$C$6+Inputs!$C$11,Cashflow_Asset!$J10,0)</x:f>
        <x:v>131193.92908121643</x:v>
      </x:c>
      <x:c r="F12" s="23">
        <x:f>$G11</x:f>
        <x:v>1000000</x:v>
      </x:c>
      <x:c r="G12" s="24">
        <x:f>(MAX(0,$F12-MAX(0,($M12+$S12)-$C12)))+MIN(MAX(0,$D$3-(MAX(0,$F12-MAX(0,($M12+$S12)-$C12)))),MAX(0,MAX(0,($C12+$F12)-$M12)-$S12))</x:f>
        <x:v>1000000</x:v>
      </x:c>
      <x:c r="H12" s="23">
        <x:f>$J11</x:f>
        <x:v>80148757.6059567</x:v>
      </x:c>
      <x:c r="I12" s="24">
        <x:f>MIN($E12,$H12)</x:f>
        <x:v>131193.92908121643</x:v>
      </x:c>
      <x:c r="J12" s="24">
        <x:f>$H12-$I12</x:f>
        <x:v>80017563.67687549</x:v>
      </x:c>
      <x:c r="K12" s="23">
        <x:f>$P11</x:f>
        <x:v>0</x:v>
      </x:c>
      <x:c r="L12" s="24">
        <x:f>$K12*Inputs!$C$18/12</x:f>
        <x:v>0</x:v>
      </x:c>
      <x:c r="M12" s="24">
        <x:f>MIN(($C12+$F12),$L12)</x:f>
        <x:v>0</x:v>
      </x:c>
      <x:c r="N12" s="24">
        <x:f>MIN(($D12+$X12),MAX(0,$K12-$O12))</x:f>
        <x:v>0</x:v>
      </x:c>
      <x:c r="O12" s="24">
        <x:f>MIN(MAX(0,MAX(0,$E12-$I12)-$U12),$K12)</x:f>
        <x:v>0</x:v>
      </x:c>
      <x:c r="P12" s="24">
        <x:f>MAX(0,$K12-$O12)-$N12</x:f>
        <x:v>0</x:v>
      </x:c>
      <x:c r="Q12" s="23">
        <x:f>$V11</x:f>
        <x:v>0</x:v>
      </x:c>
      <x:c r="R12" s="24">
        <x:f>$Q12*Inputs!$C$19/12</x:f>
        <x:v>0</x:v>
      </x:c>
      <x:c r="S12" s="24">
        <x:f>MIN(MAX(0,($C12+$F12)-$M12),$R12)</x:f>
        <x:v>0</x:v>
      </x:c>
      <x:c r="T12" s="24">
        <x:f>MIN(MAX(0,($D12+$X12)-$N12),MAX(0,$Q12-$U12))</x:f>
        <x:v>0</x:v>
      </x:c>
      <x:c r="U12" s="24">
        <x:f>MIN(MAX(0,$E12-$I12),$Q12)</x:f>
        <x:v>0</x:v>
      </x:c>
      <x:c r="V12" s="24">
        <x:f>MAX(0,$Q12-$U12)-$T12</x:f>
        <x:v>0</x:v>
      </x:c>
      <x:c r="W12" s="24">
        <x:f>MAX(0,MAX(0,($C12+$F12)-$M12)-$S12)-MIN(MAX(0,$D$3-(MAX(0,$F12-MAX(0,($M12+$S12)-$C12)))),MAX(0,MAX(0,($C12+$F12)-$M12)-$S12))</x:f>
        <x:v>1807063.6010298324</x:v>
      </x:c>
      <x:c r="X12" s="24">
        <x:f>IF(Inputs!$C$39=1,$W12,0)</x:f>
        <x:v>1807063.6010298324</x:v>
      </x:c>
      <x:c r="Y12" s="24">
        <x:f>IF(Inputs!$C$39=0,$W12,0)+MAX(0,MAX(0,($D12+$X12)-$N12)-$T12)</x:f>
        <x:v>3696616.1199938497</x:v>
      </x:c>
    </x:row>
    <x:row r="13">
      <x:c r="B13" s="22" t="n">
        <x:v>8</x:v>
      </x:c>
      <x:c r="C13" s="29">
        <x:f>IF($B13&lt;=Inputs!$C$6+Inputs!$C$11,Cashflow_Asset!$E11-Cashflow_Asset!$K11,0)</x:f>
        <x:v>788651.7656504756</x:v>
      </x:c>
      <x:c r="D13" s="29">
        <x:f>IF($B13&lt;=Inputs!$C$6+Inputs!$C$11,Cashflow_Asset!$F11+Cashflow_Asset!$G11+Cashflow_Asset!$I11,0)</x:f>
        <x:v>1897185.7890181122</x:v>
      </x:c>
      <x:c r="E13" s="29">
        <x:f>IF($B13&lt;=Inputs!$C$6+Inputs!$C$11,Cashflow_Asset!$J11,0)</x:f>
        <x:v>128124.16348295359</x:v>
      </x:c>
      <x:c r="F13" s="23">
        <x:f>$G12</x:f>
        <x:v>1000000</x:v>
      </x:c>
      <x:c r="G13" s="24">
        <x:f>(MAX(0,$F13-MAX(0,($M13+$S13)-$C13)))+MIN(MAX(0,$D$3-(MAX(0,$F13-MAX(0,($M13+$S13)-$C13)))),MAX(0,MAX(0,($C13+$F13)-$M13)-$S13))</x:f>
        <x:v>1000000</x:v>
      </x:c>
      <x:c r="H13" s="23">
        <x:f>$J12</x:f>
        <x:v>80017563.67687549</x:v>
      </x:c>
      <x:c r="I13" s="24">
        <x:f>MIN($E13,$H13)</x:f>
        <x:v>128124.16348295359</x:v>
      </x:c>
      <x:c r="J13" s="24">
        <x:f>$H13-$I13</x:f>
        <x:v>79889439.51339254</x:v>
      </x:c>
      <x:c r="K13" s="23">
        <x:f>$P12</x:f>
        <x:v>0</x:v>
      </x:c>
      <x:c r="L13" s="24">
        <x:f>$K13*Inputs!$C$18/12</x:f>
        <x:v>0</x:v>
      </x:c>
      <x:c r="M13" s="24">
        <x:f>MIN(($C13+$F13),$L13)</x:f>
        <x:v>0</x:v>
      </x:c>
      <x:c r="N13" s="24">
        <x:f>MIN(($D13+$X13),MAX(0,$K13-$O13))</x:f>
        <x:v>0</x:v>
      </x:c>
      <x:c r="O13" s="24">
        <x:f>MIN(MAX(0,MAX(0,$E13-$I13)-$U13),$K13)</x:f>
        <x:v>0</x:v>
      </x:c>
      <x:c r="P13" s="24">
        <x:f>MAX(0,$K13-$O13)-$N13</x:f>
        <x:v>0</x:v>
      </x:c>
      <x:c r="Q13" s="23">
        <x:f>$V12</x:f>
        <x:v>0</x:v>
      </x:c>
      <x:c r="R13" s="24">
        <x:f>$Q13*Inputs!$C$19/12</x:f>
        <x:v>0</x:v>
      </x:c>
      <x:c r="S13" s="24">
        <x:f>MIN(MAX(0,($C13+$F13)-$M13),$R13)</x:f>
        <x:v>0</x:v>
      </x:c>
      <x:c r="T13" s="24">
        <x:f>MIN(MAX(0,($D13+$X13)-$N13),MAX(0,$Q13-$U13))</x:f>
        <x:v>0</x:v>
      </x:c>
      <x:c r="U13" s="24">
        <x:f>MIN(MAX(0,$E13-$I13),$Q13)</x:f>
        <x:v>0</x:v>
      </x:c>
      <x:c r="V13" s="24">
        <x:f>MAX(0,$Q13-$U13)-$T13</x:f>
        <x:v>0</x:v>
      </x:c>
      <x:c r="W13" s="24">
        <x:f>MAX(0,MAX(0,($C13+$F13)-$M13)-$S13)-MIN(MAX(0,$D$3-(MAX(0,$F13-MAX(0,($M13+$S13)-$C13)))),MAX(0,MAX(0,($C13+$F13)-$M13)-$S13))</x:f>
        <x:v>1788651.7656504756</x:v>
      </x:c>
      <x:c r="X13" s="24">
        <x:f>IF(Inputs!$C$39=1,$W13,0)</x:f>
        <x:v>1788651.7656504756</x:v>
      </x:c>
      <x:c r="Y13" s="24">
        <x:f>IF(Inputs!$C$39=0,$W13,0)+MAX(0,MAX(0,($D13+$X13)-$N13)-$T13)</x:f>
        <x:v>3685837.5546685876</x:v>
      </x:c>
    </x:row>
    <x:row r="14">
      <x:c r="B14" s="22" t="n">
        <x:v>9</x:v>
      </x:c>
      <x:c r="C14" s="29">
        <x:f>IF($B14&lt;=Inputs!$C$6+Inputs!$C$11,Cashflow_Asset!$E12-Cashflow_Asset!$K12,0)</x:f>
        <x:v>770198.3503426351</x:v>
      </x:c>
      <x:c r="D14" s="29">
        <x:f>IF($B14&lt;=Inputs!$C$6+Inputs!$C$11,Cashflow_Asset!$F12+Cashflow_Asset!$G12+Cashflow_Asset!$I12,0)</x:f>
        <x:v>1904836.2974852393</x:v>
      </x:c>
      <x:c r="E14" s="29">
        <x:f>IF($B14&lt;=Inputs!$C$6+Inputs!$C$11,Cashflow_Asset!$J12,0)</x:f>
        <x:v>125047.46535290303</x:v>
      </x:c>
      <x:c r="F14" s="23">
        <x:f>$G13</x:f>
        <x:v>1000000</x:v>
      </x:c>
      <x:c r="G14" s="24">
        <x:f>(MAX(0,$F14-MAX(0,($M14+$S14)-$C14)))+MIN(MAX(0,$D$3-(MAX(0,$F14-MAX(0,($M14+$S14)-$C14)))),MAX(0,MAX(0,($C14+$F14)-$M14)-$S14))</x:f>
        <x:v>1000000</x:v>
      </x:c>
      <x:c r="H14" s="23">
        <x:f>$J13</x:f>
        <x:v>79889439.51339254</x:v>
      </x:c>
      <x:c r="I14" s="24">
        <x:f>MIN($E14,$H14)</x:f>
        <x:v>125047.46535290303</x:v>
      </x:c>
      <x:c r="J14" s="24">
        <x:f>$H14-$I14</x:f>
        <x:v>79764392.04803963</x:v>
      </x:c>
      <x:c r="K14" s="23">
        <x:f>$P13</x:f>
        <x:v>0</x:v>
      </x:c>
      <x:c r="L14" s="24">
        <x:f>$K14*Inputs!$C$18/12</x:f>
        <x:v>0</x:v>
      </x:c>
      <x:c r="M14" s="24">
        <x:f>MIN(($C14+$F14),$L14)</x:f>
        <x:v>0</x:v>
      </x:c>
      <x:c r="N14" s="24">
        <x:f>MIN(($D14+$X14),MAX(0,$K14-$O14))</x:f>
        <x:v>0</x:v>
      </x:c>
      <x:c r="O14" s="24">
        <x:f>MIN(MAX(0,MAX(0,$E14-$I14)-$U14),$K14)</x:f>
        <x:v>0</x:v>
      </x:c>
      <x:c r="P14" s="24">
        <x:f>MAX(0,$K14-$O14)-$N14</x:f>
        <x:v>0</x:v>
      </x:c>
      <x:c r="Q14" s="23">
        <x:f>$V13</x:f>
        <x:v>0</x:v>
      </x:c>
      <x:c r="R14" s="24">
        <x:f>$Q14*Inputs!$C$19/12</x:f>
        <x:v>0</x:v>
      </x:c>
      <x:c r="S14" s="24">
        <x:f>MIN(MAX(0,($C14+$F14)-$M14),$R14)</x:f>
        <x:v>0</x:v>
      </x:c>
      <x:c r="T14" s="24">
        <x:f>MIN(MAX(0,($D14+$X14)-$N14),MAX(0,$Q14-$U14))</x:f>
        <x:v>0</x:v>
      </x:c>
      <x:c r="U14" s="24">
        <x:f>MIN(MAX(0,$E14-$I14),$Q14)</x:f>
        <x:v>0</x:v>
      </x:c>
      <x:c r="V14" s="24">
        <x:f>MAX(0,$Q14-$U14)-$T14</x:f>
        <x:v>0</x:v>
      </x:c>
      <x:c r="W14" s="24">
        <x:f>MAX(0,MAX(0,($C14+$F14)-$M14)-$S14)-MIN(MAX(0,$D$3-(MAX(0,$F14-MAX(0,($M14+$S14)-$C14)))),MAX(0,MAX(0,($C14+$F14)-$M14)-$S14))</x:f>
        <x:v>1770198.350342635</x:v>
      </x:c>
      <x:c r="X14" s="24">
        <x:f>IF(Inputs!$C$39=1,$W14,0)</x:f>
        <x:v>1770198.350342635</x:v>
      </x:c>
      <x:c r="Y14" s="24">
        <x:f>IF(Inputs!$C$39=0,$W14,0)+MAX(0,MAX(0,($D14+$X14)-$N14)-$T14)</x:f>
        <x:v>3675034.6478278744</x:v>
      </x:c>
    </x:row>
    <x:row r="15">
      <x:c r="B15" s="22" t="n">
        <x:v>10</x:v>
      </x:c>
      <x:c r="C15" s="29">
        <x:f>IF($B15&lt;=Inputs!$C$6+Inputs!$C$11,Cashflow_Asset!$E13-Cashflow_Asset!$K13,0)</x:f>
        <x:v>751703.2612052727</x:v>
      </x:c>
      <x:c r="D15" s="29">
        <x:f>IF($B15&lt;=Inputs!$C$6+Inputs!$C$11,Cashflow_Asset!$F13+Cashflow_Asset!$G13+Cashflow_Asset!$I13,0)</x:f>
        <x:v>1912504.0832953562</x:v>
      </x:c>
      <x:c r="E15" s="29">
        <x:f>IF($B15&lt;=Inputs!$C$6+Inputs!$C$11,Cashflow_Asset!$J13,0)</x:f>
        <x:v>121963.81903514723</x:v>
      </x:c>
      <x:c r="F15" s="23">
        <x:f>$G14</x:f>
        <x:v>1000000</x:v>
      </x:c>
      <x:c r="G15" s="24">
        <x:f>(MAX(0,$F15-MAX(0,($M15+$S15)-$C15)))+MIN(MAX(0,$D$3-(MAX(0,$F15-MAX(0,($M15+$S15)-$C15)))),MAX(0,MAX(0,($C15+$F15)-$M15)-$S15))</x:f>
        <x:v>1000000</x:v>
      </x:c>
      <x:c r="H15" s="23">
        <x:f>$J14</x:f>
        <x:v>79764392.04803963</x:v>
      </x:c>
      <x:c r="I15" s="24">
        <x:f>MIN($E15,$H15)</x:f>
        <x:v>121963.81903514723</x:v>
      </x:c>
      <x:c r="J15" s="24">
        <x:f>$H15-$I15</x:f>
        <x:v>79642428.22900449</x:v>
      </x:c>
      <x:c r="K15" s="23">
        <x:f>$P14</x:f>
        <x:v>0</x:v>
      </x:c>
      <x:c r="L15" s="24">
        <x:f>$K15*Inputs!$C$18/12</x:f>
        <x:v>0</x:v>
      </x:c>
      <x:c r="M15" s="24">
        <x:f>MIN(($C15+$F15),$L15)</x:f>
        <x:v>0</x:v>
      </x:c>
      <x:c r="N15" s="24">
        <x:f>MIN(($D15+$X15),MAX(0,$K15-$O15))</x:f>
        <x:v>0</x:v>
      </x:c>
      <x:c r="O15" s="24">
        <x:f>MIN(MAX(0,MAX(0,$E15-$I15)-$U15),$K15)</x:f>
        <x:v>0</x:v>
      </x:c>
      <x:c r="P15" s="24">
        <x:f>MAX(0,$K15-$O15)-$N15</x:f>
        <x:v>0</x:v>
      </x:c>
      <x:c r="Q15" s="23">
        <x:f>$V14</x:f>
        <x:v>0</x:v>
      </x:c>
      <x:c r="R15" s="24">
        <x:f>$Q15*Inputs!$C$19/12</x:f>
        <x:v>0</x:v>
      </x:c>
      <x:c r="S15" s="24">
        <x:f>MIN(MAX(0,($C15+$F15)-$M15),$R15)</x:f>
        <x:v>0</x:v>
      </x:c>
      <x:c r="T15" s="24">
        <x:f>MIN(MAX(0,($D15+$X15)-$N15),MAX(0,$Q15-$U15))</x:f>
        <x:v>0</x:v>
      </x:c>
      <x:c r="U15" s="24">
        <x:f>MIN(MAX(0,$E15-$I15),$Q15)</x:f>
        <x:v>0</x:v>
      </x:c>
      <x:c r="V15" s="24">
        <x:f>MAX(0,$Q15-$U15)-$T15</x:f>
        <x:v>0</x:v>
      </x:c>
      <x:c r="W15" s="24">
        <x:f>MAX(0,MAX(0,($C15+$F15)-$M15)-$S15)-MIN(MAX(0,$D$3-(MAX(0,$F15-MAX(0,($M15+$S15)-$C15)))),MAX(0,MAX(0,($C15+$F15)-$M15)-$S15))</x:f>
        <x:v>1751703.2612052727</x:v>
      </x:c>
      <x:c r="X15" s="24">
        <x:f>IF(Inputs!$C$39=1,$W15,0)</x:f>
        <x:v>1751703.2612052727</x:v>
      </x:c>
      <x:c r="Y15" s="24">
        <x:f>IF(Inputs!$C$39=0,$W15,0)+MAX(0,MAX(0,($D15+$X15)-$N15)-$T15)</x:f>
        <x:v>3664207.344500629</x:v>
      </x:c>
    </x:row>
    <x:row r="16">
      <x:c r="B16" s="22" t="n">
        <x:v>11</x:v>
      </x:c>
      <x:c r="C16" s="29">
        <x:f>IF($B16&lt;=Inputs!$C$6+Inputs!$C$11,Cashflow_Asset!$E14-Cashflow_Asset!$K14,0)</x:f>
        <x:v>733166.4041252915</x:v>
      </x:c>
      <x:c r="D16" s="29">
        <x:f>IF($B16&lt;=Inputs!$C$6+Inputs!$C$11,Cashflow_Asset!$F14+Cashflow_Asset!$G14+Cashflow_Asset!$I14,0)</x:f>
        <x:v>1920189.1854663384</x:v>
      </x:c>
      <x:c r="E16" s="29">
        <x:f>IF($B16&lt;=Inputs!$C$6+Inputs!$C$11,Cashflow_Asset!$J14,0)</x:f>
        <x:v>118873.20883841248</x:v>
      </x:c>
      <x:c r="F16" s="23">
        <x:f>$G15</x:f>
        <x:v>1000000</x:v>
      </x:c>
      <x:c r="G16" s="24">
        <x:f>(MAX(0,$F16-MAX(0,($M16+$S16)-$C16)))+MIN(MAX(0,$D$3-(MAX(0,$F16-MAX(0,($M16+$S16)-$C16)))),MAX(0,MAX(0,($C16+$F16)-$M16)-$S16))</x:f>
        <x:v>1000000</x:v>
      </x:c>
      <x:c r="H16" s="23">
        <x:f>$J15</x:f>
        <x:v>79642428.22900449</x:v>
      </x:c>
      <x:c r="I16" s="24">
        <x:f>MIN($E16,$H16)</x:f>
        <x:v>118873.20883841248</x:v>
      </x:c>
      <x:c r="J16" s="24">
        <x:f>$H16-$I16</x:f>
        <x:v>79523555.02016607</x:v>
      </x:c>
      <x:c r="K16" s="23">
        <x:f>$P15</x:f>
        <x:v>0</x:v>
      </x:c>
      <x:c r="L16" s="24">
        <x:f>$K16*Inputs!$C$18/12</x:f>
        <x:v>0</x:v>
      </x:c>
      <x:c r="M16" s="24">
        <x:f>MIN(($C16+$F16),$L16)</x:f>
        <x:v>0</x:v>
      </x:c>
      <x:c r="N16" s="24">
        <x:f>MIN(($D16+$X16),MAX(0,$K16-$O16))</x:f>
        <x:v>0</x:v>
      </x:c>
      <x:c r="O16" s="24">
        <x:f>MIN(MAX(0,MAX(0,$E16-$I16)-$U16),$K16)</x:f>
        <x:v>0</x:v>
      </x:c>
      <x:c r="P16" s="24">
        <x:f>MAX(0,$K16-$O16)-$N16</x:f>
        <x:v>0</x:v>
      </x:c>
      <x:c r="Q16" s="23">
        <x:f>$V15</x:f>
        <x:v>0</x:v>
      </x:c>
      <x:c r="R16" s="24">
        <x:f>$Q16*Inputs!$C$19/12</x:f>
        <x:v>0</x:v>
      </x:c>
      <x:c r="S16" s="24">
        <x:f>MIN(MAX(0,($C16+$F16)-$M16),$R16)</x:f>
        <x:v>0</x:v>
      </x:c>
      <x:c r="T16" s="24">
        <x:f>MIN(MAX(0,($D16+$X16)-$N16),MAX(0,$Q16-$U16))</x:f>
        <x:v>0</x:v>
      </x:c>
      <x:c r="U16" s="24">
        <x:f>MIN(MAX(0,$E16-$I16),$Q16)</x:f>
        <x:v>0</x:v>
      </x:c>
      <x:c r="V16" s="24">
        <x:f>MAX(0,$Q16-$U16)-$T16</x:f>
        <x:v>0</x:v>
      </x:c>
      <x:c r="W16" s="24">
        <x:f>MAX(0,MAX(0,($C16+$F16)-$M16)-$S16)-MIN(MAX(0,$D$3-(MAX(0,$F16-MAX(0,($M16+$S16)-$C16)))),MAX(0,MAX(0,($C16+$F16)-$M16)-$S16))</x:f>
        <x:v>1733166.4041252914</x:v>
      </x:c>
      <x:c r="X16" s="24">
        <x:f>IF(Inputs!$C$39=1,$W16,0)</x:f>
        <x:v>1733166.4041252914</x:v>
      </x:c>
      <x:c r="Y16" s="24">
        <x:f>IF(Inputs!$C$39=0,$W16,0)+MAX(0,MAX(0,($D16+$X16)-$N16)-$T16)</x:f>
        <x:v>3653355.58959163</x:v>
      </x:c>
    </x:row>
    <x:row r="17">
      <x:c r="B17" s="22" t="n">
        <x:v>12</x:v>
      </x:c>
      <x:c r="C17" s="29">
        <x:f>IF($B17&lt;=Inputs!$C$6+Inputs!$C$11,Cashflow_Asset!$E15-Cashflow_Asset!$K15,0)</x:f>
        <x:v>714587.6847770562</x:v>
      </x:c>
      <x:c r="D17" s="29">
        <x:f>IF($B17&lt;=Inputs!$C$6+Inputs!$C$11,Cashflow_Asset!$F15+Cashflow_Asset!$G15+Cashflow_Asset!$I15,0)</x:f>
        <x:v>1927891.6431041749</x:v>
      </x:c>
      <x:c r="E17" s="29">
        <x:f>IF($B17&lt;=Inputs!$C$6+Inputs!$C$11,Cashflow_Asset!$J15,0)</x:f>
        <x:v>115775.61903598912</x:v>
      </x:c>
      <x:c r="F17" s="23">
        <x:f>$G16</x:f>
        <x:v>1000000</x:v>
      </x:c>
      <x:c r="G17" s="24">
        <x:f>(MAX(0,$F17-MAX(0,($M17+$S17)-$C17)))+MIN(MAX(0,$D$3-(MAX(0,$F17-MAX(0,($M17+$S17)-$C17)))),MAX(0,MAX(0,($C17+$F17)-$M17)-$S17))</x:f>
        <x:v>1000000</x:v>
      </x:c>
      <x:c r="H17" s="23">
        <x:f>$J16</x:f>
        <x:v>79523555.02016607</x:v>
      </x:c>
      <x:c r="I17" s="24">
        <x:f>MIN($E17,$H17)</x:f>
        <x:v>115775.61903598912</x:v>
      </x:c>
      <x:c r="J17" s="24">
        <x:f>$H17-$I17</x:f>
        <x:v>79407779.40113008</x:v>
      </x:c>
      <x:c r="K17" s="23">
        <x:f>$P16</x:f>
        <x:v>0</x:v>
      </x:c>
      <x:c r="L17" s="24">
        <x:f>$K17*Inputs!$C$18/12</x:f>
        <x:v>0</x:v>
      </x:c>
      <x:c r="M17" s="24">
        <x:f>MIN(($C17+$F17),$L17)</x:f>
        <x:v>0</x:v>
      </x:c>
      <x:c r="N17" s="24">
        <x:f>MIN(($D17+$X17),MAX(0,$K17-$O17))</x:f>
        <x:v>0</x:v>
      </x:c>
      <x:c r="O17" s="24">
        <x:f>MIN(MAX(0,MAX(0,$E17-$I17)-$U17),$K17)</x:f>
        <x:v>0</x:v>
      </x:c>
      <x:c r="P17" s="24">
        <x:f>MAX(0,$K17-$O17)-$N17</x:f>
        <x:v>0</x:v>
      </x:c>
      <x:c r="Q17" s="23">
        <x:f>$V16</x:f>
        <x:v>0</x:v>
      </x:c>
      <x:c r="R17" s="24">
        <x:f>$Q17*Inputs!$C$19/12</x:f>
        <x:v>0</x:v>
      </x:c>
      <x:c r="S17" s="24">
        <x:f>MIN(MAX(0,($C17+$F17)-$M17),$R17)</x:f>
        <x:v>0</x:v>
      </x:c>
      <x:c r="T17" s="24">
        <x:f>MIN(MAX(0,($D17+$X17)-$N17),MAX(0,$Q17-$U17))</x:f>
        <x:v>0</x:v>
      </x:c>
      <x:c r="U17" s="24">
        <x:f>MIN(MAX(0,$E17-$I17),$Q17)</x:f>
        <x:v>0</x:v>
      </x:c>
      <x:c r="V17" s="24">
        <x:f>MAX(0,$Q17-$U17)-$T17</x:f>
        <x:v>0</x:v>
      </x:c>
      <x:c r="W17" s="24">
        <x:f>MAX(0,MAX(0,($C17+$F17)-$M17)-$S17)-MIN(MAX(0,$D$3-(MAX(0,$F17-MAX(0,($M17+$S17)-$C17)))),MAX(0,MAX(0,($C17+$F17)-$M17)-$S17))</x:f>
        <x:v>1714587.6847770563</x:v>
      </x:c>
      <x:c r="X17" s="24">
        <x:f>IF(Inputs!$C$39=1,$W17,0)</x:f>
        <x:v>1714587.6847770563</x:v>
      </x:c>
      <x:c r="Y17" s="24">
        <x:f>IF(Inputs!$C$39=0,$W17,0)+MAX(0,MAX(0,($D17+$X17)-$N17)-$T17)</x:f>
        <x:v>3642479.327881231</x:v>
      </x:c>
    </x:row>
    <x:row r="18">
      <x:c r="B18" s="22" t="n">
        <x:v>13</x:v>
      </x:c>
      <x:c r="C18" s="29">
        <x:f>IF($B18&lt;=Inputs!$C$6+Inputs!$C$11,Cashflow_Asset!$E16-Cashflow_Asset!$K16,0)</x:f>
        <x:v>695967.0086219135</x:v>
      </x:c>
      <x:c r="D18" s="29">
        <x:f>IF($B18&lt;=Inputs!$C$6+Inputs!$C$11,Cashflow_Asset!$F16+Cashflow_Asset!$G16+Cashflow_Asset!$I16,0)</x:f>
        <x:v>1935611.4954031704</x:v>
      </x:c>
      <x:c r="E18" s="29">
        <x:f>IF($B18&lt;=Inputs!$C$6+Inputs!$C$11,Cashflow_Asset!$J16,0)</x:f>
        <x:v>112671.03386565139</x:v>
      </x:c>
      <x:c r="F18" s="23">
        <x:f>$G17</x:f>
        <x:v>1000000</x:v>
      </x:c>
      <x:c r="G18" s="24">
        <x:f>(MAX(0,$F18-MAX(0,($M18+$S18)-$C18)))+MIN(MAX(0,$D$3-(MAX(0,$F18-MAX(0,($M18+$S18)-$C18)))),MAX(0,MAX(0,($C18+$F18)-$M18)-$S18))</x:f>
        <x:v>1000000</x:v>
      </x:c>
      <x:c r="H18" s="23">
        <x:f>$J17</x:f>
        <x:v>79407779.40113008</x:v>
      </x:c>
      <x:c r="I18" s="24">
        <x:f>MIN($E18,$H18)</x:f>
        <x:v>112671.03386565139</x:v>
      </x:c>
      <x:c r="J18" s="24">
        <x:f>$H18-$I18</x:f>
        <x:v>79295108.36726443</x:v>
      </x:c>
      <x:c r="K18" s="23">
        <x:f>$P17</x:f>
        <x:v>0</x:v>
      </x:c>
      <x:c r="L18" s="24">
        <x:f>$K18*Inputs!$C$18/12</x:f>
        <x:v>0</x:v>
      </x:c>
      <x:c r="M18" s="24">
        <x:f>MIN(($C18+$F18),$L18)</x:f>
        <x:v>0</x:v>
      </x:c>
      <x:c r="N18" s="24">
        <x:f>MIN(($D18+$X18),MAX(0,$K18-$O18))</x:f>
        <x:v>0</x:v>
      </x:c>
      <x:c r="O18" s="24">
        <x:f>MIN(MAX(0,MAX(0,$E18-$I18)-$U18),$K18)</x:f>
        <x:v>0</x:v>
      </x:c>
      <x:c r="P18" s="24">
        <x:f>MAX(0,$K18-$O18)-$N18</x:f>
        <x:v>0</x:v>
      </x:c>
      <x:c r="Q18" s="23">
        <x:f>$V17</x:f>
        <x:v>0</x:v>
      </x:c>
      <x:c r="R18" s="24">
        <x:f>$Q18*Inputs!$C$19/12</x:f>
        <x:v>0</x:v>
      </x:c>
      <x:c r="S18" s="24">
        <x:f>MIN(MAX(0,($C18+$F18)-$M18),$R18)</x:f>
        <x:v>0</x:v>
      </x:c>
      <x:c r="T18" s="24">
        <x:f>MIN(MAX(0,($D18+$X18)-$N18),MAX(0,$Q18-$U18))</x:f>
        <x:v>0</x:v>
      </x:c>
      <x:c r="U18" s="24">
        <x:f>MIN(MAX(0,$E18-$I18),$Q18)</x:f>
        <x:v>0</x:v>
      </x:c>
      <x:c r="V18" s="24">
        <x:f>MAX(0,$Q18-$U18)-$T18</x:f>
        <x:v>0</x:v>
      </x:c>
      <x:c r="W18" s="24">
        <x:f>MAX(0,MAX(0,($C18+$F18)-$M18)-$S18)-MIN(MAX(0,$D$3-(MAX(0,$F18-MAX(0,($M18+$S18)-$C18)))),MAX(0,MAX(0,($C18+$F18)-$M18)-$S18))</x:f>
        <x:v>1695967.0086219134</x:v>
      </x:c>
      <x:c r="X18" s="24">
        <x:f>IF(Inputs!$C$39=1,$W18,0)</x:f>
        <x:v>1695967.0086219134</x:v>
      </x:c>
      <x:c r="Y18" s="24">
        <x:f>IF(Inputs!$C$39=0,$W18,0)+MAX(0,MAX(0,($D18+$X18)-$N18)-$T18)</x:f>
        <x:v>3631578.504025084</x:v>
      </x:c>
    </x:row>
    <x:row r="19">
      <x:c r="B19" s="22" t="n">
        <x:v>14</x:v>
      </x:c>
      <x:c r="C19" s="29">
        <x:f>IF($B19&lt;=Inputs!$C$6+Inputs!$C$11,Cashflow_Asset!$E17-Cashflow_Asset!$K17,0)</x:f>
        <x:v>677304.280907711</x:v>
      </x:c>
      <x:c r="D19" s="29">
        <x:f>IF($B19&lt;=Inputs!$C$6+Inputs!$C$11,Cashflow_Asset!$F17+Cashflow_Asset!$G17+Cashflow_Asset!$I17,0)</x:f>
        <x:v>1943348.7816461415</x:v>
      </x:c>
      <x:c r="E19" s="29">
        <x:f>IF($B19&lt;=Inputs!$C$6+Inputs!$C$11,Cashflow_Asset!$J17,0)</x:f>
        <x:v>109559.43752957736</x:v>
      </x:c>
      <x:c r="F19" s="23">
        <x:f>$G18</x:f>
        <x:v>1000000</x:v>
      </x:c>
      <x:c r="G19" s="24">
        <x:f>(MAX(0,$F19-MAX(0,($M19+$S19)-$C19)))+MIN(MAX(0,$D$3-(MAX(0,$F19-MAX(0,($M19+$S19)-$C19)))),MAX(0,MAX(0,($C19+$F19)-$M19)-$S19))</x:f>
        <x:v>1000000</x:v>
      </x:c>
      <x:c r="H19" s="23">
        <x:f>$J18</x:f>
        <x:v>79295108.36726443</x:v>
      </x:c>
      <x:c r="I19" s="24">
        <x:f>MIN($E19,$H19)</x:f>
        <x:v>109559.43752957736</x:v>
      </x:c>
      <x:c r="J19" s="24">
        <x:f>$H19-$I19</x:f>
        <x:v>79185548.92973486</x:v>
      </x:c>
      <x:c r="K19" s="23">
        <x:f>$P18</x:f>
        <x:v>0</x:v>
      </x:c>
      <x:c r="L19" s="24">
        <x:f>$K19*Inputs!$C$18/12</x:f>
        <x:v>0</x:v>
      </x:c>
      <x:c r="M19" s="24">
        <x:f>MIN(($C19+$F19),$L19)</x:f>
        <x:v>0</x:v>
      </x:c>
      <x:c r="N19" s="24">
        <x:f>MIN(($D19+$X19),MAX(0,$K19-$O19))</x:f>
        <x:v>0</x:v>
      </x:c>
      <x:c r="O19" s="24">
        <x:f>MIN(MAX(0,MAX(0,$E19-$I19)-$U19),$K19)</x:f>
        <x:v>0</x:v>
      </x:c>
      <x:c r="P19" s="24">
        <x:f>MAX(0,$K19-$O19)-$N19</x:f>
        <x:v>0</x:v>
      </x:c>
      <x:c r="Q19" s="23">
        <x:f>$V18</x:f>
        <x:v>0</x:v>
      </x:c>
      <x:c r="R19" s="24">
        <x:f>$Q19*Inputs!$C$19/12</x:f>
        <x:v>0</x:v>
      </x:c>
      <x:c r="S19" s="24">
        <x:f>MIN(MAX(0,($C19+$F19)-$M19),$R19)</x:f>
        <x:v>0</x:v>
      </x:c>
      <x:c r="T19" s="24">
        <x:f>MIN(MAX(0,($D19+$X19)-$N19),MAX(0,$Q19-$U19))</x:f>
        <x:v>0</x:v>
      </x:c>
      <x:c r="U19" s="24">
        <x:f>MIN(MAX(0,$E19-$I19),$Q19)</x:f>
        <x:v>0</x:v>
      </x:c>
      <x:c r="V19" s="24">
        <x:f>MAX(0,$Q19-$U19)-$T19</x:f>
        <x:v>0</x:v>
      </x:c>
      <x:c r="W19" s="24">
        <x:f>MAX(0,MAX(0,($C19+$F19)-$M19)-$S19)-MIN(MAX(0,$D$3-(MAX(0,$F19-MAX(0,($M19+$S19)-$C19)))),MAX(0,MAX(0,($C19+$F19)-$M19)-$S19))</x:f>
        <x:v>1677304.280907711</x:v>
      </x:c>
      <x:c r="X19" s="24">
        <x:f>IF(Inputs!$C$39=1,$W19,0)</x:f>
        <x:v>1677304.280907711</x:v>
      </x:c>
      <x:c r="Y19" s="24">
        <x:f>IF(Inputs!$C$39=0,$W19,0)+MAX(0,MAX(0,($D19+$X19)-$N19)-$T19)</x:f>
        <x:v>3620653.062553853</x:v>
      </x:c>
    </x:row>
    <x:row r="20">
      <x:c r="B20" s="22" t="n">
        <x:v>15</x:v>
      </x:c>
      <x:c r="C20" s="29">
        <x:f>IF($B20&lt;=Inputs!$C$6+Inputs!$C$11,Cashflow_Asset!$E18-Cashflow_Asset!$K18,0)</x:f>
        <x:v>658599.4066683154</x:v>
      </x:c>
      <x:c r="D20" s="29">
        <x:f>IF($B20&lt;=Inputs!$C$6+Inputs!$C$11,Cashflow_Asset!$F18+Cashflow_Asset!$G18+Cashflow_Asset!$I18,0)</x:f>
        <x:v>1951103.5412046197</x:v>
      </x:c>
      <x:c r="E20" s="29">
        <x:f>IF($B20&lt;=Inputs!$C$6+Inputs!$C$11,Cashflow_Asset!$J18,0)</x:f>
        <x:v>106440.81419426837</x:v>
      </x:c>
      <x:c r="F20" s="23">
        <x:f>$G19</x:f>
        <x:v>1000000</x:v>
      </x:c>
      <x:c r="G20" s="24">
        <x:f>(MAX(0,$F20-MAX(0,($M20+$S20)-$C20)))+MIN(MAX(0,$D$3-(MAX(0,$F20-MAX(0,($M20+$S20)-$C20)))),MAX(0,MAX(0,($C20+$F20)-$M20)-$S20))</x:f>
        <x:v>1000000</x:v>
      </x:c>
      <x:c r="H20" s="23">
        <x:f>$J19</x:f>
        <x:v>79185548.92973486</x:v>
      </x:c>
      <x:c r="I20" s="24">
        <x:f>MIN($E20,$H20)</x:f>
        <x:v>106440.81419426837</x:v>
      </x:c>
      <x:c r="J20" s="24">
        <x:f>$H20-$I20</x:f>
        <x:v>79079108.1155406</x:v>
      </x:c>
      <x:c r="K20" s="23">
        <x:f>$P19</x:f>
        <x:v>0</x:v>
      </x:c>
      <x:c r="L20" s="24">
        <x:f>$K20*Inputs!$C$18/12</x:f>
        <x:v>0</x:v>
      </x:c>
      <x:c r="M20" s="24">
        <x:f>MIN(($C20+$F20),$L20)</x:f>
        <x:v>0</x:v>
      </x:c>
      <x:c r="N20" s="24">
        <x:f>MIN(($D20+$X20),MAX(0,$K20-$O20))</x:f>
        <x:v>0</x:v>
      </x:c>
      <x:c r="O20" s="24">
        <x:f>MIN(MAX(0,MAX(0,$E20-$I20)-$U20),$K20)</x:f>
        <x:v>0</x:v>
      </x:c>
      <x:c r="P20" s="24">
        <x:f>MAX(0,$K20-$O20)-$N20</x:f>
        <x:v>0</x:v>
      </x:c>
      <x:c r="Q20" s="23">
        <x:f>$V19</x:f>
        <x:v>0</x:v>
      </x:c>
      <x:c r="R20" s="24">
        <x:f>$Q20*Inputs!$C$19/12</x:f>
        <x:v>0</x:v>
      </x:c>
      <x:c r="S20" s="24">
        <x:f>MIN(MAX(0,($C20+$F20)-$M20),$R20)</x:f>
        <x:v>0</x:v>
      </x:c>
      <x:c r="T20" s="24">
        <x:f>MIN(MAX(0,($D20+$X20)-$N20),MAX(0,$Q20-$U20))</x:f>
        <x:v>0</x:v>
      </x:c>
      <x:c r="U20" s="24">
        <x:f>MIN(MAX(0,$E20-$I20),$Q20)</x:f>
        <x:v>0</x:v>
      </x:c>
      <x:c r="V20" s="24">
        <x:f>MAX(0,$Q20-$U20)-$T20</x:f>
        <x:v>0</x:v>
      </x:c>
      <x:c r="W20" s="24">
        <x:f>MAX(0,MAX(0,($C20+$F20)-$M20)-$S20)-MIN(MAX(0,$D$3-(MAX(0,$F20-MAX(0,($M20+$S20)-$C20)))),MAX(0,MAX(0,($C20+$F20)-$M20)-$S20))</x:f>
        <x:v>1658599.4066683154</x:v>
      </x:c>
      <x:c r="X20" s="24">
        <x:f>IF(Inputs!$C$39=1,$W20,0)</x:f>
        <x:v>1658599.4066683154</x:v>
      </x:c>
      <x:c r="Y20" s="24">
        <x:f>IF(Inputs!$C$39=0,$W20,0)+MAX(0,MAX(0,($D20+$X20)-$N20)-$T20)</x:f>
        <x:v>3609702.947872935</x:v>
      </x:c>
    </x:row>
    <x:row r="21">
      <x:c r="B21" s="22" t="n">
        <x:v>16</x:v>
      </x:c>
      <x:c r="C21" s="29">
        <x:f>IF($B21&lt;=Inputs!$C$6+Inputs!$C$11,Cashflow_Asset!$E19-Cashflow_Asset!$K19,0)</x:f>
        <x:v>639852.2907231284</x:v>
      </x:c>
      <x:c r="D21" s="29">
        <x:f>IF($B21&lt;=Inputs!$C$6+Inputs!$C$11,Cashflow_Asset!$F19+Cashflow_Asset!$G19+Cashflow_Asset!$I19,0)</x:f>
        <x:v>1958875.8135390491</x:v>
      </x:c>
      <x:c r="E21" s="29">
        <x:f>IF($B21&lt;=Inputs!$C$6+Inputs!$C$11,Cashflow_Asset!$J19,0)</x:f>
        <x:v>103315.14799046866</x:v>
      </x:c>
      <x:c r="F21" s="23">
        <x:f>$G20</x:f>
        <x:v>1000000</x:v>
      </x:c>
      <x:c r="G21" s="24">
        <x:f>(MAX(0,$F21-MAX(0,($M21+$S21)-$C21)))+MIN(MAX(0,$D$3-(MAX(0,$F21-MAX(0,($M21+$S21)-$C21)))),MAX(0,MAX(0,($C21+$F21)-$M21)-$S21))</x:f>
        <x:v>1000000</x:v>
      </x:c>
      <x:c r="H21" s="23">
        <x:f>$J20</x:f>
        <x:v>79079108.1155406</x:v>
      </x:c>
      <x:c r="I21" s="24">
        <x:f>MIN($E21,$H21)</x:f>
        <x:v>103315.14799046866</x:v>
      </x:c>
      <x:c r="J21" s="24">
        <x:f>$H21-$I21</x:f>
        <x:v>78975792.96755013</x:v>
      </x:c>
      <x:c r="K21" s="23">
        <x:f>$P20</x:f>
        <x:v>0</x:v>
      </x:c>
      <x:c r="L21" s="24">
        <x:f>$K21*Inputs!$C$18/12</x:f>
        <x:v>0</x:v>
      </x:c>
      <x:c r="M21" s="24">
        <x:f>MIN(($C21+$F21),$L21)</x:f>
        <x:v>0</x:v>
      </x:c>
      <x:c r="N21" s="24">
        <x:f>MIN(($D21+$X21),MAX(0,$K21-$O21))</x:f>
        <x:v>0</x:v>
      </x:c>
      <x:c r="O21" s="24">
        <x:f>MIN(MAX(0,MAX(0,$E21-$I21)-$U21),$K21)</x:f>
        <x:v>0</x:v>
      </x:c>
      <x:c r="P21" s="24">
        <x:f>MAX(0,$K21-$O21)-$N21</x:f>
        <x:v>0</x:v>
      </x:c>
      <x:c r="Q21" s="23">
        <x:f>$V20</x:f>
        <x:v>0</x:v>
      </x:c>
      <x:c r="R21" s="24">
        <x:f>$Q21*Inputs!$C$19/12</x:f>
        <x:v>0</x:v>
      </x:c>
      <x:c r="S21" s="24">
        <x:f>MIN(MAX(0,($C21+$F21)-$M21),$R21)</x:f>
        <x:v>0</x:v>
      </x:c>
      <x:c r="T21" s="24">
        <x:f>MIN(MAX(0,($D21+$X21)-$N21),MAX(0,$Q21-$U21))</x:f>
        <x:v>0</x:v>
      </x:c>
      <x:c r="U21" s="24">
        <x:f>MIN(MAX(0,$E21-$I21),$Q21)</x:f>
        <x:v>0</x:v>
      </x:c>
      <x:c r="V21" s="24">
        <x:f>MAX(0,$Q21-$U21)-$T21</x:f>
        <x:v>0</x:v>
      </x:c>
      <x:c r="W21" s="24">
        <x:f>MAX(0,MAX(0,($C21+$F21)-$M21)-$S21)-MIN(MAX(0,$D$3-(MAX(0,$F21-MAX(0,($M21+$S21)-$C21)))),MAX(0,MAX(0,($C21+$F21)-$M21)-$S21))</x:f>
        <x:v>1639852.2907231282</x:v>
      </x:c>
      <x:c r="X21" s="24">
        <x:f>IF(Inputs!$C$39=1,$W21,0)</x:f>
        <x:v>1639852.2907231282</x:v>
      </x:c>
      <x:c r="Y21" s="24">
        <x:f>IF(Inputs!$C$39=0,$W21,0)+MAX(0,MAX(0,($D21+$X21)-$N21)-$T21)</x:f>
        <x:v>3598728.1042621774</x:v>
      </x:c>
    </x:row>
    <x:row r="22">
      <x:c r="B22" s="22" t="n">
        <x:v>17</x:v>
      </x:c>
      <x:c r="C22" s="29">
        <x:f>IF($B22&lt;=Inputs!$C$6+Inputs!$C$11,Cashflow_Asset!$E20-Cashflow_Asset!$K20,0)</x:f>
        <x:v>621062.8376766032</x:v>
      </x:c>
      <x:c r="D22" s="29">
        <x:f>IF($B22&lt;=Inputs!$C$6+Inputs!$C$11,Cashflow_Asset!$F20+Cashflow_Asset!$G20+Cashflow_Asset!$I20,0)</x:f>
        <x:v>1966665.6381989885</x:v>
      </x:c>
      <x:c r="E22" s="29">
        <x:f>IF($B22&lt;=Inputs!$C$6+Inputs!$C$11,Cashflow_Asset!$J20,0)</x:f>
        <x:v>100182.42301308438</x:v>
      </x:c>
      <x:c r="F22" s="23">
        <x:f>$G21</x:f>
        <x:v>1000000</x:v>
      </x:c>
      <x:c r="G22" s="24">
        <x:f>(MAX(0,$F22-MAX(0,($M22+$S22)-$C22)))+MIN(MAX(0,$D$3-(MAX(0,$F22-MAX(0,($M22+$S22)-$C22)))),MAX(0,MAX(0,($C22+$F22)-$M22)-$S22))</x:f>
        <x:v>1000000</x:v>
      </x:c>
      <x:c r="H22" s="23">
        <x:f>$J21</x:f>
        <x:v>78975792.96755013</x:v>
      </x:c>
      <x:c r="I22" s="24">
        <x:f>MIN($E22,$H22)</x:f>
        <x:v>100182.42301308438</x:v>
      </x:c>
      <x:c r="J22" s="24">
        <x:f>$H22-$I22</x:f>
        <x:v>78875610.54453704</x:v>
      </x:c>
      <x:c r="K22" s="23">
        <x:f>$P21</x:f>
        <x:v>0</x:v>
      </x:c>
      <x:c r="L22" s="24">
        <x:f>$K22*Inputs!$C$18/12</x:f>
        <x:v>0</x:v>
      </x:c>
      <x:c r="M22" s="24">
        <x:f>MIN(($C22+$F22),$L22)</x:f>
        <x:v>0</x:v>
      </x:c>
      <x:c r="N22" s="24">
        <x:f>MIN(($D22+$X22),MAX(0,$K22-$O22))</x:f>
        <x:v>0</x:v>
      </x:c>
      <x:c r="O22" s="24">
        <x:f>MIN(MAX(0,MAX(0,$E22-$I22)-$U22),$K22)</x:f>
        <x:v>0</x:v>
      </x:c>
      <x:c r="P22" s="24">
        <x:f>MAX(0,$K22-$O22)-$N22</x:f>
        <x:v>0</x:v>
      </x:c>
      <x:c r="Q22" s="23">
        <x:f>$V21</x:f>
        <x:v>0</x:v>
      </x:c>
      <x:c r="R22" s="24">
        <x:f>$Q22*Inputs!$C$19/12</x:f>
        <x:v>0</x:v>
      </x:c>
      <x:c r="S22" s="24">
        <x:f>MIN(MAX(0,($C22+$F22)-$M22),$R22)</x:f>
        <x:v>0</x:v>
      </x:c>
      <x:c r="T22" s="24">
        <x:f>MIN(MAX(0,($D22+$X22)-$N22),MAX(0,$Q22-$U22))</x:f>
        <x:v>0</x:v>
      </x:c>
      <x:c r="U22" s="24">
        <x:f>MIN(MAX(0,$E22-$I22),$Q22)</x:f>
        <x:v>0</x:v>
      </x:c>
      <x:c r="V22" s="24">
        <x:f>MAX(0,$Q22-$U22)-$T22</x:f>
        <x:v>0</x:v>
      </x:c>
      <x:c r="W22" s="24">
        <x:f>MAX(0,MAX(0,($C22+$F22)-$M22)-$S22)-MIN(MAX(0,$D$3-(MAX(0,$F22-MAX(0,($M22+$S22)-$C22)))),MAX(0,MAX(0,($C22+$F22)-$M22)-$S22))</x:f>
        <x:v>1621062.8376766033</x:v>
      </x:c>
      <x:c r="X22" s="24">
        <x:f>IF(Inputs!$C$39=1,$W22,0)</x:f>
        <x:v>1621062.8376766033</x:v>
      </x:c>
      <x:c r="Y22" s="24">
        <x:f>IF(Inputs!$C$39=0,$W22,0)+MAX(0,MAX(0,($D22+$X22)-$N22)-$T22)</x:f>
        <x:v>3587728.475875592</x:v>
      </x:c>
    </x:row>
    <x:row r="23">
      <x:c r="B23" s="22" t="n">
        <x:v>18</x:v>
      </x:c>
      <x:c r="C23" s="29">
        <x:f>IF($B23&lt;=Inputs!$C$6+Inputs!$C$11,Cashflow_Asset!$E21-Cashflow_Asset!$K21,0)</x:f>
        <x:v>602230.9519177584</x:v>
      </x:c>
      <x:c r="D23" s="29">
        <x:f>IF($B23&lt;=Inputs!$C$6+Inputs!$C$11,Cashflow_Asset!$F21+Cashflow_Asset!$G21+Cashflow_Asset!$I21,0)</x:f>
        <x:v>1974473.0548233134</x:v>
      </x:c>
      <x:c r="E23" s="29">
        <x:f>IF($B23&lt;=Inputs!$C$6+Inputs!$C$11,Cashflow_Asset!$J21,0)</x:f>
        <x:v>97042.62332110293</x:v>
      </x:c>
      <x:c r="F23" s="23">
        <x:f>$G22</x:f>
        <x:v>1000000</x:v>
      </x:c>
      <x:c r="G23" s="24">
        <x:f>(MAX(0,$F23-MAX(0,($M23+$S23)-$C23)))+MIN(MAX(0,$D$3-(MAX(0,$F23-MAX(0,($M23+$S23)-$C23)))),MAX(0,MAX(0,($C23+$F23)-$M23)-$S23))</x:f>
        <x:v>1000000</x:v>
      </x:c>
      <x:c r="H23" s="23">
        <x:f>$J22</x:f>
        <x:v>78875610.54453704</x:v>
      </x:c>
      <x:c r="I23" s="24">
        <x:f>MIN($E23,$H23)</x:f>
        <x:v>97042.62332110293</x:v>
      </x:c>
      <x:c r="J23" s="24">
        <x:f>$H23-$I23</x:f>
        <x:v>78778567.92121594</x:v>
      </x:c>
      <x:c r="K23" s="23">
        <x:f>$P22</x:f>
        <x:v>0</x:v>
      </x:c>
      <x:c r="L23" s="24">
        <x:f>$K23*Inputs!$C$18/12</x:f>
        <x:v>0</x:v>
      </x:c>
      <x:c r="M23" s="24">
        <x:f>MIN(($C23+$F23),$L23)</x:f>
        <x:v>0</x:v>
      </x:c>
      <x:c r="N23" s="24">
        <x:f>MIN(($D23+$X23),MAX(0,$K23-$O23))</x:f>
        <x:v>0</x:v>
      </x:c>
      <x:c r="O23" s="24">
        <x:f>MIN(MAX(0,MAX(0,$E23-$I23)-$U23),$K23)</x:f>
        <x:v>0</x:v>
      </x:c>
      <x:c r="P23" s="24">
        <x:f>MAX(0,$K23-$O23)-$N23</x:f>
        <x:v>0</x:v>
      </x:c>
      <x:c r="Q23" s="23">
        <x:f>$V22</x:f>
        <x:v>0</x:v>
      </x:c>
      <x:c r="R23" s="24">
        <x:f>$Q23*Inputs!$C$19/12</x:f>
        <x:v>0</x:v>
      </x:c>
      <x:c r="S23" s="24">
        <x:f>MIN(MAX(0,($C23+$F23)-$M23),$R23)</x:f>
        <x:v>0</x:v>
      </x:c>
      <x:c r="T23" s="24">
        <x:f>MIN(MAX(0,($D23+$X23)-$N23),MAX(0,$Q23-$U23))</x:f>
        <x:v>0</x:v>
      </x:c>
      <x:c r="U23" s="24">
        <x:f>MIN(MAX(0,$E23-$I23),$Q23)</x:f>
        <x:v>0</x:v>
      </x:c>
      <x:c r="V23" s="24">
        <x:f>MAX(0,$Q23-$U23)-$T23</x:f>
        <x:v>0</x:v>
      </x:c>
      <x:c r="W23" s="24">
        <x:f>MAX(0,MAX(0,($C23+$F23)-$M23)-$S23)-MIN(MAX(0,$D$3-(MAX(0,$F23-MAX(0,($M23+$S23)-$C23)))),MAX(0,MAX(0,($C23+$F23)-$M23)-$S23))</x:f>
        <x:v>1602230.9519177584</x:v>
      </x:c>
      <x:c r="X23" s="24">
        <x:f>IF(Inputs!$C$39=1,$W23,0)</x:f>
        <x:v>1602230.9519177584</x:v>
      </x:c>
      <x:c r="Y23" s="24">
        <x:f>IF(Inputs!$C$39=0,$W23,0)+MAX(0,MAX(0,($D23+$X23)-$N23)-$T23)</x:f>
        <x:v>3576704.006741072</x:v>
      </x:c>
    </x:row>
    <x:row r="24">
      <x:c r="B24" s="22" t="n">
        <x:v>19</x:v>
      </x:c>
      <x:c r="C24" s="29">
        <x:f>IF($B24&lt;=Inputs!$C$6+Inputs!$C$11,Cashflow_Asset!$E22-Cashflow_Asset!$K22,0)</x:f>
        <x:v>583356.5376196923</x:v>
      </x:c>
      <x:c r="D24" s="29">
        <x:f>IF($B24&lt;=Inputs!$C$6+Inputs!$C$11,Cashflow_Asset!$F22+Cashflow_Asset!$G22+Cashflow_Asset!$I22,0)</x:f>
        <x:v>1982298.103140416</x:v>
      </x:c>
      <x:c r="E24" s="29">
        <x:f>IF($B24&lt;=Inputs!$C$6+Inputs!$C$11,Cashflow_Asset!$J22,0)</x:f>
        <x:v>93895.73293751162</x:v>
      </x:c>
      <x:c r="F24" s="23">
        <x:f>$G23</x:f>
        <x:v>1000000</x:v>
      </x:c>
      <x:c r="G24" s="24">
        <x:f>(MAX(0,$F24-MAX(0,($M24+$S24)-$C24)))+MIN(MAX(0,$D$3-(MAX(0,$F24-MAX(0,($M24+$S24)-$C24)))),MAX(0,MAX(0,($C24+$F24)-$M24)-$S24))</x:f>
        <x:v>1000000</x:v>
      </x:c>
      <x:c r="H24" s="23">
        <x:f>$J23</x:f>
        <x:v>78778567.92121594</x:v>
      </x:c>
      <x:c r="I24" s="24">
        <x:f>MIN($E24,$H24)</x:f>
        <x:v>93895.73293751162</x:v>
      </x:c>
      <x:c r="J24" s="24">
        <x:f>$H24-$I24</x:f>
        <x:v>78684672.18827842</x:v>
      </x:c>
      <x:c r="K24" s="23">
        <x:f>$P23</x:f>
        <x:v>0</x:v>
      </x:c>
      <x:c r="L24" s="24">
        <x:f>$K24*Inputs!$C$18/12</x:f>
        <x:v>0</x:v>
      </x:c>
      <x:c r="M24" s="24">
        <x:f>MIN(($C24+$F24),$L24)</x:f>
        <x:v>0</x:v>
      </x:c>
      <x:c r="N24" s="24">
        <x:f>MIN(($D24+$X24),MAX(0,$K24-$O24))</x:f>
        <x:v>0</x:v>
      </x:c>
      <x:c r="O24" s="24">
        <x:f>MIN(MAX(0,MAX(0,$E24-$I24)-$U24),$K24)</x:f>
        <x:v>0</x:v>
      </x:c>
      <x:c r="P24" s="24">
        <x:f>MAX(0,$K24-$O24)-$N24</x:f>
        <x:v>0</x:v>
      </x:c>
      <x:c r="Q24" s="23">
        <x:f>$V23</x:f>
        <x:v>0</x:v>
      </x:c>
      <x:c r="R24" s="24">
        <x:f>$Q24*Inputs!$C$19/12</x:f>
        <x:v>0</x:v>
      </x:c>
      <x:c r="S24" s="24">
        <x:f>MIN(MAX(0,($C24+$F24)-$M24),$R24)</x:f>
        <x:v>0</x:v>
      </x:c>
      <x:c r="T24" s="24">
        <x:f>MIN(MAX(0,($D24+$X24)-$N24),MAX(0,$Q24-$U24))</x:f>
        <x:v>0</x:v>
      </x:c>
      <x:c r="U24" s="24">
        <x:f>MIN(MAX(0,$E24-$I24),$Q24)</x:f>
        <x:v>0</x:v>
      </x:c>
      <x:c r="V24" s="24">
        <x:f>MAX(0,$Q24-$U24)-$T24</x:f>
        <x:v>0</x:v>
      </x:c>
      <x:c r="W24" s="24">
        <x:f>MAX(0,MAX(0,($C24+$F24)-$M24)-$S24)-MIN(MAX(0,$D$3-(MAX(0,$F24-MAX(0,($M24+$S24)-$C24)))),MAX(0,MAX(0,($C24+$F24)-$M24)-$S24))</x:f>
        <x:v>1583356.5376196923</x:v>
      </x:c>
      <x:c r="X24" s="24">
        <x:f>IF(Inputs!$C$39=1,$W24,0)</x:f>
        <x:v>1583356.5376196923</x:v>
      </x:c>
      <x:c r="Y24" s="24">
        <x:f>IF(Inputs!$C$39=0,$W24,0)+MAX(0,MAX(0,($D24+$X24)-$N24)-$T24)</x:f>
        <x:v>3565654.6407601084</x:v>
      </x:c>
    </x:row>
    <x:row r="25">
      <x:c r="B25" s="22" t="n">
        <x:v>20</x:v>
      </x:c>
      <x:c r="C25" s="29">
        <x:f>IF($B25&lt;=Inputs!$C$6+Inputs!$C$11,Cashflow_Asset!$E23-Cashflow_Asset!$K23,0)</x:f>
        <x:v>564439.4987390942</x:v>
      </x:c>
      <x:c r="D25" s="29">
        <x:f>IF($B25&lt;=Inputs!$C$6+Inputs!$C$11,Cashflow_Asset!$F23+Cashflow_Asset!$G23+Cashflow_Asset!$I23,0)</x:f>
        <x:v>1990140.8229684092</x:v>
      </x:c>
      <x:c r="E25" s="29">
        <x:f>IF($B25&lt;=Inputs!$C$6+Inputs!$C$11,Cashflow_Asset!$J23,0)</x:f>
        <x:v>90741.73584921652</x:v>
      </x:c>
      <x:c r="F25" s="23">
        <x:f>$G24</x:f>
        <x:v>1000000</x:v>
      </x:c>
      <x:c r="G25" s="24">
        <x:f>(MAX(0,$F25-MAX(0,($M25+$S25)-$C25)))+MIN(MAX(0,$D$3-(MAX(0,$F25-MAX(0,($M25+$S25)-$C25)))),MAX(0,MAX(0,($C25+$F25)-$M25)-$S25))</x:f>
        <x:v>1000000</x:v>
      </x:c>
      <x:c r="H25" s="23">
        <x:f>$J24</x:f>
        <x:v>78684672.18827842</x:v>
      </x:c>
      <x:c r="I25" s="24">
        <x:f>MIN($E25,$H25)</x:f>
        <x:v>90741.73584921652</x:v>
      </x:c>
      <x:c r="J25" s="24">
        <x:f>$H25-$I25</x:f>
        <x:v>78593930.4524292</x:v>
      </x:c>
      <x:c r="K25" s="23">
        <x:f>$P24</x:f>
        <x:v>0</x:v>
      </x:c>
      <x:c r="L25" s="24">
        <x:f>$K25*Inputs!$C$18/12</x:f>
        <x:v>0</x:v>
      </x:c>
      <x:c r="M25" s="24">
        <x:f>MIN(($C25+$F25),$L25)</x:f>
        <x:v>0</x:v>
      </x:c>
      <x:c r="N25" s="24">
        <x:f>MIN(($D25+$X25),MAX(0,$K25-$O25))</x:f>
        <x:v>0</x:v>
      </x:c>
      <x:c r="O25" s="24">
        <x:f>MIN(MAX(0,MAX(0,$E25-$I25)-$U25),$K25)</x:f>
        <x:v>0</x:v>
      </x:c>
      <x:c r="P25" s="24">
        <x:f>MAX(0,$K25-$O25)-$N25</x:f>
        <x:v>0</x:v>
      </x:c>
      <x:c r="Q25" s="23">
        <x:f>$V24</x:f>
        <x:v>0</x:v>
      </x:c>
      <x:c r="R25" s="24">
        <x:f>$Q25*Inputs!$C$19/12</x:f>
        <x:v>0</x:v>
      </x:c>
      <x:c r="S25" s="24">
        <x:f>MIN(MAX(0,($C25+$F25)-$M25),$R25)</x:f>
        <x:v>0</x:v>
      </x:c>
      <x:c r="T25" s="24">
        <x:f>MIN(MAX(0,($D25+$X25)-$N25),MAX(0,$Q25-$U25))</x:f>
        <x:v>0</x:v>
      </x:c>
      <x:c r="U25" s="24">
        <x:f>MIN(MAX(0,$E25-$I25),$Q25)</x:f>
        <x:v>0</x:v>
      </x:c>
      <x:c r="V25" s="24">
        <x:f>MAX(0,$Q25-$U25)-$T25</x:f>
        <x:v>0</x:v>
      </x:c>
      <x:c r="W25" s="24">
        <x:f>MAX(0,MAX(0,($C25+$F25)-$M25)-$S25)-MIN(MAX(0,$D$3-(MAX(0,$F25-MAX(0,($M25+$S25)-$C25)))),MAX(0,MAX(0,($C25+$F25)-$M25)-$S25))</x:f>
        <x:v>1564439.4987390942</x:v>
      </x:c>
      <x:c r="X25" s="24">
        <x:f>IF(Inputs!$C$39=1,$W25,0)</x:f>
        <x:v>1564439.4987390942</x:v>
      </x:c>
      <x:c r="Y25" s="24">
        <x:f>IF(Inputs!$C$39=0,$W25,0)+MAX(0,MAX(0,($D25+$X25)-$N25)-$T25)</x:f>
        <x:v>3554580.3217075034</x:v>
      </x:c>
    </x:row>
    <x:row r="26">
      <x:c r="B26" s="22" t="n">
        <x:v>21</x:v>
      </x:c>
      <x:c r="C26" s="29">
        <x:f>IF($B26&lt;=Inputs!$C$6+Inputs!$C$11,Cashflow_Asset!$E24-Cashflow_Asset!$K24,0)</x:f>
        <x:v>545479.7390157571</x:v>
      </x:c>
      <x:c r="D26" s="29">
        <x:f>IF($B26&lt;=Inputs!$C$6+Inputs!$C$11,Cashflow_Asset!$F24+Cashflow_Asset!$G24+Cashflow_Asset!$I24,0)</x:f>
        <x:v>1998001.254215326</x:v>
      </x:c>
      <x:c r="E26" s="29">
        <x:f>IF($B26&lt;=Inputs!$C$6+Inputs!$C$11,Cashflow_Asset!$J24,0)</x:f>
        <x:v>87580.61600696087</x:v>
      </x:c>
      <x:c r="F26" s="23">
        <x:f>$G25</x:f>
        <x:v>1000000</x:v>
      </x:c>
      <x:c r="G26" s="24">
        <x:f>(MAX(0,$F26-MAX(0,($M26+$S26)-$C26)))+MIN(MAX(0,$D$3-(MAX(0,$F26-MAX(0,($M26+$S26)-$C26)))),MAX(0,MAX(0,($C26+$F26)-$M26)-$S26))</x:f>
        <x:v>1000000</x:v>
      </x:c>
      <x:c r="H26" s="23">
        <x:f>$J25</x:f>
        <x:v>78593930.4524292</x:v>
      </x:c>
      <x:c r="I26" s="24">
        <x:f>MIN($E26,$H26)</x:f>
        <x:v>87580.61600696087</x:v>
      </x:c>
      <x:c r="J26" s="24">
        <x:f>$H26-$I26</x:f>
        <x:v>78506349.83642225</x:v>
      </x:c>
      <x:c r="K26" s="23">
        <x:f>$P25</x:f>
        <x:v>0</x:v>
      </x:c>
      <x:c r="L26" s="24">
        <x:f>$K26*Inputs!$C$18/12</x:f>
        <x:v>0</x:v>
      </x:c>
      <x:c r="M26" s="24">
        <x:f>MIN(($C26+$F26),$L26)</x:f>
        <x:v>0</x:v>
      </x:c>
      <x:c r="N26" s="24">
        <x:f>MIN(($D26+$X26),MAX(0,$K26-$O26))</x:f>
        <x:v>0</x:v>
      </x:c>
      <x:c r="O26" s="24">
        <x:f>MIN(MAX(0,MAX(0,$E26-$I26)-$U26),$K26)</x:f>
        <x:v>0</x:v>
      </x:c>
      <x:c r="P26" s="24">
        <x:f>MAX(0,$K26-$O26)-$N26</x:f>
        <x:v>0</x:v>
      </x:c>
      <x:c r="Q26" s="23">
        <x:f>$V25</x:f>
        <x:v>0</x:v>
      </x:c>
      <x:c r="R26" s="24">
        <x:f>$Q26*Inputs!$C$19/12</x:f>
        <x:v>0</x:v>
      </x:c>
      <x:c r="S26" s="24">
        <x:f>MIN(MAX(0,($C26+$F26)-$M26),$R26)</x:f>
        <x:v>0</x:v>
      </x:c>
      <x:c r="T26" s="24">
        <x:f>MIN(MAX(0,($D26+$X26)-$N26),MAX(0,$Q26-$U26))</x:f>
        <x:v>0</x:v>
      </x:c>
      <x:c r="U26" s="24">
        <x:f>MIN(MAX(0,$E26-$I26),$Q26)</x:f>
        <x:v>0</x:v>
      </x:c>
      <x:c r="V26" s="24">
        <x:f>MAX(0,$Q26-$U26)-$T26</x:f>
        <x:v>0</x:v>
      </x:c>
      <x:c r="W26" s="24">
        <x:f>MAX(0,MAX(0,($C26+$F26)-$M26)-$S26)-MIN(MAX(0,$D$3-(MAX(0,$F26-MAX(0,($M26+$S26)-$C26)))),MAX(0,MAX(0,($C26+$F26)-$M26)-$S26))</x:f>
        <x:v>1545479.739015757</x:v>
      </x:c>
      <x:c r="X26" s="24">
        <x:f>IF(Inputs!$C$39=1,$W26,0)</x:f>
        <x:v>1545479.739015757</x:v>
      </x:c>
      <x:c r="Y26" s="24">
        <x:f>IF(Inputs!$C$39=0,$W26,0)+MAX(0,MAX(0,($D26+$X26)-$N26)-$T26)</x:f>
        <x:v>3543480.9932310833</x:v>
      </x:c>
    </x:row>
    <x:row r="27">
      <x:c r="B27" s="22" t="n">
        <x:v>22</x:v>
      </x:c>
      <x:c r="C27" s="29">
        <x:f>IF($B27&lt;=Inputs!$C$6+Inputs!$C$11,Cashflow_Asset!$E25-Cashflow_Asset!$K25,0)</x:f>
        <x:v>526477.1619720864</x:v>
      </x:c>
      <x:c r="D27" s="29">
        <x:f>IF($B27&lt;=Inputs!$C$6+Inputs!$C$11,Cashflow_Asset!$F25+Cashflow_Asset!$G25+Cashflow_Asset!$I25,0)</x:f>
        <x:v>2005879.4368793266</x:v>
      </x:c>
      <x:c r="E27" s="29">
        <x:f>IF($B27&lt;=Inputs!$C$6+Inputs!$C$11,Cashflow_Asset!$J25,0)</x:f>
        <x:v>84412.3573252434</x:v>
      </x:c>
      <x:c r="F27" s="23">
        <x:f>$G26</x:f>
        <x:v>1000000</x:v>
      </x:c>
      <x:c r="G27" s="24">
        <x:f>(MAX(0,$F27-MAX(0,($M27+$S27)-$C27)))+MIN(MAX(0,$D$3-(MAX(0,$F27-MAX(0,($M27+$S27)-$C27)))),MAX(0,MAX(0,($C27+$F27)-$M27)-$S27))</x:f>
        <x:v>1000000</x:v>
      </x:c>
      <x:c r="H27" s="23">
        <x:f>$J26</x:f>
        <x:v>78506349.83642225</x:v>
      </x:c>
      <x:c r="I27" s="24">
        <x:f>MIN($E27,$H27)</x:f>
        <x:v>84412.3573252434</x:v>
      </x:c>
      <x:c r="J27" s="24">
        <x:f>$H27-$I27</x:f>
        <x:v>78421937.47909701</x:v>
      </x:c>
      <x:c r="K27" s="23">
        <x:f>$P26</x:f>
        <x:v>0</x:v>
      </x:c>
      <x:c r="L27" s="24">
        <x:f>$K27*Inputs!$C$18/12</x:f>
        <x:v>0</x:v>
      </x:c>
      <x:c r="M27" s="24">
        <x:f>MIN(($C27+$F27),$L27)</x:f>
        <x:v>0</x:v>
      </x:c>
      <x:c r="N27" s="24">
        <x:f>MIN(($D27+$X27),MAX(0,$K27-$O27))</x:f>
        <x:v>0</x:v>
      </x:c>
      <x:c r="O27" s="24">
        <x:f>MIN(MAX(0,MAX(0,$E27-$I27)-$U27),$K27)</x:f>
        <x:v>0</x:v>
      </x:c>
      <x:c r="P27" s="24">
        <x:f>MAX(0,$K27-$O27)-$N27</x:f>
        <x:v>0</x:v>
      </x:c>
      <x:c r="Q27" s="23">
        <x:f>$V26</x:f>
        <x:v>0</x:v>
      </x:c>
      <x:c r="R27" s="24">
        <x:f>$Q27*Inputs!$C$19/12</x:f>
        <x:v>0</x:v>
      </x:c>
      <x:c r="S27" s="24">
        <x:f>MIN(MAX(0,($C27+$F27)-$M27),$R27)</x:f>
        <x:v>0</x:v>
      </x:c>
      <x:c r="T27" s="24">
        <x:f>MIN(MAX(0,($D27+$X27)-$N27),MAX(0,$Q27-$U27))</x:f>
        <x:v>0</x:v>
      </x:c>
      <x:c r="U27" s="24">
        <x:f>MIN(MAX(0,$E27-$I27),$Q27)</x:f>
        <x:v>0</x:v>
      </x:c>
      <x:c r="V27" s="24">
        <x:f>MAX(0,$Q27-$U27)-$T27</x:f>
        <x:v>0</x:v>
      </x:c>
      <x:c r="W27" s="24">
        <x:f>MAX(0,MAX(0,($C27+$F27)-$M27)-$S27)-MIN(MAX(0,$D$3-(MAX(0,$F27-MAX(0,($M27+$S27)-$C27)))),MAX(0,MAX(0,($C27+$F27)-$M27)-$S27))</x:f>
        <x:v>1526477.1619720864</x:v>
      </x:c>
      <x:c r="X27" s="24">
        <x:f>IF(Inputs!$C$39=1,$W27,0)</x:f>
        <x:v>1526477.1619720864</x:v>
      </x:c>
      <x:c r="Y27" s="24">
        <x:f>IF(Inputs!$C$39=0,$W27,0)+MAX(0,MAX(0,($D27+$X27)-$N27)-$T27)</x:f>
        <x:v>3532356.598851413</x:v>
      </x:c>
    </x:row>
    <x:row r="28">
      <x:c r="B28" s="22" t="n">
        <x:v>23</x:v>
      </x:c>
      <x:c r="C28" s="29">
        <x:f>IF($B28&lt;=Inputs!$C$6+Inputs!$C$11,Cashflow_Asset!$E26-Cashflow_Asset!$K26,0)</x:f>
        <x:v>507431.6709126097</x:v>
      </x:c>
      <x:c r="D28" s="29">
        <x:f>IF($B28&lt;=Inputs!$C$6+Inputs!$C$11,Cashflow_Asset!$F26+Cashflow_Asset!$G26+Cashflow_Asset!$I26,0)</x:f>
        <x:v>2013775.4110488999</x:v>
      </x:c>
      <x:c r="E28" s="29">
        <x:f>IF($B28&lt;=Inputs!$C$6+Inputs!$C$11,Cashflow_Asset!$J26,0)</x:f>
        <x:v>81236.94368223664</x:v>
      </x:c>
      <x:c r="F28" s="23">
        <x:f>$G27</x:f>
        <x:v>1000000</x:v>
      </x:c>
      <x:c r="G28" s="24">
        <x:f>(MAX(0,$F28-MAX(0,($M28+$S28)-$C28)))+MIN(MAX(0,$D$3-(MAX(0,$F28-MAX(0,($M28+$S28)-$C28)))),MAX(0,MAX(0,($C28+$F28)-$M28)-$S28))</x:f>
        <x:v>1000000</x:v>
      </x:c>
      <x:c r="H28" s="23">
        <x:f>$J27</x:f>
        <x:v>78421937.47909701</x:v>
      </x:c>
      <x:c r="I28" s="24">
        <x:f>MIN($E28,$H28)</x:f>
        <x:v>81236.94368223664</x:v>
      </x:c>
      <x:c r="J28" s="24">
        <x:f>$H28-$I28</x:f>
        <x:v>78340700.53541477</x:v>
      </x:c>
      <x:c r="K28" s="23">
        <x:f>$P27</x:f>
        <x:v>0</x:v>
      </x:c>
      <x:c r="L28" s="24">
        <x:f>$K28*Inputs!$C$18/12</x:f>
        <x:v>0</x:v>
      </x:c>
      <x:c r="M28" s="24">
        <x:f>MIN(($C28+$F28),$L28)</x:f>
        <x:v>0</x:v>
      </x:c>
      <x:c r="N28" s="24">
        <x:f>MIN(($D28+$X28),MAX(0,$K28-$O28))</x:f>
        <x:v>0</x:v>
      </x:c>
      <x:c r="O28" s="24">
        <x:f>MIN(MAX(0,MAX(0,$E28-$I28)-$U28),$K28)</x:f>
        <x:v>0</x:v>
      </x:c>
      <x:c r="P28" s="24">
        <x:f>MAX(0,$K28-$O28)-$N28</x:f>
        <x:v>0</x:v>
      </x:c>
      <x:c r="Q28" s="23">
        <x:f>$V27</x:f>
        <x:v>0</x:v>
      </x:c>
      <x:c r="R28" s="24">
        <x:f>$Q28*Inputs!$C$19/12</x:f>
        <x:v>0</x:v>
      </x:c>
      <x:c r="S28" s="24">
        <x:f>MIN(MAX(0,($C28+$F28)-$M28),$R28)</x:f>
        <x:v>0</x:v>
      </x:c>
      <x:c r="T28" s="24">
        <x:f>MIN(MAX(0,($D28+$X28)-$N28),MAX(0,$Q28-$U28))</x:f>
        <x:v>0</x:v>
      </x:c>
      <x:c r="U28" s="24">
        <x:f>MIN(MAX(0,$E28-$I28),$Q28)</x:f>
        <x:v>0</x:v>
      </x:c>
      <x:c r="V28" s="24">
        <x:f>MAX(0,$Q28-$U28)-$T28</x:f>
        <x:v>0</x:v>
      </x:c>
      <x:c r="W28" s="24">
        <x:f>MAX(0,MAX(0,($C28+$F28)-$M28)-$S28)-MIN(MAX(0,$D$3-(MAX(0,$F28-MAX(0,($M28+$S28)-$C28)))),MAX(0,MAX(0,($C28+$F28)-$M28)-$S28))</x:f>
        <x:v>1507431.6709126097</x:v>
      </x:c>
      <x:c r="X28" s="24">
        <x:f>IF(Inputs!$C$39=1,$W28,0)</x:f>
        <x:v>1507431.6709126097</x:v>
      </x:c>
      <x:c r="Y28" s="24">
        <x:f>IF(Inputs!$C$39=0,$W28,0)+MAX(0,MAX(0,($D28+$X28)-$N28)-$T28)</x:f>
        <x:v>3521207.08196151</x:v>
      </x:c>
    </x:row>
    <x:row r="29">
      <x:c r="B29" s="22" t="n">
        <x:v>24</x:v>
      </x:c>
      <x:c r="C29" s="29">
        <x:f>IF($B29&lt;=Inputs!$C$6+Inputs!$C$11,Cashflow_Asset!$E27-Cashflow_Asset!$K27,0)</x:f>
        <x:v>488343.168923485</x:v>
      </x:c>
      <x:c r="D29" s="29">
        <x:f>IF($B29&lt;=Inputs!$C$6+Inputs!$C$11,Cashflow_Asset!$F27+Cashflow_Asset!$G27+Cashflow_Asset!$I27,0)</x:f>
        <x:v>2021689.2169030672</x:v>
      </x:c>
      <x:c r="E29" s="29">
        <x:f>IF($B29&lt;=Inputs!$C$6+Inputs!$C$11,Cashflow_Asset!$J27,0)</x:f>
        <x:v>78054.35891970473</x:v>
      </x:c>
      <x:c r="F29" s="23">
        <x:f>$G28</x:f>
        <x:v>1000000</x:v>
      </x:c>
      <x:c r="G29" s="24">
        <x:f>(MAX(0,$F29-MAX(0,($M29+$S29)-$C29)))+MIN(MAX(0,$D$3-(MAX(0,$F29-MAX(0,($M29+$S29)-$C29)))),MAX(0,MAX(0,($C29+$F29)-$M29)-$S29))</x:f>
        <x:v>1000000</x:v>
      </x:c>
      <x:c r="H29" s="23">
        <x:f>$J28</x:f>
        <x:v>78340700.53541477</x:v>
      </x:c>
      <x:c r="I29" s="24">
        <x:f>MIN($E29,$H29)</x:f>
        <x:v>78054.35891970473</x:v>
      </x:c>
      <x:c r="J29" s="24">
        <x:f>$H29-$I29</x:f>
        <x:v>78262646.17649506</x:v>
      </x:c>
      <x:c r="K29" s="23">
        <x:f>$P28</x:f>
        <x:v>0</x:v>
      </x:c>
      <x:c r="L29" s="24">
        <x:f>$K29*Inputs!$C$18/12</x:f>
        <x:v>0</x:v>
      </x:c>
      <x:c r="M29" s="24">
        <x:f>MIN(($C29+$F29),$L29)</x:f>
        <x:v>0</x:v>
      </x:c>
      <x:c r="N29" s="24">
        <x:f>MIN(($D29+$X29),MAX(0,$K29-$O29))</x:f>
        <x:v>0</x:v>
      </x:c>
      <x:c r="O29" s="24">
        <x:f>MIN(MAX(0,MAX(0,$E29-$I29)-$U29),$K29)</x:f>
        <x:v>0</x:v>
      </x:c>
      <x:c r="P29" s="24">
        <x:f>MAX(0,$K29-$O29)-$N29</x:f>
        <x:v>0</x:v>
      </x:c>
      <x:c r="Q29" s="23">
        <x:f>$V28</x:f>
        <x:v>0</x:v>
      </x:c>
      <x:c r="R29" s="24">
        <x:f>$Q29*Inputs!$C$19/12</x:f>
        <x:v>0</x:v>
      </x:c>
      <x:c r="S29" s="24">
        <x:f>MIN(MAX(0,($C29+$F29)-$M29),$R29)</x:f>
        <x:v>0</x:v>
      </x:c>
      <x:c r="T29" s="24">
        <x:f>MIN(MAX(0,($D29+$X29)-$N29),MAX(0,$Q29-$U29))</x:f>
        <x:v>0</x:v>
      </x:c>
      <x:c r="U29" s="24">
        <x:f>MIN(MAX(0,$E29-$I29),$Q29)</x:f>
        <x:v>0</x:v>
      </x:c>
      <x:c r="V29" s="24">
        <x:f>MAX(0,$Q29-$U29)-$T29</x:f>
        <x:v>0</x:v>
      </x:c>
      <x:c r="W29" s="24">
        <x:f>MAX(0,MAX(0,($C29+$F29)-$M29)-$S29)-MIN(MAX(0,$D$3-(MAX(0,$F29-MAX(0,($M29+$S29)-$C29)))),MAX(0,MAX(0,($C29+$F29)-$M29)-$S29))</x:f>
        <x:v>1488343.168923485</x:v>
      </x:c>
      <x:c r="X29" s="24">
        <x:f>IF(Inputs!$C$39=1,$W29,0)</x:f>
        <x:v>1488343.168923485</x:v>
      </x:c>
      <x:c r="Y29" s="24">
        <x:f>IF(Inputs!$C$39=0,$W29,0)+MAX(0,MAX(0,($D29+$X29)-$N29)-$T29)</x:f>
        <x:v>3510032.3858265523</x:v>
      </x:c>
    </x:row>
    <x:row r="30">
      <x:c r="B30" s="22" t="n">
        <x:v>25</x:v>
      </x:c>
      <x:c r="C30" s="29">
        <x:f>IF($B30&lt;=Inputs!$C$6+Inputs!$C$11,Cashflow_Asset!$E28-Cashflow_Asset!$K28,0)</x:f>
        <x:v>469211.558872007</x:v>
      </x:c>
      <x:c r="D30" s="29">
        <x:f>IF($B30&lt;=Inputs!$C$6+Inputs!$C$11,Cashflow_Asset!$F28+Cashflow_Asset!$G28+Cashflow_Asset!$I28,0)</x:f>
        <x:v>2029620.894711587</x:v>
      </x:c>
      <x:c r="E30" s="29">
        <x:f>IF($B30&lt;=Inputs!$C$6+Inputs!$C$11,Cashflow_Asset!$J28,0)</x:f>
        <x:v>74864.58684292123</x:v>
      </x:c>
      <x:c r="F30" s="23">
        <x:f>$G29</x:f>
        <x:v>1000000</x:v>
      </x:c>
      <x:c r="G30" s="24">
        <x:f>(MAX(0,$F30-MAX(0,($M30+$S30)-$C30)))+MIN(MAX(0,$D$3-(MAX(0,$F30-MAX(0,($M30+$S30)-$C30)))),MAX(0,MAX(0,($C30+$F30)-$M30)-$S30))</x:f>
        <x:v>1000000</x:v>
      </x:c>
      <x:c r="H30" s="23">
        <x:f>$J29</x:f>
        <x:v>78262646.17649506</x:v>
      </x:c>
      <x:c r="I30" s="24">
        <x:f>MIN($E30,$H30)</x:f>
        <x:v>74864.58684292123</x:v>
      </x:c>
      <x:c r="J30" s="24">
        <x:f>$H30-$I30</x:f>
        <x:v>78187781.58965214</x:v>
      </x:c>
      <x:c r="K30" s="23">
        <x:f>$P29</x:f>
        <x:v>0</x:v>
      </x:c>
      <x:c r="L30" s="24">
        <x:f>$K30*Inputs!$C$18/12</x:f>
        <x:v>0</x:v>
      </x:c>
      <x:c r="M30" s="24">
        <x:f>MIN(($C30+$F30),$L30)</x:f>
        <x:v>0</x:v>
      </x:c>
      <x:c r="N30" s="24">
        <x:f>MIN(($D30+$X30),MAX(0,$K30-$O30))</x:f>
        <x:v>0</x:v>
      </x:c>
      <x:c r="O30" s="24">
        <x:f>MIN(MAX(0,MAX(0,$E30-$I30)-$U30),$K30)</x:f>
        <x:v>0</x:v>
      </x:c>
      <x:c r="P30" s="24">
        <x:f>MAX(0,$K30-$O30)-$N30</x:f>
        <x:v>0</x:v>
      </x:c>
      <x:c r="Q30" s="23">
        <x:f>$V29</x:f>
        <x:v>0</x:v>
      </x:c>
      <x:c r="R30" s="24">
        <x:f>$Q30*Inputs!$C$19/12</x:f>
        <x:v>0</x:v>
      </x:c>
      <x:c r="S30" s="24">
        <x:f>MIN(MAX(0,($C30+$F30)-$M30),$R30)</x:f>
        <x:v>0</x:v>
      </x:c>
      <x:c r="T30" s="24">
        <x:f>MIN(MAX(0,($D30+$X30)-$N30),MAX(0,$Q30-$U30))</x:f>
        <x:v>0</x:v>
      </x:c>
      <x:c r="U30" s="24">
        <x:f>MIN(MAX(0,$E30-$I30),$Q30)</x:f>
        <x:v>0</x:v>
      </x:c>
      <x:c r="V30" s="24">
        <x:f>MAX(0,$Q30-$U30)-$T30</x:f>
        <x:v>0</x:v>
      </x:c>
      <x:c r="W30" s="24">
        <x:f>MAX(0,MAX(0,($C30+$F30)-$M30)-$S30)-MIN(MAX(0,$D$3-(MAX(0,$F30-MAX(0,($M30+$S30)-$C30)))),MAX(0,MAX(0,($C30+$F30)-$M30)-$S30))</x:f>
        <x:v>1469211.558872007</x:v>
      </x:c>
      <x:c r="X30" s="24">
        <x:f>IF(Inputs!$C$39=1,$W30,0)</x:f>
        <x:v>1469211.558872007</x:v>
      </x:c>
      <x:c r="Y30" s="24">
        <x:f>IF(Inputs!$C$39=0,$W30,0)+MAX(0,MAX(0,($D30+$X30)-$N30)-$T30)</x:f>
        <x:v>3498832.4535835944</x:v>
      </x:c>
    </x:row>
    <x:row r="31">
      <x:c r="B31" s="22" t="n">
        <x:v>26</x:v>
      </x:c>
      <x:c r="C31" s="29">
        <x:f>IF($B31&lt;=Inputs!$C$6+Inputs!$C$11,Cashflow_Asset!$E29-Cashflow_Asset!$K29,0)</x:f>
        <x:v>450036.7434061132</x:v>
      </x:c>
      <x:c r="D31" s="29">
        <x:f>IF($B31&lt;=Inputs!$C$6+Inputs!$C$11,Cashflow_Asset!$F29+Cashflow_Asset!$G29+Cashflow_Asset!$I29,0)</x:f>
        <x:v>2037570.484835161</x:v>
      </x:c>
      <x:c r="E31" s="29">
        <x:f>IF($B31&lt;=Inputs!$C$6+Inputs!$C$11,Cashflow_Asset!$J29,0)</x:f>
        <x:v>71667.61122058675</x:v>
      </x:c>
      <x:c r="F31" s="23">
        <x:f>$G30</x:f>
        <x:v>1000000</x:v>
      </x:c>
      <x:c r="G31" s="24">
        <x:f>(MAX(0,$F31-MAX(0,($M31+$S31)-$C31)))+MIN(MAX(0,$D$3-(MAX(0,$F31-MAX(0,($M31+$S31)-$C31)))),MAX(0,MAX(0,($C31+$F31)-$M31)-$S31))</x:f>
        <x:v>1000000</x:v>
      </x:c>
      <x:c r="H31" s="23">
        <x:f>$J30</x:f>
        <x:v>78187781.58965214</x:v>
      </x:c>
      <x:c r="I31" s="24">
        <x:f>MIN($E31,$H31)</x:f>
        <x:v>71667.61122058675</x:v>
      </x:c>
      <x:c r="J31" s="24">
        <x:f>$H31-$I31</x:f>
        <x:v>78116113.97843155</x:v>
      </x:c>
      <x:c r="K31" s="23">
        <x:f>$P30</x:f>
        <x:v>0</x:v>
      </x:c>
      <x:c r="L31" s="24">
        <x:f>$K31*Inputs!$C$18/12</x:f>
        <x:v>0</x:v>
      </x:c>
      <x:c r="M31" s="24">
        <x:f>MIN(($C31+$F31),$L31)</x:f>
        <x:v>0</x:v>
      </x:c>
      <x:c r="N31" s="24">
        <x:f>MIN(($D31+$X31),MAX(0,$K31-$O31))</x:f>
        <x:v>0</x:v>
      </x:c>
      <x:c r="O31" s="24">
        <x:f>MIN(MAX(0,MAX(0,$E31-$I31)-$U31),$K31)</x:f>
        <x:v>0</x:v>
      </x:c>
      <x:c r="P31" s="24">
        <x:f>MAX(0,$K31-$O31)-$N31</x:f>
        <x:v>0</x:v>
      </x:c>
      <x:c r="Q31" s="23">
        <x:f>$V30</x:f>
        <x:v>0</x:v>
      </x:c>
      <x:c r="R31" s="24">
        <x:f>$Q31*Inputs!$C$19/12</x:f>
        <x:v>0</x:v>
      </x:c>
      <x:c r="S31" s="24">
        <x:f>MIN(MAX(0,($C31+$F31)-$M31),$R31)</x:f>
        <x:v>0</x:v>
      </x:c>
      <x:c r="T31" s="24">
        <x:f>MIN(MAX(0,($D31+$X31)-$N31),MAX(0,$Q31-$U31))</x:f>
        <x:v>0</x:v>
      </x:c>
      <x:c r="U31" s="24">
        <x:f>MIN(MAX(0,$E31-$I31),$Q31)</x:f>
        <x:v>0</x:v>
      </x:c>
      <x:c r="V31" s="24">
        <x:f>MAX(0,$Q31-$U31)-$T31</x:f>
        <x:v>0</x:v>
      </x:c>
      <x:c r="W31" s="24">
        <x:f>MAX(0,MAX(0,($C31+$F31)-$M31)-$S31)-MIN(MAX(0,$D$3-(MAX(0,$F31-MAX(0,($M31+$S31)-$C31)))),MAX(0,MAX(0,($C31+$F31)-$M31)-$S31))</x:f>
        <x:v>1450036.7434061132</x:v>
      </x:c>
      <x:c r="X31" s="24">
        <x:f>IF(Inputs!$C$39=1,$W31,0)</x:f>
        <x:v>1450036.7434061132</x:v>
      </x:c>
      <x:c r="Y31" s="24">
        <x:f>IF(Inputs!$C$39=0,$W31,0)+MAX(0,MAX(0,($D31+$X31)-$N31)-$T31)</x:f>
        <x:v>3487607.228241274</x:v>
      </x:c>
    </x:row>
    <x:row r="32">
      <x:c r="B32" s="22" t="n">
        <x:v>27</x:v>
      </x:c>
      <x:c r="C32" s="29">
        <x:f>IF($B32&lt;=Inputs!$C$6+Inputs!$C$11,Cashflow_Asset!$E30-Cashflow_Asset!$K30,0)</x:f>
        <x:v>430818.6249538882</x:v>
      </x:c>
      <x:c r="D32" s="29">
        <x:f>IF($B32&lt;=Inputs!$C$6+Inputs!$C$11,Cashflow_Asset!$F30+Cashflow_Asset!$G30+Cashflow_Asset!$I30,0)</x:f>
        <x:v>2045538.0277256377</x:v>
      </x:c>
      <x:c r="E32" s="29">
        <x:f>IF($B32&lt;=Inputs!$C$6+Inputs!$C$11,Cashflow_Asset!$J30,0)</x:f>
        <x:v>68463.4157847463</x:v>
      </x:c>
      <x:c r="F32" s="23">
        <x:f>$G31</x:f>
        <x:v>1000000</x:v>
      </x:c>
      <x:c r="G32" s="24">
        <x:f>(MAX(0,$F32-MAX(0,($M32+$S32)-$C32)))+MIN(MAX(0,$D$3-(MAX(0,$F32-MAX(0,($M32+$S32)-$C32)))),MAX(0,MAX(0,($C32+$F32)-$M32)-$S32))</x:f>
        <x:v>1000000</x:v>
      </x:c>
      <x:c r="H32" s="23">
        <x:f>$J31</x:f>
        <x:v>78116113.97843155</x:v>
      </x:c>
      <x:c r="I32" s="24">
        <x:f>MIN($E32,$H32)</x:f>
        <x:v>68463.4157847463</x:v>
      </x:c>
      <x:c r="J32" s="24">
        <x:f>$H32-$I32</x:f>
        <x:v>78047650.5626468</x:v>
      </x:c>
      <x:c r="K32" s="23">
        <x:f>$P31</x:f>
        <x:v>0</x:v>
      </x:c>
      <x:c r="L32" s="24">
        <x:f>$K32*Inputs!$C$18/12</x:f>
        <x:v>0</x:v>
      </x:c>
      <x:c r="M32" s="24">
        <x:f>MIN(($C32+$F32),$L32)</x:f>
        <x:v>0</x:v>
      </x:c>
      <x:c r="N32" s="24">
        <x:f>MIN(($D32+$X32),MAX(0,$K32-$O32))</x:f>
        <x:v>0</x:v>
      </x:c>
      <x:c r="O32" s="24">
        <x:f>MIN(MAX(0,MAX(0,$E32-$I32)-$U32),$K32)</x:f>
        <x:v>0</x:v>
      </x:c>
      <x:c r="P32" s="24">
        <x:f>MAX(0,$K32-$O32)-$N32</x:f>
        <x:v>0</x:v>
      </x:c>
      <x:c r="Q32" s="23">
        <x:f>$V31</x:f>
        <x:v>0</x:v>
      </x:c>
      <x:c r="R32" s="24">
        <x:f>$Q32*Inputs!$C$19/12</x:f>
        <x:v>0</x:v>
      </x:c>
      <x:c r="S32" s="24">
        <x:f>MIN(MAX(0,($C32+$F32)-$M32),$R32)</x:f>
        <x:v>0</x:v>
      </x:c>
      <x:c r="T32" s="24">
        <x:f>MIN(MAX(0,($D32+$X32)-$N32),MAX(0,$Q32-$U32))</x:f>
        <x:v>0</x:v>
      </x:c>
      <x:c r="U32" s="24">
        <x:f>MIN(MAX(0,$E32-$I32),$Q32)</x:f>
        <x:v>0</x:v>
      </x:c>
      <x:c r="V32" s="24">
        <x:f>MAX(0,$Q32-$U32)-$T32</x:f>
        <x:v>0</x:v>
      </x:c>
      <x:c r="W32" s="24">
        <x:f>MAX(0,MAX(0,($C32+$F32)-$M32)-$S32)-MIN(MAX(0,$D$3-(MAX(0,$F32-MAX(0,($M32+$S32)-$C32)))),MAX(0,MAX(0,($C32+$F32)-$M32)-$S32))</x:f>
        <x:v>1430818.6249538881</x:v>
      </x:c>
      <x:c r="X32" s="24">
        <x:f>IF(Inputs!$C$39=1,$W32,0)</x:f>
        <x:v>1430818.6249538881</x:v>
      </x:c>
      <x:c r="Y32" s="24">
        <x:f>IF(Inputs!$C$39=0,$W32,0)+MAX(0,MAX(0,($D32+$X32)-$N32)-$T32)</x:f>
        <x:v>3476356.652679526</x:v>
      </x:c>
    </x:row>
    <x:row r="33">
      <x:c r="B33" s="22" t="n">
        <x:v>28</x:v>
      </x:c>
      <x:c r="C33" s="29">
        <x:f>IF($B33&lt;=Inputs!$C$6+Inputs!$C$11,Cashflow_Asset!$E31-Cashflow_Asset!$K31,0)</x:f>
        <x:v>411557.1057230677</x:v>
      </x:c>
      <x:c r="D33" s="29">
        <x:f>IF($B33&lt;=Inputs!$C$6+Inputs!$C$11,Cashflow_Asset!$F31+Cashflow_Asset!$G31+Cashflow_Asset!$I31,0)</x:f>
        <x:v>2053523.5639262188</x:v>
      </x:c>
      <x:c r="E33" s="29">
        <x:f>IF($B33&lt;=Inputs!$C$6+Inputs!$C$11,Cashflow_Asset!$J31,0)</x:f>
        <x:v>65251.9842307066</x:v>
      </x:c>
      <x:c r="F33" s="23">
        <x:f>$G32</x:f>
        <x:v>1000000</x:v>
      </x:c>
      <x:c r="G33" s="24">
        <x:f>(MAX(0,$F33-MAX(0,($M33+$S33)-$C33)))+MIN(MAX(0,$D$3-(MAX(0,$F33-MAX(0,($M33+$S33)-$C33)))),MAX(0,MAX(0,($C33+$F33)-$M33)-$S33))</x:f>
        <x:v>1000000</x:v>
      </x:c>
      <x:c r="H33" s="23">
        <x:f>$J32</x:f>
        <x:v>78047650.5626468</x:v>
      </x:c>
      <x:c r="I33" s="24">
        <x:f>MIN($E33,$H33)</x:f>
        <x:v>65251.9842307066</x:v>
      </x:c>
      <x:c r="J33" s="24">
        <x:f>$H33-$I33</x:f>
        <x:v>77982398.5784161</x:v>
      </x:c>
      <x:c r="K33" s="23">
        <x:f>$P32</x:f>
        <x:v>0</x:v>
      </x:c>
      <x:c r="L33" s="24">
        <x:f>$K33*Inputs!$C$18/12</x:f>
        <x:v>0</x:v>
      </x:c>
      <x:c r="M33" s="24">
        <x:f>MIN(($C33+$F33),$L33)</x:f>
        <x:v>0</x:v>
      </x:c>
      <x:c r="N33" s="24">
        <x:f>MIN(($D33+$X33),MAX(0,$K33-$O33))</x:f>
        <x:v>0</x:v>
      </x:c>
      <x:c r="O33" s="24">
        <x:f>MIN(MAX(0,MAX(0,$E33-$I33)-$U33),$K33)</x:f>
        <x:v>0</x:v>
      </x:c>
      <x:c r="P33" s="24">
        <x:f>MAX(0,$K33-$O33)-$N33</x:f>
        <x:v>0</x:v>
      </x:c>
      <x:c r="Q33" s="23">
        <x:f>$V32</x:f>
        <x:v>0</x:v>
      </x:c>
      <x:c r="R33" s="24">
        <x:f>$Q33*Inputs!$C$19/12</x:f>
        <x:v>0</x:v>
      </x:c>
      <x:c r="S33" s="24">
        <x:f>MIN(MAX(0,($C33+$F33)-$M33),$R33)</x:f>
        <x:v>0</x:v>
      </x:c>
      <x:c r="T33" s="24">
        <x:f>MIN(MAX(0,($D33+$X33)-$N33),MAX(0,$Q33-$U33))</x:f>
        <x:v>0</x:v>
      </x:c>
      <x:c r="U33" s="24">
        <x:f>MIN(MAX(0,$E33-$I33),$Q33)</x:f>
        <x:v>0</x:v>
      </x:c>
      <x:c r="V33" s="24">
        <x:f>MAX(0,$Q33-$U33)-$T33</x:f>
        <x:v>0</x:v>
      </x:c>
      <x:c r="W33" s="24">
        <x:f>MAX(0,MAX(0,($C33+$F33)-$M33)-$S33)-MIN(MAX(0,$D$3-(MAX(0,$F33-MAX(0,($M33+$S33)-$C33)))),MAX(0,MAX(0,($C33+$F33)-$M33)-$S33))</x:f>
        <x:v>1411557.1057230677</x:v>
      </x:c>
      <x:c r="X33" s="24">
        <x:f>IF(Inputs!$C$39=1,$W33,0)</x:f>
        <x:v>1411557.1057230677</x:v>
      </x:c>
      <x:c r="Y33" s="24">
        <x:f>IF(Inputs!$C$39=0,$W33,0)+MAX(0,MAX(0,($D33+$X33)-$N33)-$T33)</x:f>
        <x:v>3465080.669649286</x:v>
      </x:c>
    </x:row>
    <x:row r="34">
      <x:c r="B34" s="22" t="n">
        <x:v>29</x:v>
      </x:c>
      <x:c r="C34" s="29">
        <x:f>IF($B34&lt;=Inputs!$C$6+Inputs!$C$11,Cashflow_Asset!$E32-Cashflow_Asset!$K32,0)</x:f>
        <x:v>392252.08770054026</x:v>
      </x:c>
      <x:c r="D34" s="29">
        <x:f>IF($B34&lt;=Inputs!$C$6+Inputs!$C$11,Cashflow_Asset!$F32+Cashflow_Asset!$G32+Cashflow_Asset!$I32,0)</x:f>
        <x:v>2061527.1340716667</x:v>
      </x:c>
      <x:c r="E34" s="29">
        <x:f>IF($B34&lt;=Inputs!$C$6+Inputs!$C$11,Cashflow_Asset!$J32,0)</x:f>
        <x:v>62033.300216953</x:v>
      </x:c>
      <x:c r="F34" s="23">
        <x:f>$G33</x:f>
        <x:v>1000000</x:v>
      </x:c>
      <x:c r="G34" s="24">
        <x:f>(MAX(0,$F34-MAX(0,($M34+$S34)-$C34)))+MIN(MAX(0,$D$3-(MAX(0,$F34-MAX(0,($M34+$S34)-$C34)))),MAX(0,MAX(0,($C34+$F34)-$M34)-$S34))</x:f>
        <x:v>1000000</x:v>
      </x:c>
      <x:c r="H34" s="23">
        <x:f>$J33</x:f>
        <x:v>77982398.5784161</x:v>
      </x:c>
      <x:c r="I34" s="24">
        <x:f>MIN($E34,$H34)</x:f>
        <x:v>62033.300216953</x:v>
      </x:c>
      <x:c r="J34" s="24">
        <x:f>$H34-$I34</x:f>
        <x:v>77920365.27819914</x:v>
      </x:c>
      <x:c r="K34" s="23">
        <x:f>$P33</x:f>
        <x:v>0</x:v>
      </x:c>
      <x:c r="L34" s="24">
        <x:f>$K34*Inputs!$C$18/12</x:f>
        <x:v>0</x:v>
      </x:c>
      <x:c r="M34" s="24">
        <x:f>MIN(($C34+$F34),$L34)</x:f>
        <x:v>0</x:v>
      </x:c>
      <x:c r="N34" s="24">
        <x:f>MIN(($D34+$X34),MAX(0,$K34-$O34))</x:f>
        <x:v>0</x:v>
      </x:c>
      <x:c r="O34" s="24">
        <x:f>MIN(MAX(0,MAX(0,$E34-$I34)-$U34),$K34)</x:f>
        <x:v>0</x:v>
      </x:c>
      <x:c r="P34" s="24">
        <x:f>MAX(0,$K34-$O34)-$N34</x:f>
        <x:v>0</x:v>
      </x:c>
      <x:c r="Q34" s="23">
        <x:f>$V33</x:f>
        <x:v>0</x:v>
      </x:c>
      <x:c r="R34" s="24">
        <x:f>$Q34*Inputs!$C$19/12</x:f>
        <x:v>0</x:v>
      </x:c>
      <x:c r="S34" s="24">
        <x:f>MIN(MAX(0,($C34+$F34)-$M34),$R34)</x:f>
        <x:v>0</x:v>
      </x:c>
      <x:c r="T34" s="24">
        <x:f>MIN(MAX(0,($D34+$X34)-$N34),MAX(0,$Q34-$U34))</x:f>
        <x:v>0</x:v>
      </x:c>
      <x:c r="U34" s="24">
        <x:f>MIN(MAX(0,$E34-$I34),$Q34)</x:f>
        <x:v>0</x:v>
      </x:c>
      <x:c r="V34" s="24">
        <x:f>MAX(0,$Q34-$U34)-$T34</x:f>
        <x:v>0</x:v>
      </x:c>
      <x:c r="W34" s="24">
        <x:f>MAX(0,MAX(0,($C34+$F34)-$M34)-$S34)-MIN(MAX(0,$D$3-(MAX(0,$F34-MAX(0,($M34+$S34)-$C34)))),MAX(0,MAX(0,($C34+$F34)-$M34)-$S34))</x:f>
        <x:v>1392252.0877005402</x:v>
      </x:c>
      <x:c r="X34" s="24">
        <x:f>IF(Inputs!$C$39=1,$W34,0)</x:f>
        <x:v>1392252.0877005402</x:v>
      </x:c>
      <x:c r="Y34" s="24">
        <x:f>IF(Inputs!$C$39=0,$W34,0)+MAX(0,MAX(0,($D34+$X34)-$N34)-$T34)</x:f>
        <x:v>3453779.221772207</x:v>
      </x:c>
    </x:row>
    <x:row r="35">
      <x:c r="B35" s="22" t="n">
        <x:v>30</x:v>
      </x:c>
      <x:c r="C35" s="29">
        <x:f>IF($B35&lt;=Inputs!$C$6+Inputs!$C$11,Cashflow_Asset!$E33-Cashflow_Asset!$K33,0)</x:f>
        <x:v>372903.47265184915</x:v>
      </x:c>
      <x:c r="D35" s="29">
        <x:f>IF($B35&lt;=Inputs!$C$6+Inputs!$C$11,Cashflow_Asset!$F33+Cashflow_Asset!$G33+Cashflow_Asset!$I33,0)</x:f>
        <x:v>2069548.7788885098</x:v>
      </x:c>
      <x:c r="E35" s="29">
        <x:f>IF($B35&lt;=Inputs!$C$6+Inputs!$C$11,Cashflow_Asset!$J33,0)</x:f>
        <x:v>58807.34736506639</x:v>
      </x:c>
      <x:c r="F35" s="23">
        <x:f>$G34</x:f>
        <x:v>1000000</x:v>
      </x:c>
      <x:c r="G35" s="24">
        <x:f>(MAX(0,$F35-MAX(0,($M35+$S35)-$C35)))+MIN(MAX(0,$D$3-(MAX(0,$F35-MAX(0,($M35+$S35)-$C35)))),MAX(0,MAX(0,($C35+$F35)-$M35)-$S35))</x:f>
        <x:v>1000000</x:v>
      </x:c>
      <x:c r="H35" s="23">
        <x:f>$J34</x:f>
        <x:v>77920365.27819914</x:v>
      </x:c>
      <x:c r="I35" s="24">
        <x:f>MIN($E35,$H35)</x:f>
        <x:v>58807.34736506639</x:v>
      </x:c>
      <x:c r="J35" s="24">
        <x:f>$H35-$I35</x:f>
        <x:v>77861557.93083407</x:v>
      </x:c>
      <x:c r="K35" s="23">
        <x:f>$P34</x:f>
        <x:v>0</x:v>
      </x:c>
      <x:c r="L35" s="24">
        <x:f>$K35*Inputs!$C$18/12</x:f>
        <x:v>0</x:v>
      </x:c>
      <x:c r="M35" s="24">
        <x:f>MIN(($C35+$F35),$L35)</x:f>
        <x:v>0</x:v>
      </x:c>
      <x:c r="N35" s="24">
        <x:f>MIN(($D35+$X35),MAX(0,$K35-$O35))</x:f>
        <x:v>0</x:v>
      </x:c>
      <x:c r="O35" s="24">
        <x:f>MIN(MAX(0,MAX(0,$E35-$I35)-$U35),$K35)</x:f>
        <x:v>0</x:v>
      </x:c>
      <x:c r="P35" s="24">
        <x:f>MAX(0,$K35-$O35)-$N35</x:f>
        <x:v>0</x:v>
      </x:c>
      <x:c r="Q35" s="23">
        <x:f>$V34</x:f>
        <x:v>0</x:v>
      </x:c>
      <x:c r="R35" s="24">
        <x:f>$Q35*Inputs!$C$19/12</x:f>
        <x:v>0</x:v>
      </x:c>
      <x:c r="S35" s="24">
        <x:f>MIN(MAX(0,($C35+$F35)-$M35),$R35)</x:f>
        <x:v>0</x:v>
      </x:c>
      <x:c r="T35" s="24">
        <x:f>MIN(MAX(0,($D35+$X35)-$N35),MAX(0,$Q35-$U35))</x:f>
        <x:v>0</x:v>
      </x:c>
      <x:c r="U35" s="24">
        <x:f>MIN(MAX(0,$E35-$I35),$Q35)</x:f>
        <x:v>0</x:v>
      </x:c>
      <x:c r="V35" s="24">
        <x:f>MAX(0,$Q35-$U35)-$T35</x:f>
        <x:v>0</x:v>
      </x:c>
      <x:c r="W35" s="24">
        <x:f>MAX(0,MAX(0,($C35+$F35)-$M35)-$S35)-MIN(MAX(0,$D$3-(MAX(0,$F35-MAX(0,($M35+$S35)-$C35)))),MAX(0,MAX(0,($C35+$F35)-$M35)-$S35))</x:f>
        <x:v>1372903.472651849</x:v>
      </x:c>
      <x:c r="X35" s="24">
        <x:f>IF(Inputs!$C$39=1,$W35,0)</x:f>
        <x:v>1372903.472651849</x:v>
      </x:c>
      <x:c r="Y35" s="24">
        <x:f>IF(Inputs!$C$39=0,$W35,0)+MAX(0,MAX(0,($D35+$X35)-$N35)-$T35)</x:f>
        <x:v>3442452.251540359</x:v>
      </x:c>
    </x:row>
    <x:row r="36">
      <x:c r="B36" s="22" t="n">
        <x:v>31</x:v>
      </x:c>
      <x:c r="C36" s="29">
        <x:f>IF($B36&lt;=Inputs!$C$6+Inputs!$C$11,Cashflow_Asset!$E34-Cashflow_Asset!$K34,0)</x:f>
        <x:v>353511.16212069197</x:v>
      </x:c>
      <x:c r="D36" s="29">
        <x:f>IF($B36&lt;=Inputs!$C$6+Inputs!$C$11,Cashflow_Asset!$F34+Cashflow_Asset!$G34+Cashflow_Asset!$I34,0)</x:f>
        <x:v>2077588.5391952503</x:v>
      </x:c>
      <x:c r="E36" s="29">
        <x:f>IF($B36&lt;=Inputs!$C$6+Inputs!$C$11,Cashflow_Asset!$J34,0)</x:f>
        <x:v>55574.10925963987</x:v>
      </x:c>
      <x:c r="F36" s="23">
        <x:f>$G35</x:f>
        <x:v>1000000</x:v>
      </x:c>
      <x:c r="G36" s="24">
        <x:f>(MAX(0,$F36-MAX(0,($M36+$S36)-$C36)))+MIN(MAX(0,$D$3-(MAX(0,$F36-MAX(0,($M36+$S36)-$C36)))),MAX(0,MAX(0,($C36+$F36)-$M36)-$S36))</x:f>
        <x:v>1000000</x:v>
      </x:c>
      <x:c r="H36" s="23">
        <x:f>$J35</x:f>
        <x:v>77861557.93083407</x:v>
      </x:c>
      <x:c r="I36" s="24">
        <x:f>MIN($E36,$H36)</x:f>
        <x:v>55574.10925963987</x:v>
      </x:c>
      <x:c r="J36" s="24">
        <x:f>$H36-$I36</x:f>
        <x:v>77805983.82157443</x:v>
      </x:c>
      <x:c r="K36" s="23">
        <x:f>$P35</x:f>
        <x:v>0</x:v>
      </x:c>
      <x:c r="L36" s="24">
        <x:f>$K36*Inputs!$C$18/12</x:f>
        <x:v>0</x:v>
      </x:c>
      <x:c r="M36" s="24">
        <x:f>MIN(($C36+$F36),$L36)</x:f>
        <x:v>0</x:v>
      </x:c>
      <x:c r="N36" s="24">
        <x:f>MIN(($D36+$X36),MAX(0,$K36-$O36))</x:f>
        <x:v>0</x:v>
      </x:c>
      <x:c r="O36" s="24">
        <x:f>MIN(MAX(0,MAX(0,$E36-$I36)-$U36),$K36)</x:f>
        <x:v>0</x:v>
      </x:c>
      <x:c r="P36" s="24">
        <x:f>MAX(0,$K36-$O36)-$N36</x:f>
        <x:v>0</x:v>
      </x:c>
      <x:c r="Q36" s="23">
        <x:f>$V35</x:f>
        <x:v>0</x:v>
      </x:c>
      <x:c r="R36" s="24">
        <x:f>$Q36*Inputs!$C$19/12</x:f>
        <x:v>0</x:v>
      </x:c>
      <x:c r="S36" s="24">
        <x:f>MIN(MAX(0,($C36+$F36)-$M36),$R36)</x:f>
        <x:v>0</x:v>
      </x:c>
      <x:c r="T36" s="24">
        <x:f>MIN(MAX(0,($D36+$X36)-$N36),MAX(0,$Q36-$U36))</x:f>
        <x:v>0</x:v>
      </x:c>
      <x:c r="U36" s="24">
        <x:f>MIN(MAX(0,$E36-$I36),$Q36)</x:f>
        <x:v>0</x:v>
      </x:c>
      <x:c r="V36" s="24">
        <x:f>MAX(0,$Q36-$U36)-$T36</x:f>
        <x:v>0</x:v>
      </x:c>
      <x:c r="W36" s="24">
        <x:f>MAX(0,MAX(0,($C36+$F36)-$M36)-$S36)-MIN(MAX(0,$D$3-(MAX(0,$F36-MAX(0,($M36+$S36)-$C36)))),MAX(0,MAX(0,($C36+$F36)-$M36)-$S36))</x:f>
        <x:v>1353511.162120692</x:v>
      </x:c>
      <x:c r="X36" s="24">
        <x:f>IF(Inputs!$C$39=1,$W36,0)</x:f>
        <x:v>1353511.162120692</x:v>
      </x:c>
      <x:c r="Y36" s="24">
        <x:f>IF(Inputs!$C$39=0,$W36,0)+MAX(0,MAX(0,($D36+$X36)-$N36)-$T36)</x:f>
        <x:v>3431099.701315942</x:v>
      </x:c>
    </x:row>
    <x:row r="37">
      <x:c r="B37" s="22" t="n">
        <x:v>32</x:v>
      </x:c>
      <x:c r="C37" s="29">
        <x:f>IF($B37&lt;=Inputs!$C$6+Inputs!$C$11,Cashflow_Asset!$E35-Cashflow_Asset!$K35,0)</x:f>
        <x:v>334075.05742841994</x:v>
      </x:c>
      <x:c r="D37" s="29">
        <x:f>IF($B37&lt;=Inputs!$C$6+Inputs!$C$11,Cashflow_Asset!$F35+Cashflow_Asset!$G35+Cashflow_Asset!$I35,0)</x:f>
        <x:v>2085646.4559025718</x:v>
      </x:c>
      <x:c r="E37" s="29">
        <x:f>IF($B37&lt;=Inputs!$C$6+Inputs!$C$11,Cashflow_Asset!$J35,0)</x:f>
        <x:v>52333.56944819517</x:v>
      </x:c>
      <x:c r="F37" s="23">
        <x:f>$G36</x:f>
        <x:v>1000000</x:v>
      </x:c>
      <x:c r="G37" s="24">
        <x:f>(MAX(0,$F37-MAX(0,($M37+$S37)-$C37)))+MIN(MAX(0,$D$3-(MAX(0,$F37-MAX(0,($M37+$S37)-$C37)))),MAX(0,MAX(0,($C37+$F37)-$M37)-$S37))</x:f>
        <x:v>1000000</x:v>
      </x:c>
      <x:c r="H37" s="23">
        <x:f>$J36</x:f>
        <x:v>77805983.82157443</x:v>
      </x:c>
      <x:c r="I37" s="24">
        <x:f>MIN($E37,$H37)</x:f>
        <x:v>52333.56944819517</x:v>
      </x:c>
      <x:c r="J37" s="24">
        <x:f>$H37-$I37</x:f>
        <x:v>77753650.25212625</x:v>
      </x:c>
      <x:c r="K37" s="23">
        <x:f>$P36</x:f>
        <x:v>0</x:v>
      </x:c>
      <x:c r="L37" s="24">
        <x:f>$K37*Inputs!$C$18/12</x:f>
        <x:v>0</x:v>
      </x:c>
      <x:c r="M37" s="24">
        <x:f>MIN(($C37+$F37),$L37)</x:f>
        <x:v>0</x:v>
      </x:c>
      <x:c r="N37" s="24">
        <x:f>MIN(($D37+$X37),MAX(0,$K37-$O37))</x:f>
        <x:v>0</x:v>
      </x:c>
      <x:c r="O37" s="24">
        <x:f>MIN(MAX(0,MAX(0,$E37-$I37)-$U37),$K37)</x:f>
        <x:v>0</x:v>
      </x:c>
      <x:c r="P37" s="24">
        <x:f>MAX(0,$K37-$O37)-$N37</x:f>
        <x:v>0</x:v>
      </x:c>
      <x:c r="Q37" s="23">
        <x:f>$V36</x:f>
        <x:v>0</x:v>
      </x:c>
      <x:c r="R37" s="24">
        <x:f>$Q37*Inputs!$C$19/12</x:f>
        <x:v>0</x:v>
      </x:c>
      <x:c r="S37" s="24">
        <x:f>MIN(MAX(0,($C37+$F37)-$M37),$R37)</x:f>
        <x:v>0</x:v>
      </x:c>
      <x:c r="T37" s="24">
        <x:f>MIN(MAX(0,($D37+$X37)-$N37),MAX(0,$Q37-$U37))</x:f>
        <x:v>0</x:v>
      </x:c>
      <x:c r="U37" s="24">
        <x:f>MIN(MAX(0,$E37-$I37),$Q37)</x:f>
        <x:v>0</x:v>
      </x:c>
      <x:c r="V37" s="24">
        <x:f>MAX(0,$Q37-$U37)-$T37</x:f>
        <x:v>0</x:v>
      </x:c>
      <x:c r="W37" s="24">
        <x:f>MAX(0,MAX(0,($C37+$F37)-$M37)-$S37)-MIN(MAX(0,$D$3-(MAX(0,$F37-MAX(0,($M37+$S37)-$C37)))),MAX(0,MAX(0,($C37+$F37)-$M37)-$S37))</x:f>
        <x:v>1334075.05742842</x:v>
      </x:c>
      <x:c r="X37" s="24">
        <x:f>IF(Inputs!$C$39=1,$W37,0)</x:f>
        <x:v>1334075.05742842</x:v>
      </x:c>
      <x:c r="Y37" s="24">
        <x:f>IF(Inputs!$C$39=0,$W37,0)+MAX(0,MAX(0,($D37+$X37)-$N37)-$T37)</x:f>
        <x:v>3419721.513330992</x:v>
      </x:c>
    </x:row>
    <x:row r="38">
      <x:c r="B38" s="22" t="n">
        <x:v>33</x:v>
      </x:c>
      <x:c r="C38" s="29">
        <x:f>IF($B38&lt;=Inputs!$C$6+Inputs!$C$11,Cashflow_Asset!$E36-Cashflow_Asset!$K36,0)</x:f>
        <x:v>314595.0596735359</x:v>
      </x:c>
      <x:c r="D38" s="29">
        <x:f>IF($B38&lt;=Inputs!$C$6+Inputs!$C$11,Cashflow_Asset!$F36+Cashflow_Asset!$G36+Cashflow_Asset!$I36,0)</x:f>
        <x:v>2093722.5700135478</x:v>
      </x:c>
      <x:c r="E38" s="29">
        <x:f>IF($B38&lt;=Inputs!$C$6+Inputs!$C$11,Cashflow_Asset!$J36,0)</x:f>
        <x:v>49085.711441099</x:v>
      </x:c>
      <x:c r="F38" s="23">
        <x:f>$G37</x:f>
        <x:v>1000000</x:v>
      </x:c>
      <x:c r="G38" s="24">
        <x:f>(MAX(0,$F38-MAX(0,($M38+$S38)-$C38)))+MIN(MAX(0,$D$3-(MAX(0,$F38-MAX(0,($M38+$S38)-$C38)))),MAX(0,MAX(0,($C38+$F38)-$M38)-$S38))</x:f>
        <x:v>1000000</x:v>
      </x:c>
      <x:c r="H38" s="23">
        <x:f>$J37</x:f>
        <x:v>77753650.25212625</x:v>
      </x:c>
      <x:c r="I38" s="24">
        <x:f>MIN($E38,$H38)</x:f>
        <x:v>49085.711441099</x:v>
      </x:c>
      <x:c r="J38" s="24">
        <x:f>$H38-$I38</x:f>
        <x:v>77704564.54068515</x:v>
      </x:c>
      <x:c r="K38" s="23">
        <x:f>$P37</x:f>
        <x:v>0</x:v>
      </x:c>
      <x:c r="L38" s="24">
        <x:f>$K38*Inputs!$C$18/12</x:f>
        <x:v>0</x:v>
      </x:c>
      <x:c r="M38" s="24">
        <x:f>MIN(($C38+$F38),$L38)</x:f>
        <x:v>0</x:v>
      </x:c>
      <x:c r="N38" s="24">
        <x:f>MIN(($D38+$X38),MAX(0,$K38-$O38))</x:f>
        <x:v>0</x:v>
      </x:c>
      <x:c r="O38" s="24">
        <x:f>MIN(MAX(0,MAX(0,$E38-$I38)-$U38),$K38)</x:f>
        <x:v>0</x:v>
      </x:c>
      <x:c r="P38" s="24">
        <x:f>MAX(0,$K38-$O38)-$N38</x:f>
        <x:v>0</x:v>
      </x:c>
      <x:c r="Q38" s="23">
        <x:f>$V37</x:f>
        <x:v>0</x:v>
      </x:c>
      <x:c r="R38" s="24">
        <x:f>$Q38*Inputs!$C$19/12</x:f>
        <x:v>0</x:v>
      </x:c>
      <x:c r="S38" s="24">
        <x:f>MIN(MAX(0,($C38+$F38)-$M38),$R38)</x:f>
        <x:v>0</x:v>
      </x:c>
      <x:c r="T38" s="24">
        <x:f>MIN(MAX(0,($D38+$X38)-$N38),MAX(0,$Q38-$U38))</x:f>
        <x:v>0</x:v>
      </x:c>
      <x:c r="U38" s="24">
        <x:f>MIN(MAX(0,$E38-$I38),$Q38)</x:f>
        <x:v>0</x:v>
      </x:c>
      <x:c r="V38" s="24">
        <x:f>MAX(0,$Q38-$U38)-$T38</x:f>
        <x:v>0</x:v>
      </x:c>
      <x:c r="W38" s="24">
        <x:f>MAX(0,MAX(0,($C38+$F38)-$M38)-$S38)-MIN(MAX(0,$D$3-(MAX(0,$F38-MAX(0,($M38+$S38)-$C38)))),MAX(0,MAX(0,($C38+$F38)-$M38)-$S38))</x:f>
        <x:v>1314595.0596735359</x:v>
      </x:c>
      <x:c r="X38" s="24">
        <x:f>IF(Inputs!$C$39=1,$W38,0)</x:f>
        <x:v>1314595.0596735359</x:v>
      </x:c>
      <x:c r="Y38" s="24">
        <x:f>IF(Inputs!$C$39=0,$W38,0)+MAX(0,MAX(0,($D38+$X38)-$N38)-$T38)</x:f>
        <x:v>3408317.629687084</x:v>
      </x:c>
    </x:row>
    <x:row r="39">
      <x:c r="B39" s="22" t="n">
        <x:v>34</x:v>
      </x:c>
      <x:c r="C39" s="29">
        <x:f>IF($B39&lt;=Inputs!$C$6+Inputs!$C$11,Cashflow_Asset!$E37-Cashflow_Asset!$K37,0)</x:f>
        <x:v>295071.0697311906</x:v>
      </x:c>
      <x:c r="D39" s="29">
        <x:f>IF($B39&lt;=Inputs!$C$6+Inputs!$C$11,Cashflow_Asset!$F37+Cashflow_Asset!$G37+Cashflow_Asset!$I37,0)</x:f>
        <x:v>2101816.92262385</x:v>
      </x:c>
      <x:c r="E39" s="29">
        <x:f>IF($B39&lt;=Inputs!$C$6+Inputs!$C$11,Cashflow_Asset!$J37,0)</x:f>
        <x:v>45830.51871147907</x:v>
      </x:c>
      <x:c r="F39" s="23">
        <x:f>$G38</x:f>
        <x:v>1000000</x:v>
      </x:c>
      <x:c r="G39" s="24">
        <x:f>(MAX(0,$F39-MAX(0,($M39+$S39)-$C39)))+MIN(MAX(0,$D$3-(MAX(0,$F39-MAX(0,($M39+$S39)-$C39)))),MAX(0,MAX(0,($C39+$F39)-$M39)-$S39))</x:f>
        <x:v>1000000</x:v>
      </x:c>
      <x:c r="H39" s="23">
        <x:f>$J38</x:f>
        <x:v>77704564.54068515</x:v>
      </x:c>
      <x:c r="I39" s="24">
        <x:f>MIN($E39,$H39)</x:f>
        <x:v>45830.51871147907</x:v>
      </x:c>
      <x:c r="J39" s="24">
        <x:f>$H39-$I39</x:f>
        <x:v>77658734.02197367</x:v>
      </x:c>
      <x:c r="K39" s="23">
        <x:f>$P38</x:f>
        <x:v>0</x:v>
      </x:c>
      <x:c r="L39" s="24">
        <x:f>$K39*Inputs!$C$18/12</x:f>
        <x:v>0</x:v>
      </x:c>
      <x:c r="M39" s="24">
        <x:f>MIN(($C39+$F39),$L39)</x:f>
        <x:v>0</x:v>
      </x:c>
      <x:c r="N39" s="24">
        <x:f>MIN(($D39+$X39),MAX(0,$K39-$O39))</x:f>
        <x:v>0</x:v>
      </x:c>
      <x:c r="O39" s="24">
        <x:f>MIN(MAX(0,MAX(0,$E39-$I39)-$U39),$K39)</x:f>
        <x:v>0</x:v>
      </x:c>
      <x:c r="P39" s="24">
        <x:f>MAX(0,$K39-$O39)-$N39</x:f>
        <x:v>0</x:v>
      </x:c>
      <x:c r="Q39" s="23">
        <x:f>$V38</x:f>
        <x:v>0</x:v>
      </x:c>
      <x:c r="R39" s="24">
        <x:f>$Q39*Inputs!$C$19/12</x:f>
        <x:v>0</x:v>
      </x:c>
      <x:c r="S39" s="24">
        <x:f>MIN(MAX(0,($C39+$F39)-$M39),$R39)</x:f>
        <x:v>0</x:v>
      </x:c>
      <x:c r="T39" s="24">
        <x:f>MIN(MAX(0,($D39+$X39)-$N39),MAX(0,$Q39-$U39))</x:f>
        <x:v>0</x:v>
      </x:c>
      <x:c r="U39" s="24">
        <x:f>MIN(MAX(0,$E39-$I39),$Q39)</x:f>
        <x:v>0</x:v>
      </x:c>
      <x:c r="V39" s="24">
        <x:f>MAX(0,$Q39-$U39)-$T39</x:f>
        <x:v>0</x:v>
      </x:c>
      <x:c r="W39" s="24">
        <x:f>MAX(0,MAX(0,($C39+$F39)-$M39)-$S39)-MIN(MAX(0,$D$3-(MAX(0,$F39-MAX(0,($M39+$S39)-$C39)))),MAX(0,MAX(0,($C39+$F39)-$M39)-$S39))</x:f>
        <x:v>1295071.0697311906</x:v>
      </x:c>
      <x:c r="X39" s="24">
        <x:f>IF(Inputs!$C$39=1,$W39,0)</x:f>
        <x:v>1295071.0697311906</x:v>
      </x:c>
      <x:c r="Y39" s="24">
        <x:f>IF(Inputs!$C$39=0,$W39,0)+MAX(0,MAX(0,($D39+$X39)-$N39)-$T39)</x:f>
        <x:v>3396887.9923550403</x:v>
      </x:c>
    </x:row>
    <x:row r="40">
      <x:c r="B40" s="22" t="n">
        <x:v>35</x:v>
      </x:c>
      <x:c r="C40" s="29">
        <x:f>IF($B40&lt;=Inputs!$C$6+Inputs!$C$11,Cashflow_Asset!$E38-Cashflow_Asset!$K38,0)</x:f>
        <x:v>275502.9882526787</x:v>
      </x:c>
      <x:c r="D40" s="29">
        <x:f>IF($B40&lt;=Inputs!$C$6+Inputs!$C$11,Cashflow_Asset!$F38+Cashflow_Asset!$G38+Cashflow_Asset!$I38,0)</x:f>
        <x:v>2109929.554921958</x:v>
      </x:c>
      <x:c r="E40" s="29">
        <x:f>IF($B40&lt;=Inputs!$C$6+Inputs!$C$11,Cashflow_Asset!$J38,0)</x:f>
        <x:v>42567.974695140016</x:v>
      </x:c>
      <x:c r="F40" s="23">
        <x:f>$G39</x:f>
        <x:v>1000000</x:v>
      </x:c>
      <x:c r="G40" s="24">
        <x:f>(MAX(0,$F40-MAX(0,($M40+$S40)-$C40)))+MIN(MAX(0,$D$3-(MAX(0,$F40-MAX(0,($M40+$S40)-$C40)))),MAX(0,MAX(0,($C40+$F40)-$M40)-$S40))</x:f>
        <x:v>1000000</x:v>
      </x:c>
      <x:c r="H40" s="23">
        <x:f>$J39</x:f>
        <x:v>77658734.02197367</x:v>
      </x:c>
      <x:c r="I40" s="24">
        <x:f>MIN($E40,$H40)</x:f>
        <x:v>42567.974695140016</x:v>
      </x:c>
      <x:c r="J40" s="24">
        <x:f>$H40-$I40</x:f>
        <x:v>77616166.04727852</x:v>
      </x:c>
      <x:c r="K40" s="23">
        <x:f>$P39</x:f>
        <x:v>0</x:v>
      </x:c>
      <x:c r="L40" s="24">
        <x:f>$K40*Inputs!$C$18/12</x:f>
        <x:v>0</x:v>
      </x:c>
      <x:c r="M40" s="24">
        <x:f>MIN(($C40+$F40),$L40)</x:f>
        <x:v>0</x:v>
      </x:c>
      <x:c r="N40" s="24">
        <x:f>MIN(($D40+$X40),MAX(0,$K40-$O40))</x:f>
        <x:v>0</x:v>
      </x:c>
      <x:c r="O40" s="24">
        <x:f>MIN(MAX(0,MAX(0,$E40-$I40)-$U40),$K40)</x:f>
        <x:v>0</x:v>
      </x:c>
      <x:c r="P40" s="24">
        <x:f>MAX(0,$K40-$O40)-$N40</x:f>
        <x:v>0</x:v>
      </x:c>
      <x:c r="Q40" s="23">
        <x:f>$V39</x:f>
        <x:v>0</x:v>
      </x:c>
      <x:c r="R40" s="24">
        <x:f>$Q40*Inputs!$C$19/12</x:f>
        <x:v>0</x:v>
      </x:c>
      <x:c r="S40" s="24">
        <x:f>MIN(MAX(0,($C40+$F40)-$M40),$R40)</x:f>
        <x:v>0</x:v>
      </x:c>
      <x:c r="T40" s="24">
        <x:f>MIN(MAX(0,($D40+$X40)-$N40),MAX(0,$Q40-$U40))</x:f>
        <x:v>0</x:v>
      </x:c>
      <x:c r="U40" s="24">
        <x:f>MIN(MAX(0,$E40-$I40),$Q40)</x:f>
        <x:v>0</x:v>
      </x:c>
      <x:c r="V40" s="24">
        <x:f>MAX(0,$Q40-$U40)-$T40</x:f>
        <x:v>0</x:v>
      </x:c>
      <x:c r="W40" s="24">
        <x:f>MAX(0,MAX(0,($C40+$F40)-$M40)-$S40)-MIN(MAX(0,$D$3-(MAX(0,$F40-MAX(0,($M40+$S40)-$C40)))),MAX(0,MAX(0,($C40+$F40)-$M40)-$S40))</x:f>
        <x:v>1275502.9882526787</x:v>
      </x:c>
      <x:c r="X40" s="24">
        <x:f>IF(Inputs!$C$39=1,$W40,0)</x:f>
        <x:v>1275502.9882526787</x:v>
      </x:c>
      <x:c r="Y40" s="24">
        <x:f>IF(Inputs!$C$39=0,$W40,0)+MAX(0,MAX(0,($D40+$X40)-$N40)-$T40)</x:f>
        <x:v>3385432.5431746366</x:v>
      </x:c>
    </x:row>
    <x:row r="41">
      <x:c r="B41" s="22" t="n">
        <x:v>36</x:v>
      </x:c>
      <x:c r="C41" s="29">
        <x:f>IF($B41&lt;=Inputs!$C$6+Inputs!$C$11,Cashflow_Asset!$E39-Cashflow_Asset!$K39,0)</x:f>
        <x:v>255890.7156649331</x:v>
      </x:c>
      <x:c r="D41" s="29">
        <x:f>IF($B41&lt;=Inputs!$C$6+Inputs!$C$11,Cashflow_Asset!$F39+Cashflow_Asset!$G39+Cashflow_Asset!$I39,0)</x:f>
        <x:v>2118060.5081893676</x:v>
      </x:c>
      <x:c r="E41" s="29">
        <x:f>IF($B41&lt;=Inputs!$C$6+Inputs!$C$11,Cashflow_Asset!$J39,0)</x:f>
        <x:v>39298.06279047914</x:v>
      </x:c>
      <x:c r="F41" s="23">
        <x:f>$G40</x:f>
        <x:v>1000000</x:v>
      </x:c>
      <x:c r="G41" s="24">
        <x:f>(MAX(0,$F41-MAX(0,($M41+$S41)-$C41)))+MIN(MAX(0,$D$3-(MAX(0,$F41-MAX(0,($M41+$S41)-$C41)))),MAX(0,MAX(0,($C41+$F41)-$M41)-$S41))</x:f>
        <x:v>1000000</x:v>
      </x:c>
      <x:c r="H41" s="23">
        <x:f>$J40</x:f>
        <x:v>77616166.04727852</x:v>
      </x:c>
      <x:c r="I41" s="24">
        <x:f>MIN($E41,$H41)</x:f>
        <x:v>39298.06279047914</x:v>
      </x:c>
      <x:c r="J41" s="24">
        <x:f>$H41-$I41</x:f>
        <x:v>77576867.98448804</x:v>
      </x:c>
      <x:c r="K41" s="23">
        <x:f>$P40</x:f>
        <x:v>0</x:v>
      </x:c>
      <x:c r="L41" s="24">
        <x:f>$K41*Inputs!$C$18/12</x:f>
        <x:v>0</x:v>
      </x:c>
      <x:c r="M41" s="24">
        <x:f>MIN(($C41+$F41),$L41)</x:f>
        <x:v>0</x:v>
      </x:c>
      <x:c r="N41" s="24">
        <x:f>MIN(($D41+$X41),MAX(0,$K41-$O41))</x:f>
        <x:v>0</x:v>
      </x:c>
      <x:c r="O41" s="24">
        <x:f>MIN(MAX(0,MAX(0,$E41-$I41)-$U41),$K41)</x:f>
        <x:v>0</x:v>
      </x:c>
      <x:c r="P41" s="24">
        <x:f>MAX(0,$K41-$O41)-$N41</x:f>
        <x:v>0</x:v>
      </x:c>
      <x:c r="Q41" s="23">
        <x:f>$V40</x:f>
        <x:v>0</x:v>
      </x:c>
      <x:c r="R41" s="24">
        <x:f>$Q41*Inputs!$C$19/12</x:f>
        <x:v>0</x:v>
      </x:c>
      <x:c r="S41" s="24">
        <x:f>MIN(MAX(0,($C41+$F41)-$M41),$R41)</x:f>
        <x:v>0</x:v>
      </x:c>
      <x:c r="T41" s="24">
        <x:f>MIN(MAX(0,($D41+$X41)-$N41),MAX(0,$Q41-$U41))</x:f>
        <x:v>0</x:v>
      </x:c>
      <x:c r="U41" s="24">
        <x:f>MIN(MAX(0,$E41-$I41),$Q41)</x:f>
        <x:v>0</x:v>
      </x:c>
      <x:c r="V41" s="24">
        <x:f>MAX(0,$Q41-$U41)-$T41</x:f>
        <x:v>0</x:v>
      </x:c>
      <x:c r="W41" s="24">
        <x:f>MAX(0,MAX(0,($C41+$F41)-$M41)-$S41)-MIN(MAX(0,$D$3-(MAX(0,$F41-MAX(0,($M41+$S41)-$C41)))),MAX(0,MAX(0,($C41+$F41)-$M41)-$S41))</x:f>
        <x:v>1255890.715664933</x:v>
      </x:c>
      <x:c r="X41" s="24">
        <x:f>IF(Inputs!$C$39=1,$W41,0)</x:f>
        <x:v>1255890.715664933</x:v>
      </x:c>
      <x:c r="Y41" s="24">
        <x:f>IF(Inputs!$C$39=0,$W41,0)+MAX(0,MAX(0,($D41+$X41)-$N41)-$T41)</x:f>
        <x:v>3373951.2238543006</x:v>
      </x:c>
    </x:row>
    <x:row r="42">
      <x:c r="B42" s="22" t="n">
        <x:v>37</x:v>
      </x:c>
      <x:c r="C42" s="29">
        <x:f>IF($B42&lt;=Inputs!$C$6+Inputs!$C$11,Cashflow_Asset!$E40-Cashflow_Asset!$K40,0)</x:f>
        <x:v>236234.15217001803</x:v>
      </x:c>
      <x:c r="D42" s="29">
        <x:f>IF($B42&lt;=Inputs!$C$6+Inputs!$C$11,Cashflow_Asset!$F40+Cashflow_Asset!$G40+Cashflow_Asset!$I40,0)</x:f>
        <x:v>2126209.8238008018</x:v>
      </x:c>
      <x:c r="E42" s="29">
        <x:f>IF($B42&lt;=Inputs!$C$6+Inputs!$C$11,Cashflow_Asset!$J40,0)</x:f>
        <x:v>36020.76635840191</x:v>
      </x:c>
      <x:c r="F42" s="23">
        <x:f>$G41</x:f>
        <x:v>1000000</x:v>
      </x:c>
      <x:c r="G42" s="24">
        <x:f>(MAX(0,$F42-MAX(0,($M42+$S42)-$C42)))+MIN(MAX(0,$D$3-(MAX(0,$F42-MAX(0,($M42+$S42)-$C42)))),MAX(0,MAX(0,($C42+$F42)-$M42)-$S42))</x:f>
        <x:v>1000000</x:v>
      </x:c>
      <x:c r="H42" s="23">
        <x:f>$J41</x:f>
        <x:v>77576867.98448804</x:v>
      </x:c>
      <x:c r="I42" s="24">
        <x:f>MIN($E42,$H42)</x:f>
        <x:v>36020.76635840191</x:v>
      </x:c>
      <x:c r="J42" s="24">
        <x:f>$H42-$I42</x:f>
        <x:v>77540847.21812963</x:v>
      </x:c>
      <x:c r="K42" s="23">
        <x:f>$P41</x:f>
        <x:v>0</x:v>
      </x:c>
      <x:c r="L42" s="24">
        <x:f>$K42*Inputs!$C$18/12</x:f>
        <x:v>0</x:v>
      </x:c>
      <x:c r="M42" s="24">
        <x:f>MIN(($C42+$F42),$L42)</x:f>
        <x:v>0</x:v>
      </x:c>
      <x:c r="N42" s="24">
        <x:f>MIN(($D42+$X42),MAX(0,$K42-$O42))</x:f>
        <x:v>0</x:v>
      </x:c>
      <x:c r="O42" s="24">
        <x:f>MIN(MAX(0,MAX(0,$E42-$I42)-$U42),$K42)</x:f>
        <x:v>0</x:v>
      </x:c>
      <x:c r="P42" s="24">
        <x:f>MAX(0,$K42-$O42)-$N42</x:f>
        <x:v>0</x:v>
      </x:c>
      <x:c r="Q42" s="23">
        <x:f>$V41</x:f>
        <x:v>0</x:v>
      </x:c>
      <x:c r="R42" s="24">
        <x:f>$Q42*Inputs!$C$19/12</x:f>
        <x:v>0</x:v>
      </x:c>
      <x:c r="S42" s="24">
        <x:f>MIN(MAX(0,($C42+$F42)-$M42),$R42)</x:f>
        <x:v>0</x:v>
      </x:c>
      <x:c r="T42" s="24">
        <x:f>MIN(MAX(0,($D42+$X42)-$N42),MAX(0,$Q42-$U42))</x:f>
        <x:v>0</x:v>
      </x:c>
      <x:c r="U42" s="24">
        <x:f>MIN(MAX(0,$E42-$I42),$Q42)</x:f>
        <x:v>0</x:v>
      </x:c>
      <x:c r="V42" s="24">
        <x:f>MAX(0,$Q42-$U42)-$T42</x:f>
        <x:v>0</x:v>
      </x:c>
      <x:c r="W42" s="24">
        <x:f>MAX(0,MAX(0,($C42+$F42)-$M42)-$S42)-MIN(MAX(0,$D$3-(MAX(0,$F42-MAX(0,($M42+$S42)-$C42)))),MAX(0,MAX(0,($C42+$F42)-$M42)-$S42))</x:f>
        <x:v>1236234.152170018</x:v>
      </x:c>
      <x:c r="X42" s="24">
        <x:f>IF(Inputs!$C$39=1,$W42,0)</x:f>
        <x:v>1236234.152170018</x:v>
      </x:c>
      <x:c r="Y42" s="24">
        <x:f>IF(Inputs!$C$39=0,$W42,0)+MAX(0,MAX(0,($D42+$X42)-$N42)-$T42)</x:f>
        <x:v>3362443.9759708196</x:v>
      </x:c>
    </x:row>
    <x:row r="43">
      <x:c r="B43" s="22" t="n">
        <x:v>38</x:v>
      </x:c>
      <x:c r="C43" s="29">
        <x:f>IF($B43&lt;=Inputs!$C$6+Inputs!$C$11,Cashflow_Asset!$E41-Cashflow_Asset!$K41,0)</x:f>
        <x:v>216533.19774462184</x:v>
      </x:c>
      <x:c r="D43" s="29">
        <x:f>IF($B43&lt;=Inputs!$C$6+Inputs!$C$11,Cashflow_Asset!$F41+Cashflow_Asset!$G41+Cashflow_Asset!$I41,0)</x:f>
        <x:v>2134377.543224422</x:v>
      </x:c>
      <x:c r="E43" s="29">
        <x:f>IF($B43&lt;=Inputs!$C$6+Inputs!$C$11,Cashflow_Asset!$J41,0)</x:f>
        <x:v>32736.068722237287</x:v>
      </x:c>
      <x:c r="F43" s="23">
        <x:f>$G42</x:f>
        <x:v>1000000</x:v>
      </x:c>
      <x:c r="G43" s="24">
        <x:f>(MAX(0,$F43-MAX(0,($M43+$S43)-$C43)))+MIN(MAX(0,$D$3-(MAX(0,$F43-MAX(0,($M43+$S43)-$C43)))),MAX(0,MAX(0,($C43+$F43)-$M43)-$S43))</x:f>
        <x:v>1000000</x:v>
      </x:c>
      <x:c r="H43" s="23">
        <x:f>$J42</x:f>
        <x:v>77540847.21812963</x:v>
      </x:c>
      <x:c r="I43" s="24">
        <x:f>MIN($E43,$H43)</x:f>
        <x:v>32736.068722237287</x:v>
      </x:c>
      <x:c r="J43" s="24">
        <x:f>$H43-$I43</x:f>
        <x:v>77508111.1494074</x:v>
      </x:c>
      <x:c r="K43" s="23">
        <x:f>$P42</x:f>
        <x:v>0</x:v>
      </x:c>
      <x:c r="L43" s="24">
        <x:f>$K43*Inputs!$C$18/12</x:f>
        <x:v>0</x:v>
      </x:c>
      <x:c r="M43" s="24">
        <x:f>MIN(($C43+$F43),$L43)</x:f>
        <x:v>0</x:v>
      </x:c>
      <x:c r="N43" s="24">
        <x:f>MIN(($D43+$X43),MAX(0,$K43-$O43))</x:f>
        <x:v>0</x:v>
      </x:c>
      <x:c r="O43" s="24">
        <x:f>MIN(MAX(0,MAX(0,$E43-$I43)-$U43),$K43)</x:f>
        <x:v>0</x:v>
      </x:c>
      <x:c r="P43" s="24">
        <x:f>MAX(0,$K43-$O43)-$N43</x:f>
        <x:v>0</x:v>
      </x:c>
      <x:c r="Q43" s="23">
        <x:f>$V42</x:f>
        <x:v>0</x:v>
      </x:c>
      <x:c r="R43" s="24">
        <x:f>$Q43*Inputs!$C$19/12</x:f>
        <x:v>0</x:v>
      </x:c>
      <x:c r="S43" s="24">
        <x:f>MIN(MAX(0,($C43+$F43)-$M43),$R43)</x:f>
        <x:v>0</x:v>
      </x:c>
      <x:c r="T43" s="24">
        <x:f>MIN(MAX(0,($D43+$X43)-$N43),MAX(0,$Q43-$U43))</x:f>
        <x:v>0</x:v>
      </x:c>
      <x:c r="U43" s="24">
        <x:f>MIN(MAX(0,$E43-$I43),$Q43)</x:f>
        <x:v>0</x:v>
      </x:c>
      <x:c r="V43" s="24">
        <x:f>MAX(0,$Q43-$U43)-$T43</x:f>
        <x:v>0</x:v>
      </x:c>
      <x:c r="W43" s="24">
        <x:f>MAX(0,MAX(0,($C43+$F43)-$M43)-$S43)-MIN(MAX(0,$D$3-(MAX(0,$F43-MAX(0,($M43+$S43)-$C43)))),MAX(0,MAX(0,($C43+$F43)-$M43)-$S43))</x:f>
        <x:v>1216533.197744622</x:v>
      </x:c>
      <x:c r="X43" s="24">
        <x:f>IF(Inputs!$C$39=1,$W43,0)</x:f>
        <x:v>1216533.197744622</x:v>
      </x:c>
      <x:c r="Y43" s="24">
        <x:f>IF(Inputs!$C$39=0,$W43,0)+MAX(0,MAX(0,($D43+$X43)-$N43)-$T43)</x:f>
        <x:v>3350910.7409690437</x:v>
      </x:c>
    </x:row>
    <x:row r="44">
      <x:c r="B44" s="22" t="n">
        <x:v>39</x:v>
      </x:c>
      <x:c r="C44" s="29">
        <x:f>IF($B44&lt;=Inputs!$C$6+Inputs!$C$11,Cashflow_Asset!$E42-Cashflow_Asset!$K42,0)</x:f>
        <x:v>196787.75213954717</x:v>
      </x:c>
      <x:c r="D44" s="29">
        <x:f>IF($B44&lt;=Inputs!$C$6+Inputs!$C$11,Cashflow_Asset!$F42+Cashflow_Asset!$G42+Cashflow_Asset!$I42,0)</x:f>
        <x:v>2142563.708022037</x:v>
      </x:c>
      <x:c r="E44" s="29">
        <x:f>IF($B44&lt;=Inputs!$C$6+Inputs!$C$11,Cashflow_Asset!$J42,0)</x:f>
        <x:v>29443.953167652857</x:v>
      </x:c>
      <x:c r="F44" s="23">
        <x:f>$G43</x:f>
        <x:v>1000000</x:v>
      </x:c>
      <x:c r="G44" s="24">
        <x:f>(MAX(0,$F44-MAX(0,($M44+$S44)-$C44)))+MIN(MAX(0,$D$3-(MAX(0,$F44-MAX(0,($M44+$S44)-$C44)))),MAX(0,MAX(0,($C44+$F44)-$M44)-$S44))</x:f>
        <x:v>1000000</x:v>
      </x:c>
      <x:c r="H44" s="23">
        <x:f>$J43</x:f>
        <x:v>77508111.1494074</x:v>
      </x:c>
      <x:c r="I44" s="24">
        <x:f>MIN($E44,$H44)</x:f>
        <x:v>29443.953167652857</x:v>
      </x:c>
      <x:c r="J44" s="24">
        <x:f>$H44-$I44</x:f>
        <x:v>77478667.19623975</x:v>
      </x:c>
      <x:c r="K44" s="23">
        <x:f>$P43</x:f>
        <x:v>0</x:v>
      </x:c>
      <x:c r="L44" s="24">
        <x:f>$K44*Inputs!$C$18/12</x:f>
        <x:v>0</x:v>
      </x:c>
      <x:c r="M44" s="24">
        <x:f>MIN(($C44+$F44),$L44)</x:f>
        <x:v>0</x:v>
      </x:c>
      <x:c r="N44" s="24">
        <x:f>MIN(($D44+$X44),MAX(0,$K44-$O44))</x:f>
        <x:v>0</x:v>
      </x:c>
      <x:c r="O44" s="24">
        <x:f>MIN(MAX(0,MAX(0,$E44-$I44)-$U44),$K44)</x:f>
        <x:v>0</x:v>
      </x:c>
      <x:c r="P44" s="24">
        <x:f>MAX(0,$K44-$O44)-$N44</x:f>
        <x:v>0</x:v>
      </x:c>
      <x:c r="Q44" s="23">
        <x:f>$V43</x:f>
        <x:v>0</x:v>
      </x:c>
      <x:c r="R44" s="24">
        <x:f>$Q44*Inputs!$C$19/12</x:f>
        <x:v>0</x:v>
      </x:c>
      <x:c r="S44" s="24">
        <x:f>MIN(MAX(0,($C44+$F44)-$M44),$R44)</x:f>
        <x:v>0</x:v>
      </x:c>
      <x:c r="T44" s="24">
        <x:f>MIN(MAX(0,($D44+$X44)-$N44),MAX(0,$Q44-$U44))</x:f>
        <x:v>0</x:v>
      </x:c>
      <x:c r="U44" s="24">
        <x:f>MIN(MAX(0,$E44-$I44),$Q44)</x:f>
        <x:v>0</x:v>
      </x:c>
      <x:c r="V44" s="24">
        <x:f>MAX(0,$Q44-$U44)-$T44</x:f>
        <x:v>0</x:v>
      </x:c>
      <x:c r="W44" s="24">
        <x:f>MAX(0,MAX(0,($C44+$F44)-$M44)-$S44)-MIN(MAX(0,$D$3-(MAX(0,$F44-MAX(0,($M44+$S44)-$C44)))),MAX(0,MAX(0,($C44+$F44)-$M44)-$S44))</x:f>
        <x:v>1196787.7521395471</x:v>
      </x:c>
      <x:c r="X44" s="24">
        <x:f>IF(Inputs!$C$39=1,$W44,0)</x:f>
        <x:v>1196787.7521395471</x:v>
      </x:c>
      <x:c r="Y44" s="24">
        <x:f>IF(Inputs!$C$39=0,$W44,0)+MAX(0,MAX(0,($D44+$X44)-$N44)-$T44)</x:f>
        <x:v>3339351.4601615844</x:v>
      </x:c>
    </x:row>
    <x:row r="45">
      <x:c r="B45" s="22" t="n">
        <x:v>40</x:v>
      </x:c>
      <x:c r="C45" s="29">
        <x:f>IF($B45&lt;=Inputs!$C$6+Inputs!$C$11,Cashflow_Asset!$E43-Cashflow_Asset!$K43,0)</x:f>
        <x:v>176997.7148792016</x:v>
      </x:c>
      <x:c r="D45" s="29">
        <x:f>IF($B45&lt;=Inputs!$C$6+Inputs!$C$11,Cashflow_Asset!$F43+Cashflow_Asset!$G43+Cashflow_Asset!$I43,0)</x:f>
        <x:v>2150768.359849317</x:v>
      </x:c>
      <x:c r="E45" s="29">
        <x:f>IF($B45&lt;=Inputs!$C$6+Inputs!$C$11,Cashflow_Asset!$J43,0)</x:f>
        <x:v>26144.402942569814</x:v>
      </x:c>
      <x:c r="F45" s="23">
        <x:f>$G44</x:f>
        <x:v>1000000</x:v>
      </x:c>
      <x:c r="G45" s="24">
        <x:f>(MAX(0,$F45-MAX(0,($M45+$S45)-$C45)))+MIN(MAX(0,$D$3-(MAX(0,$F45-MAX(0,($M45+$S45)-$C45)))),MAX(0,MAX(0,($C45+$F45)-$M45)-$S45))</x:f>
        <x:v>1000000</x:v>
      </x:c>
      <x:c r="H45" s="23">
        <x:f>$J44</x:f>
        <x:v>77478667.19623975</x:v>
      </x:c>
      <x:c r="I45" s="24">
        <x:f>MIN($E45,$H45)</x:f>
        <x:v>26144.402942569814</x:v>
      </x:c>
      <x:c r="J45" s="24">
        <x:f>$H45-$I45</x:f>
        <x:v>77452522.79329719</x:v>
      </x:c>
      <x:c r="K45" s="23">
        <x:f>$P44</x:f>
        <x:v>0</x:v>
      </x:c>
      <x:c r="L45" s="24">
        <x:f>$K45*Inputs!$C$18/12</x:f>
        <x:v>0</x:v>
      </x:c>
      <x:c r="M45" s="24">
        <x:f>MIN(($C45+$F45),$L45)</x:f>
        <x:v>0</x:v>
      </x:c>
      <x:c r="N45" s="24">
        <x:f>MIN(($D45+$X45),MAX(0,$K45-$O45))</x:f>
        <x:v>0</x:v>
      </x:c>
      <x:c r="O45" s="24">
        <x:f>MIN(MAX(0,MAX(0,$E45-$I45)-$U45),$K45)</x:f>
        <x:v>0</x:v>
      </x:c>
      <x:c r="P45" s="24">
        <x:f>MAX(0,$K45-$O45)-$N45</x:f>
        <x:v>0</x:v>
      </x:c>
      <x:c r="Q45" s="23">
        <x:f>$V44</x:f>
        <x:v>0</x:v>
      </x:c>
      <x:c r="R45" s="24">
        <x:f>$Q45*Inputs!$C$19/12</x:f>
        <x:v>0</x:v>
      </x:c>
      <x:c r="S45" s="24">
        <x:f>MIN(MAX(0,($C45+$F45)-$M45),$R45)</x:f>
        <x:v>0</x:v>
      </x:c>
      <x:c r="T45" s="24">
        <x:f>MIN(MAX(0,($D45+$X45)-$N45),MAX(0,$Q45-$U45))</x:f>
        <x:v>0</x:v>
      </x:c>
      <x:c r="U45" s="24">
        <x:f>MIN(MAX(0,$E45-$I45),$Q45)</x:f>
        <x:v>0</x:v>
      </x:c>
      <x:c r="V45" s="24">
        <x:f>MAX(0,$Q45-$U45)-$T45</x:f>
        <x:v>0</x:v>
      </x:c>
      <x:c r="W45" s="24">
        <x:f>MAX(0,MAX(0,($C45+$F45)-$M45)-$S45)-MIN(MAX(0,$D$3-(MAX(0,$F45-MAX(0,($M45+$S45)-$C45)))),MAX(0,MAX(0,($C45+$F45)-$M45)-$S45))</x:f>
        <x:v>1176997.7148792017</x:v>
      </x:c>
      <x:c r="X45" s="24">
        <x:f>IF(Inputs!$C$39=1,$W45,0)</x:f>
        <x:v>1176997.7148792017</x:v>
      </x:c>
      <x:c r="Y45" s="24">
        <x:f>IF(Inputs!$C$39=0,$W45,0)+MAX(0,MAX(0,($D45+$X45)-$N45)-$T45)</x:f>
        <x:v>3327766.0747285187</x:v>
      </x:c>
    </x:row>
    <x:row r="46">
      <x:c r="B46" s="22" t="n">
        <x:v>41</x:v>
      </x:c>
      <x:c r="C46" s="29">
        <x:f>IF($B46&lt;=Inputs!$C$6+Inputs!$C$11,Cashflow_Asset!$E44-Cashflow_Asset!$K44,0)</x:f>
        <x:v>157162.985261086</x:v>
      </x:c>
      <x:c r="D46" s="29">
        <x:f>IF($B46&lt;=Inputs!$C$6+Inputs!$C$11,Cashflow_Asset!$F44+Cashflow_Asset!$G44+Cashflow_Asset!$I44,0)</x:f>
        <x:v>2158991.540456004</x:v>
      </x:c>
      <x:c r="E46" s="29">
        <x:f>IF($B46&lt;=Inputs!$C$6+Inputs!$C$11,Cashflow_Asset!$J44,0)</x:f>
        <x:v>22837.401257077683</x:v>
      </x:c>
      <x:c r="F46" s="23">
        <x:f>$G45</x:f>
        <x:v>1000000</x:v>
      </x:c>
      <x:c r="G46" s="24">
        <x:f>(MAX(0,$F46-MAX(0,($M46+$S46)-$C46)))+MIN(MAX(0,$D$3-(MAX(0,$F46-MAX(0,($M46+$S46)-$C46)))),MAX(0,MAX(0,($C46+$F46)-$M46)-$S46))</x:f>
        <x:v>1000000</x:v>
      </x:c>
      <x:c r="H46" s="23">
        <x:f>$J45</x:f>
        <x:v>77452522.79329719</x:v>
      </x:c>
      <x:c r="I46" s="24">
        <x:f>MIN($E46,$H46)</x:f>
        <x:v>22837.401257077683</x:v>
      </x:c>
      <x:c r="J46" s="24">
        <x:f>$H46-$I46</x:f>
        <x:v>77429685.3920401</x:v>
      </x:c>
      <x:c r="K46" s="23">
        <x:f>$P45</x:f>
        <x:v>0</x:v>
      </x:c>
      <x:c r="L46" s="24">
        <x:f>$K46*Inputs!$C$18/12</x:f>
        <x:v>0</x:v>
      </x:c>
      <x:c r="M46" s="24">
        <x:f>MIN(($C46+$F46),$L46)</x:f>
        <x:v>0</x:v>
      </x:c>
      <x:c r="N46" s="24">
        <x:f>MIN(($D46+$X46),MAX(0,$K46-$O46))</x:f>
        <x:v>0</x:v>
      </x:c>
      <x:c r="O46" s="24">
        <x:f>MIN(MAX(0,MAX(0,$E46-$I46)-$U46),$K46)</x:f>
        <x:v>0</x:v>
      </x:c>
      <x:c r="P46" s="24">
        <x:f>MAX(0,$K46-$O46)-$N46</x:f>
        <x:v>0</x:v>
      </x:c>
      <x:c r="Q46" s="23">
        <x:f>$V45</x:f>
        <x:v>0</x:v>
      </x:c>
      <x:c r="R46" s="24">
        <x:f>$Q46*Inputs!$C$19/12</x:f>
        <x:v>0</x:v>
      </x:c>
      <x:c r="S46" s="24">
        <x:f>MIN(MAX(0,($C46+$F46)-$M46),$R46)</x:f>
        <x:v>0</x:v>
      </x:c>
      <x:c r="T46" s="24">
        <x:f>MIN(MAX(0,($D46+$X46)-$N46),MAX(0,$Q46-$U46))</x:f>
        <x:v>0</x:v>
      </x:c>
      <x:c r="U46" s="24">
        <x:f>MIN(MAX(0,$E46-$I46),$Q46)</x:f>
        <x:v>0</x:v>
      </x:c>
      <x:c r="V46" s="24">
        <x:f>MAX(0,$Q46-$U46)-$T46</x:f>
        <x:v>0</x:v>
      </x:c>
      <x:c r="W46" s="24">
        <x:f>MAX(0,MAX(0,($C46+$F46)-$M46)-$S46)-MIN(MAX(0,$D$3-(MAX(0,$F46-MAX(0,($M46+$S46)-$C46)))),MAX(0,MAX(0,($C46+$F46)-$M46)-$S46))</x:f>
        <x:v>1157162.985261086</x:v>
      </x:c>
      <x:c r="X46" s="24">
        <x:f>IF(Inputs!$C$39=1,$W46,0)</x:f>
        <x:v>1157162.985261086</x:v>
      </x:c>
      <x:c r="Y46" s="24">
        <x:f>IF(Inputs!$C$39=0,$W46,0)+MAX(0,MAX(0,($D46+$X46)-$N46)-$T46)</x:f>
        <x:v>3316154.52571709</x:v>
      </x:c>
    </x:row>
    <x:row r="47">
      <x:c r="B47" s="22" t="n">
        <x:v>42</x:v>
      </x:c>
      <x:c r="C47" s="29">
        <x:f>IF($B47&lt;=Inputs!$C$6+Inputs!$C$11,Cashflow_Asset!$E45-Cashflow_Asset!$K45,0)</x:f>
        <x:v>137283.46235528198</x:v>
      </x:c>
      <x:c r="D47" s="29">
        <x:f>IF($B47&lt;=Inputs!$C$6+Inputs!$C$11,Cashflow_Asset!$F45+Cashflow_Asset!$G45+Cashflow_Asset!$I45,0)</x:f>
        <x:v>2167233.291686123</x:v>
      </x:c>
      <x:c r="E47" s="29">
        <x:f>IF($B47&lt;=Inputs!$C$6+Inputs!$C$11,Cashflow_Asset!$J45,0)</x:f>
        <x:v>19522.931283348906</x:v>
      </x:c>
      <x:c r="F47" s="23">
        <x:f>$G46</x:f>
        <x:v>1000000</x:v>
      </x:c>
      <x:c r="G47" s="24">
        <x:f>(MAX(0,$F47-MAX(0,($M47+$S47)-$C47)))+MIN(MAX(0,$D$3-(MAX(0,$F47-MAX(0,($M47+$S47)-$C47)))),MAX(0,MAX(0,($C47+$F47)-$M47)-$S47))</x:f>
        <x:v>1000000</x:v>
      </x:c>
      <x:c r="H47" s="23">
        <x:f>$J46</x:f>
        <x:v>77429685.3920401</x:v>
      </x:c>
      <x:c r="I47" s="24">
        <x:f>MIN($E47,$H47)</x:f>
        <x:v>19522.931283348906</x:v>
      </x:c>
      <x:c r="J47" s="24">
        <x:f>$H47-$I47</x:f>
        <x:v>77410162.46075675</x:v>
      </x:c>
      <x:c r="K47" s="23">
        <x:f>$P46</x:f>
        <x:v>0</x:v>
      </x:c>
      <x:c r="L47" s="24">
        <x:f>$K47*Inputs!$C$18/12</x:f>
        <x:v>0</x:v>
      </x:c>
      <x:c r="M47" s="24">
        <x:f>MIN(($C47+$F47),$L47)</x:f>
        <x:v>0</x:v>
      </x:c>
      <x:c r="N47" s="24">
        <x:f>MIN(($D47+$X47),MAX(0,$K47-$O47))</x:f>
        <x:v>0</x:v>
      </x:c>
      <x:c r="O47" s="24">
        <x:f>MIN(MAX(0,MAX(0,$E47-$I47)-$U47),$K47)</x:f>
        <x:v>0</x:v>
      </x:c>
      <x:c r="P47" s="24">
        <x:f>MAX(0,$K47-$O47)-$N47</x:f>
        <x:v>0</x:v>
      </x:c>
      <x:c r="Q47" s="23">
        <x:f>$V46</x:f>
        <x:v>0</x:v>
      </x:c>
      <x:c r="R47" s="24">
        <x:f>$Q47*Inputs!$C$19/12</x:f>
        <x:v>0</x:v>
      </x:c>
      <x:c r="S47" s="24">
        <x:f>MIN(MAX(0,($C47+$F47)-$M47),$R47)</x:f>
        <x:v>0</x:v>
      </x:c>
      <x:c r="T47" s="24">
        <x:f>MIN(MAX(0,($D47+$X47)-$N47),MAX(0,$Q47-$U47))</x:f>
        <x:v>0</x:v>
      </x:c>
      <x:c r="U47" s="24">
        <x:f>MIN(MAX(0,$E47-$I47),$Q47)</x:f>
        <x:v>0</x:v>
      </x:c>
      <x:c r="V47" s="24">
        <x:f>MAX(0,$Q47-$U47)-$T47</x:f>
        <x:v>0</x:v>
      </x:c>
      <x:c r="W47" s="24">
        <x:f>MAX(0,MAX(0,($C47+$F47)-$M47)-$S47)-MIN(MAX(0,$D$3-(MAX(0,$F47-MAX(0,($M47+$S47)-$C47)))),MAX(0,MAX(0,($C47+$F47)-$M47)-$S47))</x:f>
        <x:v>1137283.462355282</x:v>
      </x:c>
      <x:c r="X47" s="24">
        <x:f>IF(Inputs!$C$39=1,$W47,0)</x:f>
        <x:v>1137283.462355282</x:v>
      </x:c>
      <x:c r="Y47" s="24">
        <x:f>IF(Inputs!$C$39=0,$W47,0)+MAX(0,MAX(0,($D47+$X47)-$N47)-$T47)</x:f>
        <x:v>3304516.7540414045</x:v>
      </x:c>
    </x:row>
    <x:row r="48">
      <x:c r="B48" s="22" t="n">
        <x:v>43</x:v>
      </x:c>
      <x:c r="C48" s="29">
        <x:f>IF($B48&lt;=Inputs!$C$6+Inputs!$C$11,Cashflow_Asset!$E46-Cashflow_Asset!$K46,0)</x:f>
        <x:v>117359.04500393874</x:v>
      </x:c>
      <x:c r="D48" s="29">
        <x:f>IF($B48&lt;=Inputs!$C$6+Inputs!$C$11,Cashflow_Asset!$F46+Cashflow_Asset!$G46+Cashflow_Asset!$I46,0)</x:f>
        <x:v>2175493.6554781985</x:v>
      </x:c>
      <x:c r="E48" s="29">
        <x:f>IF($B48&lt;=Inputs!$C$6+Inputs!$C$11,Cashflow_Asset!$J46,0)</x:f>
        <x:v>16200.976155553197</x:v>
      </x:c>
      <x:c r="F48" s="23">
        <x:f>$G47</x:f>
        <x:v>1000000</x:v>
      </x:c>
      <x:c r="G48" s="24">
        <x:f>(MAX(0,$F48-MAX(0,($M48+$S48)-$C48)))+MIN(MAX(0,$D$3-(MAX(0,$F48-MAX(0,($M48+$S48)-$C48)))),MAX(0,MAX(0,($C48+$F48)-$M48)-$S48))</x:f>
        <x:v>1000000</x:v>
      </x:c>
      <x:c r="H48" s="23">
        <x:f>$J47</x:f>
        <x:v>77410162.46075675</x:v>
      </x:c>
      <x:c r="I48" s="24">
        <x:f>MIN($E48,$H48)</x:f>
        <x:v>16200.976155553197</x:v>
      </x:c>
      <x:c r="J48" s="24">
        <x:f>$H48-$I48</x:f>
        <x:v>77393961.4846012</x:v>
      </x:c>
      <x:c r="K48" s="23">
        <x:f>$P47</x:f>
        <x:v>0</x:v>
      </x:c>
      <x:c r="L48" s="24">
        <x:f>$K48*Inputs!$C$18/12</x:f>
        <x:v>0</x:v>
      </x:c>
      <x:c r="M48" s="24">
        <x:f>MIN(($C48+$F48),$L48)</x:f>
        <x:v>0</x:v>
      </x:c>
      <x:c r="N48" s="24">
        <x:f>MIN(($D48+$X48),MAX(0,$K48-$O48))</x:f>
        <x:v>0</x:v>
      </x:c>
      <x:c r="O48" s="24">
        <x:f>MIN(MAX(0,MAX(0,$E48-$I48)-$U48),$K48)</x:f>
        <x:v>0</x:v>
      </x:c>
      <x:c r="P48" s="24">
        <x:f>MAX(0,$K48-$O48)-$N48</x:f>
        <x:v>0</x:v>
      </x:c>
      <x:c r="Q48" s="23">
        <x:f>$V47</x:f>
        <x:v>0</x:v>
      </x:c>
      <x:c r="R48" s="24">
        <x:f>$Q48*Inputs!$C$19/12</x:f>
        <x:v>0</x:v>
      </x:c>
      <x:c r="S48" s="24">
        <x:f>MIN(MAX(0,($C48+$F48)-$M48),$R48)</x:f>
        <x:v>0</x:v>
      </x:c>
      <x:c r="T48" s="24">
        <x:f>MIN(MAX(0,($D48+$X48)-$N48),MAX(0,$Q48-$U48))</x:f>
        <x:v>0</x:v>
      </x:c>
      <x:c r="U48" s="24">
        <x:f>MIN(MAX(0,$E48-$I48),$Q48)</x:f>
        <x:v>0</x:v>
      </x:c>
      <x:c r="V48" s="24">
        <x:f>MAX(0,$Q48-$U48)-$T48</x:f>
        <x:v>0</x:v>
      </x:c>
      <x:c r="W48" s="24">
        <x:f>MAX(0,MAX(0,($C48+$F48)-$M48)-$S48)-MIN(MAX(0,$D$3-(MAX(0,$F48-MAX(0,($M48+$S48)-$C48)))),MAX(0,MAX(0,($C48+$F48)-$M48)-$S48))</x:f>
        <x:v>1117359.0450039387</x:v>
      </x:c>
      <x:c r="X48" s="24">
        <x:f>IF(Inputs!$C$39=1,$W48,0)</x:f>
        <x:v>1117359.0450039387</x:v>
      </x:c>
      <x:c r="Y48" s="24">
        <x:f>IF(Inputs!$C$39=0,$W48,0)+MAX(0,MAX(0,($D48+$X48)-$N48)-$T48)</x:f>
        <x:v>3292852.7004821375</x:v>
      </x:c>
    </x:row>
    <x:row r="49">
      <x:c r="B49" s="22" t="n">
        <x:v>44</x:v>
      </x:c>
      <x:c r="C49" s="29">
        <x:f>IF($B49&lt;=Inputs!$C$6+Inputs!$C$11,Cashflow_Asset!$E47-Cashflow_Asset!$K47,0)</x:f>
        <x:v>97389.63182075786</x:v>
      </x:c>
      <x:c r="D49" s="29">
        <x:f>IF($B49&lt;=Inputs!$C$6+Inputs!$C$11,Cashflow_Asset!$F47+Cashflow_Asset!$G47+Cashflow_Asset!$I47,0)</x:f>
        <x:v>2183772.6738654654</x:v>
      </x:c>
      <x:c r="E49" s="29">
        <x:f>IF($B49&lt;=Inputs!$C$6+Inputs!$C$11,Cashflow_Asset!$J47,0)</x:f>
        <x:v>12871.518969771718</x:v>
      </x:c>
      <x:c r="F49" s="23">
        <x:f>$G48</x:f>
        <x:v>1000000</x:v>
      </x:c>
      <x:c r="G49" s="24">
        <x:f>(MAX(0,$F49-MAX(0,($M49+$S49)-$C49)))+MIN(MAX(0,$D$3-(MAX(0,$F49-MAX(0,($M49+$S49)-$C49)))),MAX(0,MAX(0,($C49+$F49)-$M49)-$S49))</x:f>
        <x:v>1000000</x:v>
      </x:c>
      <x:c r="H49" s="23">
        <x:f>$J48</x:f>
        <x:v>77393961.4846012</x:v>
      </x:c>
      <x:c r="I49" s="24">
        <x:f>MIN($E49,$H49)</x:f>
        <x:v>12871.518969771718</x:v>
      </x:c>
      <x:c r="J49" s="24">
        <x:f>$H49-$I49</x:f>
        <x:v>77381089.96563143</x:v>
      </x:c>
      <x:c r="K49" s="23">
        <x:f>$P48</x:f>
        <x:v>0</x:v>
      </x:c>
      <x:c r="L49" s="24">
        <x:f>$K49*Inputs!$C$18/12</x:f>
        <x:v>0</x:v>
      </x:c>
      <x:c r="M49" s="24">
        <x:f>MIN(($C49+$F49),$L49)</x:f>
        <x:v>0</x:v>
      </x:c>
      <x:c r="N49" s="24">
        <x:f>MIN(($D49+$X49),MAX(0,$K49-$O49))</x:f>
        <x:v>0</x:v>
      </x:c>
      <x:c r="O49" s="24">
        <x:f>MIN(MAX(0,MAX(0,$E49-$I49)-$U49),$K49)</x:f>
        <x:v>0</x:v>
      </x:c>
      <x:c r="P49" s="24">
        <x:f>MAX(0,$K49-$O49)-$N49</x:f>
        <x:v>0</x:v>
      </x:c>
      <x:c r="Q49" s="23">
        <x:f>$V48</x:f>
        <x:v>0</x:v>
      </x:c>
      <x:c r="R49" s="24">
        <x:f>$Q49*Inputs!$C$19/12</x:f>
        <x:v>0</x:v>
      </x:c>
      <x:c r="S49" s="24">
        <x:f>MIN(MAX(0,($C49+$F49)-$M49),$R49)</x:f>
        <x:v>0</x:v>
      </x:c>
      <x:c r="T49" s="24">
        <x:f>MIN(MAX(0,($D49+$X49)-$N49),MAX(0,$Q49-$U49))</x:f>
        <x:v>0</x:v>
      </x:c>
      <x:c r="U49" s="24">
        <x:f>MIN(MAX(0,$E49-$I49),$Q49)</x:f>
        <x:v>0</x:v>
      </x:c>
      <x:c r="V49" s="24">
        <x:f>MAX(0,$Q49-$U49)-$T49</x:f>
        <x:v>0</x:v>
      </x:c>
      <x:c r="W49" s="24">
        <x:f>MAX(0,MAX(0,($C49+$F49)-$M49)-$S49)-MIN(MAX(0,$D$3-(MAX(0,$F49-MAX(0,($M49+$S49)-$C49)))),MAX(0,MAX(0,($C49+$F49)-$M49)-$S49))</x:f>
        <x:v>1097389.6318207579</x:v>
      </x:c>
      <x:c r="X49" s="24">
        <x:f>IF(Inputs!$C$39=1,$W49,0)</x:f>
        <x:v>1097389.6318207579</x:v>
      </x:c>
      <x:c r="Y49" s="24">
        <x:f>IF(Inputs!$C$39=0,$W49,0)+MAX(0,MAX(0,($D49+$X49)-$N49)-$T49)</x:f>
        <x:v>3281162.3056862233</x:v>
      </x:c>
    </x:row>
    <x:row r="50">
      <x:c r="B50" s="22" t="n">
        <x:v>45</x:v>
      </x:c>
      <x:c r="C50" s="29">
        <x:f>IF($B50&lt;=Inputs!$C$6+Inputs!$C$11,Cashflow_Asset!$E48-Cashflow_Asset!$K48,0)</x:f>
        <x:v>77375.12119047772</x:v>
      </x:c>
      <x:c r="D50" s="29">
        <x:f>IF($B50&lt;=Inputs!$C$6+Inputs!$C$11,Cashflow_Asset!$F48+Cashflow_Asset!$G48+Cashflow_Asset!$I48,0)</x:f>
        <x:v>2192070.388976082</x:v>
      </x:c>
      <x:c r="E50" s="29">
        <x:f>IF($B50&lt;=Inputs!$C$6+Inputs!$C$11,Cashflow_Asset!$J48,0)</x:f>
        <x:v>9534.54278391108</x:v>
      </x:c>
      <x:c r="F50" s="23">
        <x:f>$G49</x:f>
        <x:v>1000000</x:v>
      </x:c>
      <x:c r="G50" s="24">
        <x:f>(MAX(0,$F50-MAX(0,($M50+$S50)-$C50)))+MIN(MAX(0,$D$3-(MAX(0,$F50-MAX(0,($M50+$S50)-$C50)))),MAX(0,MAX(0,($C50+$F50)-$M50)-$S50))</x:f>
        <x:v>1000000</x:v>
      </x:c>
      <x:c r="H50" s="23">
        <x:f>$J49</x:f>
        <x:v>77381089.96563143</x:v>
      </x:c>
      <x:c r="I50" s="24">
        <x:f>MIN($E50,$H50)</x:f>
        <x:v>9534.54278391108</x:v>
      </x:c>
      <x:c r="J50" s="24">
        <x:f>$H50-$I50</x:f>
        <x:v>77371555.42284751</x:v>
      </x:c>
      <x:c r="K50" s="23">
        <x:f>$P49</x:f>
        <x:v>0</x:v>
      </x:c>
      <x:c r="L50" s="24">
        <x:f>$K50*Inputs!$C$18/12</x:f>
        <x:v>0</x:v>
      </x:c>
      <x:c r="M50" s="24">
        <x:f>MIN(($C50+$F50),$L50)</x:f>
        <x:v>0</x:v>
      </x:c>
      <x:c r="N50" s="24">
        <x:f>MIN(($D50+$X50),MAX(0,$K50-$O50))</x:f>
        <x:v>0</x:v>
      </x:c>
      <x:c r="O50" s="24">
        <x:f>MIN(MAX(0,MAX(0,$E50-$I50)-$U50),$K50)</x:f>
        <x:v>0</x:v>
      </x:c>
      <x:c r="P50" s="24">
        <x:f>MAX(0,$K50-$O50)-$N50</x:f>
        <x:v>0</x:v>
      </x:c>
      <x:c r="Q50" s="23">
        <x:f>$V49</x:f>
        <x:v>0</x:v>
      </x:c>
      <x:c r="R50" s="24">
        <x:f>$Q50*Inputs!$C$19/12</x:f>
        <x:v>0</x:v>
      </x:c>
      <x:c r="S50" s="24">
        <x:f>MIN(MAX(0,($C50+$F50)-$M50),$R50)</x:f>
        <x:v>0</x:v>
      </x:c>
      <x:c r="T50" s="24">
        <x:f>MIN(MAX(0,($D50+$X50)-$N50),MAX(0,$Q50-$U50))</x:f>
        <x:v>0</x:v>
      </x:c>
      <x:c r="U50" s="24">
        <x:f>MIN(MAX(0,$E50-$I50),$Q50)</x:f>
        <x:v>0</x:v>
      </x:c>
      <x:c r="V50" s="24">
        <x:f>MAX(0,$Q50-$U50)-$T50</x:f>
        <x:v>0</x:v>
      </x:c>
      <x:c r="W50" s="24">
        <x:f>MAX(0,MAX(0,($C50+$F50)-$M50)-$S50)-MIN(MAX(0,$D$3-(MAX(0,$F50-MAX(0,($M50+$S50)-$C50)))),MAX(0,MAX(0,($C50+$F50)-$M50)-$S50))</x:f>
        <x:v>1077375.1211904776</x:v>
      </x:c>
      <x:c r="X50" s="24">
        <x:f>IF(Inputs!$C$39=1,$W50,0)</x:f>
        <x:v>1077375.1211904776</x:v>
      </x:c>
      <x:c r="Y50" s="24">
        <x:f>IF(Inputs!$C$39=0,$W50,0)+MAX(0,MAX(0,($D50+$X50)-$N50)-$T50)</x:f>
        <x:v>3269445.51016656</x:v>
      </x:c>
    </x:row>
    <x:row r="51">
      <x:c r="B51" s="22" t="n">
        <x:v>46</x:v>
      </x:c>
      <x:c r="C51" s="29">
        <x:f>IF($B51&lt;=Inputs!$C$6+Inputs!$C$11,Cashflow_Asset!$E49-Cashflow_Asset!$K49,0)</x:f>
      </x:c>
      <x:c r="D51" s="29">
        <x:f>IF($B51&lt;=Inputs!$C$6+Inputs!$C$11,Cashflow_Asset!$F49+Cashflow_Asset!$G49+Cashflow_Asset!$I49,0)</x:f>
      </x:c>
      <x:c r="E51" s="29">
        <x:f>IF($B51&lt;=Inputs!$C$6+Inputs!$C$11,Cashflow_Asset!$J49,0)</x:f>
      </x:c>
      <x:c r="F51" s="23">
        <x:f>$G50</x:f>
      </x:c>
      <x:c r="G51" s="24">
        <x:f>(MAX(0,$F51-MAX(0,($M51+$S51)-$C51)))+MIN(MAX(0,$D$3-(MAX(0,$F51-MAX(0,($M51+$S51)-$C51)))),MAX(0,MAX(0,($C51+$F51)-$M51)-$S51))</x:f>
      </x:c>
      <x:c r="H51" s="23">
        <x:f>$J50</x:f>
      </x:c>
      <x:c r="I51" s="24">
        <x:f>MIN($E51,$H51)</x:f>
      </x:c>
      <x:c r="J51" s="24">
        <x:f>$H51-$I51</x:f>
      </x:c>
      <x:c r="K51" s="23">
        <x:f>$P50</x:f>
      </x:c>
      <x:c r="L51" s="24">
        <x:f>$K51*Inputs!$C$18/12</x:f>
      </x:c>
      <x:c r="M51" s="24">
        <x:f>MIN(($C51+$F51),$L51)</x:f>
      </x:c>
      <x:c r="N51" s="24">
        <x:f>MIN(($D51+$X51),MAX(0,$K51-$O51))</x:f>
      </x:c>
      <x:c r="O51" s="24">
        <x:f>MIN(MAX(0,MAX(0,$E51-$I51)-$U51),$K51)</x:f>
      </x:c>
      <x:c r="P51" s="24">
        <x:f>MAX(0,$K51-$O51)-$N51</x:f>
      </x:c>
      <x:c r="Q51" s="23">
        <x:f>$V50</x:f>
      </x:c>
      <x:c r="R51" s="24">
        <x:f>$Q51*Inputs!$C$19/12</x:f>
      </x:c>
      <x:c r="S51" s="24">
        <x:f>MIN(MAX(0,($C51+$F51)-$M51),$R51)</x:f>
      </x:c>
      <x:c r="T51" s="24">
        <x:f>MIN(MAX(0,($D51+$X51)-$N51),MAX(0,$Q51-$U51))</x:f>
      </x:c>
      <x:c r="U51" s="24">
        <x:f>MIN(MAX(0,$E51-$I51),$Q51)</x:f>
      </x:c>
      <x:c r="V51" s="24">
        <x:f>MAX(0,$Q51-$U51)-$T51</x:f>
      </x:c>
      <x:c r="W51" s="24">
        <x:f>MAX(0,MAX(0,($C51+$F51)-$M51)-$S51)-MIN(MAX(0,$D$3-(MAX(0,$F51-MAX(0,($M51+$S51)-$C51)))),MAX(0,MAX(0,($C51+$F51)-$M51)-$S51))</x:f>
      </x:c>
      <x:c r="X51" s="24">
        <x:f>IF(Inputs!$C$39=1,$W51,0)</x:f>
      </x:c>
      <x:c r="Y51" s="24">
        <x:f>IF(Inputs!$C$39=0,$W51,0)+MAX(0,MAX(0,($D51+$X51)-$N51)-$T51)</x:f>
      </x:c>
    </x:row>
    <x:row r="52">
      <x:c r="B52" s="22" t="n">
        <x:v>47</x:v>
      </x:c>
      <x:c r="C52" s="29">
        <x:f>IF($B52&lt;=Inputs!$C$6+Inputs!$C$11,Cashflow_Asset!$E50-Cashflow_Asset!$K50,0)</x:f>
      </x:c>
      <x:c r="D52" s="29">
        <x:f>IF($B52&lt;=Inputs!$C$6+Inputs!$C$11,Cashflow_Asset!$F50+Cashflow_Asset!$G50+Cashflow_Asset!$I50,0)</x:f>
      </x:c>
      <x:c r="E52" s="29">
        <x:f>IF($B52&lt;=Inputs!$C$6+Inputs!$C$11,Cashflow_Asset!$J50,0)</x:f>
      </x:c>
      <x:c r="F52" s="23">
        <x:f>$G51</x:f>
      </x:c>
      <x:c r="G52" s="24">
        <x:f>(MAX(0,$F52-MAX(0,($M52+$S52)-$C52)))+MIN(MAX(0,$D$3-(MAX(0,$F52-MAX(0,($M52+$S52)-$C52)))),MAX(0,MAX(0,($C52+$F52)-$M52)-$S52))</x:f>
      </x:c>
      <x:c r="H52" s="23">
        <x:f>$J51</x:f>
      </x:c>
      <x:c r="I52" s="24">
        <x:f>MIN($E52,$H52)</x:f>
      </x:c>
      <x:c r="J52" s="24">
        <x:f>$H52-$I52</x:f>
      </x:c>
      <x:c r="K52" s="23">
        <x:f>$P51</x:f>
      </x:c>
      <x:c r="L52" s="24">
        <x:f>$K52*Inputs!$C$18/12</x:f>
      </x:c>
      <x:c r="M52" s="24">
        <x:f>MIN(($C52+$F52),$L52)</x:f>
      </x:c>
      <x:c r="N52" s="24">
        <x:f>MIN(($D52+$X52),MAX(0,$K52-$O52))</x:f>
      </x:c>
      <x:c r="O52" s="24">
        <x:f>MIN(MAX(0,MAX(0,$E52-$I52)-$U52),$K52)</x:f>
      </x:c>
      <x:c r="P52" s="24">
        <x:f>MAX(0,$K52-$O52)-$N52</x:f>
      </x:c>
      <x:c r="Q52" s="23">
        <x:f>$V51</x:f>
      </x:c>
      <x:c r="R52" s="24">
        <x:f>$Q52*Inputs!$C$19/12</x:f>
      </x:c>
      <x:c r="S52" s="24">
        <x:f>MIN(MAX(0,($C52+$F52)-$M52),$R52)</x:f>
      </x:c>
      <x:c r="T52" s="24">
        <x:f>MIN(MAX(0,($D52+$X52)-$N52),MAX(0,$Q52-$U52))</x:f>
      </x:c>
      <x:c r="U52" s="24">
        <x:f>MIN(MAX(0,$E52-$I52),$Q52)</x:f>
      </x:c>
      <x:c r="V52" s="24">
        <x:f>MAX(0,$Q52-$U52)-$T52</x:f>
      </x:c>
      <x:c r="W52" s="24">
        <x:f>MAX(0,MAX(0,($C52+$F52)-$M52)-$S52)-MIN(MAX(0,$D$3-(MAX(0,$F52-MAX(0,($M52+$S52)-$C52)))),MAX(0,MAX(0,($C52+$F52)-$M52)-$S52))</x:f>
      </x:c>
      <x:c r="X52" s="24">
        <x:f>IF(Inputs!$C$39=1,$W52,0)</x:f>
      </x:c>
      <x:c r="Y52" s="24">
        <x:f>IF(Inputs!$C$39=0,$W52,0)+MAX(0,MAX(0,($D52+$X52)-$N52)-$T52)</x:f>
      </x:c>
    </x:row>
    <x:row r="53">
      <x:c r="B53" s="22" t="n">
        <x:v>48</x:v>
      </x:c>
      <x:c r="C53" s="29">
        <x:f>IF($B53&lt;=Inputs!$C$6+Inputs!$C$11,Cashflow_Asset!$E51-Cashflow_Asset!$K51,0)</x:f>
      </x:c>
      <x:c r="D53" s="29">
        <x:f>IF($B53&lt;=Inputs!$C$6+Inputs!$C$11,Cashflow_Asset!$F51+Cashflow_Asset!$G51+Cashflow_Asset!$I51,0)</x:f>
      </x:c>
      <x:c r="E53" s="29">
        <x:f>IF($B53&lt;=Inputs!$C$6+Inputs!$C$11,Cashflow_Asset!$J51,0)</x:f>
      </x:c>
      <x:c r="F53" s="23">
        <x:f>$G52</x:f>
      </x:c>
      <x:c r="G53" s="24">
        <x:f>(MAX(0,$F53-MAX(0,($M53+$S53)-$C53)))+MIN(MAX(0,$D$3-(MAX(0,$F53-MAX(0,($M53+$S53)-$C53)))),MAX(0,MAX(0,($C53+$F53)-$M53)-$S53))</x:f>
      </x:c>
      <x:c r="H53" s="23">
        <x:f>$J52</x:f>
      </x:c>
      <x:c r="I53" s="24">
        <x:f>MIN($E53,$H53)</x:f>
      </x:c>
      <x:c r="J53" s="24">
        <x:f>$H53-$I53</x:f>
      </x:c>
      <x:c r="K53" s="23">
        <x:f>$P52</x:f>
      </x:c>
      <x:c r="L53" s="24">
        <x:f>$K53*Inputs!$C$18/12</x:f>
      </x:c>
      <x:c r="M53" s="24">
        <x:f>MIN(($C53+$F53),$L53)</x:f>
      </x:c>
      <x:c r="N53" s="24">
        <x:f>MIN(($D53+$X53),MAX(0,$K53-$O53))</x:f>
      </x:c>
      <x:c r="O53" s="24">
        <x:f>MIN(MAX(0,MAX(0,$E53-$I53)-$U53),$K53)</x:f>
      </x:c>
      <x:c r="P53" s="24">
        <x:f>MAX(0,$K53-$O53)-$N53</x:f>
      </x:c>
      <x:c r="Q53" s="23">
        <x:f>$V52</x:f>
      </x:c>
      <x:c r="R53" s="24">
        <x:f>$Q53*Inputs!$C$19/12</x:f>
      </x:c>
      <x:c r="S53" s="24">
        <x:f>MIN(MAX(0,($C53+$F53)-$M53),$R53)</x:f>
      </x:c>
      <x:c r="T53" s="24">
        <x:f>MIN(MAX(0,($D53+$X53)-$N53),MAX(0,$Q53-$U53))</x:f>
      </x:c>
      <x:c r="U53" s="24">
        <x:f>MIN(MAX(0,$E53-$I53),$Q53)</x:f>
      </x:c>
      <x:c r="V53" s="24">
        <x:f>MAX(0,$Q53-$U53)-$T53</x:f>
      </x:c>
      <x:c r="W53" s="24">
        <x:f>MAX(0,MAX(0,($C53+$F53)-$M53)-$S53)-MIN(MAX(0,$D$3-(MAX(0,$F53-MAX(0,($M53+$S53)-$C53)))),MAX(0,MAX(0,($C53+$F53)-$M53)-$S53))</x:f>
      </x:c>
      <x:c r="X53" s="24">
        <x:f>IF(Inputs!$C$39=1,$W53,0)</x:f>
      </x:c>
      <x:c r="Y53" s="24">
        <x:f>IF(Inputs!$C$39=0,$W53,0)+MAX(0,MAX(0,($D53+$X53)-$N53)-$T53)</x:f>
      </x:c>
    </x:row>
    <x:row r="54">
      <x:c r="B54" s="22" t="n">
        <x:v>49</x:v>
      </x:c>
      <x:c r="C54" s="29">
        <x:f>IF($B54&lt;=Inputs!$C$6+Inputs!$C$11,Cashflow_Asset!$E52-Cashflow_Asset!$K52,0)</x:f>
      </x:c>
      <x:c r="D54" s="29">
        <x:f>IF($B54&lt;=Inputs!$C$6+Inputs!$C$11,Cashflow_Asset!$F52+Cashflow_Asset!$G52+Cashflow_Asset!$I52,0)</x:f>
      </x:c>
      <x:c r="E54" s="29">
        <x:f>IF($B54&lt;=Inputs!$C$6+Inputs!$C$11,Cashflow_Asset!$J52,0)</x:f>
      </x:c>
      <x:c r="F54" s="23">
        <x:f>$G53</x:f>
      </x:c>
      <x:c r="G54" s="24">
        <x:f>(MAX(0,$F54-MAX(0,($M54+$S54)-$C54)))+MIN(MAX(0,$D$3-(MAX(0,$F54-MAX(0,($M54+$S54)-$C54)))),MAX(0,MAX(0,($C54+$F54)-$M54)-$S54))</x:f>
      </x:c>
      <x:c r="H54" s="23">
        <x:f>$J53</x:f>
      </x:c>
      <x:c r="I54" s="24">
        <x:f>MIN($E54,$H54)</x:f>
      </x:c>
      <x:c r="J54" s="24">
        <x:f>$H54-$I54</x:f>
      </x:c>
      <x:c r="K54" s="23">
        <x:f>$P53</x:f>
      </x:c>
      <x:c r="L54" s="24">
        <x:f>$K54*Inputs!$C$18/12</x:f>
      </x:c>
      <x:c r="M54" s="24">
        <x:f>MIN(($C54+$F54),$L54)</x:f>
      </x:c>
      <x:c r="N54" s="24">
        <x:f>MIN(($D54+$X54),MAX(0,$K54-$O54))</x:f>
      </x:c>
      <x:c r="O54" s="24">
        <x:f>MIN(MAX(0,MAX(0,$E54-$I54)-$U54),$K54)</x:f>
      </x:c>
      <x:c r="P54" s="24">
        <x:f>MAX(0,$K54-$O54)-$N54</x:f>
      </x:c>
      <x:c r="Q54" s="23">
        <x:f>$V53</x:f>
      </x:c>
      <x:c r="R54" s="24">
        <x:f>$Q54*Inputs!$C$19/12</x:f>
      </x:c>
      <x:c r="S54" s="24">
        <x:f>MIN(MAX(0,($C54+$F54)-$M54),$R54)</x:f>
      </x:c>
      <x:c r="T54" s="24">
        <x:f>MIN(MAX(0,($D54+$X54)-$N54),MAX(0,$Q54-$U54))</x:f>
      </x:c>
      <x:c r="U54" s="24">
        <x:f>MIN(MAX(0,$E54-$I54),$Q54)</x:f>
      </x:c>
      <x:c r="V54" s="24">
        <x:f>MAX(0,$Q54-$U54)-$T54</x:f>
      </x:c>
      <x:c r="W54" s="24">
        <x:f>MAX(0,MAX(0,($C54+$F54)-$M54)-$S54)-MIN(MAX(0,$D$3-(MAX(0,$F54-MAX(0,($M54+$S54)-$C54)))),MAX(0,MAX(0,($C54+$F54)-$M54)-$S54))</x:f>
      </x:c>
      <x:c r="X54" s="24">
        <x:f>IF(Inputs!$C$39=1,$W54,0)</x:f>
      </x:c>
      <x:c r="Y54" s="24">
        <x:f>IF(Inputs!$C$39=0,$W54,0)+MAX(0,MAX(0,($D54+$X54)-$N54)-$T54)</x:f>
      </x:c>
    </x:row>
    <x:row r="55">
      <x:c r="B55" s="22" t="n">
        <x:v>50</x:v>
      </x:c>
      <x:c r="C55" s="29">
        <x:f>IF($B55&lt;=Inputs!$C$6+Inputs!$C$11,Cashflow_Asset!$E53-Cashflow_Asset!$K53,0)</x:f>
      </x:c>
      <x:c r="D55" s="29">
        <x:f>IF($B55&lt;=Inputs!$C$6+Inputs!$C$11,Cashflow_Asset!$F53+Cashflow_Asset!$G53+Cashflow_Asset!$I53,0)</x:f>
      </x:c>
      <x:c r="E55" s="29">
        <x:f>IF($B55&lt;=Inputs!$C$6+Inputs!$C$11,Cashflow_Asset!$J53,0)</x:f>
      </x:c>
      <x:c r="F55" s="23">
        <x:f>$G54</x:f>
      </x:c>
      <x:c r="G55" s="24">
        <x:f>(MAX(0,$F55-MAX(0,($M55+$S55)-$C55)))+MIN(MAX(0,$D$3-(MAX(0,$F55-MAX(0,($M55+$S55)-$C55)))),MAX(0,MAX(0,($C55+$F55)-$M55)-$S55))</x:f>
      </x:c>
      <x:c r="H55" s="23">
        <x:f>$J54</x:f>
      </x:c>
      <x:c r="I55" s="24">
        <x:f>MIN($E55,$H55)</x:f>
      </x:c>
      <x:c r="J55" s="24">
        <x:f>$H55-$I55</x:f>
      </x:c>
      <x:c r="K55" s="23">
        <x:f>$P54</x:f>
      </x:c>
      <x:c r="L55" s="24">
        <x:f>$K55*Inputs!$C$18/12</x:f>
      </x:c>
      <x:c r="M55" s="24">
        <x:f>MIN(($C55+$F55),$L55)</x:f>
      </x:c>
      <x:c r="N55" s="24">
        <x:f>MIN(($D55+$X55),MAX(0,$K55-$O55))</x:f>
      </x:c>
      <x:c r="O55" s="24">
        <x:f>MIN(MAX(0,MAX(0,$E55-$I55)-$U55),$K55)</x:f>
      </x:c>
      <x:c r="P55" s="24">
        <x:f>MAX(0,$K55-$O55)-$N55</x:f>
      </x:c>
      <x:c r="Q55" s="23">
        <x:f>$V54</x:f>
      </x:c>
      <x:c r="R55" s="24">
        <x:f>$Q55*Inputs!$C$19/12</x:f>
      </x:c>
      <x:c r="S55" s="24">
        <x:f>MIN(MAX(0,($C55+$F55)-$M55),$R55)</x:f>
      </x:c>
      <x:c r="T55" s="24">
        <x:f>MIN(MAX(0,($D55+$X55)-$N55),MAX(0,$Q55-$U55))</x:f>
      </x:c>
      <x:c r="U55" s="24">
        <x:f>MIN(MAX(0,$E55-$I55),$Q55)</x:f>
      </x:c>
      <x:c r="V55" s="24">
        <x:f>MAX(0,$Q55-$U55)-$T55</x:f>
      </x:c>
      <x:c r="W55" s="24">
        <x:f>MAX(0,MAX(0,($C55+$F55)-$M55)-$S55)-MIN(MAX(0,$D$3-(MAX(0,$F55-MAX(0,($M55+$S55)-$C55)))),MAX(0,MAX(0,($C55+$F55)-$M55)-$S55))</x:f>
      </x:c>
      <x:c r="X55" s="24">
        <x:f>IF(Inputs!$C$39=1,$W55,0)</x:f>
      </x:c>
      <x:c r="Y55" s="24">
        <x:f>IF(Inputs!$C$39=0,$W55,0)+MAX(0,MAX(0,($D55+$X55)-$N55)-$T55)</x:f>
      </x:c>
    </x:row>
    <x:row r="56">
      <x:c r="B56" s="22" t="n">
        <x:v>51</x:v>
      </x:c>
      <x:c r="C56" s="29">
        <x:f>IF($B56&lt;=Inputs!$C$6+Inputs!$C$11,Cashflow_Asset!$E54-Cashflow_Asset!$K54,0)</x:f>
      </x:c>
      <x:c r="D56" s="29">
        <x:f>IF($B56&lt;=Inputs!$C$6+Inputs!$C$11,Cashflow_Asset!$F54+Cashflow_Asset!$G54+Cashflow_Asset!$I54,0)</x:f>
      </x:c>
      <x:c r="E56" s="29">
        <x:f>IF($B56&lt;=Inputs!$C$6+Inputs!$C$11,Cashflow_Asset!$J54,0)</x:f>
      </x:c>
      <x:c r="F56" s="23">
        <x:f>$G55</x:f>
      </x:c>
      <x:c r="G56" s="24">
        <x:f>(MAX(0,$F56-MAX(0,($M56+$S56)-$C56)))+MIN(MAX(0,$D$3-(MAX(0,$F56-MAX(0,($M56+$S56)-$C56)))),MAX(0,MAX(0,($C56+$F56)-$M56)-$S56))</x:f>
      </x:c>
      <x:c r="H56" s="23">
        <x:f>$J55</x:f>
      </x:c>
      <x:c r="I56" s="24">
        <x:f>MIN($E56,$H56)</x:f>
      </x:c>
      <x:c r="J56" s="24">
        <x:f>$H56-$I56</x:f>
      </x:c>
      <x:c r="K56" s="23">
        <x:f>$P55</x:f>
      </x:c>
      <x:c r="L56" s="24">
        <x:f>$K56*Inputs!$C$18/12</x:f>
      </x:c>
      <x:c r="M56" s="24">
        <x:f>MIN(($C56+$F56),$L56)</x:f>
      </x:c>
      <x:c r="N56" s="24">
        <x:f>MIN(($D56+$X56),MAX(0,$K56-$O56))</x:f>
      </x:c>
      <x:c r="O56" s="24">
        <x:f>MIN(MAX(0,MAX(0,$E56-$I56)-$U56),$K56)</x:f>
      </x:c>
      <x:c r="P56" s="24">
        <x:f>MAX(0,$K56-$O56)-$N56</x:f>
      </x:c>
      <x:c r="Q56" s="23">
        <x:f>$V55</x:f>
      </x:c>
      <x:c r="R56" s="24">
        <x:f>$Q56*Inputs!$C$19/12</x:f>
      </x:c>
      <x:c r="S56" s="24">
        <x:f>MIN(MAX(0,($C56+$F56)-$M56),$R56)</x:f>
      </x:c>
      <x:c r="T56" s="24">
        <x:f>MIN(MAX(0,($D56+$X56)-$N56),MAX(0,$Q56-$U56))</x:f>
      </x:c>
      <x:c r="U56" s="24">
        <x:f>MIN(MAX(0,$E56-$I56),$Q56)</x:f>
      </x:c>
      <x:c r="V56" s="24">
        <x:f>MAX(0,$Q56-$U56)-$T56</x:f>
      </x:c>
      <x:c r="W56" s="24">
        <x:f>MAX(0,MAX(0,($C56+$F56)-$M56)-$S56)-MIN(MAX(0,$D$3-(MAX(0,$F56-MAX(0,($M56+$S56)-$C56)))),MAX(0,MAX(0,($C56+$F56)-$M56)-$S56))</x:f>
      </x:c>
      <x:c r="X56" s="24">
        <x:f>IF(Inputs!$C$39=1,$W56,0)</x:f>
      </x:c>
      <x:c r="Y56" s="24">
        <x:f>IF(Inputs!$C$39=0,$W56,0)+MAX(0,MAX(0,($D56+$X56)-$N56)-$T56)</x:f>
      </x:c>
    </x:row>
    <x:row r="57">
      <x:c r="B57" s="22" t="n">
        <x:v>52</x:v>
      </x:c>
      <x:c r="C57" s="29">
        <x:f>IF($B57&lt;=Inputs!$C$6+Inputs!$C$11,Cashflow_Asset!$E55-Cashflow_Asset!$K55,0)</x:f>
      </x:c>
      <x:c r="D57" s="29">
        <x:f>IF($B57&lt;=Inputs!$C$6+Inputs!$C$11,Cashflow_Asset!$F55+Cashflow_Asset!$G55+Cashflow_Asset!$I55,0)</x:f>
      </x:c>
      <x:c r="E57" s="29">
        <x:f>IF($B57&lt;=Inputs!$C$6+Inputs!$C$11,Cashflow_Asset!$J55,0)</x:f>
      </x:c>
      <x:c r="F57" s="23">
        <x:f>$G56</x:f>
      </x:c>
      <x:c r="G57" s="24">
        <x:f>(MAX(0,$F57-MAX(0,($M57+$S57)-$C57)))+MIN(MAX(0,$D$3-(MAX(0,$F57-MAX(0,($M57+$S57)-$C57)))),MAX(0,MAX(0,($C57+$F57)-$M57)-$S57))</x:f>
      </x:c>
      <x:c r="H57" s="23">
        <x:f>$J56</x:f>
      </x:c>
      <x:c r="I57" s="24">
        <x:f>MIN($E57,$H57)</x:f>
      </x:c>
      <x:c r="J57" s="24">
        <x:f>$H57-$I57</x:f>
      </x:c>
      <x:c r="K57" s="23">
        <x:f>$P56</x:f>
      </x:c>
      <x:c r="L57" s="24">
        <x:f>$K57*Inputs!$C$18/12</x:f>
      </x:c>
      <x:c r="M57" s="24">
        <x:f>MIN(($C57+$F57),$L57)</x:f>
      </x:c>
      <x:c r="N57" s="24">
        <x:f>MIN(($D57+$X57),MAX(0,$K57-$O57))</x:f>
      </x:c>
      <x:c r="O57" s="24">
        <x:f>MIN(MAX(0,MAX(0,$E57-$I57)-$U57),$K57)</x:f>
      </x:c>
      <x:c r="P57" s="24">
        <x:f>MAX(0,$K57-$O57)-$N57</x:f>
      </x:c>
      <x:c r="Q57" s="23">
        <x:f>$V56</x:f>
      </x:c>
      <x:c r="R57" s="24">
        <x:f>$Q57*Inputs!$C$19/12</x:f>
      </x:c>
      <x:c r="S57" s="24">
        <x:f>MIN(MAX(0,($C57+$F57)-$M57),$R57)</x:f>
      </x:c>
      <x:c r="T57" s="24">
        <x:f>MIN(MAX(0,($D57+$X57)-$N57),MAX(0,$Q57-$U57))</x:f>
      </x:c>
      <x:c r="U57" s="24">
        <x:f>MIN(MAX(0,$E57-$I57),$Q57)</x:f>
      </x:c>
      <x:c r="V57" s="24">
        <x:f>MAX(0,$Q57-$U57)-$T57</x:f>
      </x:c>
      <x:c r="W57" s="24">
        <x:f>MAX(0,MAX(0,($C57+$F57)-$M57)-$S57)-MIN(MAX(0,$D$3-(MAX(0,$F57-MAX(0,($M57+$S57)-$C57)))),MAX(0,MAX(0,($C57+$F57)-$M57)-$S57))</x:f>
      </x:c>
      <x:c r="X57" s="24">
        <x:f>IF(Inputs!$C$39=1,$W57,0)</x:f>
      </x:c>
      <x:c r="Y57" s="24">
        <x:f>IF(Inputs!$C$39=0,$W57,0)+MAX(0,MAX(0,($D57+$X57)-$N57)-$T57)</x:f>
      </x:c>
    </x:row>
    <x:row r="58">
      <x:c r="B58" s="22" t="n">
        <x:v>53</x:v>
      </x:c>
      <x:c r="C58" s="29">
        <x:f>IF($B58&lt;=Inputs!$C$6+Inputs!$C$11,Cashflow_Asset!$E56-Cashflow_Asset!$K56,0)</x:f>
      </x:c>
      <x:c r="D58" s="29">
        <x:f>IF($B58&lt;=Inputs!$C$6+Inputs!$C$11,Cashflow_Asset!$F56+Cashflow_Asset!$G56+Cashflow_Asset!$I56,0)</x:f>
      </x:c>
      <x:c r="E58" s="29">
        <x:f>IF($B58&lt;=Inputs!$C$6+Inputs!$C$11,Cashflow_Asset!$J56,0)</x:f>
      </x:c>
      <x:c r="F58" s="23">
        <x:f>$G57</x:f>
      </x:c>
      <x:c r="G58" s="24">
        <x:f>(MAX(0,$F58-MAX(0,($M58+$S58)-$C58)))+MIN(MAX(0,$D$3-(MAX(0,$F58-MAX(0,($M58+$S58)-$C58)))),MAX(0,MAX(0,($C58+$F58)-$M58)-$S58))</x:f>
      </x:c>
      <x:c r="H58" s="23">
        <x:f>$J57</x:f>
      </x:c>
      <x:c r="I58" s="24">
        <x:f>MIN($E58,$H58)</x:f>
      </x:c>
      <x:c r="J58" s="24">
        <x:f>$H58-$I58</x:f>
      </x:c>
      <x:c r="K58" s="23">
        <x:f>$P57</x:f>
      </x:c>
      <x:c r="L58" s="24">
        <x:f>$K58*Inputs!$C$18/12</x:f>
      </x:c>
      <x:c r="M58" s="24">
        <x:f>MIN(($C58+$F58),$L58)</x:f>
      </x:c>
      <x:c r="N58" s="24">
        <x:f>MIN(($D58+$X58),MAX(0,$K58-$O58))</x:f>
      </x:c>
      <x:c r="O58" s="24">
        <x:f>MIN(MAX(0,MAX(0,$E58-$I58)-$U58),$K58)</x:f>
      </x:c>
      <x:c r="P58" s="24">
        <x:f>MAX(0,$K58-$O58)-$N58</x:f>
      </x:c>
      <x:c r="Q58" s="23">
        <x:f>$V57</x:f>
      </x:c>
      <x:c r="R58" s="24">
        <x:f>$Q58*Inputs!$C$19/12</x:f>
      </x:c>
      <x:c r="S58" s="24">
        <x:f>MIN(MAX(0,($C58+$F58)-$M58),$R58)</x:f>
      </x:c>
      <x:c r="T58" s="24">
        <x:f>MIN(MAX(0,($D58+$X58)-$N58),MAX(0,$Q58-$U58))</x:f>
      </x:c>
      <x:c r="U58" s="24">
        <x:f>MIN(MAX(0,$E58-$I58),$Q58)</x:f>
      </x:c>
      <x:c r="V58" s="24">
        <x:f>MAX(0,$Q58-$U58)-$T58</x:f>
      </x:c>
      <x:c r="W58" s="24">
        <x:f>MAX(0,MAX(0,($C58+$F58)-$M58)-$S58)-MIN(MAX(0,$D$3-(MAX(0,$F58-MAX(0,($M58+$S58)-$C58)))),MAX(0,MAX(0,($C58+$F58)-$M58)-$S58))</x:f>
      </x:c>
      <x:c r="X58" s="24">
        <x:f>IF(Inputs!$C$39=1,$W58,0)</x:f>
      </x:c>
      <x:c r="Y58" s="24">
        <x:f>IF(Inputs!$C$39=0,$W58,0)+MAX(0,MAX(0,($D58+$X58)-$N58)-$T58)</x:f>
      </x:c>
    </x:row>
    <x:row r="59">
      <x:c r="B59" s="22" t="n">
        <x:v>54</x:v>
      </x:c>
      <x:c r="C59" s="29">
        <x:f>IF($B59&lt;=Inputs!$C$6+Inputs!$C$11,Cashflow_Asset!$E57-Cashflow_Asset!$K57,0)</x:f>
      </x:c>
      <x:c r="D59" s="29">
        <x:f>IF($B59&lt;=Inputs!$C$6+Inputs!$C$11,Cashflow_Asset!$F57+Cashflow_Asset!$G57+Cashflow_Asset!$I57,0)</x:f>
      </x:c>
      <x:c r="E59" s="29">
        <x:f>IF($B59&lt;=Inputs!$C$6+Inputs!$C$11,Cashflow_Asset!$J57,0)</x:f>
      </x:c>
      <x:c r="F59" s="23">
        <x:f>$G58</x:f>
      </x:c>
      <x:c r="G59" s="24">
        <x:f>(MAX(0,$F59-MAX(0,($M59+$S59)-$C59)))+MIN(MAX(0,$D$3-(MAX(0,$F59-MAX(0,($M59+$S59)-$C59)))),MAX(0,MAX(0,($C59+$F59)-$M59)-$S59))</x:f>
      </x:c>
      <x:c r="H59" s="23">
        <x:f>$J58</x:f>
      </x:c>
      <x:c r="I59" s="24">
        <x:f>MIN($E59,$H59)</x:f>
      </x:c>
      <x:c r="J59" s="24">
        <x:f>$H59-$I59</x:f>
      </x:c>
      <x:c r="K59" s="23">
        <x:f>$P58</x:f>
      </x:c>
      <x:c r="L59" s="24">
        <x:f>$K59*Inputs!$C$18/12</x:f>
      </x:c>
      <x:c r="M59" s="24">
        <x:f>MIN(($C59+$F59),$L59)</x:f>
      </x:c>
      <x:c r="N59" s="24">
        <x:f>MIN(($D59+$X59),MAX(0,$K59-$O59))</x:f>
      </x:c>
      <x:c r="O59" s="24">
        <x:f>MIN(MAX(0,MAX(0,$E59-$I59)-$U59),$K59)</x:f>
      </x:c>
      <x:c r="P59" s="24">
        <x:f>MAX(0,$K59-$O59)-$N59</x:f>
      </x:c>
      <x:c r="Q59" s="23">
        <x:f>$V58</x:f>
      </x:c>
      <x:c r="R59" s="24">
        <x:f>$Q59*Inputs!$C$19/12</x:f>
      </x:c>
      <x:c r="S59" s="24">
        <x:f>MIN(MAX(0,($C59+$F59)-$M59),$R59)</x:f>
      </x:c>
      <x:c r="T59" s="24">
        <x:f>MIN(MAX(0,($D59+$X59)-$N59),MAX(0,$Q59-$U59))</x:f>
      </x:c>
      <x:c r="U59" s="24">
        <x:f>MIN(MAX(0,$E59-$I59),$Q59)</x:f>
      </x:c>
      <x:c r="V59" s="24">
        <x:f>MAX(0,$Q59-$U59)-$T59</x:f>
      </x:c>
      <x:c r="W59" s="24">
        <x:f>MAX(0,MAX(0,($C59+$F59)-$M59)-$S59)-MIN(MAX(0,$D$3-(MAX(0,$F59-MAX(0,($M59+$S59)-$C59)))),MAX(0,MAX(0,($C59+$F59)-$M59)-$S59))</x:f>
      </x:c>
      <x:c r="X59" s="24">
        <x:f>IF(Inputs!$C$39=1,$W59,0)</x:f>
      </x:c>
      <x:c r="Y59" s="24">
        <x:f>IF(Inputs!$C$39=0,$W59,0)+MAX(0,MAX(0,($D59+$X59)-$N59)-$T59)</x:f>
      </x:c>
    </x:row>
    <x:row r="60">
      <x:c r="B60" s="22" t="n">
        <x:v>55</x:v>
      </x:c>
      <x:c r="C60" s="29">
        <x:f>IF($B60&lt;=Inputs!$C$6+Inputs!$C$11,Cashflow_Asset!$E58-Cashflow_Asset!$K58,0)</x:f>
      </x:c>
      <x:c r="D60" s="29">
        <x:f>IF($B60&lt;=Inputs!$C$6+Inputs!$C$11,Cashflow_Asset!$F58+Cashflow_Asset!$G58+Cashflow_Asset!$I58,0)</x:f>
      </x:c>
      <x:c r="E60" s="29">
        <x:f>IF($B60&lt;=Inputs!$C$6+Inputs!$C$11,Cashflow_Asset!$J58,0)</x:f>
      </x:c>
      <x:c r="F60" s="23">
        <x:f>$G59</x:f>
      </x:c>
      <x:c r="G60" s="24">
        <x:f>(MAX(0,$F60-MAX(0,($M60+$S60)-$C60)))+MIN(MAX(0,$D$3-(MAX(0,$F60-MAX(0,($M60+$S60)-$C60)))),MAX(0,MAX(0,($C60+$F60)-$M60)-$S60))</x:f>
      </x:c>
      <x:c r="H60" s="23">
        <x:f>$J59</x:f>
      </x:c>
      <x:c r="I60" s="24">
        <x:f>MIN($E60,$H60)</x:f>
      </x:c>
      <x:c r="J60" s="24">
        <x:f>$H60-$I60</x:f>
      </x:c>
      <x:c r="K60" s="23">
        <x:f>$P59</x:f>
      </x:c>
      <x:c r="L60" s="24">
        <x:f>$K60*Inputs!$C$18/12</x:f>
      </x:c>
      <x:c r="M60" s="24">
        <x:f>MIN(($C60+$F60),$L60)</x:f>
      </x:c>
      <x:c r="N60" s="24">
        <x:f>MIN(($D60+$X60),MAX(0,$K60-$O60))</x:f>
      </x:c>
      <x:c r="O60" s="24">
        <x:f>MIN(MAX(0,MAX(0,$E60-$I60)-$U60),$K60)</x:f>
      </x:c>
      <x:c r="P60" s="24">
        <x:f>MAX(0,$K60-$O60)-$N60</x:f>
      </x:c>
      <x:c r="Q60" s="23">
        <x:f>$V59</x:f>
      </x:c>
      <x:c r="R60" s="24">
        <x:f>$Q60*Inputs!$C$19/12</x:f>
      </x:c>
      <x:c r="S60" s="24">
        <x:f>MIN(MAX(0,($C60+$F60)-$M60),$R60)</x:f>
      </x:c>
      <x:c r="T60" s="24">
        <x:f>MIN(MAX(0,($D60+$X60)-$N60),MAX(0,$Q60-$U60))</x:f>
      </x:c>
      <x:c r="U60" s="24">
        <x:f>MIN(MAX(0,$E60-$I60),$Q60)</x:f>
      </x:c>
      <x:c r="V60" s="24">
        <x:f>MAX(0,$Q60-$U60)-$T60</x:f>
      </x:c>
      <x:c r="W60" s="24">
        <x:f>MAX(0,MAX(0,($C60+$F60)-$M60)-$S60)-MIN(MAX(0,$D$3-(MAX(0,$F60-MAX(0,($M60+$S60)-$C60)))),MAX(0,MAX(0,($C60+$F60)-$M60)-$S60))</x:f>
      </x:c>
      <x:c r="X60" s="24">
        <x:f>IF(Inputs!$C$39=1,$W60,0)</x:f>
      </x:c>
      <x:c r="Y60" s="24">
        <x:f>IF(Inputs!$C$39=0,$W60,0)+MAX(0,MAX(0,($D60+$X60)-$N60)-$T60)</x:f>
      </x:c>
    </x:row>
    <x:row r="61">
      <x:c r="B61" s="22" t="n">
        <x:v>56</x:v>
      </x:c>
      <x:c r="C61" s="29">
        <x:f>IF($B61&lt;=Inputs!$C$6+Inputs!$C$11,Cashflow_Asset!$E59-Cashflow_Asset!$K59,0)</x:f>
      </x:c>
      <x:c r="D61" s="29">
        <x:f>IF($B61&lt;=Inputs!$C$6+Inputs!$C$11,Cashflow_Asset!$F59+Cashflow_Asset!$G59+Cashflow_Asset!$I59,0)</x:f>
      </x:c>
      <x:c r="E61" s="29">
        <x:f>IF($B61&lt;=Inputs!$C$6+Inputs!$C$11,Cashflow_Asset!$J59,0)</x:f>
      </x:c>
      <x:c r="F61" s="23">
        <x:f>$G60</x:f>
      </x:c>
      <x:c r="G61" s="24">
        <x:f>(MAX(0,$F61-MAX(0,($M61+$S61)-$C61)))+MIN(MAX(0,$D$3-(MAX(0,$F61-MAX(0,($M61+$S61)-$C61)))),MAX(0,MAX(0,($C61+$F61)-$M61)-$S61))</x:f>
      </x:c>
      <x:c r="H61" s="23">
        <x:f>$J60</x:f>
      </x:c>
      <x:c r="I61" s="24">
        <x:f>MIN($E61,$H61)</x:f>
      </x:c>
      <x:c r="J61" s="24">
        <x:f>$H61-$I61</x:f>
      </x:c>
      <x:c r="K61" s="23">
        <x:f>$P60</x:f>
      </x:c>
      <x:c r="L61" s="24">
        <x:f>$K61*Inputs!$C$18/12</x:f>
      </x:c>
      <x:c r="M61" s="24">
        <x:f>MIN(($C61+$F61),$L61)</x:f>
      </x:c>
      <x:c r="N61" s="24">
        <x:f>MIN(($D61+$X61),MAX(0,$K61-$O61))</x:f>
      </x:c>
      <x:c r="O61" s="24">
        <x:f>MIN(MAX(0,MAX(0,$E61-$I61)-$U61),$K61)</x:f>
      </x:c>
      <x:c r="P61" s="24">
        <x:f>MAX(0,$K61-$O61)-$N61</x:f>
      </x:c>
      <x:c r="Q61" s="23">
        <x:f>$V60</x:f>
      </x:c>
      <x:c r="R61" s="24">
        <x:f>$Q61*Inputs!$C$19/12</x:f>
      </x:c>
      <x:c r="S61" s="24">
        <x:f>MIN(MAX(0,($C61+$F61)-$M61),$R61)</x:f>
      </x:c>
      <x:c r="T61" s="24">
        <x:f>MIN(MAX(0,($D61+$X61)-$N61),MAX(0,$Q61-$U61))</x:f>
      </x:c>
      <x:c r="U61" s="24">
        <x:f>MIN(MAX(0,$E61-$I61),$Q61)</x:f>
      </x:c>
      <x:c r="V61" s="24">
        <x:f>MAX(0,$Q61-$U61)-$T61</x:f>
      </x:c>
      <x:c r="W61" s="24">
        <x:f>MAX(0,MAX(0,($C61+$F61)-$M61)-$S61)-MIN(MAX(0,$D$3-(MAX(0,$F61-MAX(0,($M61+$S61)-$C61)))),MAX(0,MAX(0,($C61+$F61)-$M61)-$S61))</x:f>
      </x:c>
      <x:c r="X61" s="24">
        <x:f>IF(Inputs!$C$39=1,$W61,0)</x:f>
      </x:c>
      <x:c r="Y61" s="24">
        <x:f>IF(Inputs!$C$39=0,$W61,0)+MAX(0,MAX(0,($D61+$X61)-$N61)-$T61)</x:f>
      </x:c>
    </x:row>
    <x:row r="62">
      <x:c r="B62" s="22" t="n">
        <x:v>57</x:v>
      </x:c>
      <x:c r="C62" s="29">
        <x:f>IF($B62&lt;=Inputs!$C$6+Inputs!$C$11,Cashflow_Asset!$E60-Cashflow_Asset!$K60,0)</x:f>
      </x:c>
      <x:c r="D62" s="29">
        <x:f>IF($B62&lt;=Inputs!$C$6+Inputs!$C$11,Cashflow_Asset!$F60+Cashflow_Asset!$G60+Cashflow_Asset!$I60,0)</x:f>
      </x:c>
      <x:c r="E62" s="29">
        <x:f>IF($B62&lt;=Inputs!$C$6+Inputs!$C$11,Cashflow_Asset!$J60,0)</x:f>
      </x:c>
      <x:c r="F62" s="23">
        <x:f>$G61</x:f>
      </x:c>
      <x:c r="G62" s="24">
        <x:f>(MAX(0,$F62-MAX(0,($M62+$S62)-$C62)))+MIN(MAX(0,$D$3-(MAX(0,$F62-MAX(0,($M62+$S62)-$C62)))),MAX(0,MAX(0,($C62+$F62)-$M62)-$S62))</x:f>
      </x:c>
      <x:c r="H62" s="23">
        <x:f>$J61</x:f>
      </x:c>
      <x:c r="I62" s="24">
        <x:f>MIN($E62,$H62)</x:f>
      </x:c>
      <x:c r="J62" s="24">
        <x:f>$H62-$I62</x:f>
      </x:c>
      <x:c r="K62" s="23">
        <x:f>$P61</x:f>
      </x:c>
      <x:c r="L62" s="24">
        <x:f>$K62*Inputs!$C$18/12</x:f>
      </x:c>
      <x:c r="M62" s="24">
        <x:f>MIN(($C62+$F62),$L62)</x:f>
      </x:c>
      <x:c r="N62" s="24">
        <x:f>MIN(($D62+$X62),MAX(0,$K62-$O62))</x:f>
      </x:c>
      <x:c r="O62" s="24">
        <x:f>MIN(MAX(0,MAX(0,$E62-$I62)-$U62),$K62)</x:f>
      </x:c>
      <x:c r="P62" s="24">
        <x:f>MAX(0,$K62-$O62)-$N62</x:f>
      </x:c>
      <x:c r="Q62" s="23">
        <x:f>$V61</x:f>
      </x:c>
      <x:c r="R62" s="24">
        <x:f>$Q62*Inputs!$C$19/12</x:f>
      </x:c>
      <x:c r="S62" s="24">
        <x:f>MIN(MAX(0,($C62+$F62)-$M62),$R62)</x:f>
      </x:c>
      <x:c r="T62" s="24">
        <x:f>MIN(MAX(0,($D62+$X62)-$N62),MAX(0,$Q62-$U62))</x:f>
      </x:c>
      <x:c r="U62" s="24">
        <x:f>MIN(MAX(0,$E62-$I62),$Q62)</x:f>
      </x:c>
      <x:c r="V62" s="24">
        <x:f>MAX(0,$Q62-$U62)-$T62</x:f>
      </x:c>
      <x:c r="W62" s="24">
        <x:f>MAX(0,MAX(0,($C62+$F62)-$M62)-$S62)-MIN(MAX(0,$D$3-(MAX(0,$F62-MAX(0,($M62+$S62)-$C62)))),MAX(0,MAX(0,($C62+$F62)-$M62)-$S62))</x:f>
      </x:c>
      <x:c r="X62" s="24">
        <x:f>IF(Inputs!$C$39=1,$W62,0)</x:f>
      </x:c>
      <x:c r="Y62" s="24">
        <x:f>IF(Inputs!$C$39=0,$W62,0)+MAX(0,MAX(0,($D62+$X62)-$N62)-$T62)</x:f>
      </x:c>
    </x:row>
    <x:row r="63">
      <x:c r="B63" s="22" t="n">
        <x:v>58</x:v>
      </x:c>
      <x:c r="C63" s="29">
        <x:f>IF($B63&lt;=Inputs!$C$6+Inputs!$C$11,Cashflow_Asset!$E61-Cashflow_Asset!$K61,0)</x:f>
      </x:c>
      <x:c r="D63" s="29">
        <x:f>IF($B63&lt;=Inputs!$C$6+Inputs!$C$11,Cashflow_Asset!$F61+Cashflow_Asset!$G61+Cashflow_Asset!$I61,0)</x:f>
      </x:c>
      <x:c r="E63" s="29">
        <x:f>IF($B63&lt;=Inputs!$C$6+Inputs!$C$11,Cashflow_Asset!$J61,0)</x:f>
      </x:c>
      <x:c r="F63" s="23">
        <x:f>$G62</x:f>
      </x:c>
      <x:c r="G63" s="24">
        <x:f>(MAX(0,$F63-MAX(0,($M63+$S63)-$C63)))+MIN(MAX(0,$D$3-(MAX(0,$F63-MAX(0,($M63+$S63)-$C63)))),MAX(0,MAX(0,($C63+$F63)-$M63)-$S63))</x:f>
      </x:c>
      <x:c r="H63" s="23">
        <x:f>$J62</x:f>
      </x:c>
      <x:c r="I63" s="24">
        <x:f>MIN($E63,$H63)</x:f>
      </x:c>
      <x:c r="J63" s="24">
        <x:f>$H63-$I63</x:f>
      </x:c>
      <x:c r="K63" s="23">
        <x:f>$P62</x:f>
      </x:c>
      <x:c r="L63" s="24">
        <x:f>$K63*Inputs!$C$18/12</x:f>
      </x:c>
      <x:c r="M63" s="24">
        <x:f>MIN(($C63+$F63),$L63)</x:f>
      </x:c>
      <x:c r="N63" s="24">
        <x:f>MIN(($D63+$X63),MAX(0,$K63-$O63))</x:f>
      </x:c>
      <x:c r="O63" s="24">
        <x:f>MIN(MAX(0,MAX(0,$E63-$I63)-$U63),$K63)</x:f>
      </x:c>
      <x:c r="P63" s="24">
        <x:f>MAX(0,$K63-$O63)-$N63</x:f>
      </x:c>
      <x:c r="Q63" s="23">
        <x:f>$V62</x:f>
      </x:c>
      <x:c r="R63" s="24">
        <x:f>$Q63*Inputs!$C$19/12</x:f>
      </x:c>
      <x:c r="S63" s="24">
        <x:f>MIN(MAX(0,($C63+$F63)-$M63),$R63)</x:f>
      </x:c>
      <x:c r="T63" s="24">
        <x:f>MIN(MAX(0,($D63+$X63)-$N63),MAX(0,$Q63-$U63))</x:f>
      </x:c>
      <x:c r="U63" s="24">
        <x:f>MIN(MAX(0,$E63-$I63),$Q63)</x:f>
      </x:c>
      <x:c r="V63" s="24">
        <x:f>MAX(0,$Q63-$U63)-$T63</x:f>
      </x:c>
      <x:c r="W63" s="24">
        <x:f>MAX(0,MAX(0,($C63+$F63)-$M63)-$S63)-MIN(MAX(0,$D$3-(MAX(0,$F63-MAX(0,($M63+$S63)-$C63)))),MAX(0,MAX(0,($C63+$F63)-$M63)-$S63))</x:f>
      </x:c>
      <x:c r="X63" s="24">
        <x:f>IF(Inputs!$C$39=1,$W63,0)</x:f>
      </x:c>
      <x:c r="Y63" s="24">
        <x:f>IF(Inputs!$C$39=0,$W63,0)+MAX(0,MAX(0,($D63+$X63)-$N63)-$T63)</x:f>
      </x:c>
    </x:row>
    <x:row r="64">
      <x:c r="B64" s="22" t="n">
        <x:v>59</x:v>
      </x:c>
      <x:c r="C64" s="29">
        <x:f>IF($B64&lt;=Inputs!$C$6+Inputs!$C$11,Cashflow_Asset!$E62-Cashflow_Asset!$K62,0)</x:f>
      </x:c>
      <x:c r="D64" s="29">
        <x:f>IF($B64&lt;=Inputs!$C$6+Inputs!$C$11,Cashflow_Asset!$F62+Cashflow_Asset!$G62+Cashflow_Asset!$I62,0)</x:f>
      </x:c>
      <x:c r="E64" s="29">
        <x:f>IF($B64&lt;=Inputs!$C$6+Inputs!$C$11,Cashflow_Asset!$J62,0)</x:f>
      </x:c>
      <x:c r="F64" s="23">
        <x:f>$G63</x:f>
      </x:c>
      <x:c r="G64" s="24">
        <x:f>(MAX(0,$F64-MAX(0,($M64+$S64)-$C64)))+MIN(MAX(0,$D$3-(MAX(0,$F64-MAX(0,($M64+$S64)-$C64)))),MAX(0,MAX(0,($C64+$F64)-$M64)-$S64))</x:f>
      </x:c>
      <x:c r="H64" s="23">
        <x:f>$J63</x:f>
      </x:c>
      <x:c r="I64" s="24">
        <x:f>MIN($E64,$H64)</x:f>
      </x:c>
      <x:c r="J64" s="24">
        <x:f>$H64-$I64</x:f>
      </x:c>
      <x:c r="K64" s="23">
        <x:f>$P63</x:f>
      </x:c>
      <x:c r="L64" s="24">
        <x:f>$K64*Inputs!$C$18/12</x:f>
      </x:c>
      <x:c r="M64" s="24">
        <x:f>MIN(($C64+$F64),$L64)</x:f>
      </x:c>
      <x:c r="N64" s="24">
        <x:f>MIN(($D64+$X64),MAX(0,$K64-$O64))</x:f>
      </x:c>
      <x:c r="O64" s="24">
        <x:f>MIN(MAX(0,MAX(0,$E64-$I64)-$U64),$K64)</x:f>
      </x:c>
      <x:c r="P64" s="24">
        <x:f>MAX(0,$K64-$O64)-$N64</x:f>
      </x:c>
      <x:c r="Q64" s="23">
        <x:f>$V63</x:f>
      </x:c>
      <x:c r="R64" s="24">
        <x:f>$Q64*Inputs!$C$19/12</x:f>
      </x:c>
      <x:c r="S64" s="24">
        <x:f>MIN(MAX(0,($C64+$F64)-$M64),$R64)</x:f>
      </x:c>
      <x:c r="T64" s="24">
        <x:f>MIN(MAX(0,($D64+$X64)-$N64),MAX(0,$Q64-$U64))</x:f>
      </x:c>
      <x:c r="U64" s="24">
        <x:f>MIN(MAX(0,$E64-$I64),$Q64)</x:f>
      </x:c>
      <x:c r="V64" s="24">
        <x:f>MAX(0,$Q64-$U64)-$T64</x:f>
      </x:c>
      <x:c r="W64" s="24">
        <x:f>MAX(0,MAX(0,($C64+$F64)-$M64)-$S64)-MIN(MAX(0,$D$3-(MAX(0,$F64-MAX(0,($M64+$S64)-$C64)))),MAX(0,MAX(0,($C64+$F64)-$M64)-$S64))</x:f>
      </x:c>
      <x:c r="X64" s="24">
        <x:f>IF(Inputs!$C$39=1,$W64,0)</x:f>
      </x:c>
      <x:c r="Y64" s="24">
        <x:f>IF(Inputs!$C$39=0,$W64,0)+MAX(0,MAX(0,($D64+$X64)-$N64)-$T64)</x:f>
      </x:c>
    </x:row>
    <x:row r="65">
      <x:c r="B65" s="22" t="n">
        <x:v>60</x:v>
      </x:c>
      <x:c r="C65" s="29">
        <x:f>IF($B65&lt;=Inputs!$C$6+Inputs!$C$11,Cashflow_Asset!$E63-Cashflow_Asset!$K63,0)</x:f>
      </x:c>
      <x:c r="D65" s="29">
        <x:f>IF($B65&lt;=Inputs!$C$6+Inputs!$C$11,Cashflow_Asset!$F63+Cashflow_Asset!$G63+Cashflow_Asset!$I63,0)</x:f>
      </x:c>
      <x:c r="E65" s="29">
        <x:f>IF($B65&lt;=Inputs!$C$6+Inputs!$C$11,Cashflow_Asset!$J63,0)</x:f>
      </x:c>
      <x:c r="F65" s="23">
        <x:f>$G64</x:f>
      </x:c>
      <x:c r="G65" s="24">
        <x:f>(MAX(0,$F65-MAX(0,($M65+$S65)-$C65)))+MIN(MAX(0,$D$3-(MAX(0,$F65-MAX(0,($M65+$S65)-$C65)))),MAX(0,MAX(0,($C65+$F65)-$M65)-$S65))</x:f>
      </x:c>
      <x:c r="H65" s="23">
        <x:f>$J64</x:f>
      </x:c>
      <x:c r="I65" s="24">
        <x:f>MIN($E65,$H65)</x:f>
      </x:c>
      <x:c r="J65" s="24">
        <x:f>$H65-$I65</x:f>
      </x:c>
      <x:c r="K65" s="23">
        <x:f>$P64</x:f>
      </x:c>
      <x:c r="L65" s="24">
        <x:f>$K65*Inputs!$C$18/12</x:f>
      </x:c>
      <x:c r="M65" s="24">
        <x:f>MIN(($C65+$F65),$L65)</x:f>
      </x:c>
      <x:c r="N65" s="24">
        <x:f>MIN(($D65+$X65),MAX(0,$K65-$O65))</x:f>
      </x:c>
      <x:c r="O65" s="24">
        <x:f>MIN(MAX(0,MAX(0,$E65-$I65)-$U65),$K65)</x:f>
      </x:c>
      <x:c r="P65" s="24">
        <x:f>MAX(0,$K65-$O65)-$N65</x:f>
      </x:c>
      <x:c r="Q65" s="23">
        <x:f>$V64</x:f>
      </x:c>
      <x:c r="R65" s="24">
        <x:f>$Q65*Inputs!$C$19/12</x:f>
      </x:c>
      <x:c r="S65" s="24">
        <x:f>MIN(MAX(0,($C65+$F65)-$M65),$R65)</x:f>
      </x:c>
      <x:c r="T65" s="24">
        <x:f>MIN(MAX(0,($D65+$X65)-$N65),MAX(0,$Q65-$U65))</x:f>
      </x:c>
      <x:c r="U65" s="24">
        <x:f>MIN(MAX(0,$E65-$I65),$Q65)</x:f>
      </x:c>
      <x:c r="V65" s="24">
        <x:f>MAX(0,$Q65-$U65)-$T65</x:f>
      </x:c>
      <x:c r="W65" s="24">
        <x:f>MAX(0,MAX(0,($C65+$F65)-$M65)-$S65)-MIN(MAX(0,$D$3-(MAX(0,$F65-MAX(0,($M65+$S65)-$C65)))),MAX(0,MAX(0,($C65+$F65)-$M65)-$S65))</x:f>
      </x:c>
      <x:c r="X65" s="24">
        <x:f>IF(Inputs!$C$39=1,$W65,0)</x:f>
      </x:c>
      <x:c r="Y65" s="24">
        <x:f>IF(Inputs!$C$39=0,$W65,0)+MAX(0,MAX(0,($D65+$X65)-$N65)-$T65)</x:f>
      </x:c>
    </x:row>
    <x:row r="66">
      <x:c r="B66" s="22" t="n">
        <x:v>61</x:v>
      </x:c>
      <x:c r="C66" s="29">
        <x:f>IF($B66&lt;=Inputs!$C$6+Inputs!$C$11,Cashflow_Asset!$E64-Cashflow_Asset!$K64,0)</x:f>
      </x:c>
      <x:c r="D66" s="29">
        <x:f>IF($B66&lt;=Inputs!$C$6+Inputs!$C$11,Cashflow_Asset!$F64+Cashflow_Asset!$G64+Cashflow_Asset!$I64,0)</x:f>
      </x:c>
      <x:c r="E66" s="29">
        <x:f>IF($B66&lt;=Inputs!$C$6+Inputs!$C$11,Cashflow_Asset!$J64,0)</x:f>
      </x:c>
      <x:c r="F66" s="23">
        <x:f>$G65</x:f>
      </x:c>
      <x:c r="G66" s="24">
        <x:f>(MAX(0,$F66-MAX(0,($M66+$S66)-$C66)))+MIN(MAX(0,$D$3-(MAX(0,$F66-MAX(0,($M66+$S66)-$C66)))),MAX(0,MAX(0,($C66+$F66)-$M66)-$S66))</x:f>
      </x:c>
      <x:c r="H66" s="23">
        <x:f>$J65</x:f>
      </x:c>
      <x:c r="I66" s="24">
        <x:f>MIN($E66,$H66)</x:f>
      </x:c>
      <x:c r="J66" s="24">
        <x:f>$H66-$I66</x:f>
      </x:c>
      <x:c r="K66" s="23">
        <x:f>$P65</x:f>
      </x:c>
      <x:c r="L66" s="24">
        <x:f>$K66*Inputs!$C$18/12</x:f>
      </x:c>
      <x:c r="M66" s="24">
        <x:f>MIN(($C66+$F66),$L66)</x:f>
      </x:c>
      <x:c r="N66" s="24">
        <x:f>MIN(($D66+$X66),MAX(0,$K66-$O66))</x:f>
      </x:c>
      <x:c r="O66" s="24">
        <x:f>MIN(MAX(0,MAX(0,$E66-$I66)-$U66),$K66)</x:f>
      </x:c>
      <x:c r="P66" s="24">
        <x:f>MAX(0,$K66-$O66)-$N66</x:f>
      </x:c>
      <x:c r="Q66" s="23">
        <x:f>$V65</x:f>
      </x:c>
      <x:c r="R66" s="24">
        <x:f>$Q66*Inputs!$C$19/12</x:f>
      </x:c>
      <x:c r="S66" s="24">
        <x:f>MIN(MAX(0,($C66+$F66)-$M66),$R66)</x:f>
      </x:c>
      <x:c r="T66" s="24">
        <x:f>MIN(MAX(0,($D66+$X66)-$N66),MAX(0,$Q66-$U66))</x:f>
      </x:c>
      <x:c r="U66" s="24">
        <x:f>MIN(MAX(0,$E66-$I66),$Q66)</x:f>
      </x:c>
      <x:c r="V66" s="24">
        <x:f>MAX(0,$Q66-$U66)-$T66</x:f>
      </x:c>
      <x:c r="W66" s="24">
        <x:f>MAX(0,MAX(0,($C66+$F66)-$M66)-$S66)-MIN(MAX(0,$D$3-(MAX(0,$F66-MAX(0,($M66+$S66)-$C66)))),MAX(0,MAX(0,($C66+$F66)-$M66)-$S66))</x:f>
      </x:c>
      <x:c r="X66" s="24">
        <x:f>IF(Inputs!$C$39=1,$W66,0)</x:f>
      </x:c>
      <x:c r="Y66" s="24">
        <x:f>IF(Inputs!$C$39=0,$W66,0)+MAX(0,MAX(0,($D66+$X66)-$N66)-$T66)</x:f>
      </x:c>
    </x:row>
    <x:row r="67">
      <x:c r="B67" s="22" t="n">
        <x:v>62</x:v>
      </x:c>
      <x:c r="C67" s="29">
        <x:f>IF($B67&lt;=Inputs!$C$6+Inputs!$C$11,Cashflow_Asset!$E65-Cashflow_Asset!$K65,0)</x:f>
      </x:c>
      <x:c r="D67" s="29">
        <x:f>IF($B67&lt;=Inputs!$C$6+Inputs!$C$11,Cashflow_Asset!$F65+Cashflow_Asset!$G65+Cashflow_Asset!$I65,0)</x:f>
      </x:c>
      <x:c r="E67" s="29">
        <x:f>IF($B67&lt;=Inputs!$C$6+Inputs!$C$11,Cashflow_Asset!$J65,0)</x:f>
      </x:c>
      <x:c r="F67" s="23">
        <x:f>$G66</x:f>
      </x:c>
      <x:c r="G67" s="24">
        <x:f>(MAX(0,$F67-MAX(0,($M67+$S67)-$C67)))+MIN(MAX(0,$D$3-(MAX(0,$F67-MAX(0,($M67+$S67)-$C67)))),MAX(0,MAX(0,($C67+$F67)-$M67)-$S67))</x:f>
      </x:c>
      <x:c r="H67" s="23">
        <x:f>$J66</x:f>
      </x:c>
      <x:c r="I67" s="24">
        <x:f>MIN($E67,$H67)</x:f>
      </x:c>
      <x:c r="J67" s="24">
        <x:f>$H67-$I67</x:f>
      </x:c>
      <x:c r="K67" s="23">
        <x:f>$P66</x:f>
      </x:c>
      <x:c r="L67" s="24">
        <x:f>$K67*Inputs!$C$18/12</x:f>
      </x:c>
      <x:c r="M67" s="24">
        <x:f>MIN(($C67+$F67),$L67)</x:f>
      </x:c>
      <x:c r="N67" s="24">
        <x:f>MIN(($D67+$X67),MAX(0,$K67-$O67))</x:f>
      </x:c>
      <x:c r="O67" s="24">
        <x:f>MIN(MAX(0,MAX(0,$E67-$I67)-$U67),$K67)</x:f>
      </x:c>
      <x:c r="P67" s="24">
        <x:f>MAX(0,$K67-$O67)-$N67</x:f>
      </x:c>
      <x:c r="Q67" s="23">
        <x:f>$V66</x:f>
      </x:c>
      <x:c r="R67" s="24">
        <x:f>$Q67*Inputs!$C$19/12</x:f>
      </x:c>
      <x:c r="S67" s="24">
        <x:f>MIN(MAX(0,($C67+$F67)-$M67),$R67)</x:f>
      </x:c>
      <x:c r="T67" s="24">
        <x:f>MIN(MAX(0,($D67+$X67)-$N67),MAX(0,$Q67-$U67))</x:f>
      </x:c>
      <x:c r="U67" s="24">
        <x:f>MIN(MAX(0,$E67-$I67),$Q67)</x:f>
      </x:c>
      <x:c r="V67" s="24">
        <x:f>MAX(0,$Q67-$U67)-$T67</x:f>
      </x:c>
      <x:c r="W67" s="24">
        <x:f>MAX(0,MAX(0,($C67+$F67)-$M67)-$S67)-MIN(MAX(0,$D$3-(MAX(0,$F67-MAX(0,($M67+$S67)-$C67)))),MAX(0,MAX(0,($C67+$F67)-$M67)-$S67))</x:f>
      </x:c>
      <x:c r="X67" s="24">
        <x:f>IF(Inputs!$C$39=1,$W67,0)</x:f>
      </x:c>
      <x:c r="Y67" s="24">
        <x:f>IF(Inputs!$C$39=0,$W67,0)+MAX(0,MAX(0,($D67+$X67)-$N67)-$T67)</x:f>
      </x:c>
    </x:row>
    <x:row r="68">
      <x:c r="B68" s="22" t="n">
        <x:v>63</x:v>
      </x:c>
      <x:c r="C68" s="29">
        <x:f>IF($B68&lt;=Inputs!$C$6+Inputs!$C$11,Cashflow_Asset!$E66-Cashflow_Asset!$K66,0)</x:f>
      </x:c>
      <x:c r="D68" s="29">
        <x:f>IF($B68&lt;=Inputs!$C$6+Inputs!$C$11,Cashflow_Asset!$F66+Cashflow_Asset!$G66+Cashflow_Asset!$I66,0)</x:f>
      </x:c>
      <x:c r="E68" s="29">
        <x:f>IF($B68&lt;=Inputs!$C$6+Inputs!$C$11,Cashflow_Asset!$J66,0)</x:f>
      </x:c>
      <x:c r="F68" s="23">
        <x:f>$G67</x:f>
      </x:c>
      <x:c r="G68" s="24">
        <x:f>(MAX(0,$F68-MAX(0,($M68+$S68)-$C68)))+MIN(MAX(0,$D$3-(MAX(0,$F68-MAX(0,($M68+$S68)-$C68)))),MAX(0,MAX(0,($C68+$F68)-$M68)-$S68))</x:f>
      </x:c>
      <x:c r="H68" s="23">
        <x:f>$J67</x:f>
      </x:c>
      <x:c r="I68" s="24">
        <x:f>MIN($E68,$H68)</x:f>
      </x:c>
      <x:c r="J68" s="24">
        <x:f>$H68-$I68</x:f>
      </x:c>
      <x:c r="K68" s="23">
        <x:f>$P67</x:f>
      </x:c>
      <x:c r="L68" s="24">
        <x:f>$K68*Inputs!$C$18/12</x:f>
      </x:c>
      <x:c r="M68" s="24">
        <x:f>MIN(($C68+$F68),$L68)</x:f>
      </x:c>
      <x:c r="N68" s="24">
        <x:f>MIN(($D68+$X68),MAX(0,$K68-$O68))</x:f>
      </x:c>
      <x:c r="O68" s="24">
        <x:f>MIN(MAX(0,MAX(0,$E68-$I68)-$U68),$K68)</x:f>
      </x:c>
      <x:c r="P68" s="24">
        <x:f>MAX(0,$K68-$O68)-$N68</x:f>
      </x:c>
      <x:c r="Q68" s="23">
        <x:f>$V67</x:f>
      </x:c>
      <x:c r="R68" s="24">
        <x:f>$Q68*Inputs!$C$19/12</x:f>
      </x:c>
      <x:c r="S68" s="24">
        <x:f>MIN(MAX(0,($C68+$F68)-$M68),$R68)</x:f>
      </x:c>
      <x:c r="T68" s="24">
        <x:f>MIN(MAX(0,($D68+$X68)-$N68),MAX(0,$Q68-$U68))</x:f>
      </x:c>
      <x:c r="U68" s="24">
        <x:f>MIN(MAX(0,$E68-$I68),$Q68)</x:f>
      </x:c>
      <x:c r="V68" s="24">
        <x:f>MAX(0,$Q68-$U68)-$T68</x:f>
      </x:c>
      <x:c r="W68" s="24">
        <x:f>MAX(0,MAX(0,($C68+$F68)-$M68)-$S68)-MIN(MAX(0,$D$3-(MAX(0,$F68-MAX(0,($M68+$S68)-$C68)))),MAX(0,MAX(0,($C68+$F68)-$M68)-$S68))</x:f>
      </x:c>
      <x:c r="X68" s="24">
        <x:f>IF(Inputs!$C$39=1,$W68,0)</x:f>
      </x:c>
      <x:c r="Y68" s="24">
        <x:f>IF(Inputs!$C$39=0,$W68,0)+MAX(0,MAX(0,($D68+$X68)-$N68)-$T68)</x:f>
      </x:c>
    </x:row>
    <x:row r="69">
      <x:c r="B69" s="22" t="n">
        <x:v>64</x:v>
      </x:c>
      <x:c r="C69" s="29">
        <x:f>IF($B69&lt;=Inputs!$C$6+Inputs!$C$11,Cashflow_Asset!$E67-Cashflow_Asset!$K67,0)</x:f>
      </x:c>
      <x:c r="D69" s="29">
        <x:f>IF($B69&lt;=Inputs!$C$6+Inputs!$C$11,Cashflow_Asset!$F67+Cashflow_Asset!$G67+Cashflow_Asset!$I67,0)</x:f>
      </x:c>
      <x:c r="E69" s="29">
        <x:f>IF($B69&lt;=Inputs!$C$6+Inputs!$C$11,Cashflow_Asset!$J67,0)</x:f>
      </x:c>
      <x:c r="F69" s="23">
        <x:f>$G68</x:f>
      </x:c>
      <x:c r="G69" s="24">
        <x:f>(MAX(0,$F69-MAX(0,($M69+$S69)-$C69)))+MIN(MAX(0,$D$3-(MAX(0,$F69-MAX(0,($M69+$S69)-$C69)))),MAX(0,MAX(0,($C69+$F69)-$M69)-$S69))</x:f>
      </x:c>
      <x:c r="H69" s="23">
        <x:f>$J68</x:f>
      </x:c>
      <x:c r="I69" s="24">
        <x:f>MIN($E69,$H69)</x:f>
      </x:c>
      <x:c r="J69" s="24">
        <x:f>$H69-$I69</x:f>
      </x:c>
      <x:c r="K69" s="23">
        <x:f>$P68</x:f>
      </x:c>
      <x:c r="L69" s="24">
        <x:f>$K69*Inputs!$C$18/12</x:f>
      </x:c>
      <x:c r="M69" s="24">
        <x:f>MIN(($C69+$F69),$L69)</x:f>
      </x:c>
      <x:c r="N69" s="24">
        <x:f>MIN(($D69+$X69),MAX(0,$K69-$O69))</x:f>
      </x:c>
      <x:c r="O69" s="24">
        <x:f>MIN(MAX(0,MAX(0,$E69-$I69)-$U69),$K69)</x:f>
      </x:c>
      <x:c r="P69" s="24">
        <x:f>MAX(0,$K69-$O69)-$N69</x:f>
      </x:c>
      <x:c r="Q69" s="23">
        <x:f>$V68</x:f>
      </x:c>
      <x:c r="R69" s="24">
        <x:f>$Q69*Inputs!$C$19/12</x:f>
      </x:c>
      <x:c r="S69" s="24">
        <x:f>MIN(MAX(0,($C69+$F69)-$M69),$R69)</x:f>
      </x:c>
      <x:c r="T69" s="24">
        <x:f>MIN(MAX(0,($D69+$X69)-$N69),MAX(0,$Q69-$U69))</x:f>
      </x:c>
      <x:c r="U69" s="24">
        <x:f>MIN(MAX(0,$E69-$I69),$Q69)</x:f>
      </x:c>
      <x:c r="V69" s="24">
        <x:f>MAX(0,$Q69-$U69)-$T69</x:f>
      </x:c>
      <x:c r="W69" s="24">
        <x:f>MAX(0,MAX(0,($C69+$F69)-$M69)-$S69)-MIN(MAX(0,$D$3-(MAX(0,$F69-MAX(0,($M69+$S69)-$C69)))),MAX(0,MAX(0,($C69+$F69)-$M69)-$S69))</x:f>
      </x:c>
      <x:c r="X69" s="24">
        <x:f>IF(Inputs!$C$39=1,$W69,0)</x:f>
      </x:c>
      <x:c r="Y69" s="24">
        <x:f>IF(Inputs!$C$39=0,$W69,0)+MAX(0,MAX(0,($D69+$X69)-$N69)-$T69)</x:f>
      </x:c>
    </x:row>
    <x:row r="70">
      <x:c r="B70" s="22" t="n">
        <x:v>65</x:v>
      </x:c>
      <x:c r="C70" s="29">
        <x:f>IF($B70&lt;=Inputs!$C$6+Inputs!$C$11,Cashflow_Asset!$E68-Cashflow_Asset!$K68,0)</x:f>
      </x:c>
      <x:c r="D70" s="29">
        <x:f>IF($B70&lt;=Inputs!$C$6+Inputs!$C$11,Cashflow_Asset!$F68+Cashflow_Asset!$G68+Cashflow_Asset!$I68,0)</x:f>
      </x:c>
      <x:c r="E70" s="29">
        <x:f>IF($B70&lt;=Inputs!$C$6+Inputs!$C$11,Cashflow_Asset!$J68,0)</x:f>
      </x:c>
      <x:c r="F70" s="23">
        <x:f>$G69</x:f>
      </x:c>
      <x:c r="G70" s="24">
        <x:f>(MAX(0,$F70-MAX(0,($M70+$S70)-$C70)))+MIN(MAX(0,$D$3-(MAX(0,$F70-MAX(0,($M70+$S70)-$C70)))),MAX(0,MAX(0,($C70+$F70)-$M70)-$S70))</x:f>
      </x:c>
      <x:c r="H70" s="23">
        <x:f>$J69</x:f>
      </x:c>
      <x:c r="I70" s="24">
        <x:f>MIN($E70,$H70)</x:f>
      </x:c>
      <x:c r="J70" s="24">
        <x:f>$H70-$I70</x:f>
      </x:c>
      <x:c r="K70" s="23">
        <x:f>$P69</x:f>
      </x:c>
      <x:c r="L70" s="24">
        <x:f>$K70*Inputs!$C$18/12</x:f>
      </x:c>
      <x:c r="M70" s="24">
        <x:f>MIN(($C70+$F70),$L70)</x:f>
      </x:c>
      <x:c r="N70" s="24">
        <x:f>MIN(($D70+$X70),MAX(0,$K70-$O70))</x:f>
      </x:c>
      <x:c r="O70" s="24">
        <x:f>MIN(MAX(0,MAX(0,$E70-$I70)-$U70),$K70)</x:f>
      </x:c>
      <x:c r="P70" s="24">
        <x:f>MAX(0,$K70-$O70)-$N70</x:f>
      </x:c>
      <x:c r="Q70" s="23">
        <x:f>$V69</x:f>
      </x:c>
      <x:c r="R70" s="24">
        <x:f>$Q70*Inputs!$C$19/12</x:f>
      </x:c>
      <x:c r="S70" s="24">
        <x:f>MIN(MAX(0,($C70+$F70)-$M70),$R70)</x:f>
      </x:c>
      <x:c r="T70" s="24">
        <x:f>MIN(MAX(0,($D70+$X70)-$N70),MAX(0,$Q70-$U70))</x:f>
      </x:c>
      <x:c r="U70" s="24">
        <x:f>MIN(MAX(0,$E70-$I70),$Q70)</x:f>
      </x:c>
      <x:c r="V70" s="24">
        <x:f>MAX(0,$Q70-$U70)-$T70</x:f>
      </x:c>
      <x:c r="W70" s="24">
        <x:f>MAX(0,MAX(0,($C70+$F70)-$M70)-$S70)-MIN(MAX(0,$D$3-(MAX(0,$F70-MAX(0,($M70+$S70)-$C70)))),MAX(0,MAX(0,($C70+$F70)-$M70)-$S70))</x:f>
      </x:c>
      <x:c r="X70" s="24">
        <x:f>IF(Inputs!$C$39=1,$W70,0)</x:f>
      </x:c>
      <x:c r="Y70" s="24">
        <x:f>IF(Inputs!$C$39=0,$W70,0)+MAX(0,MAX(0,($D70+$X70)-$N70)-$T70)</x:f>
      </x:c>
    </x:row>
    <x:row r="71">
      <x:c r="B71" s="22" t="n">
        <x:v>66</x:v>
      </x:c>
      <x:c r="C71" s="29">
        <x:f>IF($B71&lt;=Inputs!$C$6+Inputs!$C$11,Cashflow_Asset!$E69-Cashflow_Asset!$K69,0)</x:f>
      </x:c>
      <x:c r="D71" s="29">
        <x:f>IF($B71&lt;=Inputs!$C$6+Inputs!$C$11,Cashflow_Asset!$F69+Cashflow_Asset!$G69+Cashflow_Asset!$I69,0)</x:f>
      </x:c>
      <x:c r="E71" s="29">
        <x:f>IF($B71&lt;=Inputs!$C$6+Inputs!$C$11,Cashflow_Asset!$J69,0)</x:f>
      </x:c>
      <x:c r="F71" s="23">
        <x:f>$G70</x:f>
      </x:c>
      <x:c r="G71" s="24">
        <x:f>(MAX(0,$F71-MAX(0,($M71+$S71)-$C71)))+MIN(MAX(0,$D$3-(MAX(0,$F71-MAX(0,($M71+$S71)-$C71)))),MAX(0,MAX(0,($C71+$F71)-$M71)-$S71))</x:f>
      </x:c>
      <x:c r="H71" s="23">
        <x:f>$J70</x:f>
      </x:c>
      <x:c r="I71" s="24">
        <x:f>MIN($E71,$H71)</x:f>
      </x:c>
      <x:c r="J71" s="24">
        <x:f>$H71-$I71</x:f>
      </x:c>
      <x:c r="K71" s="23">
        <x:f>$P70</x:f>
      </x:c>
      <x:c r="L71" s="24">
        <x:f>$K71*Inputs!$C$18/12</x:f>
      </x:c>
      <x:c r="M71" s="24">
        <x:f>MIN(($C71+$F71),$L71)</x:f>
      </x:c>
      <x:c r="N71" s="24">
        <x:f>MIN(($D71+$X71),MAX(0,$K71-$O71))</x:f>
      </x:c>
      <x:c r="O71" s="24">
        <x:f>MIN(MAX(0,MAX(0,$E71-$I71)-$U71),$K71)</x:f>
      </x:c>
      <x:c r="P71" s="24">
        <x:f>MAX(0,$K71-$O71)-$N71</x:f>
      </x:c>
      <x:c r="Q71" s="23">
        <x:f>$V70</x:f>
      </x:c>
      <x:c r="R71" s="24">
        <x:f>$Q71*Inputs!$C$19/12</x:f>
      </x:c>
      <x:c r="S71" s="24">
        <x:f>MIN(MAX(0,($C71+$F71)-$M71),$R71)</x:f>
      </x:c>
      <x:c r="T71" s="24">
        <x:f>MIN(MAX(0,($D71+$X71)-$N71),MAX(0,$Q71-$U71))</x:f>
      </x:c>
      <x:c r="U71" s="24">
        <x:f>MIN(MAX(0,$E71-$I71),$Q71)</x:f>
      </x:c>
      <x:c r="V71" s="24">
        <x:f>MAX(0,$Q71-$U71)-$T71</x:f>
      </x:c>
      <x:c r="W71" s="24">
        <x:f>MAX(0,MAX(0,($C71+$F71)-$M71)-$S71)-MIN(MAX(0,$D$3-(MAX(0,$F71-MAX(0,($M71+$S71)-$C71)))),MAX(0,MAX(0,($C71+$F71)-$M71)-$S71))</x:f>
      </x:c>
      <x:c r="X71" s="24">
        <x:f>IF(Inputs!$C$39=1,$W71,0)</x:f>
      </x:c>
      <x:c r="Y71" s="24">
        <x:f>IF(Inputs!$C$39=0,$W71,0)+MAX(0,MAX(0,($D71+$X71)-$N71)-$T71)</x:f>
      </x:c>
    </x:row>
    <x:row r="72">
      <x:c r="B72" s="22" t="n">
        <x:v>67</x:v>
      </x:c>
      <x:c r="C72" s="29">
        <x:f>IF($B72&lt;=Inputs!$C$6+Inputs!$C$11,Cashflow_Asset!$E70-Cashflow_Asset!$K70,0)</x:f>
      </x:c>
      <x:c r="D72" s="29">
        <x:f>IF($B72&lt;=Inputs!$C$6+Inputs!$C$11,Cashflow_Asset!$F70+Cashflow_Asset!$G70+Cashflow_Asset!$I70,0)</x:f>
      </x:c>
      <x:c r="E72" s="29">
        <x:f>IF($B72&lt;=Inputs!$C$6+Inputs!$C$11,Cashflow_Asset!$J70,0)</x:f>
      </x:c>
      <x:c r="F72" s="23">
        <x:f>$G71</x:f>
      </x:c>
      <x:c r="G72" s="24">
        <x:f>(MAX(0,$F72-MAX(0,($M72+$S72)-$C72)))+MIN(MAX(0,$D$3-(MAX(0,$F72-MAX(0,($M72+$S72)-$C72)))),MAX(0,MAX(0,($C72+$F72)-$M72)-$S72))</x:f>
      </x:c>
      <x:c r="H72" s="23">
        <x:f>$J71</x:f>
      </x:c>
      <x:c r="I72" s="24">
        <x:f>MIN($E72,$H72)</x:f>
      </x:c>
      <x:c r="J72" s="24">
        <x:f>$H72-$I72</x:f>
      </x:c>
      <x:c r="K72" s="23">
        <x:f>$P71</x:f>
      </x:c>
      <x:c r="L72" s="24">
        <x:f>$K72*Inputs!$C$18/12</x:f>
      </x:c>
      <x:c r="M72" s="24">
        <x:f>MIN(($C72+$F72),$L72)</x:f>
      </x:c>
      <x:c r="N72" s="24">
        <x:f>MIN(($D72+$X72),MAX(0,$K72-$O72))</x:f>
      </x:c>
      <x:c r="O72" s="24">
        <x:f>MIN(MAX(0,MAX(0,$E72-$I72)-$U72),$K72)</x:f>
      </x:c>
      <x:c r="P72" s="24">
        <x:f>MAX(0,$K72-$O72)-$N72</x:f>
      </x:c>
      <x:c r="Q72" s="23">
        <x:f>$V71</x:f>
      </x:c>
      <x:c r="R72" s="24">
        <x:f>$Q72*Inputs!$C$19/12</x:f>
      </x:c>
      <x:c r="S72" s="24">
        <x:f>MIN(MAX(0,($C72+$F72)-$M72),$R72)</x:f>
      </x:c>
      <x:c r="T72" s="24">
        <x:f>MIN(MAX(0,($D72+$X72)-$N72),MAX(0,$Q72-$U72))</x:f>
      </x:c>
      <x:c r="U72" s="24">
        <x:f>MIN(MAX(0,$E72-$I72),$Q72)</x:f>
      </x:c>
      <x:c r="V72" s="24">
        <x:f>MAX(0,$Q72-$U72)-$T72</x:f>
      </x:c>
      <x:c r="W72" s="24">
        <x:f>MAX(0,MAX(0,($C72+$F72)-$M72)-$S72)-MIN(MAX(0,$D$3-(MAX(0,$F72-MAX(0,($M72+$S72)-$C72)))),MAX(0,MAX(0,($C72+$F72)-$M72)-$S72))</x:f>
      </x:c>
      <x:c r="X72" s="24">
        <x:f>IF(Inputs!$C$39=1,$W72,0)</x:f>
      </x:c>
      <x:c r="Y72" s="24">
        <x:f>IF(Inputs!$C$39=0,$W72,0)+MAX(0,MAX(0,($D72+$X72)-$N72)-$T72)</x:f>
      </x:c>
    </x:row>
    <x:row r="73">
      <x:c r="B73" s="22" t="n">
        <x:v>68</x:v>
      </x:c>
      <x:c r="C73" s="29">
        <x:f>IF($B73&lt;=Inputs!$C$6+Inputs!$C$11,Cashflow_Asset!$E71-Cashflow_Asset!$K71,0)</x:f>
      </x:c>
      <x:c r="D73" s="29">
        <x:f>IF($B73&lt;=Inputs!$C$6+Inputs!$C$11,Cashflow_Asset!$F71+Cashflow_Asset!$G71+Cashflow_Asset!$I71,0)</x:f>
      </x:c>
      <x:c r="E73" s="29">
        <x:f>IF($B73&lt;=Inputs!$C$6+Inputs!$C$11,Cashflow_Asset!$J71,0)</x:f>
      </x:c>
      <x:c r="F73" s="23">
        <x:f>$G72</x:f>
      </x:c>
      <x:c r="G73" s="24">
        <x:f>(MAX(0,$F73-MAX(0,($M73+$S73)-$C73)))+MIN(MAX(0,$D$3-(MAX(0,$F73-MAX(0,($M73+$S73)-$C73)))),MAX(0,MAX(0,($C73+$F73)-$M73)-$S73))</x:f>
      </x:c>
      <x:c r="H73" s="23">
        <x:f>$J72</x:f>
      </x:c>
      <x:c r="I73" s="24">
        <x:f>MIN($E73,$H73)</x:f>
      </x:c>
      <x:c r="J73" s="24">
        <x:f>$H73-$I73</x:f>
      </x:c>
      <x:c r="K73" s="23">
        <x:f>$P72</x:f>
      </x:c>
      <x:c r="L73" s="24">
        <x:f>$K73*Inputs!$C$18/12</x:f>
      </x:c>
      <x:c r="M73" s="24">
        <x:f>MIN(($C73+$F73),$L73)</x:f>
      </x:c>
      <x:c r="N73" s="24">
        <x:f>MIN(($D73+$X73),MAX(0,$K73-$O73))</x:f>
      </x:c>
      <x:c r="O73" s="24">
        <x:f>MIN(MAX(0,MAX(0,$E73-$I73)-$U73),$K73)</x:f>
      </x:c>
      <x:c r="P73" s="24">
        <x:f>MAX(0,$K73-$O73)-$N73</x:f>
      </x:c>
      <x:c r="Q73" s="23">
        <x:f>$V72</x:f>
      </x:c>
      <x:c r="R73" s="24">
        <x:f>$Q73*Inputs!$C$19/12</x:f>
      </x:c>
      <x:c r="S73" s="24">
        <x:f>MIN(MAX(0,($C73+$F73)-$M73),$R73)</x:f>
      </x:c>
      <x:c r="T73" s="24">
        <x:f>MIN(MAX(0,($D73+$X73)-$N73),MAX(0,$Q73-$U73))</x:f>
      </x:c>
      <x:c r="U73" s="24">
        <x:f>MIN(MAX(0,$E73-$I73),$Q73)</x:f>
      </x:c>
      <x:c r="V73" s="24">
        <x:f>MAX(0,$Q73-$U73)-$T73</x:f>
      </x:c>
      <x:c r="W73" s="24">
        <x:f>MAX(0,MAX(0,($C73+$F73)-$M73)-$S73)-MIN(MAX(0,$D$3-(MAX(0,$F73-MAX(0,($M73+$S73)-$C73)))),MAX(0,MAX(0,($C73+$F73)-$M73)-$S73))</x:f>
      </x:c>
      <x:c r="X73" s="24">
        <x:f>IF(Inputs!$C$39=1,$W73,0)</x:f>
      </x:c>
      <x:c r="Y73" s="24">
        <x:f>IF(Inputs!$C$39=0,$W73,0)+MAX(0,MAX(0,($D73+$X73)-$N73)-$T73)</x:f>
      </x:c>
    </x:row>
    <x:row r="74">
      <x:c r="B74" s="22" t="n">
        <x:v>69</x:v>
      </x:c>
      <x:c r="C74" s="29">
        <x:f>IF($B74&lt;=Inputs!$C$6+Inputs!$C$11,Cashflow_Asset!$E72-Cashflow_Asset!$K72,0)</x:f>
      </x:c>
      <x:c r="D74" s="29">
        <x:f>IF($B74&lt;=Inputs!$C$6+Inputs!$C$11,Cashflow_Asset!$F72+Cashflow_Asset!$G72+Cashflow_Asset!$I72,0)</x:f>
      </x:c>
      <x:c r="E74" s="29">
        <x:f>IF($B74&lt;=Inputs!$C$6+Inputs!$C$11,Cashflow_Asset!$J72,0)</x:f>
      </x:c>
      <x:c r="F74" s="23">
        <x:f>$G73</x:f>
      </x:c>
      <x:c r="G74" s="24">
        <x:f>(MAX(0,$F74-MAX(0,($M74+$S74)-$C74)))+MIN(MAX(0,$D$3-(MAX(0,$F74-MAX(0,($M74+$S74)-$C74)))),MAX(0,MAX(0,($C74+$F74)-$M74)-$S74))</x:f>
      </x:c>
      <x:c r="H74" s="23">
        <x:f>$J73</x:f>
      </x:c>
      <x:c r="I74" s="24">
        <x:f>MIN($E74,$H74)</x:f>
      </x:c>
      <x:c r="J74" s="24">
        <x:f>$H74-$I74</x:f>
      </x:c>
      <x:c r="K74" s="23">
        <x:f>$P73</x:f>
      </x:c>
      <x:c r="L74" s="24">
        <x:f>$K74*Inputs!$C$18/12</x:f>
      </x:c>
      <x:c r="M74" s="24">
        <x:f>MIN(($C74+$F74),$L74)</x:f>
      </x:c>
      <x:c r="N74" s="24">
        <x:f>MIN(($D74+$X74),MAX(0,$K74-$O74))</x:f>
      </x:c>
      <x:c r="O74" s="24">
        <x:f>MIN(MAX(0,MAX(0,$E74-$I74)-$U74),$K74)</x:f>
      </x:c>
      <x:c r="P74" s="24">
        <x:f>MAX(0,$K74-$O74)-$N74</x:f>
      </x:c>
      <x:c r="Q74" s="23">
        <x:f>$V73</x:f>
      </x:c>
      <x:c r="R74" s="24">
        <x:f>$Q74*Inputs!$C$19/12</x:f>
      </x:c>
      <x:c r="S74" s="24">
        <x:f>MIN(MAX(0,($C74+$F74)-$M74),$R74)</x:f>
      </x:c>
      <x:c r="T74" s="24">
        <x:f>MIN(MAX(0,($D74+$X74)-$N74),MAX(0,$Q74-$U74))</x:f>
      </x:c>
      <x:c r="U74" s="24">
        <x:f>MIN(MAX(0,$E74-$I74),$Q74)</x:f>
      </x:c>
      <x:c r="V74" s="24">
        <x:f>MAX(0,$Q74-$U74)-$T74</x:f>
      </x:c>
      <x:c r="W74" s="24">
        <x:f>MAX(0,MAX(0,($C74+$F74)-$M74)-$S74)-MIN(MAX(0,$D$3-(MAX(0,$F74-MAX(0,($M74+$S74)-$C74)))),MAX(0,MAX(0,($C74+$F74)-$M74)-$S74))</x:f>
      </x:c>
      <x:c r="X74" s="24">
        <x:f>IF(Inputs!$C$39=1,$W74,0)</x:f>
      </x:c>
      <x:c r="Y74" s="24">
        <x:f>IF(Inputs!$C$39=0,$W74,0)+MAX(0,MAX(0,($D74+$X74)-$N74)-$T74)</x:f>
      </x:c>
    </x:row>
    <x:row r="75">
      <x:c r="B75" s="22" t="n">
        <x:v>70</x:v>
      </x:c>
      <x:c r="C75" s="29">
        <x:f>IF($B75&lt;=Inputs!$C$6+Inputs!$C$11,Cashflow_Asset!$E73-Cashflow_Asset!$K73,0)</x:f>
      </x:c>
      <x:c r="D75" s="29">
        <x:f>IF($B75&lt;=Inputs!$C$6+Inputs!$C$11,Cashflow_Asset!$F73+Cashflow_Asset!$G73+Cashflow_Asset!$I73,0)</x:f>
      </x:c>
      <x:c r="E75" s="29">
        <x:f>IF($B75&lt;=Inputs!$C$6+Inputs!$C$11,Cashflow_Asset!$J73,0)</x:f>
      </x:c>
      <x:c r="F75" s="23">
        <x:f>$G74</x:f>
      </x:c>
      <x:c r="G75" s="24">
        <x:f>(MAX(0,$F75-MAX(0,($M75+$S75)-$C75)))+MIN(MAX(0,$D$3-(MAX(0,$F75-MAX(0,($M75+$S75)-$C75)))),MAX(0,MAX(0,($C75+$F75)-$M75)-$S75))</x:f>
      </x:c>
      <x:c r="H75" s="23">
        <x:f>$J74</x:f>
      </x:c>
      <x:c r="I75" s="24">
        <x:f>MIN($E75,$H75)</x:f>
      </x:c>
      <x:c r="J75" s="24">
        <x:f>$H75-$I75</x:f>
      </x:c>
      <x:c r="K75" s="23">
        <x:f>$P74</x:f>
      </x:c>
      <x:c r="L75" s="24">
        <x:f>$K75*Inputs!$C$18/12</x:f>
      </x:c>
      <x:c r="M75" s="24">
        <x:f>MIN(($C75+$F75),$L75)</x:f>
      </x:c>
      <x:c r="N75" s="24">
        <x:f>MIN(($D75+$X75),MAX(0,$K75-$O75))</x:f>
      </x:c>
      <x:c r="O75" s="24">
        <x:f>MIN(MAX(0,MAX(0,$E75-$I75)-$U75),$K75)</x:f>
      </x:c>
      <x:c r="P75" s="24">
        <x:f>MAX(0,$K75-$O75)-$N75</x:f>
      </x:c>
      <x:c r="Q75" s="23">
        <x:f>$V74</x:f>
      </x:c>
      <x:c r="R75" s="24">
        <x:f>$Q75*Inputs!$C$19/12</x:f>
      </x:c>
      <x:c r="S75" s="24">
        <x:f>MIN(MAX(0,($C75+$F75)-$M75),$R75)</x:f>
      </x:c>
      <x:c r="T75" s="24">
        <x:f>MIN(MAX(0,($D75+$X75)-$N75),MAX(0,$Q75-$U75))</x:f>
      </x:c>
      <x:c r="U75" s="24">
        <x:f>MIN(MAX(0,$E75-$I75),$Q75)</x:f>
      </x:c>
      <x:c r="V75" s="24">
        <x:f>MAX(0,$Q75-$U75)-$T75</x:f>
      </x:c>
      <x:c r="W75" s="24">
        <x:f>MAX(0,MAX(0,($C75+$F75)-$M75)-$S75)-MIN(MAX(0,$D$3-(MAX(0,$F75-MAX(0,($M75+$S75)-$C75)))),MAX(0,MAX(0,($C75+$F75)-$M75)-$S75))</x:f>
      </x:c>
      <x:c r="X75" s="24">
        <x:f>IF(Inputs!$C$39=1,$W75,0)</x:f>
      </x:c>
      <x:c r="Y75" s="24">
        <x:f>IF(Inputs!$C$39=0,$W75,0)+MAX(0,MAX(0,($D75+$X75)-$N75)-$T75)</x:f>
      </x:c>
    </x:row>
    <x:row r="76">
      <x:c r="B76" s="22" t="n">
        <x:v>71</x:v>
      </x:c>
      <x:c r="C76" s="29">
        <x:f>IF($B76&lt;=Inputs!$C$6+Inputs!$C$11,Cashflow_Asset!$E74-Cashflow_Asset!$K74,0)</x:f>
      </x:c>
      <x:c r="D76" s="29">
        <x:f>IF($B76&lt;=Inputs!$C$6+Inputs!$C$11,Cashflow_Asset!$F74+Cashflow_Asset!$G74+Cashflow_Asset!$I74,0)</x:f>
      </x:c>
      <x:c r="E76" s="29">
        <x:f>IF($B76&lt;=Inputs!$C$6+Inputs!$C$11,Cashflow_Asset!$J74,0)</x:f>
      </x:c>
      <x:c r="F76" s="23">
        <x:f>$G75</x:f>
      </x:c>
      <x:c r="G76" s="24">
        <x:f>(MAX(0,$F76-MAX(0,($M76+$S76)-$C76)))+MIN(MAX(0,$D$3-(MAX(0,$F76-MAX(0,($M76+$S76)-$C76)))),MAX(0,MAX(0,($C76+$F76)-$M76)-$S76))</x:f>
      </x:c>
      <x:c r="H76" s="23">
        <x:f>$J75</x:f>
      </x:c>
      <x:c r="I76" s="24">
        <x:f>MIN($E76,$H76)</x:f>
      </x:c>
      <x:c r="J76" s="24">
        <x:f>$H76-$I76</x:f>
      </x:c>
      <x:c r="K76" s="23">
        <x:f>$P75</x:f>
      </x:c>
      <x:c r="L76" s="24">
        <x:f>$K76*Inputs!$C$18/12</x:f>
      </x:c>
      <x:c r="M76" s="24">
        <x:f>MIN(($C76+$F76),$L76)</x:f>
      </x:c>
      <x:c r="N76" s="24">
        <x:f>MIN(($D76+$X76),MAX(0,$K76-$O76))</x:f>
      </x:c>
      <x:c r="O76" s="24">
        <x:f>MIN(MAX(0,MAX(0,$E76-$I76)-$U76),$K76)</x:f>
      </x:c>
      <x:c r="P76" s="24">
        <x:f>MAX(0,$K76-$O76)-$N76</x:f>
      </x:c>
      <x:c r="Q76" s="23">
        <x:f>$V75</x:f>
      </x:c>
      <x:c r="R76" s="24">
        <x:f>$Q76*Inputs!$C$19/12</x:f>
      </x:c>
      <x:c r="S76" s="24">
        <x:f>MIN(MAX(0,($C76+$F76)-$M76),$R76)</x:f>
      </x:c>
      <x:c r="T76" s="24">
        <x:f>MIN(MAX(0,($D76+$X76)-$N76),MAX(0,$Q76-$U76))</x:f>
      </x:c>
      <x:c r="U76" s="24">
        <x:f>MIN(MAX(0,$E76-$I76),$Q76)</x:f>
      </x:c>
      <x:c r="V76" s="24">
        <x:f>MAX(0,$Q76-$U76)-$T76</x:f>
      </x:c>
      <x:c r="W76" s="24">
        <x:f>MAX(0,MAX(0,($C76+$F76)-$M76)-$S76)-MIN(MAX(0,$D$3-(MAX(0,$F76-MAX(0,($M76+$S76)-$C76)))),MAX(0,MAX(0,($C76+$F76)-$M76)-$S76))</x:f>
      </x:c>
      <x:c r="X76" s="24">
        <x:f>IF(Inputs!$C$39=1,$W76,0)</x:f>
      </x:c>
      <x:c r="Y76" s="24">
        <x:f>IF(Inputs!$C$39=0,$W76,0)+MAX(0,MAX(0,($D76+$X76)-$N76)-$T76)</x:f>
      </x:c>
    </x:row>
    <x:row r="77">
      <x:c r="B77" s="22" t="n">
        <x:v>72</x:v>
      </x:c>
      <x:c r="C77" s="29">
        <x:f>IF($B77&lt;=Inputs!$C$6+Inputs!$C$11,Cashflow_Asset!$E75-Cashflow_Asset!$K75,0)</x:f>
      </x:c>
      <x:c r="D77" s="29">
        <x:f>IF($B77&lt;=Inputs!$C$6+Inputs!$C$11,Cashflow_Asset!$F75+Cashflow_Asset!$G75+Cashflow_Asset!$I75,0)</x:f>
      </x:c>
      <x:c r="E77" s="29">
        <x:f>IF($B77&lt;=Inputs!$C$6+Inputs!$C$11,Cashflow_Asset!$J75,0)</x:f>
      </x:c>
      <x:c r="F77" s="23">
        <x:f>$G76</x:f>
      </x:c>
      <x:c r="G77" s="24">
        <x:f>(MAX(0,$F77-MAX(0,($M77+$S77)-$C77)))+MIN(MAX(0,$D$3-(MAX(0,$F77-MAX(0,($M77+$S77)-$C77)))),MAX(0,MAX(0,($C77+$F77)-$M77)-$S77))</x:f>
      </x:c>
      <x:c r="H77" s="23">
        <x:f>$J76</x:f>
      </x:c>
      <x:c r="I77" s="24">
        <x:f>MIN($E77,$H77)</x:f>
      </x:c>
      <x:c r="J77" s="24">
        <x:f>$H77-$I77</x:f>
      </x:c>
      <x:c r="K77" s="23">
        <x:f>$P76</x:f>
      </x:c>
      <x:c r="L77" s="24">
        <x:f>$K77*Inputs!$C$18/12</x:f>
      </x:c>
      <x:c r="M77" s="24">
        <x:f>MIN(($C77+$F77),$L77)</x:f>
      </x:c>
      <x:c r="N77" s="24">
        <x:f>MIN(($D77+$X77),MAX(0,$K77-$O77))</x:f>
      </x:c>
      <x:c r="O77" s="24">
        <x:f>MIN(MAX(0,MAX(0,$E77-$I77)-$U77),$K77)</x:f>
      </x:c>
      <x:c r="P77" s="24">
        <x:f>MAX(0,$K77-$O77)-$N77</x:f>
      </x:c>
      <x:c r="Q77" s="23">
        <x:f>$V76</x:f>
      </x:c>
      <x:c r="R77" s="24">
        <x:f>$Q77*Inputs!$C$19/12</x:f>
      </x:c>
      <x:c r="S77" s="24">
        <x:f>MIN(MAX(0,($C77+$F77)-$M77),$R77)</x:f>
      </x:c>
      <x:c r="T77" s="24">
        <x:f>MIN(MAX(0,($D77+$X77)-$N77),MAX(0,$Q77-$U77))</x:f>
      </x:c>
      <x:c r="U77" s="24">
        <x:f>MIN(MAX(0,$E77-$I77),$Q77)</x:f>
      </x:c>
      <x:c r="V77" s="24">
        <x:f>MAX(0,$Q77-$U77)-$T77</x:f>
      </x:c>
      <x:c r="W77" s="24">
        <x:f>MAX(0,MAX(0,($C77+$F77)-$M77)-$S77)-MIN(MAX(0,$D$3-(MAX(0,$F77-MAX(0,($M77+$S77)-$C77)))),MAX(0,MAX(0,($C77+$F77)-$M77)-$S77))</x:f>
      </x:c>
      <x:c r="X77" s="24">
        <x:f>IF(Inputs!$C$39=1,$W77,0)</x:f>
      </x:c>
      <x:c r="Y77" s="24">
        <x:f>IF(Inputs!$C$39=0,$W77,0)+MAX(0,MAX(0,($D77+$X77)-$N77)-$T77)</x:f>
      </x:c>
    </x:row>
    <x:row r="78">
      <x:c r="B78" s="22" t="n">
        <x:v>73</x:v>
      </x:c>
      <x:c r="C78" s="29">
        <x:f>IF($B78&lt;=Inputs!$C$6+Inputs!$C$11,Cashflow_Asset!$E76-Cashflow_Asset!$K76,0)</x:f>
      </x:c>
      <x:c r="D78" s="29">
        <x:f>IF($B78&lt;=Inputs!$C$6+Inputs!$C$11,Cashflow_Asset!$F76+Cashflow_Asset!$G76+Cashflow_Asset!$I76,0)</x:f>
      </x:c>
      <x:c r="E78" s="29">
        <x:f>IF($B78&lt;=Inputs!$C$6+Inputs!$C$11,Cashflow_Asset!$J76,0)</x:f>
      </x:c>
      <x:c r="F78" s="23">
        <x:f>$G77</x:f>
      </x:c>
      <x:c r="G78" s="24">
        <x:f>(MAX(0,$F78-MAX(0,($M78+$S78)-$C78)))+MIN(MAX(0,$D$3-(MAX(0,$F78-MAX(0,($M78+$S78)-$C78)))),MAX(0,MAX(0,($C78+$F78)-$M78)-$S78))</x:f>
      </x:c>
      <x:c r="H78" s="23">
        <x:f>$J77</x:f>
      </x:c>
      <x:c r="I78" s="24">
        <x:f>MIN($E78,$H78)</x:f>
      </x:c>
      <x:c r="J78" s="24">
        <x:f>$H78-$I78</x:f>
      </x:c>
      <x:c r="K78" s="23">
        <x:f>$P77</x:f>
      </x:c>
      <x:c r="L78" s="24">
        <x:f>$K78*Inputs!$C$18/12</x:f>
      </x:c>
      <x:c r="M78" s="24">
        <x:f>MIN(($C78+$F78),$L78)</x:f>
      </x:c>
      <x:c r="N78" s="24">
        <x:f>MIN(($D78+$X78),MAX(0,$K78-$O78))</x:f>
      </x:c>
      <x:c r="O78" s="24">
        <x:f>MIN(MAX(0,MAX(0,$E78-$I78)-$U78),$K78)</x:f>
      </x:c>
      <x:c r="P78" s="24">
        <x:f>MAX(0,$K78-$O78)-$N78</x:f>
      </x:c>
      <x:c r="Q78" s="23">
        <x:f>$V77</x:f>
      </x:c>
      <x:c r="R78" s="24">
        <x:f>$Q78*Inputs!$C$19/12</x:f>
      </x:c>
      <x:c r="S78" s="24">
        <x:f>MIN(MAX(0,($C78+$F78)-$M78),$R78)</x:f>
      </x:c>
      <x:c r="T78" s="24">
        <x:f>MIN(MAX(0,($D78+$X78)-$N78),MAX(0,$Q78-$U78))</x:f>
      </x:c>
      <x:c r="U78" s="24">
        <x:f>MIN(MAX(0,$E78-$I78),$Q78)</x:f>
      </x:c>
      <x:c r="V78" s="24">
        <x:f>MAX(0,$Q78-$U78)-$T78</x:f>
      </x:c>
      <x:c r="W78" s="24">
        <x:f>MAX(0,MAX(0,($C78+$F78)-$M78)-$S78)-MIN(MAX(0,$D$3-(MAX(0,$F78-MAX(0,($M78+$S78)-$C78)))),MAX(0,MAX(0,($C78+$F78)-$M78)-$S78))</x:f>
      </x:c>
      <x:c r="X78" s="24">
        <x:f>IF(Inputs!$C$39=1,$W78,0)</x:f>
      </x:c>
      <x:c r="Y78" s="24">
        <x:f>IF(Inputs!$C$39=0,$W78,0)+MAX(0,MAX(0,($D78+$X78)-$N78)-$T78)</x:f>
      </x:c>
    </x:row>
    <x:row r="79">
      <x:c r="B79" s="22" t="n">
        <x:v>74</x:v>
      </x:c>
      <x:c r="C79" s="29">
        <x:f>IF($B79&lt;=Inputs!$C$6+Inputs!$C$11,Cashflow_Asset!$E77-Cashflow_Asset!$K77,0)</x:f>
      </x:c>
      <x:c r="D79" s="29">
        <x:f>IF($B79&lt;=Inputs!$C$6+Inputs!$C$11,Cashflow_Asset!$F77+Cashflow_Asset!$G77+Cashflow_Asset!$I77,0)</x:f>
      </x:c>
      <x:c r="E79" s="29">
        <x:f>IF($B79&lt;=Inputs!$C$6+Inputs!$C$11,Cashflow_Asset!$J77,0)</x:f>
      </x:c>
      <x:c r="F79" s="23">
        <x:f>$G78</x:f>
      </x:c>
      <x:c r="G79" s="24">
        <x:f>(MAX(0,$F79-MAX(0,($M79+$S79)-$C79)))+MIN(MAX(0,$D$3-(MAX(0,$F79-MAX(0,($M79+$S79)-$C79)))),MAX(0,MAX(0,($C79+$F79)-$M79)-$S79))</x:f>
      </x:c>
      <x:c r="H79" s="23">
        <x:f>$J78</x:f>
      </x:c>
      <x:c r="I79" s="24">
        <x:f>MIN($E79,$H79)</x:f>
      </x:c>
      <x:c r="J79" s="24">
        <x:f>$H79-$I79</x:f>
      </x:c>
      <x:c r="K79" s="23">
        <x:f>$P78</x:f>
      </x:c>
      <x:c r="L79" s="24">
        <x:f>$K79*Inputs!$C$18/12</x:f>
      </x:c>
      <x:c r="M79" s="24">
        <x:f>MIN(($C79+$F79),$L79)</x:f>
      </x:c>
      <x:c r="N79" s="24">
        <x:f>MIN(($D79+$X79),MAX(0,$K79-$O79))</x:f>
      </x:c>
      <x:c r="O79" s="24">
        <x:f>MIN(MAX(0,MAX(0,$E79-$I79)-$U79),$K79)</x:f>
      </x:c>
      <x:c r="P79" s="24">
        <x:f>MAX(0,$K79-$O79)-$N79</x:f>
      </x:c>
      <x:c r="Q79" s="23">
        <x:f>$V78</x:f>
      </x:c>
      <x:c r="R79" s="24">
        <x:f>$Q79*Inputs!$C$19/12</x:f>
      </x:c>
      <x:c r="S79" s="24">
        <x:f>MIN(MAX(0,($C79+$F79)-$M79),$R79)</x:f>
      </x:c>
      <x:c r="T79" s="24">
        <x:f>MIN(MAX(0,($D79+$X79)-$N79),MAX(0,$Q79-$U79))</x:f>
      </x:c>
      <x:c r="U79" s="24">
        <x:f>MIN(MAX(0,$E79-$I79),$Q79)</x:f>
      </x:c>
      <x:c r="V79" s="24">
        <x:f>MAX(0,$Q79-$U79)-$T79</x:f>
      </x:c>
      <x:c r="W79" s="24">
        <x:f>MAX(0,MAX(0,($C79+$F79)-$M79)-$S79)-MIN(MAX(0,$D$3-(MAX(0,$F79-MAX(0,($M79+$S79)-$C79)))),MAX(0,MAX(0,($C79+$F79)-$M79)-$S79))</x:f>
      </x:c>
      <x:c r="X79" s="24">
        <x:f>IF(Inputs!$C$39=1,$W79,0)</x:f>
      </x:c>
      <x:c r="Y79" s="24">
        <x:f>IF(Inputs!$C$39=0,$W79,0)+MAX(0,MAX(0,($D79+$X79)-$N79)-$T79)</x:f>
      </x:c>
    </x:row>
    <x:row r="80">
      <x:c r="B80" s="22" t="n">
        <x:v>75</x:v>
      </x:c>
      <x:c r="C80" s="29">
        <x:f>IF($B80&lt;=Inputs!$C$6+Inputs!$C$11,Cashflow_Asset!$E78-Cashflow_Asset!$K78,0)</x:f>
      </x:c>
      <x:c r="D80" s="29">
        <x:f>IF($B80&lt;=Inputs!$C$6+Inputs!$C$11,Cashflow_Asset!$F78+Cashflow_Asset!$G78+Cashflow_Asset!$I78,0)</x:f>
      </x:c>
      <x:c r="E80" s="29">
        <x:f>IF($B80&lt;=Inputs!$C$6+Inputs!$C$11,Cashflow_Asset!$J78,0)</x:f>
      </x:c>
      <x:c r="F80" s="23">
        <x:f>$G79</x:f>
      </x:c>
      <x:c r="G80" s="24">
        <x:f>(MAX(0,$F80-MAX(0,($M80+$S80)-$C80)))+MIN(MAX(0,$D$3-(MAX(0,$F80-MAX(0,($M80+$S80)-$C80)))),MAX(0,MAX(0,($C80+$F80)-$M80)-$S80))</x:f>
      </x:c>
      <x:c r="H80" s="23">
        <x:f>$J79</x:f>
      </x:c>
      <x:c r="I80" s="24">
        <x:f>MIN($E80,$H80)</x:f>
      </x:c>
      <x:c r="J80" s="24">
        <x:f>$H80-$I80</x:f>
      </x:c>
      <x:c r="K80" s="23">
        <x:f>$P79</x:f>
      </x:c>
      <x:c r="L80" s="24">
        <x:f>$K80*Inputs!$C$18/12</x:f>
      </x:c>
      <x:c r="M80" s="24">
        <x:f>MIN(($C80+$F80),$L80)</x:f>
      </x:c>
      <x:c r="N80" s="24">
        <x:f>MIN(($D80+$X80),MAX(0,$K80-$O80))</x:f>
      </x:c>
      <x:c r="O80" s="24">
        <x:f>MIN(MAX(0,MAX(0,$E80-$I80)-$U80),$K80)</x:f>
      </x:c>
      <x:c r="P80" s="24">
        <x:f>MAX(0,$K80-$O80)-$N80</x:f>
      </x:c>
      <x:c r="Q80" s="23">
        <x:f>$V79</x:f>
      </x:c>
      <x:c r="R80" s="24">
        <x:f>$Q80*Inputs!$C$19/12</x:f>
      </x:c>
      <x:c r="S80" s="24">
        <x:f>MIN(MAX(0,($C80+$F80)-$M80),$R80)</x:f>
      </x:c>
      <x:c r="T80" s="24">
        <x:f>MIN(MAX(0,($D80+$X80)-$N80),MAX(0,$Q80-$U80))</x:f>
      </x:c>
      <x:c r="U80" s="24">
        <x:f>MIN(MAX(0,$E80-$I80),$Q80)</x:f>
      </x:c>
      <x:c r="V80" s="24">
        <x:f>MAX(0,$Q80-$U80)-$T80</x:f>
      </x:c>
      <x:c r="W80" s="24">
        <x:f>MAX(0,MAX(0,($C80+$F80)-$M80)-$S80)-MIN(MAX(0,$D$3-(MAX(0,$F80-MAX(0,($M80+$S80)-$C80)))),MAX(0,MAX(0,($C80+$F80)-$M80)-$S80))</x:f>
      </x:c>
      <x:c r="X80" s="24">
        <x:f>IF(Inputs!$C$39=1,$W80,0)</x:f>
      </x:c>
      <x:c r="Y80" s="24">
        <x:f>IF(Inputs!$C$39=0,$W80,0)+MAX(0,MAX(0,($D80+$X80)-$N80)-$T80)</x:f>
      </x:c>
    </x:row>
    <x:row r="81">
      <x:c r="B81" s="22" t="n">
        <x:v>76</x:v>
      </x:c>
      <x:c r="C81" s="29">
        <x:f>IF($B81&lt;=Inputs!$C$6+Inputs!$C$11,Cashflow_Asset!$E79-Cashflow_Asset!$K79,0)</x:f>
      </x:c>
      <x:c r="D81" s="29">
        <x:f>IF($B81&lt;=Inputs!$C$6+Inputs!$C$11,Cashflow_Asset!$F79+Cashflow_Asset!$G79+Cashflow_Asset!$I79,0)</x:f>
      </x:c>
      <x:c r="E81" s="29">
        <x:f>IF($B81&lt;=Inputs!$C$6+Inputs!$C$11,Cashflow_Asset!$J79,0)</x:f>
      </x:c>
      <x:c r="F81" s="23">
        <x:f>$G80</x:f>
      </x:c>
      <x:c r="G81" s="24">
        <x:f>(MAX(0,$F81-MAX(0,($M81+$S81)-$C81)))+MIN(MAX(0,$D$3-(MAX(0,$F81-MAX(0,($M81+$S81)-$C81)))),MAX(0,MAX(0,($C81+$F81)-$M81)-$S81))</x:f>
      </x:c>
      <x:c r="H81" s="23">
        <x:f>$J80</x:f>
      </x:c>
      <x:c r="I81" s="24">
        <x:f>MIN($E81,$H81)</x:f>
      </x:c>
      <x:c r="J81" s="24">
        <x:f>$H81-$I81</x:f>
      </x:c>
      <x:c r="K81" s="23">
        <x:f>$P80</x:f>
      </x:c>
      <x:c r="L81" s="24">
        <x:f>$K81*Inputs!$C$18/12</x:f>
      </x:c>
      <x:c r="M81" s="24">
        <x:f>MIN(($C81+$F81),$L81)</x:f>
      </x:c>
      <x:c r="N81" s="24">
        <x:f>MIN(($D81+$X81),MAX(0,$K81-$O81))</x:f>
      </x:c>
      <x:c r="O81" s="24">
        <x:f>MIN(MAX(0,MAX(0,$E81-$I81)-$U81),$K81)</x:f>
      </x:c>
      <x:c r="P81" s="24">
        <x:f>MAX(0,$K81-$O81)-$N81</x:f>
      </x:c>
      <x:c r="Q81" s="23">
        <x:f>$V80</x:f>
      </x:c>
      <x:c r="R81" s="24">
        <x:f>$Q81*Inputs!$C$19/12</x:f>
      </x:c>
      <x:c r="S81" s="24">
        <x:f>MIN(MAX(0,($C81+$F81)-$M81),$R81)</x:f>
      </x:c>
      <x:c r="T81" s="24">
        <x:f>MIN(MAX(0,($D81+$X81)-$N81),MAX(0,$Q81-$U81))</x:f>
      </x:c>
      <x:c r="U81" s="24">
        <x:f>MIN(MAX(0,$E81-$I81),$Q81)</x:f>
      </x:c>
      <x:c r="V81" s="24">
        <x:f>MAX(0,$Q81-$U81)-$T81</x:f>
      </x:c>
      <x:c r="W81" s="24">
        <x:f>MAX(0,MAX(0,($C81+$F81)-$M81)-$S81)-MIN(MAX(0,$D$3-(MAX(0,$F81-MAX(0,($M81+$S81)-$C81)))),MAX(0,MAX(0,($C81+$F81)-$M81)-$S81))</x:f>
      </x:c>
      <x:c r="X81" s="24">
        <x:f>IF(Inputs!$C$39=1,$W81,0)</x:f>
      </x:c>
      <x:c r="Y81" s="24">
        <x:f>IF(Inputs!$C$39=0,$W81,0)+MAX(0,MAX(0,($D81+$X81)-$N81)-$T81)</x:f>
      </x:c>
    </x:row>
    <x:row r="82">
      <x:c r="B82" s="22" t="n">
        <x:v>77</x:v>
      </x:c>
      <x:c r="C82" s="29">
        <x:f>IF($B82&lt;=Inputs!$C$6+Inputs!$C$11,Cashflow_Asset!$E80-Cashflow_Asset!$K80,0)</x:f>
      </x:c>
      <x:c r="D82" s="29">
        <x:f>IF($B82&lt;=Inputs!$C$6+Inputs!$C$11,Cashflow_Asset!$F80+Cashflow_Asset!$G80+Cashflow_Asset!$I80,0)</x:f>
      </x:c>
      <x:c r="E82" s="29">
        <x:f>IF($B82&lt;=Inputs!$C$6+Inputs!$C$11,Cashflow_Asset!$J80,0)</x:f>
      </x:c>
      <x:c r="F82" s="23">
        <x:f>$G81</x:f>
      </x:c>
      <x:c r="G82" s="24">
        <x:f>(MAX(0,$F82-MAX(0,($M82+$S82)-$C82)))+MIN(MAX(0,$D$3-(MAX(0,$F82-MAX(0,($M82+$S82)-$C82)))),MAX(0,MAX(0,($C82+$F82)-$M82)-$S82))</x:f>
      </x:c>
      <x:c r="H82" s="23">
        <x:f>$J81</x:f>
      </x:c>
      <x:c r="I82" s="24">
        <x:f>MIN($E82,$H82)</x:f>
      </x:c>
      <x:c r="J82" s="24">
        <x:f>$H82-$I82</x:f>
      </x:c>
      <x:c r="K82" s="23">
        <x:f>$P81</x:f>
      </x:c>
      <x:c r="L82" s="24">
        <x:f>$K82*Inputs!$C$18/12</x:f>
      </x:c>
      <x:c r="M82" s="24">
        <x:f>MIN(($C82+$F82),$L82)</x:f>
      </x:c>
      <x:c r="N82" s="24">
        <x:f>MIN(($D82+$X82),MAX(0,$K82-$O82))</x:f>
      </x:c>
      <x:c r="O82" s="24">
        <x:f>MIN(MAX(0,MAX(0,$E82-$I82)-$U82),$K82)</x:f>
      </x:c>
      <x:c r="P82" s="24">
        <x:f>MAX(0,$K82-$O82)-$N82</x:f>
      </x:c>
      <x:c r="Q82" s="23">
        <x:f>$V81</x:f>
      </x:c>
      <x:c r="R82" s="24">
        <x:f>$Q82*Inputs!$C$19/12</x:f>
      </x:c>
      <x:c r="S82" s="24">
        <x:f>MIN(MAX(0,($C82+$F82)-$M82),$R82)</x:f>
      </x:c>
      <x:c r="T82" s="24">
        <x:f>MIN(MAX(0,($D82+$X82)-$N82),MAX(0,$Q82-$U82))</x:f>
      </x:c>
      <x:c r="U82" s="24">
        <x:f>MIN(MAX(0,$E82-$I82),$Q82)</x:f>
      </x:c>
      <x:c r="V82" s="24">
        <x:f>MAX(0,$Q82-$U82)-$T82</x:f>
      </x:c>
      <x:c r="W82" s="24">
        <x:f>MAX(0,MAX(0,($C82+$F82)-$M82)-$S82)-MIN(MAX(0,$D$3-(MAX(0,$F82-MAX(0,($M82+$S82)-$C82)))),MAX(0,MAX(0,($C82+$F82)-$M82)-$S82))</x:f>
      </x:c>
      <x:c r="X82" s="24">
        <x:f>IF(Inputs!$C$39=1,$W82,0)</x:f>
      </x:c>
      <x:c r="Y82" s="24">
        <x:f>IF(Inputs!$C$39=0,$W82,0)+MAX(0,MAX(0,($D82+$X82)-$N82)-$T82)</x:f>
      </x:c>
    </x:row>
    <x:row r="83">
      <x:c r="B83" s="22" t="n">
        <x:v>78</x:v>
      </x:c>
      <x:c r="C83" s="29">
        <x:f>IF($B83&lt;=Inputs!$C$6+Inputs!$C$11,Cashflow_Asset!$E81-Cashflow_Asset!$K81,0)</x:f>
      </x:c>
      <x:c r="D83" s="29">
        <x:f>IF($B83&lt;=Inputs!$C$6+Inputs!$C$11,Cashflow_Asset!$F81+Cashflow_Asset!$G81+Cashflow_Asset!$I81,0)</x:f>
      </x:c>
      <x:c r="E83" s="29">
        <x:f>IF($B83&lt;=Inputs!$C$6+Inputs!$C$11,Cashflow_Asset!$J81,0)</x:f>
      </x:c>
      <x:c r="F83" s="23">
        <x:f>$G82</x:f>
      </x:c>
      <x:c r="G83" s="24">
        <x:f>(MAX(0,$F83-MAX(0,($M83+$S83)-$C83)))+MIN(MAX(0,$D$3-(MAX(0,$F83-MAX(0,($M83+$S83)-$C83)))),MAX(0,MAX(0,($C83+$F83)-$M83)-$S83))</x:f>
      </x:c>
      <x:c r="H83" s="23">
        <x:f>$J82</x:f>
      </x:c>
      <x:c r="I83" s="24">
        <x:f>MIN($E83,$H83)</x:f>
      </x:c>
      <x:c r="J83" s="24">
        <x:f>$H83-$I83</x:f>
      </x:c>
      <x:c r="K83" s="23">
        <x:f>$P82</x:f>
      </x:c>
      <x:c r="L83" s="24">
        <x:f>$K83*Inputs!$C$18/12</x:f>
      </x:c>
      <x:c r="M83" s="24">
        <x:f>MIN(($C83+$F83),$L83)</x:f>
      </x:c>
      <x:c r="N83" s="24">
        <x:f>MIN(($D83+$X83),MAX(0,$K83-$O83))</x:f>
      </x:c>
      <x:c r="O83" s="24">
        <x:f>MIN(MAX(0,MAX(0,$E83-$I83)-$U83),$K83)</x:f>
      </x:c>
      <x:c r="P83" s="24">
        <x:f>MAX(0,$K83-$O83)-$N83</x:f>
      </x:c>
      <x:c r="Q83" s="23">
        <x:f>$V82</x:f>
      </x:c>
      <x:c r="R83" s="24">
        <x:f>$Q83*Inputs!$C$19/12</x:f>
      </x:c>
      <x:c r="S83" s="24">
        <x:f>MIN(MAX(0,($C83+$F83)-$M83),$R83)</x:f>
      </x:c>
      <x:c r="T83" s="24">
        <x:f>MIN(MAX(0,($D83+$X83)-$N83),MAX(0,$Q83-$U83))</x:f>
      </x:c>
      <x:c r="U83" s="24">
        <x:f>MIN(MAX(0,$E83-$I83),$Q83)</x:f>
      </x:c>
      <x:c r="V83" s="24">
        <x:f>MAX(0,$Q83-$U83)-$T83</x:f>
      </x:c>
      <x:c r="W83" s="24">
        <x:f>MAX(0,MAX(0,($C83+$F83)-$M83)-$S83)-MIN(MAX(0,$D$3-(MAX(0,$F83-MAX(0,($M83+$S83)-$C83)))),MAX(0,MAX(0,($C83+$F83)-$M83)-$S83))</x:f>
      </x:c>
      <x:c r="X83" s="24">
        <x:f>IF(Inputs!$C$39=1,$W83,0)</x:f>
      </x:c>
      <x:c r="Y83" s="24">
        <x:f>IF(Inputs!$C$39=0,$W83,0)+MAX(0,MAX(0,($D83+$X83)-$N83)-$T83)</x:f>
      </x:c>
    </x:row>
    <x:row r="84">
      <x:c r="B84" s="22" t="n">
        <x:v>79</x:v>
      </x:c>
      <x:c r="C84" s="29">
        <x:f>IF($B84&lt;=Inputs!$C$6+Inputs!$C$11,Cashflow_Asset!$E82-Cashflow_Asset!$K82,0)</x:f>
      </x:c>
      <x:c r="D84" s="29">
        <x:f>IF($B84&lt;=Inputs!$C$6+Inputs!$C$11,Cashflow_Asset!$F82+Cashflow_Asset!$G82+Cashflow_Asset!$I82,0)</x:f>
      </x:c>
      <x:c r="E84" s="29">
        <x:f>IF($B84&lt;=Inputs!$C$6+Inputs!$C$11,Cashflow_Asset!$J82,0)</x:f>
      </x:c>
      <x:c r="F84" s="23">
        <x:f>$G83</x:f>
      </x:c>
      <x:c r="G84" s="24">
        <x:f>(MAX(0,$F84-MAX(0,($M84+$S84)-$C84)))+MIN(MAX(0,$D$3-(MAX(0,$F84-MAX(0,($M84+$S84)-$C84)))),MAX(0,MAX(0,($C84+$F84)-$M84)-$S84))</x:f>
      </x:c>
      <x:c r="H84" s="23">
        <x:f>$J83</x:f>
      </x:c>
      <x:c r="I84" s="24">
        <x:f>MIN($E84,$H84)</x:f>
      </x:c>
      <x:c r="J84" s="24">
        <x:f>$H84-$I84</x:f>
      </x:c>
      <x:c r="K84" s="23">
        <x:f>$P83</x:f>
      </x:c>
      <x:c r="L84" s="24">
        <x:f>$K84*Inputs!$C$18/12</x:f>
      </x:c>
      <x:c r="M84" s="24">
        <x:f>MIN(($C84+$F84),$L84)</x:f>
      </x:c>
      <x:c r="N84" s="24">
        <x:f>MIN(($D84+$X84),MAX(0,$K84-$O84))</x:f>
      </x:c>
      <x:c r="O84" s="24">
        <x:f>MIN(MAX(0,MAX(0,$E84-$I84)-$U84),$K84)</x:f>
      </x:c>
      <x:c r="P84" s="24">
        <x:f>MAX(0,$K84-$O84)-$N84</x:f>
      </x:c>
      <x:c r="Q84" s="23">
        <x:f>$V83</x:f>
      </x:c>
      <x:c r="R84" s="24">
        <x:f>$Q84*Inputs!$C$19/12</x:f>
      </x:c>
      <x:c r="S84" s="24">
        <x:f>MIN(MAX(0,($C84+$F84)-$M84),$R84)</x:f>
      </x:c>
      <x:c r="T84" s="24">
        <x:f>MIN(MAX(0,($D84+$X84)-$N84),MAX(0,$Q84-$U84))</x:f>
      </x:c>
      <x:c r="U84" s="24">
        <x:f>MIN(MAX(0,$E84-$I84),$Q84)</x:f>
      </x:c>
      <x:c r="V84" s="24">
        <x:f>MAX(0,$Q84-$U84)-$T84</x:f>
      </x:c>
      <x:c r="W84" s="24">
        <x:f>MAX(0,MAX(0,($C84+$F84)-$M84)-$S84)-MIN(MAX(0,$D$3-(MAX(0,$F84-MAX(0,($M84+$S84)-$C84)))),MAX(0,MAX(0,($C84+$F84)-$M84)-$S84))</x:f>
      </x:c>
      <x:c r="X84" s="24">
        <x:f>IF(Inputs!$C$39=1,$W84,0)</x:f>
      </x:c>
      <x:c r="Y84" s="24">
        <x:f>IF(Inputs!$C$39=0,$W84,0)+MAX(0,MAX(0,($D84+$X84)-$N84)-$T84)</x:f>
      </x:c>
    </x:row>
    <x:row r="85">
      <x:c r="B85" s="22" t="n">
        <x:v>80</x:v>
      </x:c>
      <x:c r="C85" s="29">
        <x:f>IF($B85&lt;=Inputs!$C$6+Inputs!$C$11,Cashflow_Asset!$E83-Cashflow_Asset!$K83,0)</x:f>
      </x:c>
      <x:c r="D85" s="29">
        <x:f>IF($B85&lt;=Inputs!$C$6+Inputs!$C$11,Cashflow_Asset!$F83+Cashflow_Asset!$G83+Cashflow_Asset!$I83,0)</x:f>
      </x:c>
      <x:c r="E85" s="29">
        <x:f>IF($B85&lt;=Inputs!$C$6+Inputs!$C$11,Cashflow_Asset!$J83,0)</x:f>
      </x:c>
      <x:c r="F85" s="23">
        <x:f>$G84</x:f>
      </x:c>
      <x:c r="G85" s="24">
        <x:f>(MAX(0,$F85-MAX(0,($M85+$S85)-$C85)))+MIN(MAX(0,$D$3-(MAX(0,$F85-MAX(0,($M85+$S85)-$C85)))),MAX(0,MAX(0,($C85+$F85)-$M85)-$S85))</x:f>
      </x:c>
      <x:c r="H85" s="23">
        <x:f>$J84</x:f>
      </x:c>
      <x:c r="I85" s="24">
        <x:f>MIN($E85,$H85)</x:f>
      </x:c>
      <x:c r="J85" s="24">
        <x:f>$H85-$I85</x:f>
      </x:c>
      <x:c r="K85" s="23">
        <x:f>$P84</x:f>
      </x:c>
      <x:c r="L85" s="24">
        <x:f>$K85*Inputs!$C$18/12</x:f>
      </x:c>
      <x:c r="M85" s="24">
        <x:f>MIN(($C85+$F85),$L85)</x:f>
      </x:c>
      <x:c r="N85" s="24">
        <x:f>MIN(($D85+$X85),MAX(0,$K85-$O85))</x:f>
      </x:c>
      <x:c r="O85" s="24">
        <x:f>MIN(MAX(0,MAX(0,$E85-$I85)-$U85),$K85)</x:f>
      </x:c>
      <x:c r="P85" s="24">
        <x:f>MAX(0,$K85-$O85)-$N85</x:f>
      </x:c>
      <x:c r="Q85" s="23">
        <x:f>$V84</x:f>
      </x:c>
      <x:c r="R85" s="24">
        <x:f>$Q85*Inputs!$C$19/12</x:f>
      </x:c>
      <x:c r="S85" s="24">
        <x:f>MIN(MAX(0,($C85+$F85)-$M85),$R85)</x:f>
      </x:c>
      <x:c r="T85" s="24">
        <x:f>MIN(MAX(0,($D85+$X85)-$N85),MAX(0,$Q85-$U85))</x:f>
      </x:c>
      <x:c r="U85" s="24">
        <x:f>MIN(MAX(0,$E85-$I85),$Q85)</x:f>
      </x:c>
      <x:c r="V85" s="24">
        <x:f>MAX(0,$Q85-$U85)-$T85</x:f>
      </x:c>
      <x:c r="W85" s="24">
        <x:f>MAX(0,MAX(0,($C85+$F85)-$M85)-$S85)-MIN(MAX(0,$D$3-(MAX(0,$F85-MAX(0,($M85+$S85)-$C85)))),MAX(0,MAX(0,($C85+$F85)-$M85)-$S85))</x:f>
      </x:c>
      <x:c r="X85" s="24">
        <x:f>IF(Inputs!$C$39=1,$W85,0)</x:f>
      </x:c>
      <x:c r="Y85" s="24">
        <x:f>IF(Inputs!$C$39=0,$W85,0)+MAX(0,MAX(0,($D85+$X85)-$N85)-$T85)</x:f>
      </x:c>
    </x:row>
    <x:row r="86">
      <x:c r="B86" s="22" t="n">
        <x:v>81</x:v>
      </x:c>
      <x:c r="C86" s="29">
        <x:f>IF($B86&lt;=Inputs!$C$6+Inputs!$C$11,Cashflow_Asset!$E84-Cashflow_Asset!$K84,0)</x:f>
      </x:c>
      <x:c r="D86" s="29">
        <x:f>IF($B86&lt;=Inputs!$C$6+Inputs!$C$11,Cashflow_Asset!$F84+Cashflow_Asset!$G84+Cashflow_Asset!$I84,0)</x:f>
      </x:c>
      <x:c r="E86" s="29">
        <x:f>IF($B86&lt;=Inputs!$C$6+Inputs!$C$11,Cashflow_Asset!$J84,0)</x:f>
      </x:c>
      <x:c r="F86" s="23">
        <x:f>$G85</x:f>
      </x:c>
      <x:c r="G86" s="24">
        <x:f>(MAX(0,$F86-MAX(0,($M86+$S86)-$C86)))+MIN(MAX(0,$D$3-(MAX(0,$F86-MAX(0,($M86+$S86)-$C86)))),MAX(0,MAX(0,($C86+$F86)-$M86)-$S86))</x:f>
      </x:c>
      <x:c r="H86" s="23">
        <x:f>$J85</x:f>
      </x:c>
      <x:c r="I86" s="24">
        <x:f>MIN($E86,$H86)</x:f>
      </x:c>
      <x:c r="J86" s="24">
        <x:f>$H86-$I86</x:f>
      </x:c>
      <x:c r="K86" s="23">
        <x:f>$P85</x:f>
      </x:c>
      <x:c r="L86" s="24">
        <x:f>$K86*Inputs!$C$18/12</x:f>
      </x:c>
      <x:c r="M86" s="24">
        <x:f>MIN(($C86+$F86),$L86)</x:f>
      </x:c>
      <x:c r="N86" s="24">
        <x:f>MIN(($D86+$X86),MAX(0,$K86-$O86))</x:f>
      </x:c>
      <x:c r="O86" s="24">
        <x:f>MIN(MAX(0,MAX(0,$E86-$I86)-$U86),$K86)</x:f>
      </x:c>
      <x:c r="P86" s="24">
        <x:f>MAX(0,$K86-$O86)-$N86</x:f>
      </x:c>
      <x:c r="Q86" s="23">
        <x:f>$V85</x:f>
      </x:c>
      <x:c r="R86" s="24">
        <x:f>$Q86*Inputs!$C$19/12</x:f>
      </x:c>
      <x:c r="S86" s="24">
        <x:f>MIN(MAX(0,($C86+$F86)-$M86),$R86)</x:f>
      </x:c>
      <x:c r="T86" s="24">
        <x:f>MIN(MAX(0,($D86+$X86)-$N86),MAX(0,$Q86-$U86))</x:f>
      </x:c>
      <x:c r="U86" s="24">
        <x:f>MIN(MAX(0,$E86-$I86),$Q86)</x:f>
      </x:c>
      <x:c r="V86" s="24">
        <x:f>MAX(0,$Q86-$U86)-$T86</x:f>
      </x:c>
      <x:c r="W86" s="24">
        <x:f>MAX(0,MAX(0,($C86+$F86)-$M86)-$S86)-MIN(MAX(0,$D$3-(MAX(0,$F86-MAX(0,($M86+$S86)-$C86)))),MAX(0,MAX(0,($C86+$F86)-$M86)-$S86))</x:f>
      </x:c>
      <x:c r="X86" s="24">
        <x:f>IF(Inputs!$C$39=1,$W86,0)</x:f>
      </x:c>
      <x:c r="Y86" s="24">
        <x:f>IF(Inputs!$C$39=0,$W86,0)+MAX(0,MAX(0,($D86+$X86)-$N86)-$T86)</x:f>
      </x:c>
    </x:row>
    <x:row r="87">
      <x:c r="B87" s="22" t="n">
        <x:v>82</x:v>
      </x:c>
      <x:c r="C87" s="29">
        <x:f>IF($B87&lt;=Inputs!$C$6+Inputs!$C$11,Cashflow_Asset!$E85-Cashflow_Asset!$K85,0)</x:f>
      </x:c>
      <x:c r="D87" s="29">
        <x:f>IF($B87&lt;=Inputs!$C$6+Inputs!$C$11,Cashflow_Asset!$F85+Cashflow_Asset!$G85+Cashflow_Asset!$I85,0)</x:f>
      </x:c>
      <x:c r="E87" s="29">
        <x:f>IF($B87&lt;=Inputs!$C$6+Inputs!$C$11,Cashflow_Asset!$J85,0)</x:f>
      </x:c>
      <x:c r="F87" s="23">
        <x:f>$G86</x:f>
      </x:c>
      <x:c r="G87" s="24">
        <x:f>(MAX(0,$F87-MAX(0,($M87+$S87)-$C87)))+MIN(MAX(0,$D$3-(MAX(0,$F87-MAX(0,($M87+$S87)-$C87)))),MAX(0,MAX(0,($C87+$F87)-$M87)-$S87))</x:f>
      </x:c>
      <x:c r="H87" s="23">
        <x:f>$J86</x:f>
      </x:c>
      <x:c r="I87" s="24">
        <x:f>MIN($E87,$H87)</x:f>
      </x:c>
      <x:c r="J87" s="24">
        <x:f>$H87-$I87</x:f>
      </x:c>
      <x:c r="K87" s="23">
        <x:f>$P86</x:f>
      </x:c>
      <x:c r="L87" s="24">
        <x:f>$K87*Inputs!$C$18/12</x:f>
      </x:c>
      <x:c r="M87" s="24">
        <x:f>MIN(($C87+$F87),$L87)</x:f>
      </x:c>
      <x:c r="N87" s="24">
        <x:f>MIN(($D87+$X87),MAX(0,$K87-$O87))</x:f>
      </x:c>
      <x:c r="O87" s="24">
        <x:f>MIN(MAX(0,MAX(0,$E87-$I87)-$U87),$K87)</x:f>
      </x:c>
      <x:c r="P87" s="24">
        <x:f>MAX(0,$K87-$O87)-$N87</x:f>
      </x:c>
      <x:c r="Q87" s="23">
        <x:f>$V86</x:f>
      </x:c>
      <x:c r="R87" s="24">
        <x:f>$Q87*Inputs!$C$19/12</x:f>
      </x:c>
      <x:c r="S87" s="24">
        <x:f>MIN(MAX(0,($C87+$F87)-$M87),$R87)</x:f>
      </x:c>
      <x:c r="T87" s="24">
        <x:f>MIN(MAX(0,($D87+$X87)-$N87),MAX(0,$Q87-$U87))</x:f>
      </x:c>
      <x:c r="U87" s="24">
        <x:f>MIN(MAX(0,$E87-$I87),$Q87)</x:f>
      </x:c>
      <x:c r="V87" s="24">
        <x:f>MAX(0,$Q87-$U87)-$T87</x:f>
      </x:c>
      <x:c r="W87" s="24">
        <x:f>MAX(0,MAX(0,($C87+$F87)-$M87)-$S87)-MIN(MAX(0,$D$3-(MAX(0,$F87-MAX(0,($M87+$S87)-$C87)))),MAX(0,MAX(0,($C87+$F87)-$M87)-$S87))</x:f>
      </x:c>
      <x:c r="X87" s="24">
        <x:f>IF(Inputs!$C$39=1,$W87,0)</x:f>
      </x:c>
      <x:c r="Y87" s="24">
        <x:f>IF(Inputs!$C$39=0,$W87,0)+MAX(0,MAX(0,($D87+$X87)-$N87)-$T87)</x:f>
      </x:c>
    </x:row>
    <x:row r="88">
      <x:c r="B88" s="22" t="n">
        <x:v>83</x:v>
      </x:c>
      <x:c r="C88" s="29">
        <x:f>IF($B88&lt;=Inputs!$C$6+Inputs!$C$11,Cashflow_Asset!$E86-Cashflow_Asset!$K86,0)</x:f>
      </x:c>
      <x:c r="D88" s="29">
        <x:f>IF($B88&lt;=Inputs!$C$6+Inputs!$C$11,Cashflow_Asset!$F86+Cashflow_Asset!$G86+Cashflow_Asset!$I86,0)</x:f>
      </x:c>
      <x:c r="E88" s="29">
        <x:f>IF($B88&lt;=Inputs!$C$6+Inputs!$C$11,Cashflow_Asset!$J86,0)</x:f>
      </x:c>
      <x:c r="F88" s="23">
        <x:f>$G87</x:f>
      </x:c>
      <x:c r="G88" s="24">
        <x:f>(MAX(0,$F88-MAX(0,($M88+$S88)-$C88)))+MIN(MAX(0,$D$3-(MAX(0,$F88-MAX(0,($M88+$S88)-$C88)))),MAX(0,MAX(0,($C88+$F88)-$M88)-$S88))</x:f>
      </x:c>
      <x:c r="H88" s="23">
        <x:f>$J87</x:f>
      </x:c>
      <x:c r="I88" s="24">
        <x:f>MIN($E88,$H88)</x:f>
      </x:c>
      <x:c r="J88" s="24">
        <x:f>$H88-$I88</x:f>
      </x:c>
      <x:c r="K88" s="23">
        <x:f>$P87</x:f>
      </x:c>
      <x:c r="L88" s="24">
        <x:f>$K88*Inputs!$C$18/12</x:f>
      </x:c>
      <x:c r="M88" s="24">
        <x:f>MIN(($C88+$F88),$L88)</x:f>
      </x:c>
      <x:c r="N88" s="24">
        <x:f>MIN(($D88+$X88),MAX(0,$K88-$O88))</x:f>
      </x:c>
      <x:c r="O88" s="24">
        <x:f>MIN(MAX(0,MAX(0,$E88-$I88)-$U88),$K88)</x:f>
      </x:c>
      <x:c r="P88" s="24">
        <x:f>MAX(0,$K88-$O88)-$N88</x:f>
      </x:c>
      <x:c r="Q88" s="23">
        <x:f>$V87</x:f>
      </x:c>
      <x:c r="R88" s="24">
        <x:f>$Q88*Inputs!$C$19/12</x:f>
      </x:c>
      <x:c r="S88" s="24">
        <x:f>MIN(MAX(0,($C88+$F88)-$M88),$R88)</x:f>
      </x:c>
      <x:c r="T88" s="24">
        <x:f>MIN(MAX(0,($D88+$X88)-$N88),MAX(0,$Q88-$U88))</x:f>
      </x:c>
      <x:c r="U88" s="24">
        <x:f>MIN(MAX(0,$E88-$I88),$Q88)</x:f>
      </x:c>
      <x:c r="V88" s="24">
        <x:f>MAX(0,$Q88-$U88)-$T88</x:f>
      </x:c>
      <x:c r="W88" s="24">
        <x:f>MAX(0,MAX(0,($C88+$F88)-$M88)-$S88)-MIN(MAX(0,$D$3-(MAX(0,$F88-MAX(0,($M88+$S88)-$C88)))),MAX(0,MAX(0,($C88+$F88)-$M88)-$S88))</x:f>
      </x:c>
      <x:c r="X88" s="24">
        <x:f>IF(Inputs!$C$39=1,$W88,0)</x:f>
      </x:c>
      <x:c r="Y88" s="24">
        <x:f>IF(Inputs!$C$39=0,$W88,0)+MAX(0,MAX(0,($D88+$X88)-$N88)-$T88)</x:f>
      </x:c>
    </x:row>
    <x:row r="89">
      <x:c r="B89" s="22" t="n">
        <x:v>84</x:v>
      </x:c>
      <x:c r="C89" s="29">
        <x:f>IF($B89&lt;=Inputs!$C$6+Inputs!$C$11,Cashflow_Asset!$E87-Cashflow_Asset!$K87,0)</x:f>
      </x:c>
      <x:c r="D89" s="29">
        <x:f>IF($B89&lt;=Inputs!$C$6+Inputs!$C$11,Cashflow_Asset!$F87+Cashflow_Asset!$G87+Cashflow_Asset!$I87,0)</x:f>
      </x:c>
      <x:c r="E89" s="29">
        <x:f>IF($B89&lt;=Inputs!$C$6+Inputs!$C$11,Cashflow_Asset!$J87,0)</x:f>
      </x:c>
      <x:c r="F89" s="23">
        <x:f>$G88</x:f>
      </x:c>
      <x:c r="G89" s="24">
        <x:f>(MAX(0,$F89-MAX(0,($M89+$S89)-$C89)))+MIN(MAX(0,$D$3-(MAX(0,$F89-MAX(0,($M89+$S89)-$C89)))),MAX(0,MAX(0,($C89+$F89)-$M89)-$S89))</x:f>
      </x:c>
      <x:c r="H89" s="23">
        <x:f>$J88</x:f>
      </x:c>
      <x:c r="I89" s="24">
        <x:f>MIN($E89,$H89)</x:f>
      </x:c>
      <x:c r="J89" s="24">
        <x:f>$H89-$I89</x:f>
      </x:c>
      <x:c r="K89" s="23">
        <x:f>$P88</x:f>
      </x:c>
      <x:c r="L89" s="24">
        <x:f>$K89*Inputs!$C$18/12</x:f>
      </x:c>
      <x:c r="M89" s="24">
        <x:f>MIN(($C89+$F89),$L89)</x:f>
      </x:c>
      <x:c r="N89" s="24">
        <x:f>MIN(($D89+$X89),MAX(0,$K89-$O89))</x:f>
      </x:c>
      <x:c r="O89" s="24">
        <x:f>MIN(MAX(0,MAX(0,$E89-$I89)-$U89),$K89)</x:f>
      </x:c>
      <x:c r="P89" s="24">
        <x:f>MAX(0,$K89-$O89)-$N89</x:f>
      </x:c>
      <x:c r="Q89" s="23">
        <x:f>$V88</x:f>
      </x:c>
      <x:c r="R89" s="24">
        <x:f>$Q89*Inputs!$C$19/12</x:f>
      </x:c>
      <x:c r="S89" s="24">
        <x:f>MIN(MAX(0,($C89+$F89)-$M89),$R89)</x:f>
      </x:c>
      <x:c r="T89" s="24">
        <x:f>MIN(MAX(0,($D89+$X89)-$N89),MAX(0,$Q89-$U89))</x:f>
      </x:c>
      <x:c r="U89" s="24">
        <x:f>MIN(MAX(0,$E89-$I89),$Q89)</x:f>
      </x:c>
      <x:c r="V89" s="24">
        <x:f>MAX(0,$Q89-$U89)-$T89</x:f>
      </x:c>
      <x:c r="W89" s="24">
        <x:f>MAX(0,MAX(0,($C89+$F89)-$M89)-$S89)-MIN(MAX(0,$D$3-(MAX(0,$F89-MAX(0,($M89+$S89)-$C89)))),MAX(0,MAX(0,($C89+$F89)-$M89)-$S89))</x:f>
      </x:c>
      <x:c r="X89" s="24">
        <x:f>IF(Inputs!$C$39=1,$W89,0)</x:f>
      </x:c>
      <x:c r="Y89" s="24">
        <x:f>IF(Inputs!$C$39=0,$W89,0)+MAX(0,MAX(0,($D89+$X89)-$N89)-$T89)</x:f>
      </x:c>
    </x:row>
    <x:row r="90">
      <x:c r="B90" s="22" t="n">
        <x:v>85</x:v>
      </x:c>
      <x:c r="C90" s="29">
        <x:f>IF($B90&lt;=Inputs!$C$6+Inputs!$C$11,Cashflow_Asset!$E88-Cashflow_Asset!$K88,0)</x:f>
      </x:c>
      <x:c r="D90" s="29">
        <x:f>IF($B90&lt;=Inputs!$C$6+Inputs!$C$11,Cashflow_Asset!$F88+Cashflow_Asset!$G88+Cashflow_Asset!$I88,0)</x:f>
      </x:c>
      <x:c r="E90" s="29">
        <x:f>IF($B90&lt;=Inputs!$C$6+Inputs!$C$11,Cashflow_Asset!$J88,0)</x:f>
      </x:c>
      <x:c r="F90" s="23">
        <x:f>$G89</x:f>
      </x:c>
      <x:c r="G90" s="24">
        <x:f>(MAX(0,$F90-MAX(0,($M90+$S90)-$C90)))+MIN(MAX(0,$D$3-(MAX(0,$F90-MAX(0,($M90+$S90)-$C90)))),MAX(0,MAX(0,($C90+$F90)-$M90)-$S90))</x:f>
      </x:c>
      <x:c r="H90" s="23">
        <x:f>$J89</x:f>
      </x:c>
      <x:c r="I90" s="24">
        <x:f>MIN($E90,$H90)</x:f>
      </x:c>
      <x:c r="J90" s="24">
        <x:f>$H90-$I90</x:f>
      </x:c>
      <x:c r="K90" s="23">
        <x:f>$P89</x:f>
      </x:c>
      <x:c r="L90" s="24">
        <x:f>$K90*Inputs!$C$18/12</x:f>
      </x:c>
      <x:c r="M90" s="24">
        <x:f>MIN(($C90+$F90),$L90)</x:f>
      </x:c>
      <x:c r="N90" s="24">
        <x:f>MIN(($D90+$X90),MAX(0,$K90-$O90))</x:f>
      </x:c>
      <x:c r="O90" s="24">
        <x:f>MIN(MAX(0,MAX(0,$E90-$I90)-$U90),$K90)</x:f>
      </x:c>
      <x:c r="P90" s="24">
        <x:f>MAX(0,$K90-$O90)-$N90</x:f>
      </x:c>
      <x:c r="Q90" s="23">
        <x:f>$V89</x:f>
      </x:c>
      <x:c r="R90" s="24">
        <x:f>$Q90*Inputs!$C$19/12</x:f>
      </x:c>
      <x:c r="S90" s="24">
        <x:f>MIN(MAX(0,($C90+$F90)-$M90),$R90)</x:f>
      </x:c>
      <x:c r="T90" s="24">
        <x:f>MIN(MAX(0,($D90+$X90)-$N90),MAX(0,$Q90-$U90))</x:f>
      </x:c>
      <x:c r="U90" s="24">
        <x:f>MIN(MAX(0,$E90-$I90),$Q90)</x:f>
      </x:c>
      <x:c r="V90" s="24">
        <x:f>MAX(0,$Q90-$U90)-$T90</x:f>
      </x:c>
      <x:c r="W90" s="24">
        <x:f>MAX(0,MAX(0,($C90+$F90)-$M90)-$S90)-MIN(MAX(0,$D$3-(MAX(0,$F90-MAX(0,($M90+$S90)-$C90)))),MAX(0,MAX(0,($C90+$F90)-$M90)-$S90))</x:f>
      </x:c>
      <x:c r="X90" s="24">
        <x:f>IF(Inputs!$C$39=1,$W90,0)</x:f>
      </x:c>
      <x:c r="Y90" s="24">
        <x:f>IF(Inputs!$C$39=0,$W90,0)+MAX(0,MAX(0,($D90+$X90)-$N90)-$T90)</x:f>
      </x:c>
    </x:row>
    <x:row r="91">
      <x:c r="B91" s="22" t="n">
        <x:v>86</x:v>
      </x:c>
      <x:c r="C91" s="29">
        <x:f>IF($B91&lt;=Inputs!$C$6+Inputs!$C$11,Cashflow_Asset!$E89-Cashflow_Asset!$K89,0)</x:f>
      </x:c>
      <x:c r="D91" s="29">
        <x:f>IF($B91&lt;=Inputs!$C$6+Inputs!$C$11,Cashflow_Asset!$F89+Cashflow_Asset!$G89+Cashflow_Asset!$I89,0)</x:f>
      </x:c>
      <x:c r="E91" s="29">
        <x:f>IF($B91&lt;=Inputs!$C$6+Inputs!$C$11,Cashflow_Asset!$J89,0)</x:f>
      </x:c>
      <x:c r="F91" s="23">
        <x:f>$G90</x:f>
      </x:c>
      <x:c r="G91" s="24">
        <x:f>(MAX(0,$F91-MAX(0,($M91+$S91)-$C91)))+MIN(MAX(0,$D$3-(MAX(0,$F91-MAX(0,($M91+$S91)-$C91)))),MAX(0,MAX(0,($C91+$F91)-$M91)-$S91))</x:f>
      </x:c>
      <x:c r="H91" s="23">
        <x:f>$J90</x:f>
      </x:c>
      <x:c r="I91" s="24">
        <x:f>MIN($E91,$H91)</x:f>
      </x:c>
      <x:c r="J91" s="24">
        <x:f>$H91-$I91</x:f>
      </x:c>
      <x:c r="K91" s="23">
        <x:f>$P90</x:f>
      </x:c>
      <x:c r="L91" s="24">
        <x:f>$K91*Inputs!$C$18/12</x:f>
      </x:c>
      <x:c r="M91" s="24">
        <x:f>MIN(($C91+$F91),$L91)</x:f>
      </x:c>
      <x:c r="N91" s="24">
        <x:f>MIN(($D91+$X91),MAX(0,$K91-$O91))</x:f>
      </x:c>
      <x:c r="O91" s="24">
        <x:f>MIN(MAX(0,MAX(0,$E91-$I91)-$U91),$K91)</x:f>
      </x:c>
      <x:c r="P91" s="24">
        <x:f>MAX(0,$K91-$O91)-$N91</x:f>
      </x:c>
      <x:c r="Q91" s="23">
        <x:f>$V90</x:f>
      </x:c>
      <x:c r="R91" s="24">
        <x:f>$Q91*Inputs!$C$19/12</x:f>
      </x:c>
      <x:c r="S91" s="24">
        <x:f>MIN(MAX(0,($C91+$F91)-$M91),$R91)</x:f>
      </x:c>
      <x:c r="T91" s="24">
        <x:f>MIN(MAX(0,($D91+$X91)-$N91),MAX(0,$Q91-$U91))</x:f>
      </x:c>
      <x:c r="U91" s="24">
        <x:f>MIN(MAX(0,$E91-$I91),$Q91)</x:f>
      </x:c>
      <x:c r="V91" s="24">
        <x:f>MAX(0,$Q91-$U91)-$T91</x:f>
      </x:c>
      <x:c r="W91" s="24">
        <x:f>MAX(0,MAX(0,($C91+$F91)-$M91)-$S91)-MIN(MAX(0,$D$3-(MAX(0,$F91-MAX(0,($M91+$S91)-$C91)))),MAX(0,MAX(0,($C91+$F91)-$M91)-$S91))</x:f>
      </x:c>
      <x:c r="X91" s="24">
        <x:f>IF(Inputs!$C$39=1,$W91,0)</x:f>
      </x:c>
      <x:c r="Y91" s="24">
        <x:f>IF(Inputs!$C$39=0,$W91,0)+MAX(0,MAX(0,($D91+$X91)-$N91)-$T91)</x:f>
      </x:c>
    </x:row>
    <x:row r="92">
      <x:c r="B92" s="22" t="n">
        <x:v>87</x:v>
      </x:c>
      <x:c r="C92" s="29">
        <x:f>IF($B92&lt;=Inputs!$C$6+Inputs!$C$11,Cashflow_Asset!$E90-Cashflow_Asset!$K90,0)</x:f>
      </x:c>
      <x:c r="D92" s="29">
        <x:f>IF($B92&lt;=Inputs!$C$6+Inputs!$C$11,Cashflow_Asset!$F90+Cashflow_Asset!$G90+Cashflow_Asset!$I90,0)</x:f>
      </x:c>
      <x:c r="E92" s="29">
        <x:f>IF($B92&lt;=Inputs!$C$6+Inputs!$C$11,Cashflow_Asset!$J90,0)</x:f>
      </x:c>
      <x:c r="F92" s="23">
        <x:f>$G91</x:f>
      </x:c>
      <x:c r="G92" s="24">
        <x:f>(MAX(0,$F92-MAX(0,($M92+$S92)-$C92)))+MIN(MAX(0,$D$3-(MAX(0,$F92-MAX(0,($M92+$S92)-$C92)))),MAX(0,MAX(0,($C92+$F92)-$M92)-$S92))</x:f>
      </x:c>
      <x:c r="H92" s="23">
        <x:f>$J91</x:f>
      </x:c>
      <x:c r="I92" s="24">
        <x:f>MIN($E92,$H92)</x:f>
      </x:c>
      <x:c r="J92" s="24">
        <x:f>$H92-$I92</x:f>
      </x:c>
      <x:c r="K92" s="23">
        <x:f>$P91</x:f>
      </x:c>
      <x:c r="L92" s="24">
        <x:f>$K92*Inputs!$C$18/12</x:f>
      </x:c>
      <x:c r="M92" s="24">
        <x:f>MIN(($C92+$F92),$L92)</x:f>
      </x:c>
      <x:c r="N92" s="24">
        <x:f>MIN(($D92+$X92),MAX(0,$K92-$O92))</x:f>
      </x:c>
      <x:c r="O92" s="24">
        <x:f>MIN(MAX(0,MAX(0,$E92-$I92)-$U92),$K92)</x:f>
      </x:c>
      <x:c r="P92" s="24">
        <x:f>MAX(0,$K92-$O92)-$N92</x:f>
      </x:c>
      <x:c r="Q92" s="23">
        <x:f>$V91</x:f>
      </x:c>
      <x:c r="R92" s="24">
        <x:f>$Q92*Inputs!$C$19/12</x:f>
      </x:c>
      <x:c r="S92" s="24">
        <x:f>MIN(MAX(0,($C92+$F92)-$M92),$R92)</x:f>
      </x:c>
      <x:c r="T92" s="24">
        <x:f>MIN(MAX(0,($D92+$X92)-$N92),MAX(0,$Q92-$U92))</x:f>
      </x:c>
      <x:c r="U92" s="24">
        <x:f>MIN(MAX(0,$E92-$I92),$Q92)</x:f>
      </x:c>
      <x:c r="V92" s="24">
        <x:f>MAX(0,$Q92-$U92)-$T92</x:f>
      </x:c>
      <x:c r="W92" s="24">
        <x:f>MAX(0,MAX(0,($C92+$F92)-$M92)-$S92)-MIN(MAX(0,$D$3-(MAX(0,$F92-MAX(0,($M92+$S92)-$C92)))),MAX(0,MAX(0,($C92+$F92)-$M92)-$S92))</x:f>
      </x:c>
      <x:c r="X92" s="24">
        <x:f>IF(Inputs!$C$39=1,$W92,0)</x:f>
      </x:c>
      <x:c r="Y92" s="24">
        <x:f>IF(Inputs!$C$39=0,$W92,0)+MAX(0,MAX(0,($D92+$X92)-$N92)-$T92)</x:f>
      </x:c>
    </x:row>
    <x:row r="93">
      <x:c r="B93" s="22" t="n">
        <x:v>88</x:v>
      </x:c>
      <x:c r="C93" s="29">
        <x:f>IF($B93&lt;=Inputs!$C$6+Inputs!$C$11,Cashflow_Asset!$E91-Cashflow_Asset!$K91,0)</x:f>
      </x:c>
      <x:c r="D93" s="29">
        <x:f>IF($B93&lt;=Inputs!$C$6+Inputs!$C$11,Cashflow_Asset!$F91+Cashflow_Asset!$G91+Cashflow_Asset!$I91,0)</x:f>
      </x:c>
      <x:c r="E93" s="29">
        <x:f>IF($B93&lt;=Inputs!$C$6+Inputs!$C$11,Cashflow_Asset!$J91,0)</x:f>
      </x:c>
      <x:c r="F93" s="23">
        <x:f>$G92</x:f>
      </x:c>
      <x:c r="G93" s="24">
        <x:f>(MAX(0,$F93-MAX(0,($M93+$S93)-$C93)))+MIN(MAX(0,$D$3-(MAX(0,$F93-MAX(0,($M93+$S93)-$C93)))),MAX(0,MAX(0,($C93+$F93)-$M93)-$S93))</x:f>
      </x:c>
      <x:c r="H93" s="23">
        <x:f>$J92</x:f>
      </x:c>
      <x:c r="I93" s="24">
        <x:f>MIN($E93,$H93)</x:f>
      </x:c>
      <x:c r="J93" s="24">
        <x:f>$H93-$I93</x:f>
      </x:c>
      <x:c r="K93" s="23">
        <x:f>$P92</x:f>
      </x:c>
      <x:c r="L93" s="24">
        <x:f>$K93*Inputs!$C$18/12</x:f>
      </x:c>
      <x:c r="M93" s="24">
        <x:f>MIN(($C93+$F93),$L93)</x:f>
      </x:c>
      <x:c r="N93" s="24">
        <x:f>MIN(($D93+$X93),MAX(0,$K93-$O93))</x:f>
      </x:c>
      <x:c r="O93" s="24">
        <x:f>MIN(MAX(0,MAX(0,$E93-$I93)-$U93),$K93)</x:f>
      </x:c>
      <x:c r="P93" s="24">
        <x:f>MAX(0,$K93-$O93)-$N93</x:f>
      </x:c>
      <x:c r="Q93" s="23">
        <x:f>$V92</x:f>
      </x:c>
      <x:c r="R93" s="24">
        <x:f>$Q93*Inputs!$C$19/12</x:f>
      </x:c>
      <x:c r="S93" s="24">
        <x:f>MIN(MAX(0,($C93+$F93)-$M93),$R93)</x:f>
      </x:c>
      <x:c r="T93" s="24">
        <x:f>MIN(MAX(0,($D93+$X93)-$N93),MAX(0,$Q93-$U93))</x:f>
      </x:c>
      <x:c r="U93" s="24">
        <x:f>MIN(MAX(0,$E93-$I93),$Q93)</x:f>
      </x:c>
      <x:c r="V93" s="24">
        <x:f>MAX(0,$Q93-$U93)-$T93</x:f>
      </x:c>
      <x:c r="W93" s="24">
        <x:f>MAX(0,MAX(0,($C93+$F93)-$M93)-$S93)-MIN(MAX(0,$D$3-(MAX(0,$F93-MAX(0,($M93+$S93)-$C93)))),MAX(0,MAX(0,($C93+$F93)-$M93)-$S93))</x:f>
      </x:c>
      <x:c r="X93" s="24">
        <x:f>IF(Inputs!$C$39=1,$W93,0)</x:f>
      </x:c>
      <x:c r="Y93" s="24">
        <x:f>IF(Inputs!$C$39=0,$W93,0)+MAX(0,MAX(0,($D93+$X93)-$N93)-$T93)</x:f>
      </x:c>
    </x:row>
    <x:row r="94">
      <x:c r="B94" s="22" t="n">
        <x:v>89</x:v>
      </x:c>
      <x:c r="C94" s="29">
        <x:f>IF($B94&lt;=Inputs!$C$6+Inputs!$C$11,Cashflow_Asset!$E92-Cashflow_Asset!$K92,0)</x:f>
      </x:c>
      <x:c r="D94" s="29">
        <x:f>IF($B94&lt;=Inputs!$C$6+Inputs!$C$11,Cashflow_Asset!$F92+Cashflow_Asset!$G92+Cashflow_Asset!$I92,0)</x:f>
      </x:c>
      <x:c r="E94" s="29">
        <x:f>IF($B94&lt;=Inputs!$C$6+Inputs!$C$11,Cashflow_Asset!$J92,0)</x:f>
      </x:c>
      <x:c r="F94" s="23">
        <x:f>$G93</x:f>
      </x:c>
      <x:c r="G94" s="24">
        <x:f>(MAX(0,$F94-MAX(0,($M94+$S94)-$C94)))+MIN(MAX(0,$D$3-(MAX(0,$F94-MAX(0,($M94+$S94)-$C94)))),MAX(0,MAX(0,($C94+$F94)-$M94)-$S94))</x:f>
      </x:c>
      <x:c r="H94" s="23">
        <x:f>$J93</x:f>
      </x:c>
      <x:c r="I94" s="24">
        <x:f>MIN($E94,$H94)</x:f>
      </x:c>
      <x:c r="J94" s="24">
        <x:f>$H94-$I94</x:f>
      </x:c>
      <x:c r="K94" s="23">
        <x:f>$P93</x:f>
      </x:c>
      <x:c r="L94" s="24">
        <x:f>$K94*Inputs!$C$18/12</x:f>
      </x:c>
      <x:c r="M94" s="24">
        <x:f>MIN(($C94+$F94),$L94)</x:f>
      </x:c>
      <x:c r="N94" s="24">
        <x:f>MIN(($D94+$X94),MAX(0,$K94-$O94))</x:f>
      </x:c>
      <x:c r="O94" s="24">
        <x:f>MIN(MAX(0,MAX(0,$E94-$I94)-$U94),$K94)</x:f>
      </x:c>
      <x:c r="P94" s="24">
        <x:f>MAX(0,$K94-$O94)-$N94</x:f>
      </x:c>
      <x:c r="Q94" s="23">
        <x:f>$V93</x:f>
      </x:c>
      <x:c r="R94" s="24">
        <x:f>$Q94*Inputs!$C$19/12</x:f>
      </x:c>
      <x:c r="S94" s="24">
        <x:f>MIN(MAX(0,($C94+$F94)-$M94),$R94)</x:f>
      </x:c>
      <x:c r="T94" s="24">
        <x:f>MIN(MAX(0,($D94+$X94)-$N94),MAX(0,$Q94-$U94))</x:f>
      </x:c>
      <x:c r="U94" s="24">
        <x:f>MIN(MAX(0,$E94-$I94),$Q94)</x:f>
      </x:c>
      <x:c r="V94" s="24">
        <x:f>MAX(0,$Q94-$U94)-$T94</x:f>
      </x:c>
      <x:c r="W94" s="24">
        <x:f>MAX(0,MAX(0,($C94+$F94)-$M94)-$S94)-MIN(MAX(0,$D$3-(MAX(0,$F94-MAX(0,($M94+$S94)-$C94)))),MAX(0,MAX(0,($C94+$F94)-$M94)-$S94))</x:f>
      </x:c>
      <x:c r="X94" s="24">
        <x:f>IF(Inputs!$C$39=1,$W94,0)</x:f>
      </x:c>
      <x:c r="Y94" s="24">
        <x:f>IF(Inputs!$C$39=0,$W94,0)+MAX(0,MAX(0,($D94+$X94)-$N94)-$T94)</x:f>
      </x:c>
    </x:row>
    <x:row r="95">
      <x:c r="B95" s="22" t="n">
        <x:v>90</x:v>
      </x:c>
      <x:c r="C95" s="29">
        <x:f>IF($B95&lt;=Inputs!$C$6+Inputs!$C$11,Cashflow_Asset!$E93-Cashflow_Asset!$K93,0)</x:f>
      </x:c>
      <x:c r="D95" s="29">
        <x:f>IF($B95&lt;=Inputs!$C$6+Inputs!$C$11,Cashflow_Asset!$F93+Cashflow_Asset!$G93+Cashflow_Asset!$I93,0)</x:f>
      </x:c>
      <x:c r="E95" s="29">
        <x:f>IF($B95&lt;=Inputs!$C$6+Inputs!$C$11,Cashflow_Asset!$J93,0)</x:f>
      </x:c>
      <x:c r="F95" s="23">
        <x:f>$G94</x:f>
      </x:c>
      <x:c r="G95" s="24">
        <x:f>(MAX(0,$F95-MAX(0,($M95+$S95)-$C95)))+MIN(MAX(0,$D$3-(MAX(0,$F95-MAX(0,($M95+$S95)-$C95)))),MAX(0,MAX(0,($C95+$F95)-$M95)-$S95))</x:f>
      </x:c>
      <x:c r="H95" s="23">
        <x:f>$J94</x:f>
      </x:c>
      <x:c r="I95" s="24">
        <x:f>MIN($E95,$H95)</x:f>
      </x:c>
      <x:c r="J95" s="24">
        <x:f>$H95-$I95</x:f>
      </x:c>
      <x:c r="K95" s="23">
        <x:f>$P94</x:f>
      </x:c>
      <x:c r="L95" s="24">
        <x:f>$K95*Inputs!$C$18/12</x:f>
      </x:c>
      <x:c r="M95" s="24">
        <x:f>MIN(($C95+$F95),$L95)</x:f>
      </x:c>
      <x:c r="N95" s="24">
        <x:f>MIN(($D95+$X95),MAX(0,$K95-$O95))</x:f>
      </x:c>
      <x:c r="O95" s="24">
        <x:f>MIN(MAX(0,MAX(0,$E95-$I95)-$U95),$K95)</x:f>
      </x:c>
      <x:c r="P95" s="24">
        <x:f>MAX(0,$K95-$O95)-$N95</x:f>
      </x:c>
      <x:c r="Q95" s="23">
        <x:f>$V94</x:f>
      </x:c>
      <x:c r="R95" s="24">
        <x:f>$Q95*Inputs!$C$19/12</x:f>
      </x:c>
      <x:c r="S95" s="24">
        <x:f>MIN(MAX(0,($C95+$F95)-$M95),$R95)</x:f>
      </x:c>
      <x:c r="T95" s="24">
        <x:f>MIN(MAX(0,($D95+$X95)-$N95),MAX(0,$Q95-$U95))</x:f>
      </x:c>
      <x:c r="U95" s="24">
        <x:f>MIN(MAX(0,$E95-$I95),$Q95)</x:f>
      </x:c>
      <x:c r="V95" s="24">
        <x:f>MAX(0,$Q95-$U95)-$T95</x:f>
      </x:c>
      <x:c r="W95" s="24">
        <x:f>MAX(0,MAX(0,($C95+$F95)-$M95)-$S95)-MIN(MAX(0,$D$3-(MAX(0,$F95-MAX(0,($M95+$S95)-$C95)))),MAX(0,MAX(0,($C95+$F95)-$M95)-$S95))</x:f>
      </x:c>
      <x:c r="X95" s="24">
        <x:f>IF(Inputs!$C$39=1,$W95,0)</x:f>
      </x:c>
      <x:c r="Y95" s="24">
        <x:f>IF(Inputs!$C$39=0,$W95,0)+MAX(0,MAX(0,($D95+$X95)-$N95)-$T95)</x:f>
      </x:c>
    </x:row>
    <x:row r="96">
      <x:c r="B96" s="22" t="n">
        <x:v>91</x:v>
      </x:c>
      <x:c r="C96" s="29">
        <x:f>IF($B96&lt;=Inputs!$C$6+Inputs!$C$11,Cashflow_Asset!$E94-Cashflow_Asset!$K94,0)</x:f>
      </x:c>
      <x:c r="D96" s="29">
        <x:f>IF($B96&lt;=Inputs!$C$6+Inputs!$C$11,Cashflow_Asset!$F94+Cashflow_Asset!$G94+Cashflow_Asset!$I94,0)</x:f>
      </x:c>
      <x:c r="E96" s="29">
        <x:f>IF($B96&lt;=Inputs!$C$6+Inputs!$C$11,Cashflow_Asset!$J94,0)</x:f>
      </x:c>
      <x:c r="F96" s="23">
        <x:f>$G95</x:f>
      </x:c>
      <x:c r="G96" s="24">
        <x:f>(MAX(0,$F96-MAX(0,($M96+$S96)-$C96)))+MIN(MAX(0,$D$3-(MAX(0,$F96-MAX(0,($M96+$S96)-$C96)))),MAX(0,MAX(0,($C96+$F96)-$M96)-$S96))</x:f>
      </x:c>
      <x:c r="H96" s="23">
        <x:f>$J95</x:f>
      </x:c>
      <x:c r="I96" s="24">
        <x:f>MIN($E96,$H96)</x:f>
      </x:c>
      <x:c r="J96" s="24">
        <x:f>$H96-$I96</x:f>
      </x:c>
      <x:c r="K96" s="23">
        <x:f>$P95</x:f>
      </x:c>
      <x:c r="L96" s="24">
        <x:f>$K96*Inputs!$C$18/12</x:f>
      </x:c>
      <x:c r="M96" s="24">
        <x:f>MIN(($C96+$F96),$L96)</x:f>
      </x:c>
      <x:c r="N96" s="24">
        <x:f>MIN(($D96+$X96),MAX(0,$K96-$O96))</x:f>
      </x:c>
      <x:c r="O96" s="24">
        <x:f>MIN(MAX(0,MAX(0,$E96-$I96)-$U96),$K96)</x:f>
      </x:c>
      <x:c r="P96" s="24">
        <x:f>MAX(0,$K96-$O96)-$N96</x:f>
      </x:c>
      <x:c r="Q96" s="23">
        <x:f>$V95</x:f>
      </x:c>
      <x:c r="R96" s="24">
        <x:f>$Q96*Inputs!$C$19/12</x:f>
      </x:c>
      <x:c r="S96" s="24">
        <x:f>MIN(MAX(0,($C96+$F96)-$M96),$R96)</x:f>
      </x:c>
      <x:c r="T96" s="24">
        <x:f>MIN(MAX(0,($D96+$X96)-$N96),MAX(0,$Q96-$U96))</x:f>
      </x:c>
      <x:c r="U96" s="24">
        <x:f>MIN(MAX(0,$E96-$I96),$Q96)</x:f>
      </x:c>
      <x:c r="V96" s="24">
        <x:f>MAX(0,$Q96-$U96)-$T96</x:f>
      </x:c>
      <x:c r="W96" s="24">
        <x:f>MAX(0,MAX(0,($C96+$F96)-$M96)-$S96)-MIN(MAX(0,$D$3-(MAX(0,$F96-MAX(0,($M96+$S96)-$C96)))),MAX(0,MAX(0,($C96+$F96)-$M96)-$S96))</x:f>
      </x:c>
      <x:c r="X96" s="24">
        <x:f>IF(Inputs!$C$39=1,$W96,0)</x:f>
      </x:c>
      <x:c r="Y96" s="24">
        <x:f>IF(Inputs!$C$39=0,$W96,0)+MAX(0,MAX(0,($D96+$X96)-$N96)-$T96)</x:f>
      </x:c>
    </x:row>
    <x:row r="97">
      <x:c r="B97" s="22" t="n">
        <x:v>92</x:v>
      </x:c>
      <x:c r="C97" s="29">
        <x:f>IF($B97&lt;=Inputs!$C$6+Inputs!$C$11,Cashflow_Asset!$E95-Cashflow_Asset!$K95,0)</x:f>
      </x:c>
      <x:c r="D97" s="29">
        <x:f>IF($B97&lt;=Inputs!$C$6+Inputs!$C$11,Cashflow_Asset!$F95+Cashflow_Asset!$G95+Cashflow_Asset!$I95,0)</x:f>
      </x:c>
      <x:c r="E97" s="29">
        <x:f>IF($B97&lt;=Inputs!$C$6+Inputs!$C$11,Cashflow_Asset!$J95,0)</x:f>
      </x:c>
      <x:c r="F97" s="23">
        <x:f>$G96</x:f>
      </x:c>
      <x:c r="G97" s="24">
        <x:f>(MAX(0,$F97-MAX(0,($M97+$S97)-$C97)))+MIN(MAX(0,$D$3-(MAX(0,$F97-MAX(0,($M97+$S97)-$C97)))),MAX(0,MAX(0,($C97+$F97)-$M97)-$S97))</x:f>
      </x:c>
      <x:c r="H97" s="23">
        <x:f>$J96</x:f>
      </x:c>
      <x:c r="I97" s="24">
        <x:f>MIN($E97,$H97)</x:f>
      </x:c>
      <x:c r="J97" s="24">
        <x:f>$H97-$I97</x:f>
      </x:c>
      <x:c r="K97" s="23">
        <x:f>$P96</x:f>
      </x:c>
      <x:c r="L97" s="24">
        <x:f>$K97*Inputs!$C$18/12</x:f>
      </x:c>
      <x:c r="M97" s="24">
        <x:f>MIN(($C97+$F97),$L97)</x:f>
      </x:c>
      <x:c r="N97" s="24">
        <x:f>MIN(($D97+$X97),MAX(0,$K97-$O97))</x:f>
      </x:c>
      <x:c r="O97" s="24">
        <x:f>MIN(MAX(0,MAX(0,$E97-$I97)-$U97),$K97)</x:f>
      </x:c>
      <x:c r="P97" s="24">
        <x:f>MAX(0,$K97-$O97)-$N97</x:f>
      </x:c>
      <x:c r="Q97" s="23">
        <x:f>$V96</x:f>
      </x:c>
      <x:c r="R97" s="24">
        <x:f>$Q97*Inputs!$C$19/12</x:f>
      </x:c>
      <x:c r="S97" s="24">
        <x:f>MIN(MAX(0,($C97+$F97)-$M97),$R97)</x:f>
      </x:c>
      <x:c r="T97" s="24">
        <x:f>MIN(MAX(0,($D97+$X97)-$N97),MAX(0,$Q97-$U97))</x:f>
      </x:c>
      <x:c r="U97" s="24">
        <x:f>MIN(MAX(0,$E97-$I97),$Q97)</x:f>
      </x:c>
      <x:c r="V97" s="24">
        <x:f>MAX(0,$Q97-$U97)-$T97</x:f>
      </x:c>
      <x:c r="W97" s="24">
        <x:f>MAX(0,MAX(0,($C97+$F97)-$M97)-$S97)-MIN(MAX(0,$D$3-(MAX(0,$F97-MAX(0,($M97+$S97)-$C97)))),MAX(0,MAX(0,($C97+$F97)-$M97)-$S97))</x:f>
      </x:c>
      <x:c r="X97" s="24">
        <x:f>IF(Inputs!$C$39=1,$W97,0)</x:f>
      </x:c>
      <x:c r="Y97" s="24">
        <x:f>IF(Inputs!$C$39=0,$W97,0)+MAX(0,MAX(0,($D97+$X97)-$N97)-$T97)</x:f>
      </x:c>
    </x:row>
    <x:row r="98">
      <x:c r="B98" s="22" t="n">
        <x:v>93</x:v>
      </x:c>
      <x:c r="C98" s="29">
        <x:f>IF($B98&lt;=Inputs!$C$6+Inputs!$C$11,Cashflow_Asset!$E96-Cashflow_Asset!$K96,0)</x:f>
      </x:c>
      <x:c r="D98" s="29">
        <x:f>IF($B98&lt;=Inputs!$C$6+Inputs!$C$11,Cashflow_Asset!$F96+Cashflow_Asset!$G96+Cashflow_Asset!$I96,0)</x:f>
      </x:c>
      <x:c r="E98" s="29">
        <x:f>IF($B98&lt;=Inputs!$C$6+Inputs!$C$11,Cashflow_Asset!$J96,0)</x:f>
      </x:c>
      <x:c r="F98" s="23">
        <x:f>$G97</x:f>
      </x:c>
      <x:c r="G98" s="24">
        <x:f>(MAX(0,$F98-MAX(0,($M98+$S98)-$C98)))+MIN(MAX(0,$D$3-(MAX(0,$F98-MAX(0,($M98+$S98)-$C98)))),MAX(0,MAX(0,($C98+$F98)-$M98)-$S98))</x:f>
      </x:c>
      <x:c r="H98" s="23">
        <x:f>$J97</x:f>
      </x:c>
      <x:c r="I98" s="24">
        <x:f>MIN($E98,$H98)</x:f>
      </x:c>
      <x:c r="J98" s="24">
        <x:f>$H98-$I98</x:f>
      </x:c>
      <x:c r="K98" s="23">
        <x:f>$P97</x:f>
      </x:c>
      <x:c r="L98" s="24">
        <x:f>$K98*Inputs!$C$18/12</x:f>
      </x:c>
      <x:c r="M98" s="24">
        <x:f>MIN(($C98+$F98),$L98)</x:f>
      </x:c>
      <x:c r="N98" s="24">
        <x:f>MIN(($D98+$X98),MAX(0,$K98-$O98))</x:f>
      </x:c>
      <x:c r="O98" s="24">
        <x:f>MIN(MAX(0,MAX(0,$E98-$I98)-$U98),$K98)</x:f>
      </x:c>
      <x:c r="P98" s="24">
        <x:f>MAX(0,$K98-$O98)-$N98</x:f>
      </x:c>
      <x:c r="Q98" s="23">
        <x:f>$V97</x:f>
      </x:c>
      <x:c r="R98" s="24">
        <x:f>$Q98*Inputs!$C$19/12</x:f>
      </x:c>
      <x:c r="S98" s="24">
        <x:f>MIN(MAX(0,($C98+$F98)-$M98),$R98)</x:f>
      </x:c>
      <x:c r="T98" s="24">
        <x:f>MIN(MAX(0,($D98+$X98)-$N98),MAX(0,$Q98-$U98))</x:f>
      </x:c>
      <x:c r="U98" s="24">
        <x:f>MIN(MAX(0,$E98-$I98),$Q98)</x:f>
      </x:c>
      <x:c r="V98" s="24">
        <x:f>MAX(0,$Q98-$U98)-$T98</x:f>
      </x:c>
      <x:c r="W98" s="24">
        <x:f>MAX(0,MAX(0,($C98+$F98)-$M98)-$S98)-MIN(MAX(0,$D$3-(MAX(0,$F98-MAX(0,($M98+$S98)-$C98)))),MAX(0,MAX(0,($C98+$F98)-$M98)-$S98))</x:f>
      </x:c>
      <x:c r="X98" s="24">
        <x:f>IF(Inputs!$C$39=1,$W98,0)</x:f>
      </x:c>
      <x:c r="Y98" s="24">
        <x:f>IF(Inputs!$C$39=0,$W98,0)+MAX(0,MAX(0,($D98+$X98)-$N98)-$T98)</x:f>
      </x:c>
    </x:row>
    <x:row r="99">
      <x:c r="B99" s="22" t="n">
        <x:v>94</x:v>
      </x:c>
      <x:c r="C99" s="29">
        <x:f>IF($B99&lt;=Inputs!$C$6+Inputs!$C$11,Cashflow_Asset!$E97-Cashflow_Asset!$K97,0)</x:f>
      </x:c>
      <x:c r="D99" s="29">
        <x:f>IF($B99&lt;=Inputs!$C$6+Inputs!$C$11,Cashflow_Asset!$F97+Cashflow_Asset!$G97+Cashflow_Asset!$I97,0)</x:f>
      </x:c>
      <x:c r="E99" s="29">
        <x:f>IF($B99&lt;=Inputs!$C$6+Inputs!$C$11,Cashflow_Asset!$J97,0)</x:f>
      </x:c>
      <x:c r="F99" s="23">
        <x:f>$G98</x:f>
      </x:c>
      <x:c r="G99" s="24">
        <x:f>(MAX(0,$F99-MAX(0,($M99+$S99)-$C99)))+MIN(MAX(0,$D$3-(MAX(0,$F99-MAX(0,($M99+$S99)-$C99)))),MAX(0,MAX(0,($C99+$F99)-$M99)-$S99))</x:f>
      </x:c>
      <x:c r="H99" s="23">
        <x:f>$J98</x:f>
      </x:c>
      <x:c r="I99" s="24">
        <x:f>MIN($E99,$H99)</x:f>
      </x:c>
      <x:c r="J99" s="24">
        <x:f>$H99-$I99</x:f>
      </x:c>
      <x:c r="K99" s="23">
        <x:f>$P98</x:f>
      </x:c>
      <x:c r="L99" s="24">
        <x:f>$K99*Inputs!$C$18/12</x:f>
      </x:c>
      <x:c r="M99" s="24">
        <x:f>MIN(($C99+$F99),$L99)</x:f>
      </x:c>
      <x:c r="N99" s="24">
        <x:f>MIN(($D99+$X99),MAX(0,$K99-$O99))</x:f>
      </x:c>
      <x:c r="O99" s="24">
        <x:f>MIN(MAX(0,MAX(0,$E99-$I99)-$U99),$K99)</x:f>
      </x:c>
      <x:c r="P99" s="24">
        <x:f>MAX(0,$K99-$O99)-$N99</x:f>
      </x:c>
      <x:c r="Q99" s="23">
        <x:f>$V98</x:f>
      </x:c>
      <x:c r="R99" s="24">
        <x:f>$Q99*Inputs!$C$19/12</x:f>
      </x:c>
      <x:c r="S99" s="24">
        <x:f>MIN(MAX(0,($C99+$F99)-$M99),$R99)</x:f>
      </x:c>
      <x:c r="T99" s="24">
        <x:f>MIN(MAX(0,($D99+$X99)-$N99),MAX(0,$Q99-$U99))</x:f>
      </x:c>
      <x:c r="U99" s="24">
        <x:f>MIN(MAX(0,$E99-$I99),$Q99)</x:f>
      </x:c>
      <x:c r="V99" s="24">
        <x:f>MAX(0,$Q99-$U99)-$T99</x:f>
      </x:c>
      <x:c r="W99" s="24">
        <x:f>MAX(0,MAX(0,($C99+$F99)-$M99)-$S99)-MIN(MAX(0,$D$3-(MAX(0,$F99-MAX(0,($M99+$S99)-$C99)))),MAX(0,MAX(0,($C99+$F99)-$M99)-$S99))</x:f>
      </x:c>
      <x:c r="X99" s="24">
        <x:f>IF(Inputs!$C$39=1,$W99,0)</x:f>
      </x:c>
      <x:c r="Y99" s="24">
        <x:f>IF(Inputs!$C$39=0,$W99,0)+MAX(0,MAX(0,($D99+$X99)-$N99)-$T99)</x:f>
      </x:c>
    </x:row>
    <x:row r="100">
      <x:c r="B100" s="22" t="n">
        <x:v>95</x:v>
      </x:c>
      <x:c r="C100" s="29">
        <x:f>IF($B100&lt;=Inputs!$C$6+Inputs!$C$11,Cashflow_Asset!$E98-Cashflow_Asset!$K98,0)</x:f>
      </x:c>
      <x:c r="D100" s="29">
        <x:f>IF($B100&lt;=Inputs!$C$6+Inputs!$C$11,Cashflow_Asset!$F98+Cashflow_Asset!$G98+Cashflow_Asset!$I98,0)</x:f>
      </x:c>
      <x:c r="E100" s="29">
        <x:f>IF($B100&lt;=Inputs!$C$6+Inputs!$C$11,Cashflow_Asset!$J98,0)</x:f>
      </x:c>
      <x:c r="F100" s="23">
        <x:f>$G99</x:f>
      </x:c>
      <x:c r="G100" s="24">
        <x:f>(MAX(0,$F100-MAX(0,($M100+$S100)-$C100)))+MIN(MAX(0,$D$3-(MAX(0,$F100-MAX(0,($M100+$S100)-$C100)))),MAX(0,MAX(0,($C100+$F100)-$M100)-$S100))</x:f>
      </x:c>
      <x:c r="H100" s="23">
        <x:f>$J99</x:f>
      </x:c>
      <x:c r="I100" s="24">
        <x:f>MIN($E100,$H100)</x:f>
      </x:c>
      <x:c r="J100" s="24">
        <x:f>$H100-$I100</x:f>
      </x:c>
      <x:c r="K100" s="23">
        <x:f>$P99</x:f>
      </x:c>
      <x:c r="L100" s="24">
        <x:f>$K100*Inputs!$C$18/12</x:f>
      </x:c>
      <x:c r="M100" s="24">
        <x:f>MIN(($C100+$F100),$L100)</x:f>
      </x:c>
      <x:c r="N100" s="24">
        <x:f>MIN(($D100+$X100),MAX(0,$K100-$O100))</x:f>
      </x:c>
      <x:c r="O100" s="24">
        <x:f>MIN(MAX(0,MAX(0,$E100-$I100)-$U100),$K100)</x:f>
      </x:c>
      <x:c r="P100" s="24">
        <x:f>MAX(0,$K100-$O100)-$N100</x:f>
      </x:c>
      <x:c r="Q100" s="23">
        <x:f>$V99</x:f>
      </x:c>
      <x:c r="R100" s="24">
        <x:f>$Q100*Inputs!$C$19/12</x:f>
      </x:c>
      <x:c r="S100" s="24">
        <x:f>MIN(MAX(0,($C100+$F100)-$M100),$R100)</x:f>
      </x:c>
      <x:c r="T100" s="24">
        <x:f>MIN(MAX(0,($D100+$X100)-$N100),MAX(0,$Q100-$U100))</x:f>
      </x:c>
      <x:c r="U100" s="24">
        <x:f>MIN(MAX(0,$E100-$I100),$Q100)</x:f>
      </x:c>
      <x:c r="V100" s="24">
        <x:f>MAX(0,$Q100-$U100)-$T100</x:f>
      </x:c>
      <x:c r="W100" s="24">
        <x:f>MAX(0,MAX(0,($C100+$F100)-$M100)-$S100)-MIN(MAX(0,$D$3-(MAX(0,$F100-MAX(0,($M100+$S100)-$C100)))),MAX(0,MAX(0,($C100+$F100)-$M100)-$S100))</x:f>
      </x:c>
      <x:c r="X100" s="24">
        <x:f>IF(Inputs!$C$39=1,$W100,0)</x:f>
      </x:c>
      <x:c r="Y100" s="24">
        <x:f>IF(Inputs!$C$39=0,$W100,0)+MAX(0,MAX(0,($D100+$X100)-$N100)-$T100)</x:f>
      </x:c>
    </x:row>
    <x:row r="101">
      <x:c r="B101" s="22" t="n">
        <x:v>96</x:v>
      </x:c>
      <x:c r="C101" s="29">
        <x:f>IF($B101&lt;=Inputs!$C$6+Inputs!$C$11,Cashflow_Asset!$E99-Cashflow_Asset!$K99,0)</x:f>
      </x:c>
      <x:c r="D101" s="29">
        <x:f>IF($B101&lt;=Inputs!$C$6+Inputs!$C$11,Cashflow_Asset!$F99+Cashflow_Asset!$G99+Cashflow_Asset!$I99,0)</x:f>
      </x:c>
      <x:c r="E101" s="29">
        <x:f>IF($B101&lt;=Inputs!$C$6+Inputs!$C$11,Cashflow_Asset!$J99,0)</x:f>
      </x:c>
      <x:c r="F101" s="23">
        <x:f>$G100</x:f>
      </x:c>
      <x:c r="G101" s="24">
        <x:f>(MAX(0,$F101-MAX(0,($M101+$S101)-$C101)))+MIN(MAX(0,$D$3-(MAX(0,$F101-MAX(0,($M101+$S101)-$C101)))),MAX(0,MAX(0,($C101+$F101)-$M101)-$S101))</x:f>
      </x:c>
      <x:c r="H101" s="23">
        <x:f>$J100</x:f>
      </x:c>
      <x:c r="I101" s="24">
        <x:f>MIN($E101,$H101)</x:f>
      </x:c>
      <x:c r="J101" s="24">
        <x:f>$H101-$I101</x:f>
      </x:c>
      <x:c r="K101" s="23">
        <x:f>$P100</x:f>
      </x:c>
      <x:c r="L101" s="24">
        <x:f>$K101*Inputs!$C$18/12</x:f>
      </x:c>
      <x:c r="M101" s="24">
        <x:f>MIN(($C101+$F101),$L101)</x:f>
      </x:c>
      <x:c r="N101" s="24">
        <x:f>MIN(($D101+$X101),MAX(0,$K101-$O101))</x:f>
      </x:c>
      <x:c r="O101" s="24">
        <x:f>MIN(MAX(0,MAX(0,$E101-$I101)-$U101),$K101)</x:f>
      </x:c>
      <x:c r="P101" s="24">
        <x:f>MAX(0,$K101-$O101)-$N101</x:f>
      </x:c>
      <x:c r="Q101" s="23">
        <x:f>$V100</x:f>
      </x:c>
      <x:c r="R101" s="24">
        <x:f>$Q101*Inputs!$C$19/12</x:f>
      </x:c>
      <x:c r="S101" s="24">
        <x:f>MIN(MAX(0,($C101+$F101)-$M101),$R101)</x:f>
      </x:c>
      <x:c r="T101" s="24">
        <x:f>MIN(MAX(0,($D101+$X101)-$N101),MAX(0,$Q101-$U101))</x:f>
      </x:c>
      <x:c r="U101" s="24">
        <x:f>MIN(MAX(0,$E101-$I101),$Q101)</x:f>
      </x:c>
      <x:c r="V101" s="24">
        <x:f>MAX(0,$Q101-$U101)-$T101</x:f>
      </x:c>
      <x:c r="W101" s="24">
        <x:f>MAX(0,MAX(0,($C101+$F101)-$M101)-$S101)-MIN(MAX(0,$D$3-(MAX(0,$F101-MAX(0,($M101+$S101)-$C101)))),MAX(0,MAX(0,($C101+$F101)-$M101)-$S101))</x:f>
      </x:c>
      <x:c r="X101" s="24">
        <x:f>IF(Inputs!$C$39=1,$W101,0)</x:f>
      </x:c>
      <x:c r="Y101" s="24">
        <x:f>IF(Inputs!$C$39=0,$W101,0)+MAX(0,MAX(0,($D101+$X101)-$N101)-$T101)</x:f>
      </x:c>
    </x:row>
    <x:row r="102">
      <x:c r="B102" s="22" t="n">
        <x:v>97</x:v>
      </x:c>
      <x:c r="C102" s="29">
        <x:f>IF($B102&lt;=Inputs!$C$6+Inputs!$C$11,Cashflow_Asset!$E100-Cashflow_Asset!$K100,0)</x:f>
      </x:c>
      <x:c r="D102" s="29">
        <x:f>IF($B102&lt;=Inputs!$C$6+Inputs!$C$11,Cashflow_Asset!$F100+Cashflow_Asset!$G100+Cashflow_Asset!$I100,0)</x:f>
      </x:c>
      <x:c r="E102" s="29">
        <x:f>IF($B102&lt;=Inputs!$C$6+Inputs!$C$11,Cashflow_Asset!$J100,0)</x:f>
      </x:c>
      <x:c r="F102" s="23">
        <x:f>$G101</x:f>
      </x:c>
      <x:c r="G102" s="24">
        <x:f>(MAX(0,$F102-MAX(0,($M102+$S102)-$C102)))+MIN(MAX(0,$D$3-(MAX(0,$F102-MAX(0,($M102+$S102)-$C102)))),MAX(0,MAX(0,($C102+$F102)-$M102)-$S102))</x:f>
      </x:c>
      <x:c r="H102" s="23">
        <x:f>$J101</x:f>
      </x:c>
      <x:c r="I102" s="24">
        <x:f>MIN($E102,$H102)</x:f>
      </x:c>
      <x:c r="J102" s="24">
        <x:f>$H102-$I102</x:f>
      </x:c>
      <x:c r="K102" s="23">
        <x:f>$P101</x:f>
      </x:c>
      <x:c r="L102" s="24">
        <x:f>$K102*Inputs!$C$18/12</x:f>
      </x:c>
      <x:c r="M102" s="24">
        <x:f>MIN(($C102+$F102),$L102)</x:f>
      </x:c>
      <x:c r="N102" s="24">
        <x:f>MIN(($D102+$X102),MAX(0,$K102-$O102))</x:f>
      </x:c>
      <x:c r="O102" s="24">
        <x:f>MIN(MAX(0,MAX(0,$E102-$I102)-$U102),$K102)</x:f>
      </x:c>
      <x:c r="P102" s="24">
        <x:f>MAX(0,$K102-$O102)-$N102</x:f>
      </x:c>
      <x:c r="Q102" s="23">
        <x:f>$V101</x:f>
      </x:c>
      <x:c r="R102" s="24">
        <x:f>$Q102*Inputs!$C$19/12</x:f>
      </x:c>
      <x:c r="S102" s="24">
        <x:f>MIN(MAX(0,($C102+$F102)-$M102),$R102)</x:f>
      </x:c>
      <x:c r="T102" s="24">
        <x:f>MIN(MAX(0,($D102+$X102)-$N102),MAX(0,$Q102-$U102))</x:f>
      </x:c>
      <x:c r="U102" s="24">
        <x:f>MIN(MAX(0,$E102-$I102),$Q102)</x:f>
      </x:c>
      <x:c r="V102" s="24">
        <x:f>MAX(0,$Q102-$U102)-$T102</x:f>
      </x:c>
      <x:c r="W102" s="24">
        <x:f>MAX(0,MAX(0,($C102+$F102)-$M102)-$S102)-MIN(MAX(0,$D$3-(MAX(0,$F102-MAX(0,($M102+$S102)-$C102)))),MAX(0,MAX(0,($C102+$F102)-$M102)-$S102))</x:f>
      </x:c>
      <x:c r="X102" s="24">
        <x:f>IF(Inputs!$C$39=1,$W102,0)</x:f>
      </x:c>
      <x:c r="Y102" s="24">
        <x:f>IF(Inputs!$C$39=0,$W102,0)+MAX(0,MAX(0,($D102+$X102)-$N102)-$T102)</x:f>
      </x:c>
    </x:row>
    <x:row r="103">
      <x:c r="B103" s="22" t="n">
        <x:v>98</x:v>
      </x:c>
      <x:c r="C103" s="29">
        <x:f>IF($B103&lt;=Inputs!$C$6+Inputs!$C$11,Cashflow_Asset!$E101-Cashflow_Asset!$K101,0)</x:f>
      </x:c>
      <x:c r="D103" s="29">
        <x:f>IF($B103&lt;=Inputs!$C$6+Inputs!$C$11,Cashflow_Asset!$F101+Cashflow_Asset!$G101+Cashflow_Asset!$I101,0)</x:f>
      </x:c>
      <x:c r="E103" s="29">
        <x:f>IF($B103&lt;=Inputs!$C$6+Inputs!$C$11,Cashflow_Asset!$J101,0)</x:f>
      </x:c>
      <x:c r="F103" s="23">
        <x:f>$G102</x:f>
      </x:c>
      <x:c r="G103" s="24">
        <x:f>(MAX(0,$F103-MAX(0,($M103+$S103)-$C103)))+MIN(MAX(0,$D$3-(MAX(0,$F103-MAX(0,($M103+$S103)-$C103)))),MAX(0,MAX(0,($C103+$F103)-$M103)-$S103))</x:f>
      </x:c>
      <x:c r="H103" s="23">
        <x:f>$J102</x:f>
      </x:c>
      <x:c r="I103" s="24">
        <x:f>MIN($E103,$H103)</x:f>
      </x:c>
      <x:c r="J103" s="24">
        <x:f>$H103-$I103</x:f>
      </x:c>
      <x:c r="K103" s="23">
        <x:f>$P102</x:f>
      </x:c>
      <x:c r="L103" s="24">
        <x:f>$K103*Inputs!$C$18/12</x:f>
      </x:c>
      <x:c r="M103" s="24">
        <x:f>MIN(($C103+$F103),$L103)</x:f>
      </x:c>
      <x:c r="N103" s="24">
        <x:f>MIN(($D103+$X103),MAX(0,$K103-$O103))</x:f>
      </x:c>
      <x:c r="O103" s="24">
        <x:f>MIN(MAX(0,MAX(0,$E103-$I103)-$U103),$K103)</x:f>
      </x:c>
      <x:c r="P103" s="24">
        <x:f>MAX(0,$K103-$O103)-$N103</x:f>
      </x:c>
      <x:c r="Q103" s="23">
        <x:f>$V102</x:f>
      </x:c>
      <x:c r="R103" s="24">
        <x:f>$Q103*Inputs!$C$19/12</x:f>
      </x:c>
      <x:c r="S103" s="24">
        <x:f>MIN(MAX(0,($C103+$F103)-$M103),$R103)</x:f>
      </x:c>
      <x:c r="T103" s="24">
        <x:f>MIN(MAX(0,($D103+$X103)-$N103),MAX(0,$Q103-$U103))</x:f>
      </x:c>
      <x:c r="U103" s="24">
        <x:f>MIN(MAX(0,$E103-$I103),$Q103)</x:f>
      </x:c>
      <x:c r="V103" s="24">
        <x:f>MAX(0,$Q103-$U103)-$T103</x:f>
      </x:c>
      <x:c r="W103" s="24">
        <x:f>MAX(0,MAX(0,($C103+$F103)-$M103)-$S103)-MIN(MAX(0,$D$3-(MAX(0,$F103-MAX(0,($M103+$S103)-$C103)))),MAX(0,MAX(0,($C103+$F103)-$M103)-$S103))</x:f>
      </x:c>
      <x:c r="X103" s="24">
        <x:f>IF(Inputs!$C$39=1,$W103,0)</x:f>
      </x:c>
      <x:c r="Y103" s="24">
        <x:f>IF(Inputs!$C$39=0,$W103,0)+MAX(0,MAX(0,($D103+$X103)-$N103)-$T103)</x:f>
      </x:c>
    </x:row>
    <x:row r="104">
      <x:c r="B104" s="22" t="n">
        <x:v>99</x:v>
      </x:c>
      <x:c r="C104" s="29">
        <x:f>IF($B104&lt;=Inputs!$C$6+Inputs!$C$11,Cashflow_Asset!$E102-Cashflow_Asset!$K102,0)</x:f>
      </x:c>
      <x:c r="D104" s="29">
        <x:f>IF($B104&lt;=Inputs!$C$6+Inputs!$C$11,Cashflow_Asset!$F102+Cashflow_Asset!$G102+Cashflow_Asset!$I102,0)</x:f>
      </x:c>
      <x:c r="E104" s="29">
        <x:f>IF($B104&lt;=Inputs!$C$6+Inputs!$C$11,Cashflow_Asset!$J102,0)</x:f>
      </x:c>
      <x:c r="F104" s="23">
        <x:f>$G103</x:f>
      </x:c>
      <x:c r="G104" s="24">
        <x:f>(MAX(0,$F104-MAX(0,($M104+$S104)-$C104)))+MIN(MAX(0,$D$3-(MAX(0,$F104-MAX(0,($M104+$S104)-$C104)))),MAX(0,MAX(0,($C104+$F104)-$M104)-$S104))</x:f>
      </x:c>
      <x:c r="H104" s="23">
        <x:f>$J103</x:f>
      </x:c>
      <x:c r="I104" s="24">
        <x:f>MIN($E104,$H104)</x:f>
      </x:c>
      <x:c r="J104" s="24">
        <x:f>$H104-$I104</x:f>
      </x:c>
      <x:c r="K104" s="23">
        <x:f>$P103</x:f>
      </x:c>
      <x:c r="L104" s="24">
        <x:f>$K104*Inputs!$C$18/12</x:f>
      </x:c>
      <x:c r="M104" s="24">
        <x:f>MIN(($C104+$F104),$L104)</x:f>
      </x:c>
      <x:c r="N104" s="24">
        <x:f>MIN(($D104+$X104),MAX(0,$K104-$O104))</x:f>
      </x:c>
      <x:c r="O104" s="24">
        <x:f>MIN(MAX(0,MAX(0,$E104-$I104)-$U104),$K104)</x:f>
      </x:c>
      <x:c r="P104" s="24">
        <x:f>MAX(0,$K104-$O104)-$N104</x:f>
      </x:c>
      <x:c r="Q104" s="23">
        <x:f>$V103</x:f>
      </x:c>
      <x:c r="R104" s="24">
        <x:f>$Q104*Inputs!$C$19/12</x:f>
      </x:c>
      <x:c r="S104" s="24">
        <x:f>MIN(MAX(0,($C104+$F104)-$M104),$R104)</x:f>
      </x:c>
      <x:c r="T104" s="24">
        <x:f>MIN(MAX(0,($D104+$X104)-$N104),MAX(0,$Q104-$U104))</x:f>
      </x:c>
      <x:c r="U104" s="24">
        <x:f>MIN(MAX(0,$E104-$I104),$Q104)</x:f>
      </x:c>
      <x:c r="V104" s="24">
        <x:f>MAX(0,$Q104-$U104)-$T104</x:f>
      </x:c>
      <x:c r="W104" s="24">
        <x:f>MAX(0,MAX(0,($C104+$F104)-$M104)-$S104)-MIN(MAX(0,$D$3-(MAX(0,$F104-MAX(0,($M104+$S104)-$C104)))),MAX(0,MAX(0,($C104+$F104)-$M104)-$S104))</x:f>
      </x:c>
      <x:c r="X104" s="24">
        <x:f>IF(Inputs!$C$39=1,$W104,0)</x:f>
      </x:c>
      <x:c r="Y104" s="24">
        <x:f>IF(Inputs!$C$39=0,$W104,0)+MAX(0,MAX(0,($D104+$X104)-$N104)-$T104)</x:f>
      </x:c>
    </x:row>
    <x:row r="105">
      <x:c r="B105" s="22" t="n">
        <x:v>100</x:v>
      </x:c>
      <x:c r="C105" s="29">
        <x:f>IF($B105&lt;=Inputs!$C$6+Inputs!$C$11,Cashflow_Asset!$E103-Cashflow_Asset!$K103,0)</x:f>
      </x:c>
      <x:c r="D105" s="29">
        <x:f>IF($B105&lt;=Inputs!$C$6+Inputs!$C$11,Cashflow_Asset!$F103+Cashflow_Asset!$G103+Cashflow_Asset!$I103,0)</x:f>
      </x:c>
      <x:c r="E105" s="29">
        <x:f>IF($B105&lt;=Inputs!$C$6+Inputs!$C$11,Cashflow_Asset!$J103,0)</x:f>
      </x:c>
      <x:c r="F105" s="23">
        <x:f>$G104</x:f>
      </x:c>
      <x:c r="G105" s="24">
        <x:f>(MAX(0,$F105-MAX(0,($M105+$S105)-$C105)))+MIN(MAX(0,$D$3-(MAX(0,$F105-MAX(0,($M105+$S105)-$C105)))),MAX(0,MAX(0,($C105+$F105)-$M105)-$S105))</x:f>
      </x:c>
      <x:c r="H105" s="23">
        <x:f>$J104</x:f>
      </x:c>
      <x:c r="I105" s="24">
        <x:f>MIN($E105,$H105)</x:f>
      </x:c>
      <x:c r="J105" s="24">
        <x:f>$H105-$I105</x:f>
      </x:c>
      <x:c r="K105" s="23">
        <x:f>$P104</x:f>
      </x:c>
      <x:c r="L105" s="24">
        <x:f>$K105*Inputs!$C$18/12</x:f>
      </x:c>
      <x:c r="M105" s="24">
        <x:f>MIN(($C105+$F105),$L105)</x:f>
      </x:c>
      <x:c r="N105" s="24">
        <x:f>MIN(($D105+$X105),MAX(0,$K105-$O105))</x:f>
      </x:c>
      <x:c r="O105" s="24">
        <x:f>MIN(MAX(0,MAX(0,$E105-$I105)-$U105),$K105)</x:f>
      </x:c>
      <x:c r="P105" s="24">
        <x:f>MAX(0,$K105-$O105)-$N105</x:f>
      </x:c>
      <x:c r="Q105" s="23">
        <x:f>$V104</x:f>
      </x:c>
      <x:c r="R105" s="24">
        <x:f>$Q105*Inputs!$C$19/12</x:f>
      </x:c>
      <x:c r="S105" s="24">
        <x:f>MIN(MAX(0,($C105+$F105)-$M105),$R105)</x:f>
      </x:c>
      <x:c r="T105" s="24">
        <x:f>MIN(MAX(0,($D105+$X105)-$N105),MAX(0,$Q105-$U105))</x:f>
      </x:c>
      <x:c r="U105" s="24">
        <x:f>MIN(MAX(0,$E105-$I105),$Q105)</x:f>
      </x:c>
      <x:c r="V105" s="24">
        <x:f>MAX(0,$Q105-$U105)-$T105</x:f>
      </x:c>
      <x:c r="W105" s="24">
        <x:f>MAX(0,MAX(0,($C105+$F105)-$M105)-$S105)-MIN(MAX(0,$D$3-(MAX(0,$F105-MAX(0,($M105+$S105)-$C105)))),MAX(0,MAX(0,($C105+$F105)-$M105)-$S105))</x:f>
      </x:c>
      <x:c r="X105" s="24">
        <x:f>IF(Inputs!$C$39=1,$W105,0)</x:f>
      </x:c>
      <x:c r="Y105" s="24">
        <x:f>IF(Inputs!$C$39=0,$W105,0)+MAX(0,MAX(0,($D105+$X105)-$N105)-$T105)</x:f>
      </x:c>
    </x:row>
    <x:row r="106">
      <x:c r="B106" s="22" t="n">
        <x:v>101</x:v>
      </x:c>
      <x:c r="C106" s="29">
        <x:f>IF($B106&lt;=Inputs!$C$6+Inputs!$C$11,Cashflow_Asset!$E104-Cashflow_Asset!$K104,0)</x:f>
      </x:c>
      <x:c r="D106" s="29">
        <x:f>IF($B106&lt;=Inputs!$C$6+Inputs!$C$11,Cashflow_Asset!$F104+Cashflow_Asset!$G104+Cashflow_Asset!$I104,0)</x:f>
      </x:c>
      <x:c r="E106" s="29">
        <x:f>IF($B106&lt;=Inputs!$C$6+Inputs!$C$11,Cashflow_Asset!$J104,0)</x:f>
      </x:c>
      <x:c r="F106" s="23">
        <x:f>$G105</x:f>
      </x:c>
      <x:c r="G106" s="24">
        <x:f>(MAX(0,$F106-MAX(0,($M106+$S106)-$C106)))+MIN(MAX(0,$D$3-(MAX(0,$F106-MAX(0,($M106+$S106)-$C106)))),MAX(0,MAX(0,($C106+$F106)-$M106)-$S106))</x:f>
      </x:c>
      <x:c r="H106" s="23">
        <x:f>$J105</x:f>
      </x:c>
      <x:c r="I106" s="24">
        <x:f>MIN($E106,$H106)</x:f>
      </x:c>
      <x:c r="J106" s="24">
        <x:f>$H106-$I106</x:f>
      </x:c>
      <x:c r="K106" s="23">
        <x:f>$P105</x:f>
      </x:c>
      <x:c r="L106" s="24">
        <x:f>$K106*Inputs!$C$18/12</x:f>
      </x:c>
      <x:c r="M106" s="24">
        <x:f>MIN(($C106+$F106),$L106)</x:f>
      </x:c>
      <x:c r="N106" s="24">
        <x:f>MIN(($D106+$X106),MAX(0,$K106-$O106))</x:f>
      </x:c>
      <x:c r="O106" s="24">
        <x:f>MIN(MAX(0,MAX(0,$E106-$I106)-$U106),$K106)</x:f>
      </x:c>
      <x:c r="P106" s="24">
        <x:f>MAX(0,$K106-$O106)-$N106</x:f>
      </x:c>
      <x:c r="Q106" s="23">
        <x:f>$V105</x:f>
      </x:c>
      <x:c r="R106" s="24">
        <x:f>$Q106*Inputs!$C$19/12</x:f>
      </x:c>
      <x:c r="S106" s="24">
        <x:f>MIN(MAX(0,($C106+$F106)-$M106),$R106)</x:f>
      </x:c>
      <x:c r="T106" s="24">
        <x:f>MIN(MAX(0,($D106+$X106)-$N106),MAX(0,$Q106-$U106))</x:f>
      </x:c>
      <x:c r="U106" s="24">
        <x:f>MIN(MAX(0,$E106-$I106),$Q106)</x:f>
      </x:c>
      <x:c r="V106" s="24">
        <x:f>MAX(0,$Q106-$U106)-$T106</x:f>
      </x:c>
      <x:c r="W106" s="24">
        <x:f>MAX(0,MAX(0,($C106+$F106)-$M106)-$S106)-MIN(MAX(0,$D$3-(MAX(0,$F106-MAX(0,($M106+$S106)-$C106)))),MAX(0,MAX(0,($C106+$F106)-$M106)-$S106))</x:f>
      </x:c>
      <x:c r="X106" s="24">
        <x:f>IF(Inputs!$C$39=1,$W106,0)</x:f>
      </x:c>
      <x:c r="Y106" s="24">
        <x:f>IF(Inputs!$C$39=0,$W106,0)+MAX(0,MAX(0,($D106+$X106)-$N106)-$T106)</x:f>
      </x:c>
    </x:row>
    <x:row r="107">
      <x:c r="B107" s="22" t="n">
        <x:v>102</x:v>
      </x:c>
      <x:c r="C107" s="29">
        <x:f>IF($B107&lt;=Inputs!$C$6+Inputs!$C$11,Cashflow_Asset!$E105-Cashflow_Asset!$K105,0)</x:f>
      </x:c>
      <x:c r="D107" s="29">
        <x:f>IF($B107&lt;=Inputs!$C$6+Inputs!$C$11,Cashflow_Asset!$F105+Cashflow_Asset!$G105+Cashflow_Asset!$I105,0)</x:f>
      </x:c>
      <x:c r="E107" s="29">
        <x:f>IF($B107&lt;=Inputs!$C$6+Inputs!$C$11,Cashflow_Asset!$J105,0)</x:f>
      </x:c>
      <x:c r="F107" s="23">
        <x:f>$G106</x:f>
      </x:c>
      <x:c r="G107" s="24">
        <x:f>(MAX(0,$F107-MAX(0,($M107+$S107)-$C107)))+MIN(MAX(0,$D$3-(MAX(0,$F107-MAX(0,($M107+$S107)-$C107)))),MAX(0,MAX(0,($C107+$F107)-$M107)-$S107))</x:f>
      </x:c>
      <x:c r="H107" s="23">
        <x:f>$J106</x:f>
      </x:c>
      <x:c r="I107" s="24">
        <x:f>MIN($E107,$H107)</x:f>
      </x:c>
      <x:c r="J107" s="24">
        <x:f>$H107-$I107</x:f>
      </x:c>
      <x:c r="K107" s="23">
        <x:f>$P106</x:f>
      </x:c>
      <x:c r="L107" s="24">
        <x:f>$K107*Inputs!$C$18/12</x:f>
      </x:c>
      <x:c r="M107" s="24">
        <x:f>MIN(($C107+$F107),$L107)</x:f>
      </x:c>
      <x:c r="N107" s="24">
        <x:f>MIN(($D107+$X107),MAX(0,$K107-$O107))</x:f>
      </x:c>
      <x:c r="O107" s="24">
        <x:f>MIN(MAX(0,MAX(0,$E107-$I107)-$U107),$K107)</x:f>
      </x:c>
      <x:c r="P107" s="24">
        <x:f>MAX(0,$K107-$O107)-$N107</x:f>
      </x:c>
      <x:c r="Q107" s="23">
        <x:f>$V106</x:f>
      </x:c>
      <x:c r="R107" s="24">
        <x:f>$Q107*Inputs!$C$19/12</x:f>
      </x:c>
      <x:c r="S107" s="24">
        <x:f>MIN(MAX(0,($C107+$F107)-$M107),$R107)</x:f>
      </x:c>
      <x:c r="T107" s="24">
        <x:f>MIN(MAX(0,($D107+$X107)-$N107),MAX(0,$Q107-$U107))</x:f>
      </x:c>
      <x:c r="U107" s="24">
        <x:f>MIN(MAX(0,$E107-$I107),$Q107)</x:f>
      </x:c>
      <x:c r="V107" s="24">
        <x:f>MAX(0,$Q107-$U107)-$T107</x:f>
      </x:c>
      <x:c r="W107" s="24">
        <x:f>MAX(0,MAX(0,($C107+$F107)-$M107)-$S107)-MIN(MAX(0,$D$3-(MAX(0,$F107-MAX(0,($M107+$S107)-$C107)))),MAX(0,MAX(0,($C107+$F107)-$M107)-$S107))</x:f>
      </x:c>
      <x:c r="X107" s="24">
        <x:f>IF(Inputs!$C$39=1,$W107,0)</x:f>
      </x:c>
      <x:c r="Y107" s="24">
        <x:f>IF(Inputs!$C$39=0,$W107,0)+MAX(0,MAX(0,($D107+$X107)-$N107)-$T107)</x:f>
      </x:c>
    </x:row>
    <x:row r="108">
      <x:c r="B108" s="22" t="n">
        <x:v>103</x:v>
      </x:c>
      <x:c r="C108" s="29">
        <x:f>IF($B108&lt;=Inputs!$C$6+Inputs!$C$11,Cashflow_Asset!$E106-Cashflow_Asset!$K106,0)</x:f>
      </x:c>
      <x:c r="D108" s="29">
        <x:f>IF($B108&lt;=Inputs!$C$6+Inputs!$C$11,Cashflow_Asset!$F106+Cashflow_Asset!$G106+Cashflow_Asset!$I106,0)</x:f>
      </x:c>
      <x:c r="E108" s="29">
        <x:f>IF($B108&lt;=Inputs!$C$6+Inputs!$C$11,Cashflow_Asset!$J106,0)</x:f>
      </x:c>
      <x:c r="F108" s="23">
        <x:f>$G107</x:f>
      </x:c>
      <x:c r="G108" s="24">
        <x:f>(MAX(0,$F108-MAX(0,($M108+$S108)-$C108)))+MIN(MAX(0,$D$3-(MAX(0,$F108-MAX(0,($M108+$S108)-$C108)))),MAX(0,MAX(0,($C108+$F108)-$M108)-$S108))</x:f>
      </x:c>
      <x:c r="H108" s="23">
        <x:f>$J107</x:f>
      </x:c>
      <x:c r="I108" s="24">
        <x:f>MIN($E108,$H108)</x:f>
      </x:c>
      <x:c r="J108" s="24">
        <x:f>$H108-$I108</x:f>
      </x:c>
      <x:c r="K108" s="23">
        <x:f>$P107</x:f>
      </x:c>
      <x:c r="L108" s="24">
        <x:f>$K108*Inputs!$C$18/12</x:f>
      </x:c>
      <x:c r="M108" s="24">
        <x:f>MIN(($C108+$F108),$L108)</x:f>
      </x:c>
      <x:c r="N108" s="24">
        <x:f>MIN(($D108+$X108),MAX(0,$K108-$O108))</x:f>
      </x:c>
      <x:c r="O108" s="24">
        <x:f>MIN(MAX(0,MAX(0,$E108-$I108)-$U108),$K108)</x:f>
      </x:c>
      <x:c r="P108" s="24">
        <x:f>MAX(0,$K108-$O108)-$N108</x:f>
      </x:c>
      <x:c r="Q108" s="23">
        <x:f>$V107</x:f>
      </x:c>
      <x:c r="R108" s="24">
        <x:f>$Q108*Inputs!$C$19/12</x:f>
      </x:c>
      <x:c r="S108" s="24">
        <x:f>MIN(MAX(0,($C108+$F108)-$M108),$R108)</x:f>
      </x:c>
      <x:c r="T108" s="24">
        <x:f>MIN(MAX(0,($D108+$X108)-$N108),MAX(0,$Q108-$U108))</x:f>
      </x:c>
      <x:c r="U108" s="24">
        <x:f>MIN(MAX(0,$E108-$I108),$Q108)</x:f>
      </x:c>
      <x:c r="V108" s="24">
        <x:f>MAX(0,$Q108-$U108)-$T108</x:f>
      </x:c>
      <x:c r="W108" s="24">
        <x:f>MAX(0,MAX(0,($C108+$F108)-$M108)-$S108)-MIN(MAX(0,$D$3-(MAX(0,$F108-MAX(0,($M108+$S108)-$C108)))),MAX(0,MAX(0,($C108+$F108)-$M108)-$S108))</x:f>
      </x:c>
      <x:c r="X108" s="24">
        <x:f>IF(Inputs!$C$39=1,$W108,0)</x:f>
      </x:c>
      <x:c r="Y108" s="24">
        <x:f>IF(Inputs!$C$39=0,$W108,0)+MAX(0,MAX(0,($D108+$X108)-$N108)-$T108)</x:f>
      </x:c>
    </x:row>
    <x:row r="109">
      <x:c r="B109" s="22" t="n">
        <x:v>104</x:v>
      </x:c>
      <x:c r="C109" s="29">
        <x:f>IF($B109&lt;=Inputs!$C$6+Inputs!$C$11,Cashflow_Asset!$E107-Cashflow_Asset!$K107,0)</x:f>
      </x:c>
      <x:c r="D109" s="29">
        <x:f>IF($B109&lt;=Inputs!$C$6+Inputs!$C$11,Cashflow_Asset!$F107+Cashflow_Asset!$G107+Cashflow_Asset!$I107,0)</x:f>
      </x:c>
      <x:c r="E109" s="29">
        <x:f>IF($B109&lt;=Inputs!$C$6+Inputs!$C$11,Cashflow_Asset!$J107,0)</x:f>
      </x:c>
      <x:c r="F109" s="23">
        <x:f>$G108</x:f>
      </x:c>
      <x:c r="G109" s="24">
        <x:f>(MAX(0,$F109-MAX(0,($M109+$S109)-$C109)))+MIN(MAX(0,$D$3-(MAX(0,$F109-MAX(0,($M109+$S109)-$C109)))),MAX(0,MAX(0,($C109+$F109)-$M109)-$S109))</x:f>
      </x:c>
      <x:c r="H109" s="23">
        <x:f>$J108</x:f>
      </x:c>
      <x:c r="I109" s="24">
        <x:f>MIN($E109,$H109)</x:f>
      </x:c>
      <x:c r="J109" s="24">
        <x:f>$H109-$I109</x:f>
      </x:c>
      <x:c r="K109" s="23">
        <x:f>$P108</x:f>
      </x:c>
      <x:c r="L109" s="24">
        <x:f>$K109*Inputs!$C$18/12</x:f>
      </x:c>
      <x:c r="M109" s="24">
        <x:f>MIN(($C109+$F109),$L109)</x:f>
      </x:c>
      <x:c r="N109" s="24">
        <x:f>MIN(($D109+$X109),MAX(0,$K109-$O109))</x:f>
      </x:c>
      <x:c r="O109" s="24">
        <x:f>MIN(MAX(0,MAX(0,$E109-$I109)-$U109),$K109)</x:f>
      </x:c>
      <x:c r="P109" s="24">
        <x:f>MAX(0,$K109-$O109)-$N109</x:f>
      </x:c>
      <x:c r="Q109" s="23">
        <x:f>$V108</x:f>
      </x:c>
      <x:c r="R109" s="24">
        <x:f>$Q109*Inputs!$C$19/12</x:f>
      </x:c>
      <x:c r="S109" s="24">
        <x:f>MIN(MAX(0,($C109+$F109)-$M109),$R109)</x:f>
      </x:c>
      <x:c r="T109" s="24">
        <x:f>MIN(MAX(0,($D109+$X109)-$N109),MAX(0,$Q109-$U109))</x:f>
      </x:c>
      <x:c r="U109" s="24">
        <x:f>MIN(MAX(0,$E109-$I109),$Q109)</x:f>
      </x:c>
      <x:c r="V109" s="24">
        <x:f>MAX(0,$Q109-$U109)-$T109</x:f>
      </x:c>
      <x:c r="W109" s="24">
        <x:f>MAX(0,MAX(0,($C109+$F109)-$M109)-$S109)-MIN(MAX(0,$D$3-(MAX(0,$F109-MAX(0,($M109+$S109)-$C109)))),MAX(0,MAX(0,($C109+$F109)-$M109)-$S109))</x:f>
      </x:c>
      <x:c r="X109" s="24">
        <x:f>IF(Inputs!$C$39=1,$W109,0)</x:f>
      </x:c>
      <x:c r="Y109" s="24">
        <x:f>IF(Inputs!$C$39=0,$W109,0)+MAX(0,MAX(0,($D109+$X109)-$N109)-$T109)</x:f>
      </x:c>
    </x:row>
    <x:row r="110">
      <x:c r="B110" s="22" t="n">
        <x:v>105</x:v>
      </x:c>
      <x:c r="C110" s="29">
        <x:f>IF($B110&lt;=Inputs!$C$6+Inputs!$C$11,Cashflow_Asset!$E108-Cashflow_Asset!$K108,0)</x:f>
      </x:c>
      <x:c r="D110" s="29">
        <x:f>IF($B110&lt;=Inputs!$C$6+Inputs!$C$11,Cashflow_Asset!$F108+Cashflow_Asset!$G108+Cashflow_Asset!$I108,0)</x:f>
      </x:c>
      <x:c r="E110" s="29">
        <x:f>IF($B110&lt;=Inputs!$C$6+Inputs!$C$11,Cashflow_Asset!$J108,0)</x:f>
      </x:c>
      <x:c r="F110" s="23">
        <x:f>$G109</x:f>
      </x:c>
      <x:c r="G110" s="24">
        <x:f>(MAX(0,$F110-MAX(0,($M110+$S110)-$C110)))+MIN(MAX(0,$D$3-(MAX(0,$F110-MAX(0,($M110+$S110)-$C110)))),MAX(0,MAX(0,($C110+$F110)-$M110)-$S110))</x:f>
      </x:c>
      <x:c r="H110" s="23">
        <x:f>$J109</x:f>
      </x:c>
      <x:c r="I110" s="24">
        <x:f>MIN($E110,$H110)</x:f>
      </x:c>
      <x:c r="J110" s="24">
        <x:f>$H110-$I110</x:f>
      </x:c>
      <x:c r="K110" s="23">
        <x:f>$P109</x:f>
      </x:c>
      <x:c r="L110" s="24">
        <x:f>$K110*Inputs!$C$18/12</x:f>
      </x:c>
      <x:c r="M110" s="24">
        <x:f>MIN(($C110+$F110),$L110)</x:f>
      </x:c>
      <x:c r="N110" s="24">
        <x:f>MIN(($D110+$X110),MAX(0,$K110-$O110))</x:f>
      </x:c>
      <x:c r="O110" s="24">
        <x:f>MIN(MAX(0,MAX(0,$E110-$I110)-$U110),$K110)</x:f>
      </x:c>
      <x:c r="P110" s="24">
        <x:f>MAX(0,$K110-$O110)-$N110</x:f>
      </x:c>
      <x:c r="Q110" s="23">
        <x:f>$V109</x:f>
      </x:c>
      <x:c r="R110" s="24">
        <x:f>$Q110*Inputs!$C$19/12</x:f>
      </x:c>
      <x:c r="S110" s="24">
        <x:f>MIN(MAX(0,($C110+$F110)-$M110),$R110)</x:f>
      </x:c>
      <x:c r="T110" s="24">
        <x:f>MIN(MAX(0,($D110+$X110)-$N110),MAX(0,$Q110-$U110))</x:f>
      </x:c>
      <x:c r="U110" s="24">
        <x:f>MIN(MAX(0,$E110-$I110),$Q110)</x:f>
      </x:c>
      <x:c r="V110" s="24">
        <x:f>MAX(0,$Q110-$U110)-$T110</x:f>
      </x:c>
      <x:c r="W110" s="24">
        <x:f>MAX(0,MAX(0,($C110+$F110)-$M110)-$S110)-MIN(MAX(0,$D$3-(MAX(0,$F110-MAX(0,($M110+$S110)-$C110)))),MAX(0,MAX(0,($C110+$F110)-$M110)-$S110))</x:f>
      </x:c>
      <x:c r="X110" s="24">
        <x:f>IF(Inputs!$C$39=1,$W110,0)</x:f>
      </x:c>
      <x:c r="Y110" s="24">
        <x:f>IF(Inputs!$C$39=0,$W110,0)+MAX(0,MAX(0,($D110+$X110)-$N110)-$T110)</x:f>
      </x:c>
    </x:row>
    <x:row r="111">
      <x:c r="B111" s="22" t="n">
        <x:v>106</x:v>
      </x:c>
      <x:c r="C111" s="29">
        <x:f>IF($B111&lt;=Inputs!$C$6+Inputs!$C$11,Cashflow_Asset!$E109-Cashflow_Asset!$K109,0)</x:f>
      </x:c>
      <x:c r="D111" s="29">
        <x:f>IF($B111&lt;=Inputs!$C$6+Inputs!$C$11,Cashflow_Asset!$F109+Cashflow_Asset!$G109+Cashflow_Asset!$I109,0)</x:f>
      </x:c>
      <x:c r="E111" s="29">
        <x:f>IF($B111&lt;=Inputs!$C$6+Inputs!$C$11,Cashflow_Asset!$J109,0)</x:f>
      </x:c>
      <x:c r="F111" s="23">
        <x:f>$G110</x:f>
      </x:c>
      <x:c r="G111" s="24">
        <x:f>(MAX(0,$F111-MAX(0,($M111+$S111)-$C111)))+MIN(MAX(0,$D$3-(MAX(0,$F111-MAX(0,($M111+$S111)-$C111)))),MAX(0,MAX(0,($C111+$F111)-$M111)-$S111))</x:f>
      </x:c>
      <x:c r="H111" s="23">
        <x:f>$J110</x:f>
      </x:c>
      <x:c r="I111" s="24">
        <x:f>MIN($E111,$H111)</x:f>
      </x:c>
      <x:c r="J111" s="24">
        <x:f>$H111-$I111</x:f>
      </x:c>
      <x:c r="K111" s="23">
        <x:f>$P110</x:f>
      </x:c>
      <x:c r="L111" s="24">
        <x:f>$K111*Inputs!$C$18/12</x:f>
      </x:c>
      <x:c r="M111" s="24">
        <x:f>MIN(($C111+$F111),$L111)</x:f>
      </x:c>
      <x:c r="N111" s="24">
        <x:f>MIN(($D111+$X111),MAX(0,$K111-$O111))</x:f>
      </x:c>
      <x:c r="O111" s="24">
        <x:f>MIN(MAX(0,MAX(0,$E111-$I111)-$U111),$K111)</x:f>
      </x:c>
      <x:c r="P111" s="24">
        <x:f>MAX(0,$K111-$O111)-$N111</x:f>
      </x:c>
      <x:c r="Q111" s="23">
        <x:f>$V110</x:f>
      </x:c>
      <x:c r="R111" s="24">
        <x:f>$Q111*Inputs!$C$19/12</x:f>
      </x:c>
      <x:c r="S111" s="24">
        <x:f>MIN(MAX(0,($C111+$F111)-$M111),$R111)</x:f>
      </x:c>
      <x:c r="T111" s="24">
        <x:f>MIN(MAX(0,($D111+$X111)-$N111),MAX(0,$Q111-$U111))</x:f>
      </x:c>
      <x:c r="U111" s="24">
        <x:f>MIN(MAX(0,$E111-$I111),$Q111)</x:f>
      </x:c>
      <x:c r="V111" s="24">
        <x:f>MAX(0,$Q111-$U111)-$T111</x:f>
      </x:c>
      <x:c r="W111" s="24">
        <x:f>MAX(0,MAX(0,($C111+$F111)-$M111)-$S111)-MIN(MAX(0,$D$3-(MAX(0,$F111-MAX(0,($M111+$S111)-$C111)))),MAX(0,MAX(0,($C111+$F111)-$M111)-$S111))</x:f>
      </x:c>
      <x:c r="X111" s="24">
        <x:f>IF(Inputs!$C$39=1,$W111,0)</x:f>
      </x:c>
      <x:c r="Y111" s="24">
        <x:f>IF(Inputs!$C$39=0,$W111,0)+MAX(0,MAX(0,($D111+$X111)-$N111)-$T111)</x:f>
      </x:c>
    </x:row>
    <x:row r="112">
      <x:c r="B112" s="22" t="n">
        <x:v>107</x:v>
      </x:c>
      <x:c r="C112" s="29">
        <x:f>IF($B112&lt;=Inputs!$C$6+Inputs!$C$11,Cashflow_Asset!$E110-Cashflow_Asset!$K110,0)</x:f>
      </x:c>
      <x:c r="D112" s="29">
        <x:f>IF($B112&lt;=Inputs!$C$6+Inputs!$C$11,Cashflow_Asset!$F110+Cashflow_Asset!$G110+Cashflow_Asset!$I110,0)</x:f>
      </x:c>
      <x:c r="E112" s="29">
        <x:f>IF($B112&lt;=Inputs!$C$6+Inputs!$C$11,Cashflow_Asset!$J110,0)</x:f>
      </x:c>
      <x:c r="F112" s="23">
        <x:f>$G111</x:f>
      </x:c>
      <x:c r="G112" s="24">
        <x:f>(MAX(0,$F112-MAX(0,($M112+$S112)-$C112)))+MIN(MAX(0,$D$3-(MAX(0,$F112-MAX(0,($M112+$S112)-$C112)))),MAX(0,MAX(0,($C112+$F112)-$M112)-$S112))</x:f>
      </x:c>
      <x:c r="H112" s="23">
        <x:f>$J111</x:f>
      </x:c>
      <x:c r="I112" s="24">
        <x:f>MIN($E112,$H112)</x:f>
      </x:c>
      <x:c r="J112" s="24">
        <x:f>$H112-$I112</x:f>
      </x:c>
      <x:c r="K112" s="23">
        <x:f>$P111</x:f>
      </x:c>
      <x:c r="L112" s="24">
        <x:f>$K112*Inputs!$C$18/12</x:f>
      </x:c>
      <x:c r="M112" s="24">
        <x:f>MIN(($C112+$F112),$L112)</x:f>
      </x:c>
      <x:c r="N112" s="24">
        <x:f>MIN(($D112+$X112),MAX(0,$K112-$O112))</x:f>
      </x:c>
      <x:c r="O112" s="24">
        <x:f>MIN(MAX(0,MAX(0,$E112-$I112)-$U112),$K112)</x:f>
      </x:c>
      <x:c r="P112" s="24">
        <x:f>MAX(0,$K112-$O112)-$N112</x:f>
      </x:c>
      <x:c r="Q112" s="23">
        <x:f>$V111</x:f>
      </x:c>
      <x:c r="R112" s="24">
        <x:f>$Q112*Inputs!$C$19/12</x:f>
      </x:c>
      <x:c r="S112" s="24">
        <x:f>MIN(MAX(0,($C112+$F112)-$M112),$R112)</x:f>
      </x:c>
      <x:c r="T112" s="24">
        <x:f>MIN(MAX(0,($D112+$X112)-$N112),MAX(0,$Q112-$U112))</x:f>
      </x:c>
      <x:c r="U112" s="24">
        <x:f>MIN(MAX(0,$E112-$I112),$Q112)</x:f>
      </x:c>
      <x:c r="V112" s="24">
        <x:f>MAX(0,$Q112-$U112)-$T112</x:f>
      </x:c>
      <x:c r="W112" s="24">
        <x:f>MAX(0,MAX(0,($C112+$F112)-$M112)-$S112)-MIN(MAX(0,$D$3-(MAX(0,$F112-MAX(0,($M112+$S112)-$C112)))),MAX(0,MAX(0,($C112+$F112)-$M112)-$S112))</x:f>
      </x:c>
      <x:c r="X112" s="24">
        <x:f>IF(Inputs!$C$39=1,$W112,0)</x:f>
      </x:c>
      <x:c r="Y112" s="24">
        <x:f>IF(Inputs!$C$39=0,$W112,0)+MAX(0,MAX(0,($D112+$X112)-$N112)-$T112)</x:f>
      </x:c>
    </x:row>
    <x:row r="113">
      <x:c r="B113" s="22" t="n">
        <x:v>108</x:v>
      </x:c>
      <x:c r="C113" s="29">
        <x:f>IF($B113&lt;=Inputs!$C$6+Inputs!$C$11,Cashflow_Asset!$E111-Cashflow_Asset!$K111,0)</x:f>
      </x:c>
      <x:c r="D113" s="29">
        <x:f>IF($B113&lt;=Inputs!$C$6+Inputs!$C$11,Cashflow_Asset!$F111+Cashflow_Asset!$G111+Cashflow_Asset!$I111,0)</x:f>
      </x:c>
      <x:c r="E113" s="29">
        <x:f>IF($B113&lt;=Inputs!$C$6+Inputs!$C$11,Cashflow_Asset!$J111,0)</x:f>
      </x:c>
      <x:c r="F113" s="23">
        <x:f>$G112</x:f>
      </x:c>
      <x:c r="G113" s="24">
        <x:f>(MAX(0,$F113-MAX(0,($M113+$S113)-$C113)))+MIN(MAX(0,$D$3-(MAX(0,$F113-MAX(0,($M113+$S113)-$C113)))),MAX(0,MAX(0,($C113+$F113)-$M113)-$S113))</x:f>
      </x:c>
      <x:c r="H113" s="23">
        <x:f>$J112</x:f>
      </x:c>
      <x:c r="I113" s="24">
        <x:f>MIN($E113,$H113)</x:f>
      </x:c>
      <x:c r="J113" s="24">
        <x:f>$H113-$I113</x:f>
      </x:c>
      <x:c r="K113" s="23">
        <x:f>$P112</x:f>
      </x:c>
      <x:c r="L113" s="24">
        <x:f>$K113*Inputs!$C$18/12</x:f>
      </x:c>
      <x:c r="M113" s="24">
        <x:f>MIN(($C113+$F113),$L113)</x:f>
      </x:c>
      <x:c r="N113" s="24">
        <x:f>MIN(($D113+$X113),MAX(0,$K113-$O113))</x:f>
      </x:c>
      <x:c r="O113" s="24">
        <x:f>MIN(MAX(0,MAX(0,$E113-$I113)-$U113),$K113)</x:f>
      </x:c>
      <x:c r="P113" s="24">
        <x:f>MAX(0,$K113-$O113)-$N113</x:f>
      </x:c>
      <x:c r="Q113" s="23">
        <x:f>$V112</x:f>
      </x:c>
      <x:c r="R113" s="24">
        <x:f>$Q113*Inputs!$C$19/12</x:f>
      </x:c>
      <x:c r="S113" s="24">
        <x:f>MIN(MAX(0,($C113+$F113)-$M113),$R113)</x:f>
      </x:c>
      <x:c r="T113" s="24">
        <x:f>MIN(MAX(0,($D113+$X113)-$N113),MAX(0,$Q113-$U113))</x:f>
      </x:c>
      <x:c r="U113" s="24">
        <x:f>MIN(MAX(0,$E113-$I113),$Q113)</x:f>
      </x:c>
      <x:c r="V113" s="24">
        <x:f>MAX(0,$Q113-$U113)-$T113</x:f>
      </x:c>
      <x:c r="W113" s="24">
        <x:f>MAX(0,MAX(0,($C113+$F113)-$M113)-$S113)-MIN(MAX(0,$D$3-(MAX(0,$F113-MAX(0,($M113+$S113)-$C113)))),MAX(0,MAX(0,($C113+$F113)-$M113)-$S113))</x:f>
      </x:c>
      <x:c r="X113" s="24">
        <x:f>IF(Inputs!$C$39=1,$W113,0)</x:f>
      </x:c>
      <x:c r="Y113" s="24">
        <x:f>IF(Inputs!$C$39=0,$W113,0)+MAX(0,MAX(0,($D113+$X113)-$N113)-$T113)</x:f>
      </x:c>
    </x:row>
    <x:row r="114">
      <x:c r="B114" s="22" t="n">
        <x:v>109</x:v>
      </x:c>
      <x:c r="C114" s="29">
        <x:f>IF($B114&lt;=Inputs!$C$6+Inputs!$C$11,Cashflow_Asset!$E112-Cashflow_Asset!$K112,0)</x:f>
      </x:c>
      <x:c r="D114" s="29">
        <x:f>IF($B114&lt;=Inputs!$C$6+Inputs!$C$11,Cashflow_Asset!$F112+Cashflow_Asset!$G112+Cashflow_Asset!$I112,0)</x:f>
      </x:c>
      <x:c r="E114" s="29">
        <x:f>IF($B114&lt;=Inputs!$C$6+Inputs!$C$11,Cashflow_Asset!$J112,0)</x:f>
      </x:c>
      <x:c r="F114" s="23">
        <x:f>$G113</x:f>
      </x:c>
      <x:c r="G114" s="24">
        <x:f>(MAX(0,$F114-MAX(0,($M114+$S114)-$C114)))+MIN(MAX(0,$D$3-(MAX(0,$F114-MAX(0,($M114+$S114)-$C114)))),MAX(0,MAX(0,($C114+$F114)-$M114)-$S114))</x:f>
      </x:c>
      <x:c r="H114" s="23">
        <x:f>$J113</x:f>
      </x:c>
      <x:c r="I114" s="24">
        <x:f>MIN($E114,$H114)</x:f>
      </x:c>
      <x:c r="J114" s="24">
        <x:f>$H114-$I114</x:f>
      </x:c>
      <x:c r="K114" s="23">
        <x:f>$P113</x:f>
      </x:c>
      <x:c r="L114" s="24">
        <x:f>$K114*Inputs!$C$18/12</x:f>
      </x:c>
      <x:c r="M114" s="24">
        <x:f>MIN(($C114+$F114),$L114)</x:f>
      </x:c>
      <x:c r="N114" s="24">
        <x:f>MIN(($D114+$X114),MAX(0,$K114-$O114))</x:f>
      </x:c>
      <x:c r="O114" s="24">
        <x:f>MIN(MAX(0,MAX(0,$E114-$I114)-$U114),$K114)</x:f>
      </x:c>
      <x:c r="P114" s="24">
        <x:f>MAX(0,$K114-$O114)-$N114</x:f>
      </x:c>
      <x:c r="Q114" s="23">
        <x:f>$V113</x:f>
      </x:c>
      <x:c r="R114" s="24">
        <x:f>$Q114*Inputs!$C$19/12</x:f>
      </x:c>
      <x:c r="S114" s="24">
        <x:f>MIN(MAX(0,($C114+$F114)-$M114),$R114)</x:f>
      </x:c>
      <x:c r="T114" s="24">
        <x:f>MIN(MAX(0,($D114+$X114)-$N114),MAX(0,$Q114-$U114))</x:f>
      </x:c>
      <x:c r="U114" s="24">
        <x:f>MIN(MAX(0,$E114-$I114),$Q114)</x:f>
      </x:c>
      <x:c r="V114" s="24">
        <x:f>MAX(0,$Q114-$U114)-$T114</x:f>
      </x:c>
      <x:c r="W114" s="24">
        <x:f>MAX(0,MAX(0,($C114+$F114)-$M114)-$S114)-MIN(MAX(0,$D$3-(MAX(0,$F114-MAX(0,($M114+$S114)-$C114)))),MAX(0,MAX(0,($C114+$F114)-$M114)-$S114))</x:f>
      </x:c>
      <x:c r="X114" s="24">
        <x:f>IF(Inputs!$C$39=1,$W114,0)</x:f>
      </x:c>
      <x:c r="Y114" s="24">
        <x:f>IF(Inputs!$C$39=0,$W114,0)+MAX(0,MAX(0,($D114+$X114)-$N114)-$T114)</x:f>
      </x:c>
    </x:row>
    <x:row r="115">
      <x:c r="B115" s="22" t="n">
        <x:v>110</x:v>
      </x:c>
      <x:c r="C115" s="29">
        <x:f>IF($B115&lt;=Inputs!$C$6+Inputs!$C$11,Cashflow_Asset!$E113-Cashflow_Asset!$K113,0)</x:f>
      </x:c>
      <x:c r="D115" s="29">
        <x:f>IF($B115&lt;=Inputs!$C$6+Inputs!$C$11,Cashflow_Asset!$F113+Cashflow_Asset!$G113+Cashflow_Asset!$I113,0)</x:f>
      </x:c>
      <x:c r="E115" s="29">
        <x:f>IF($B115&lt;=Inputs!$C$6+Inputs!$C$11,Cashflow_Asset!$J113,0)</x:f>
      </x:c>
      <x:c r="F115" s="23">
        <x:f>$G114</x:f>
      </x:c>
      <x:c r="G115" s="24">
        <x:f>(MAX(0,$F115-MAX(0,($M115+$S115)-$C115)))+MIN(MAX(0,$D$3-(MAX(0,$F115-MAX(0,($M115+$S115)-$C115)))),MAX(0,MAX(0,($C115+$F115)-$M115)-$S115))</x:f>
      </x:c>
      <x:c r="H115" s="23">
        <x:f>$J114</x:f>
      </x:c>
      <x:c r="I115" s="24">
        <x:f>MIN($E115,$H115)</x:f>
      </x:c>
      <x:c r="J115" s="24">
        <x:f>$H115-$I115</x:f>
      </x:c>
      <x:c r="K115" s="23">
        <x:f>$P114</x:f>
      </x:c>
      <x:c r="L115" s="24">
        <x:f>$K115*Inputs!$C$18/12</x:f>
      </x:c>
      <x:c r="M115" s="24">
        <x:f>MIN(($C115+$F115),$L115)</x:f>
      </x:c>
      <x:c r="N115" s="24">
        <x:f>MIN(($D115+$X115),MAX(0,$K115-$O115))</x:f>
      </x:c>
      <x:c r="O115" s="24">
        <x:f>MIN(MAX(0,MAX(0,$E115-$I115)-$U115),$K115)</x:f>
      </x:c>
      <x:c r="P115" s="24">
        <x:f>MAX(0,$K115-$O115)-$N115</x:f>
      </x:c>
      <x:c r="Q115" s="23">
        <x:f>$V114</x:f>
      </x:c>
      <x:c r="R115" s="24">
        <x:f>$Q115*Inputs!$C$19/12</x:f>
      </x:c>
      <x:c r="S115" s="24">
        <x:f>MIN(MAX(0,($C115+$F115)-$M115),$R115)</x:f>
      </x:c>
      <x:c r="T115" s="24">
        <x:f>MIN(MAX(0,($D115+$X115)-$N115),MAX(0,$Q115-$U115))</x:f>
      </x:c>
      <x:c r="U115" s="24">
        <x:f>MIN(MAX(0,$E115-$I115),$Q115)</x:f>
      </x:c>
      <x:c r="V115" s="24">
        <x:f>MAX(0,$Q115-$U115)-$T115</x:f>
      </x:c>
      <x:c r="W115" s="24">
        <x:f>MAX(0,MAX(0,($C115+$F115)-$M115)-$S115)-MIN(MAX(0,$D$3-(MAX(0,$F115-MAX(0,($M115+$S115)-$C115)))),MAX(0,MAX(0,($C115+$F115)-$M115)-$S115))</x:f>
      </x:c>
      <x:c r="X115" s="24">
        <x:f>IF(Inputs!$C$39=1,$W115,0)</x:f>
      </x:c>
      <x:c r="Y115" s="24">
        <x:f>IF(Inputs!$C$39=0,$W115,0)+MAX(0,MAX(0,($D115+$X115)-$N115)-$T115)</x:f>
      </x:c>
    </x:row>
    <x:row r="116">
      <x:c r="B116" s="22" t="n">
        <x:v>111</x:v>
      </x:c>
      <x:c r="C116" s="29">
        <x:f>IF($B116&lt;=Inputs!$C$6+Inputs!$C$11,Cashflow_Asset!$E114-Cashflow_Asset!$K114,0)</x:f>
      </x:c>
      <x:c r="D116" s="29">
        <x:f>IF($B116&lt;=Inputs!$C$6+Inputs!$C$11,Cashflow_Asset!$F114+Cashflow_Asset!$G114+Cashflow_Asset!$I114,0)</x:f>
      </x:c>
      <x:c r="E116" s="29">
        <x:f>IF($B116&lt;=Inputs!$C$6+Inputs!$C$11,Cashflow_Asset!$J114,0)</x:f>
      </x:c>
      <x:c r="F116" s="23">
        <x:f>$G115</x:f>
      </x:c>
      <x:c r="G116" s="24">
        <x:f>(MAX(0,$F116-MAX(0,($M116+$S116)-$C116)))+MIN(MAX(0,$D$3-(MAX(0,$F116-MAX(0,($M116+$S116)-$C116)))),MAX(0,MAX(0,($C116+$F116)-$M116)-$S116))</x:f>
      </x:c>
      <x:c r="H116" s="23">
        <x:f>$J115</x:f>
      </x:c>
      <x:c r="I116" s="24">
        <x:f>MIN($E116,$H116)</x:f>
      </x:c>
      <x:c r="J116" s="24">
        <x:f>$H116-$I116</x:f>
      </x:c>
      <x:c r="K116" s="23">
        <x:f>$P115</x:f>
      </x:c>
      <x:c r="L116" s="24">
        <x:f>$K116*Inputs!$C$18/12</x:f>
      </x:c>
      <x:c r="M116" s="24">
        <x:f>MIN(($C116+$F116),$L116)</x:f>
      </x:c>
      <x:c r="N116" s="24">
        <x:f>MIN(($D116+$X116),MAX(0,$K116-$O116))</x:f>
      </x:c>
      <x:c r="O116" s="24">
        <x:f>MIN(MAX(0,MAX(0,$E116-$I116)-$U116),$K116)</x:f>
      </x:c>
      <x:c r="P116" s="24">
        <x:f>MAX(0,$K116-$O116)-$N116</x:f>
      </x:c>
      <x:c r="Q116" s="23">
        <x:f>$V115</x:f>
      </x:c>
      <x:c r="R116" s="24">
        <x:f>$Q116*Inputs!$C$19/12</x:f>
      </x:c>
      <x:c r="S116" s="24">
        <x:f>MIN(MAX(0,($C116+$F116)-$M116),$R116)</x:f>
      </x:c>
      <x:c r="T116" s="24">
        <x:f>MIN(MAX(0,($D116+$X116)-$N116),MAX(0,$Q116-$U116))</x:f>
      </x:c>
      <x:c r="U116" s="24">
        <x:f>MIN(MAX(0,$E116-$I116),$Q116)</x:f>
      </x:c>
      <x:c r="V116" s="24">
        <x:f>MAX(0,$Q116-$U116)-$T116</x:f>
      </x:c>
      <x:c r="W116" s="24">
        <x:f>MAX(0,MAX(0,($C116+$F116)-$M116)-$S116)-MIN(MAX(0,$D$3-(MAX(0,$F116-MAX(0,($M116+$S116)-$C116)))),MAX(0,MAX(0,($C116+$F116)-$M116)-$S116))</x:f>
      </x:c>
      <x:c r="X116" s="24">
        <x:f>IF(Inputs!$C$39=1,$W116,0)</x:f>
      </x:c>
      <x:c r="Y116" s="24">
        <x:f>IF(Inputs!$C$39=0,$W116,0)+MAX(0,MAX(0,($D116+$X116)-$N116)-$T116)</x:f>
      </x:c>
    </x:row>
    <x:row r="117">
      <x:c r="B117" s="22" t="n">
        <x:v>112</x:v>
      </x:c>
      <x:c r="C117" s="29">
        <x:f>IF($B117&lt;=Inputs!$C$6+Inputs!$C$11,Cashflow_Asset!$E115-Cashflow_Asset!$K115,0)</x:f>
      </x:c>
      <x:c r="D117" s="29">
        <x:f>IF($B117&lt;=Inputs!$C$6+Inputs!$C$11,Cashflow_Asset!$F115+Cashflow_Asset!$G115+Cashflow_Asset!$I115,0)</x:f>
      </x:c>
      <x:c r="E117" s="29">
        <x:f>IF($B117&lt;=Inputs!$C$6+Inputs!$C$11,Cashflow_Asset!$J115,0)</x:f>
      </x:c>
      <x:c r="F117" s="23">
        <x:f>$G116</x:f>
      </x:c>
      <x:c r="G117" s="24">
        <x:f>(MAX(0,$F117-MAX(0,($M117+$S117)-$C117)))+MIN(MAX(0,$D$3-(MAX(0,$F117-MAX(0,($M117+$S117)-$C117)))),MAX(0,MAX(0,($C117+$F117)-$M117)-$S117))</x:f>
      </x:c>
      <x:c r="H117" s="23">
        <x:f>$J116</x:f>
      </x:c>
      <x:c r="I117" s="24">
        <x:f>MIN($E117,$H117)</x:f>
      </x:c>
      <x:c r="J117" s="24">
        <x:f>$H117-$I117</x:f>
      </x:c>
      <x:c r="K117" s="23">
        <x:f>$P116</x:f>
      </x:c>
      <x:c r="L117" s="24">
        <x:f>$K117*Inputs!$C$18/12</x:f>
      </x:c>
      <x:c r="M117" s="24">
        <x:f>MIN(($C117+$F117),$L117)</x:f>
      </x:c>
      <x:c r="N117" s="24">
        <x:f>MIN(($D117+$X117),MAX(0,$K117-$O117))</x:f>
      </x:c>
      <x:c r="O117" s="24">
        <x:f>MIN(MAX(0,MAX(0,$E117-$I117)-$U117),$K117)</x:f>
      </x:c>
      <x:c r="P117" s="24">
        <x:f>MAX(0,$K117-$O117)-$N117</x:f>
      </x:c>
      <x:c r="Q117" s="23">
        <x:f>$V116</x:f>
      </x:c>
      <x:c r="R117" s="24">
        <x:f>$Q117*Inputs!$C$19/12</x:f>
      </x:c>
      <x:c r="S117" s="24">
        <x:f>MIN(MAX(0,($C117+$F117)-$M117),$R117)</x:f>
      </x:c>
      <x:c r="T117" s="24">
        <x:f>MIN(MAX(0,($D117+$X117)-$N117),MAX(0,$Q117-$U117))</x:f>
      </x:c>
      <x:c r="U117" s="24">
        <x:f>MIN(MAX(0,$E117-$I117),$Q117)</x:f>
      </x:c>
      <x:c r="V117" s="24">
        <x:f>MAX(0,$Q117-$U117)-$T117</x:f>
      </x:c>
      <x:c r="W117" s="24">
        <x:f>MAX(0,MAX(0,($C117+$F117)-$M117)-$S117)-MIN(MAX(0,$D$3-(MAX(0,$F117-MAX(0,($M117+$S117)-$C117)))),MAX(0,MAX(0,($C117+$F117)-$M117)-$S117))</x:f>
      </x:c>
      <x:c r="X117" s="24">
        <x:f>IF(Inputs!$C$39=1,$W117,0)</x:f>
      </x:c>
      <x:c r="Y117" s="24">
        <x:f>IF(Inputs!$C$39=0,$W117,0)+MAX(0,MAX(0,($D117+$X117)-$N117)-$T117)</x:f>
      </x:c>
    </x:row>
    <x:row r="118">
      <x:c r="B118" s="22" t="n">
        <x:v>113</x:v>
      </x:c>
      <x:c r="C118" s="29">
        <x:f>IF($B118&lt;=Inputs!$C$6+Inputs!$C$11,Cashflow_Asset!$E116-Cashflow_Asset!$K116,0)</x:f>
      </x:c>
      <x:c r="D118" s="29">
        <x:f>IF($B118&lt;=Inputs!$C$6+Inputs!$C$11,Cashflow_Asset!$F116+Cashflow_Asset!$G116+Cashflow_Asset!$I116,0)</x:f>
      </x:c>
      <x:c r="E118" s="29">
        <x:f>IF($B118&lt;=Inputs!$C$6+Inputs!$C$11,Cashflow_Asset!$J116,0)</x:f>
      </x:c>
      <x:c r="F118" s="23">
        <x:f>$G117</x:f>
      </x:c>
      <x:c r="G118" s="24">
        <x:f>(MAX(0,$F118-MAX(0,($M118+$S118)-$C118)))+MIN(MAX(0,$D$3-(MAX(0,$F118-MAX(0,($M118+$S118)-$C118)))),MAX(0,MAX(0,($C118+$F118)-$M118)-$S118))</x:f>
      </x:c>
      <x:c r="H118" s="23">
        <x:f>$J117</x:f>
      </x:c>
      <x:c r="I118" s="24">
        <x:f>MIN($E118,$H118)</x:f>
      </x:c>
      <x:c r="J118" s="24">
        <x:f>$H118-$I118</x:f>
      </x:c>
      <x:c r="K118" s="23">
        <x:f>$P117</x:f>
      </x:c>
      <x:c r="L118" s="24">
        <x:f>$K118*Inputs!$C$18/12</x:f>
      </x:c>
      <x:c r="M118" s="24">
        <x:f>MIN(($C118+$F118),$L118)</x:f>
      </x:c>
      <x:c r="N118" s="24">
        <x:f>MIN(($D118+$X118),MAX(0,$K118-$O118))</x:f>
      </x:c>
      <x:c r="O118" s="24">
        <x:f>MIN(MAX(0,MAX(0,$E118-$I118)-$U118),$K118)</x:f>
      </x:c>
      <x:c r="P118" s="24">
        <x:f>MAX(0,$K118-$O118)-$N118</x:f>
      </x:c>
      <x:c r="Q118" s="23">
        <x:f>$V117</x:f>
      </x:c>
      <x:c r="R118" s="24">
        <x:f>$Q118*Inputs!$C$19/12</x:f>
      </x:c>
      <x:c r="S118" s="24">
        <x:f>MIN(MAX(0,($C118+$F118)-$M118),$R118)</x:f>
      </x:c>
      <x:c r="T118" s="24">
        <x:f>MIN(MAX(0,($D118+$X118)-$N118),MAX(0,$Q118-$U118))</x:f>
      </x:c>
      <x:c r="U118" s="24">
        <x:f>MIN(MAX(0,$E118-$I118),$Q118)</x:f>
      </x:c>
      <x:c r="V118" s="24">
        <x:f>MAX(0,$Q118-$U118)-$T118</x:f>
      </x:c>
      <x:c r="W118" s="24">
        <x:f>MAX(0,MAX(0,($C118+$F118)-$M118)-$S118)-MIN(MAX(0,$D$3-(MAX(0,$F118-MAX(0,($M118+$S118)-$C118)))),MAX(0,MAX(0,($C118+$F118)-$M118)-$S118))</x:f>
      </x:c>
      <x:c r="X118" s="24">
        <x:f>IF(Inputs!$C$39=1,$W118,0)</x:f>
      </x:c>
      <x:c r="Y118" s="24">
        <x:f>IF(Inputs!$C$39=0,$W118,0)+MAX(0,MAX(0,($D118+$X118)-$N118)-$T118)</x:f>
      </x:c>
    </x:row>
    <x:row r="119">
      <x:c r="B119" s="22" t="n">
        <x:v>114</x:v>
      </x:c>
      <x:c r="C119" s="29">
        <x:f>IF($B119&lt;=Inputs!$C$6+Inputs!$C$11,Cashflow_Asset!$E117-Cashflow_Asset!$K117,0)</x:f>
      </x:c>
      <x:c r="D119" s="29">
        <x:f>IF($B119&lt;=Inputs!$C$6+Inputs!$C$11,Cashflow_Asset!$F117+Cashflow_Asset!$G117+Cashflow_Asset!$I117,0)</x:f>
      </x:c>
      <x:c r="E119" s="29">
        <x:f>IF($B119&lt;=Inputs!$C$6+Inputs!$C$11,Cashflow_Asset!$J117,0)</x:f>
      </x:c>
      <x:c r="F119" s="23">
        <x:f>$G118</x:f>
      </x:c>
      <x:c r="G119" s="24">
        <x:f>(MAX(0,$F119-MAX(0,($M119+$S119)-$C119)))+MIN(MAX(0,$D$3-(MAX(0,$F119-MAX(0,($M119+$S119)-$C119)))),MAX(0,MAX(0,($C119+$F119)-$M119)-$S119))</x:f>
      </x:c>
      <x:c r="H119" s="23">
        <x:f>$J118</x:f>
      </x:c>
      <x:c r="I119" s="24">
        <x:f>MIN($E119,$H119)</x:f>
      </x:c>
      <x:c r="J119" s="24">
        <x:f>$H119-$I119</x:f>
      </x:c>
      <x:c r="K119" s="23">
        <x:f>$P118</x:f>
      </x:c>
      <x:c r="L119" s="24">
        <x:f>$K119*Inputs!$C$18/12</x:f>
      </x:c>
      <x:c r="M119" s="24">
        <x:f>MIN(($C119+$F119),$L119)</x:f>
      </x:c>
      <x:c r="N119" s="24">
        <x:f>MIN(($D119+$X119),MAX(0,$K119-$O119))</x:f>
      </x:c>
      <x:c r="O119" s="24">
        <x:f>MIN(MAX(0,MAX(0,$E119-$I119)-$U119),$K119)</x:f>
      </x:c>
      <x:c r="P119" s="24">
        <x:f>MAX(0,$K119-$O119)-$N119</x:f>
      </x:c>
      <x:c r="Q119" s="23">
        <x:f>$V118</x:f>
      </x:c>
      <x:c r="R119" s="24">
        <x:f>$Q119*Inputs!$C$19/12</x:f>
      </x:c>
      <x:c r="S119" s="24">
        <x:f>MIN(MAX(0,($C119+$F119)-$M119),$R119)</x:f>
      </x:c>
      <x:c r="T119" s="24">
        <x:f>MIN(MAX(0,($D119+$X119)-$N119),MAX(0,$Q119-$U119))</x:f>
      </x:c>
      <x:c r="U119" s="24">
        <x:f>MIN(MAX(0,$E119-$I119),$Q119)</x:f>
      </x:c>
      <x:c r="V119" s="24">
        <x:f>MAX(0,$Q119-$U119)-$T119</x:f>
      </x:c>
      <x:c r="W119" s="24">
        <x:f>MAX(0,MAX(0,($C119+$F119)-$M119)-$S119)-MIN(MAX(0,$D$3-(MAX(0,$F119-MAX(0,($M119+$S119)-$C119)))),MAX(0,MAX(0,($C119+$F119)-$M119)-$S119))</x:f>
      </x:c>
      <x:c r="X119" s="24">
        <x:f>IF(Inputs!$C$39=1,$W119,0)</x:f>
      </x:c>
      <x:c r="Y119" s="24">
        <x:f>IF(Inputs!$C$39=0,$W119,0)+MAX(0,MAX(0,($D119+$X119)-$N119)-$T119)</x:f>
      </x:c>
    </x:row>
    <x:row r="120">
      <x:c r="B120" s="22" t="n">
        <x:v>115</x:v>
      </x:c>
      <x:c r="C120" s="29">
        <x:f>IF($B120&lt;=Inputs!$C$6+Inputs!$C$11,Cashflow_Asset!$E118-Cashflow_Asset!$K118,0)</x:f>
      </x:c>
      <x:c r="D120" s="29">
        <x:f>IF($B120&lt;=Inputs!$C$6+Inputs!$C$11,Cashflow_Asset!$F118+Cashflow_Asset!$G118+Cashflow_Asset!$I118,0)</x:f>
      </x:c>
      <x:c r="E120" s="29">
        <x:f>IF($B120&lt;=Inputs!$C$6+Inputs!$C$11,Cashflow_Asset!$J118,0)</x:f>
      </x:c>
      <x:c r="F120" s="23">
        <x:f>$G119</x:f>
      </x:c>
      <x:c r="G120" s="24">
        <x:f>(MAX(0,$F120-MAX(0,($M120+$S120)-$C120)))+MIN(MAX(0,$D$3-(MAX(0,$F120-MAX(0,($M120+$S120)-$C120)))),MAX(0,MAX(0,($C120+$F120)-$M120)-$S120))</x:f>
      </x:c>
      <x:c r="H120" s="23">
        <x:f>$J119</x:f>
      </x:c>
      <x:c r="I120" s="24">
        <x:f>MIN($E120,$H120)</x:f>
      </x:c>
      <x:c r="J120" s="24">
        <x:f>$H120-$I120</x:f>
      </x:c>
      <x:c r="K120" s="23">
        <x:f>$P119</x:f>
      </x:c>
      <x:c r="L120" s="24">
        <x:f>$K120*Inputs!$C$18/12</x:f>
      </x:c>
      <x:c r="M120" s="24">
        <x:f>MIN(($C120+$F120),$L120)</x:f>
      </x:c>
      <x:c r="N120" s="24">
        <x:f>MIN(($D120+$X120),MAX(0,$K120-$O120))</x:f>
      </x:c>
      <x:c r="O120" s="24">
        <x:f>MIN(MAX(0,MAX(0,$E120-$I120)-$U120),$K120)</x:f>
      </x:c>
      <x:c r="P120" s="24">
        <x:f>MAX(0,$K120-$O120)-$N120</x:f>
      </x:c>
      <x:c r="Q120" s="23">
        <x:f>$V119</x:f>
      </x:c>
      <x:c r="R120" s="24">
        <x:f>$Q120*Inputs!$C$19/12</x:f>
      </x:c>
      <x:c r="S120" s="24">
        <x:f>MIN(MAX(0,($C120+$F120)-$M120),$R120)</x:f>
      </x:c>
      <x:c r="T120" s="24">
        <x:f>MIN(MAX(0,($D120+$X120)-$N120),MAX(0,$Q120-$U120))</x:f>
      </x:c>
      <x:c r="U120" s="24">
        <x:f>MIN(MAX(0,$E120-$I120),$Q120)</x:f>
      </x:c>
      <x:c r="V120" s="24">
        <x:f>MAX(0,$Q120-$U120)-$T120</x:f>
      </x:c>
      <x:c r="W120" s="24">
        <x:f>MAX(0,MAX(0,($C120+$F120)-$M120)-$S120)-MIN(MAX(0,$D$3-(MAX(0,$F120-MAX(0,($M120+$S120)-$C120)))),MAX(0,MAX(0,($C120+$F120)-$M120)-$S120))</x:f>
      </x:c>
      <x:c r="X120" s="24">
        <x:f>IF(Inputs!$C$39=1,$W120,0)</x:f>
      </x:c>
      <x:c r="Y120" s="24">
        <x:f>IF(Inputs!$C$39=0,$W120,0)+MAX(0,MAX(0,($D120+$X120)-$N120)-$T120)</x:f>
      </x:c>
    </x:row>
    <x:row r="121">
      <x:c r="B121" s="22" t="n">
        <x:v>116</x:v>
      </x:c>
      <x:c r="C121" s="29">
        <x:f>IF($B121&lt;=Inputs!$C$6+Inputs!$C$11,Cashflow_Asset!$E119-Cashflow_Asset!$K119,0)</x:f>
      </x:c>
      <x:c r="D121" s="29">
        <x:f>IF($B121&lt;=Inputs!$C$6+Inputs!$C$11,Cashflow_Asset!$F119+Cashflow_Asset!$G119+Cashflow_Asset!$I119,0)</x:f>
      </x:c>
      <x:c r="E121" s="29">
        <x:f>IF($B121&lt;=Inputs!$C$6+Inputs!$C$11,Cashflow_Asset!$J119,0)</x:f>
      </x:c>
      <x:c r="F121" s="23">
        <x:f>$G120</x:f>
      </x:c>
      <x:c r="G121" s="24">
        <x:f>(MAX(0,$F121-MAX(0,($M121+$S121)-$C121)))+MIN(MAX(0,$D$3-(MAX(0,$F121-MAX(0,($M121+$S121)-$C121)))),MAX(0,MAX(0,($C121+$F121)-$M121)-$S121))</x:f>
      </x:c>
      <x:c r="H121" s="23">
        <x:f>$J120</x:f>
      </x:c>
      <x:c r="I121" s="24">
        <x:f>MIN($E121,$H121)</x:f>
      </x:c>
      <x:c r="J121" s="24">
        <x:f>$H121-$I121</x:f>
      </x:c>
      <x:c r="K121" s="23">
        <x:f>$P120</x:f>
      </x:c>
      <x:c r="L121" s="24">
        <x:f>$K121*Inputs!$C$18/12</x:f>
      </x:c>
      <x:c r="M121" s="24">
        <x:f>MIN(($C121+$F121),$L121)</x:f>
      </x:c>
      <x:c r="N121" s="24">
        <x:f>MIN(($D121+$X121),MAX(0,$K121-$O121))</x:f>
      </x:c>
      <x:c r="O121" s="24">
        <x:f>MIN(MAX(0,MAX(0,$E121-$I121)-$U121),$K121)</x:f>
      </x:c>
      <x:c r="P121" s="24">
        <x:f>MAX(0,$K121-$O121)-$N121</x:f>
      </x:c>
      <x:c r="Q121" s="23">
        <x:f>$V120</x:f>
      </x:c>
      <x:c r="R121" s="24">
        <x:f>$Q121*Inputs!$C$19/12</x:f>
      </x:c>
      <x:c r="S121" s="24">
        <x:f>MIN(MAX(0,($C121+$F121)-$M121),$R121)</x:f>
      </x:c>
      <x:c r="T121" s="24">
        <x:f>MIN(MAX(0,($D121+$X121)-$N121),MAX(0,$Q121-$U121))</x:f>
      </x:c>
      <x:c r="U121" s="24">
        <x:f>MIN(MAX(0,$E121-$I121),$Q121)</x:f>
      </x:c>
      <x:c r="V121" s="24">
        <x:f>MAX(0,$Q121-$U121)-$T121</x:f>
      </x:c>
      <x:c r="W121" s="24">
        <x:f>MAX(0,MAX(0,($C121+$F121)-$M121)-$S121)-MIN(MAX(0,$D$3-(MAX(0,$F121-MAX(0,($M121+$S121)-$C121)))),MAX(0,MAX(0,($C121+$F121)-$M121)-$S121))</x:f>
      </x:c>
      <x:c r="X121" s="24">
        <x:f>IF(Inputs!$C$39=1,$W121,0)</x:f>
      </x:c>
      <x:c r="Y121" s="24">
        <x:f>IF(Inputs!$C$39=0,$W121,0)+MAX(0,MAX(0,($D121+$X121)-$N121)-$T121)</x:f>
      </x:c>
    </x:row>
    <x:row r="122">
      <x:c r="B122" s="22" t="n">
        <x:v>117</x:v>
      </x:c>
      <x:c r="C122" s="29">
        <x:f>IF($B122&lt;=Inputs!$C$6+Inputs!$C$11,Cashflow_Asset!$E120-Cashflow_Asset!$K120,0)</x:f>
      </x:c>
      <x:c r="D122" s="29">
        <x:f>IF($B122&lt;=Inputs!$C$6+Inputs!$C$11,Cashflow_Asset!$F120+Cashflow_Asset!$G120+Cashflow_Asset!$I120,0)</x:f>
      </x:c>
      <x:c r="E122" s="29">
        <x:f>IF($B122&lt;=Inputs!$C$6+Inputs!$C$11,Cashflow_Asset!$J120,0)</x:f>
      </x:c>
      <x:c r="F122" s="23">
        <x:f>$G121</x:f>
      </x:c>
      <x:c r="G122" s="24">
        <x:f>(MAX(0,$F122-MAX(0,($M122+$S122)-$C122)))+MIN(MAX(0,$D$3-(MAX(0,$F122-MAX(0,($M122+$S122)-$C122)))),MAX(0,MAX(0,($C122+$F122)-$M122)-$S122))</x:f>
      </x:c>
      <x:c r="H122" s="23">
        <x:f>$J121</x:f>
      </x:c>
      <x:c r="I122" s="24">
        <x:f>MIN($E122,$H122)</x:f>
      </x:c>
      <x:c r="J122" s="24">
        <x:f>$H122-$I122</x:f>
      </x:c>
      <x:c r="K122" s="23">
        <x:f>$P121</x:f>
      </x:c>
      <x:c r="L122" s="24">
        <x:f>$K122*Inputs!$C$18/12</x:f>
      </x:c>
      <x:c r="M122" s="24">
        <x:f>MIN(($C122+$F122),$L122)</x:f>
      </x:c>
      <x:c r="N122" s="24">
        <x:f>MIN(($D122+$X122),MAX(0,$K122-$O122))</x:f>
      </x:c>
      <x:c r="O122" s="24">
        <x:f>MIN(MAX(0,MAX(0,$E122-$I122)-$U122),$K122)</x:f>
      </x:c>
      <x:c r="P122" s="24">
        <x:f>MAX(0,$K122-$O122)-$N122</x:f>
      </x:c>
      <x:c r="Q122" s="23">
        <x:f>$V121</x:f>
      </x:c>
      <x:c r="R122" s="24">
        <x:f>$Q122*Inputs!$C$19/12</x:f>
      </x:c>
      <x:c r="S122" s="24">
        <x:f>MIN(MAX(0,($C122+$F122)-$M122),$R122)</x:f>
      </x:c>
      <x:c r="T122" s="24">
        <x:f>MIN(MAX(0,($D122+$X122)-$N122),MAX(0,$Q122-$U122))</x:f>
      </x:c>
      <x:c r="U122" s="24">
        <x:f>MIN(MAX(0,$E122-$I122),$Q122)</x:f>
      </x:c>
      <x:c r="V122" s="24">
        <x:f>MAX(0,$Q122-$U122)-$T122</x:f>
      </x:c>
      <x:c r="W122" s="24">
        <x:f>MAX(0,MAX(0,($C122+$F122)-$M122)-$S122)-MIN(MAX(0,$D$3-(MAX(0,$F122-MAX(0,($M122+$S122)-$C122)))),MAX(0,MAX(0,($C122+$F122)-$M122)-$S122))</x:f>
      </x:c>
      <x:c r="X122" s="24">
        <x:f>IF(Inputs!$C$39=1,$W122,0)</x:f>
      </x:c>
      <x:c r="Y122" s="24">
        <x:f>IF(Inputs!$C$39=0,$W122,0)+MAX(0,MAX(0,($D122+$X122)-$N122)-$T122)</x:f>
      </x:c>
    </x:row>
    <x:row r="123">
      <x:c r="B123" s="22" t="n">
        <x:v>118</x:v>
      </x:c>
      <x:c r="C123" s="29">
        <x:f>IF($B123&lt;=Inputs!$C$6+Inputs!$C$11,Cashflow_Asset!$E121-Cashflow_Asset!$K121,0)</x:f>
      </x:c>
      <x:c r="D123" s="29">
        <x:f>IF($B123&lt;=Inputs!$C$6+Inputs!$C$11,Cashflow_Asset!$F121+Cashflow_Asset!$G121+Cashflow_Asset!$I121,0)</x:f>
      </x:c>
      <x:c r="E123" s="29">
        <x:f>IF($B123&lt;=Inputs!$C$6+Inputs!$C$11,Cashflow_Asset!$J121,0)</x:f>
      </x:c>
      <x:c r="F123" s="23">
        <x:f>$G122</x:f>
      </x:c>
      <x:c r="G123" s="24">
        <x:f>(MAX(0,$F123-MAX(0,($M123+$S123)-$C123)))+MIN(MAX(0,$D$3-(MAX(0,$F123-MAX(0,($M123+$S123)-$C123)))),MAX(0,MAX(0,($C123+$F123)-$M123)-$S123))</x:f>
      </x:c>
      <x:c r="H123" s="23">
        <x:f>$J122</x:f>
      </x:c>
      <x:c r="I123" s="24">
        <x:f>MIN($E123,$H123)</x:f>
      </x:c>
      <x:c r="J123" s="24">
        <x:f>$H123-$I123</x:f>
      </x:c>
      <x:c r="K123" s="23">
        <x:f>$P122</x:f>
      </x:c>
      <x:c r="L123" s="24">
        <x:f>$K123*Inputs!$C$18/12</x:f>
      </x:c>
      <x:c r="M123" s="24">
        <x:f>MIN(($C123+$F123),$L123)</x:f>
      </x:c>
      <x:c r="N123" s="24">
        <x:f>MIN(($D123+$X123),MAX(0,$K123-$O123))</x:f>
      </x:c>
      <x:c r="O123" s="24">
        <x:f>MIN(MAX(0,MAX(0,$E123-$I123)-$U123),$K123)</x:f>
      </x:c>
      <x:c r="P123" s="24">
        <x:f>MAX(0,$K123-$O123)-$N123</x:f>
      </x:c>
      <x:c r="Q123" s="23">
        <x:f>$V122</x:f>
      </x:c>
      <x:c r="R123" s="24">
        <x:f>$Q123*Inputs!$C$19/12</x:f>
      </x:c>
      <x:c r="S123" s="24">
        <x:f>MIN(MAX(0,($C123+$F123)-$M123),$R123)</x:f>
      </x:c>
      <x:c r="T123" s="24">
        <x:f>MIN(MAX(0,($D123+$X123)-$N123),MAX(0,$Q123-$U123))</x:f>
      </x:c>
      <x:c r="U123" s="24">
        <x:f>MIN(MAX(0,$E123-$I123),$Q123)</x:f>
      </x:c>
      <x:c r="V123" s="24">
        <x:f>MAX(0,$Q123-$U123)-$T123</x:f>
      </x:c>
      <x:c r="W123" s="24">
        <x:f>MAX(0,MAX(0,($C123+$F123)-$M123)-$S123)-MIN(MAX(0,$D$3-(MAX(0,$F123-MAX(0,($M123+$S123)-$C123)))),MAX(0,MAX(0,($C123+$F123)-$M123)-$S123))</x:f>
      </x:c>
      <x:c r="X123" s="24">
        <x:f>IF(Inputs!$C$39=1,$W123,0)</x:f>
      </x:c>
      <x:c r="Y123" s="24">
        <x:f>IF(Inputs!$C$39=0,$W123,0)+MAX(0,MAX(0,($D123+$X123)-$N123)-$T123)</x:f>
      </x:c>
    </x:row>
    <x:row r="124">
      <x:c r="B124" s="22" t="n">
        <x:v>119</x:v>
      </x:c>
      <x:c r="C124" s="29">
        <x:f>IF($B124&lt;=Inputs!$C$6+Inputs!$C$11,Cashflow_Asset!$E122-Cashflow_Asset!$K122,0)</x:f>
      </x:c>
      <x:c r="D124" s="29">
        <x:f>IF($B124&lt;=Inputs!$C$6+Inputs!$C$11,Cashflow_Asset!$F122+Cashflow_Asset!$G122+Cashflow_Asset!$I122,0)</x:f>
      </x:c>
      <x:c r="E124" s="29">
        <x:f>IF($B124&lt;=Inputs!$C$6+Inputs!$C$11,Cashflow_Asset!$J122,0)</x:f>
      </x:c>
      <x:c r="F124" s="23">
        <x:f>$G123</x:f>
      </x:c>
      <x:c r="G124" s="24">
        <x:f>(MAX(0,$F124-MAX(0,($M124+$S124)-$C124)))+MIN(MAX(0,$D$3-(MAX(0,$F124-MAX(0,($M124+$S124)-$C124)))),MAX(0,MAX(0,($C124+$F124)-$M124)-$S124))</x:f>
      </x:c>
      <x:c r="H124" s="23">
        <x:f>$J123</x:f>
      </x:c>
      <x:c r="I124" s="24">
        <x:f>MIN($E124,$H124)</x:f>
      </x:c>
      <x:c r="J124" s="24">
        <x:f>$H124-$I124</x:f>
      </x:c>
      <x:c r="K124" s="23">
        <x:f>$P123</x:f>
      </x:c>
      <x:c r="L124" s="24">
        <x:f>$K124*Inputs!$C$18/12</x:f>
      </x:c>
      <x:c r="M124" s="24">
        <x:f>MIN(($C124+$F124),$L124)</x:f>
      </x:c>
      <x:c r="N124" s="24">
        <x:f>MIN(($D124+$X124),MAX(0,$K124-$O124))</x:f>
      </x:c>
      <x:c r="O124" s="24">
        <x:f>MIN(MAX(0,MAX(0,$E124-$I124)-$U124),$K124)</x:f>
      </x:c>
      <x:c r="P124" s="24">
        <x:f>MAX(0,$K124-$O124)-$N124</x:f>
      </x:c>
      <x:c r="Q124" s="23">
        <x:f>$V123</x:f>
      </x:c>
      <x:c r="R124" s="24">
        <x:f>$Q124*Inputs!$C$19/12</x:f>
      </x:c>
      <x:c r="S124" s="24">
        <x:f>MIN(MAX(0,($C124+$F124)-$M124),$R124)</x:f>
      </x:c>
      <x:c r="T124" s="24">
        <x:f>MIN(MAX(0,($D124+$X124)-$N124),MAX(0,$Q124-$U124))</x:f>
      </x:c>
      <x:c r="U124" s="24">
        <x:f>MIN(MAX(0,$E124-$I124),$Q124)</x:f>
      </x:c>
      <x:c r="V124" s="24">
        <x:f>MAX(0,$Q124-$U124)-$T124</x:f>
      </x:c>
      <x:c r="W124" s="24">
        <x:f>MAX(0,MAX(0,($C124+$F124)-$M124)-$S124)-MIN(MAX(0,$D$3-(MAX(0,$F124-MAX(0,($M124+$S124)-$C124)))),MAX(0,MAX(0,($C124+$F124)-$M124)-$S124))</x:f>
      </x:c>
      <x:c r="X124" s="24">
        <x:f>IF(Inputs!$C$39=1,$W124,0)</x:f>
      </x:c>
      <x:c r="Y124" s="24">
        <x:f>IF(Inputs!$C$39=0,$W124,0)+MAX(0,MAX(0,($D124+$X124)-$N124)-$T124)</x:f>
      </x:c>
    </x:row>
    <x:row r="125">
      <x:c r="B125" s="22" t="n">
        <x:v>120</x:v>
      </x:c>
      <x:c r="C125" s="29">
        <x:f>IF($B125&lt;=Inputs!$C$6+Inputs!$C$11,Cashflow_Asset!$E123-Cashflow_Asset!$K123,0)</x:f>
      </x:c>
      <x:c r="D125" s="29">
        <x:f>IF($B125&lt;=Inputs!$C$6+Inputs!$C$11,Cashflow_Asset!$F123+Cashflow_Asset!$G123+Cashflow_Asset!$I123,0)</x:f>
      </x:c>
      <x:c r="E125" s="29">
        <x:f>IF($B125&lt;=Inputs!$C$6+Inputs!$C$11,Cashflow_Asset!$J123,0)</x:f>
      </x:c>
      <x:c r="F125" s="23">
        <x:f>$G124</x:f>
      </x:c>
      <x:c r="G125" s="24">
        <x:f>(MAX(0,$F125-MAX(0,($M125+$S125)-$C125)))+MIN(MAX(0,$D$3-(MAX(0,$F125-MAX(0,($M125+$S125)-$C125)))),MAX(0,MAX(0,($C125+$F125)-$M125)-$S125))</x:f>
      </x:c>
      <x:c r="H125" s="23">
        <x:f>$J124</x:f>
      </x:c>
      <x:c r="I125" s="24">
        <x:f>MIN($E125,$H125)</x:f>
      </x:c>
      <x:c r="J125" s="24">
        <x:f>$H125-$I125</x:f>
      </x:c>
      <x:c r="K125" s="23">
        <x:f>$P124</x:f>
      </x:c>
      <x:c r="L125" s="24">
        <x:f>$K125*Inputs!$C$18/12</x:f>
      </x:c>
      <x:c r="M125" s="24">
        <x:f>MIN(($C125+$F125),$L125)</x:f>
      </x:c>
      <x:c r="N125" s="24">
        <x:f>MIN(($D125+$X125),MAX(0,$K125-$O125))</x:f>
      </x:c>
      <x:c r="O125" s="24">
        <x:f>MIN(MAX(0,MAX(0,$E125-$I125)-$U125),$K125)</x:f>
      </x:c>
      <x:c r="P125" s="24">
        <x:f>MAX(0,$K125-$O125)-$N125</x:f>
      </x:c>
      <x:c r="Q125" s="23">
        <x:f>$V124</x:f>
      </x:c>
      <x:c r="R125" s="24">
        <x:f>$Q125*Inputs!$C$19/12</x:f>
      </x:c>
      <x:c r="S125" s="24">
        <x:f>MIN(MAX(0,($C125+$F125)-$M125),$R125)</x:f>
      </x:c>
      <x:c r="T125" s="24">
        <x:f>MIN(MAX(0,($D125+$X125)-$N125),MAX(0,$Q125-$U125))</x:f>
      </x:c>
      <x:c r="U125" s="24">
        <x:f>MIN(MAX(0,$E125-$I125),$Q125)</x:f>
      </x:c>
      <x:c r="V125" s="24">
        <x:f>MAX(0,$Q125-$U125)-$T125</x:f>
      </x:c>
      <x:c r="W125" s="24">
        <x:f>MAX(0,MAX(0,($C125+$F125)-$M125)-$S125)-MIN(MAX(0,$D$3-(MAX(0,$F125-MAX(0,($M125+$S125)-$C125)))),MAX(0,MAX(0,($C125+$F125)-$M125)-$S125))</x:f>
      </x:c>
      <x:c r="X125" s="24">
        <x:f>IF(Inputs!$C$39=1,$W125,0)</x:f>
      </x:c>
      <x:c r="Y125" s="24">
        <x:f>IF(Inputs!$C$39=0,$W125,0)+MAX(0,MAX(0,($D125+$X125)-$N125)-$T125)</x:f>
      </x:c>
    </x:row>
    <x:row r="126">
      <x:c r="B126" s="22" t="n">
        <x:v>121</x:v>
      </x:c>
      <x:c r="C126" s="29">
        <x:f>IF($B126&lt;=Inputs!$C$6+Inputs!$C$11,Cashflow_Asset!$E124-Cashflow_Asset!$K124,0)</x:f>
      </x:c>
      <x:c r="D126" s="29">
        <x:f>IF($B126&lt;=Inputs!$C$6+Inputs!$C$11,Cashflow_Asset!$F124+Cashflow_Asset!$G124+Cashflow_Asset!$I124,0)</x:f>
      </x:c>
      <x:c r="E126" s="29">
        <x:f>IF($B126&lt;=Inputs!$C$6+Inputs!$C$11,Cashflow_Asset!$J124,0)</x:f>
      </x:c>
      <x:c r="F126" s="23">
        <x:f>$G125</x:f>
      </x:c>
      <x:c r="G126" s="24">
        <x:f>(MAX(0,$F126-MAX(0,($M126+$S126)-$C126)))+MIN(MAX(0,$D$3-(MAX(0,$F126-MAX(0,($M126+$S126)-$C126)))),MAX(0,MAX(0,($C126+$F126)-$M126)-$S126))</x:f>
      </x:c>
      <x:c r="H126" s="23">
        <x:f>$J125</x:f>
      </x:c>
      <x:c r="I126" s="24">
        <x:f>MIN($E126,$H126)</x:f>
      </x:c>
      <x:c r="J126" s="24">
        <x:f>$H126-$I126</x:f>
      </x:c>
      <x:c r="K126" s="23">
        <x:f>$P125</x:f>
      </x:c>
      <x:c r="L126" s="24">
        <x:f>$K126*Inputs!$C$18/12</x:f>
      </x:c>
      <x:c r="M126" s="24">
        <x:f>MIN(($C126+$F126),$L126)</x:f>
      </x:c>
      <x:c r="N126" s="24">
        <x:f>MIN(($D126+$X126),MAX(0,$K126-$O126))</x:f>
      </x:c>
      <x:c r="O126" s="24">
        <x:f>MIN(MAX(0,MAX(0,$E126-$I126)-$U126),$K126)</x:f>
      </x:c>
      <x:c r="P126" s="24">
        <x:f>MAX(0,$K126-$O126)-$N126</x:f>
      </x:c>
      <x:c r="Q126" s="23">
        <x:f>$V125</x:f>
      </x:c>
      <x:c r="R126" s="24">
        <x:f>$Q126*Inputs!$C$19/12</x:f>
      </x:c>
      <x:c r="S126" s="24">
        <x:f>MIN(MAX(0,($C126+$F126)-$M126),$R126)</x:f>
      </x:c>
      <x:c r="T126" s="24">
        <x:f>MIN(MAX(0,($D126+$X126)-$N126),MAX(0,$Q126-$U126))</x:f>
      </x:c>
      <x:c r="U126" s="24">
        <x:f>MIN(MAX(0,$E126-$I126),$Q126)</x:f>
      </x:c>
      <x:c r="V126" s="24">
        <x:f>MAX(0,$Q126-$U126)-$T126</x:f>
      </x:c>
      <x:c r="W126" s="24">
        <x:f>MAX(0,MAX(0,($C126+$F126)-$M126)-$S126)-MIN(MAX(0,$D$3-(MAX(0,$F126-MAX(0,($M126+$S126)-$C126)))),MAX(0,MAX(0,($C126+$F126)-$M126)-$S126))</x:f>
      </x:c>
      <x:c r="X126" s="24">
        <x:f>IF(Inputs!$C$39=1,$W126,0)</x:f>
      </x:c>
      <x:c r="Y126" s="24">
        <x:f>IF(Inputs!$C$39=0,$W126,0)+MAX(0,MAX(0,($D126+$X126)-$N126)-$T126)</x:f>
      </x:c>
    </x:row>
    <x:row r="127">
      <x:c r="B127" s="22" t="n">
        <x:v>122</x:v>
      </x:c>
      <x:c r="C127" s="29">
        <x:f>IF($B127&lt;=Inputs!$C$6+Inputs!$C$11,Cashflow_Asset!$E125-Cashflow_Asset!$K125,0)</x:f>
      </x:c>
      <x:c r="D127" s="29">
        <x:f>IF($B127&lt;=Inputs!$C$6+Inputs!$C$11,Cashflow_Asset!$F125+Cashflow_Asset!$G125+Cashflow_Asset!$I125,0)</x:f>
      </x:c>
      <x:c r="E127" s="29">
        <x:f>IF($B127&lt;=Inputs!$C$6+Inputs!$C$11,Cashflow_Asset!$J125,0)</x:f>
      </x:c>
      <x:c r="F127" s="23">
        <x:f>$G126</x:f>
      </x:c>
      <x:c r="G127" s="24">
        <x:f>(MAX(0,$F127-MAX(0,($M127+$S127)-$C127)))+MIN(MAX(0,$D$3-(MAX(0,$F127-MAX(0,($M127+$S127)-$C127)))),MAX(0,MAX(0,($C127+$F127)-$M127)-$S127))</x:f>
      </x:c>
      <x:c r="H127" s="23">
        <x:f>$J126</x:f>
      </x:c>
      <x:c r="I127" s="24">
        <x:f>MIN($E127,$H127)</x:f>
      </x:c>
      <x:c r="J127" s="24">
        <x:f>$H127-$I127</x:f>
      </x:c>
      <x:c r="K127" s="23">
        <x:f>$P126</x:f>
      </x:c>
      <x:c r="L127" s="24">
        <x:f>$K127*Inputs!$C$18/12</x:f>
      </x:c>
      <x:c r="M127" s="24">
        <x:f>MIN(($C127+$F127),$L127)</x:f>
      </x:c>
      <x:c r="N127" s="24">
        <x:f>MIN(($D127+$X127),MAX(0,$K127-$O127))</x:f>
      </x:c>
      <x:c r="O127" s="24">
        <x:f>MIN(MAX(0,MAX(0,$E127-$I127)-$U127),$K127)</x:f>
      </x:c>
      <x:c r="P127" s="24">
        <x:f>MAX(0,$K127-$O127)-$N127</x:f>
      </x:c>
      <x:c r="Q127" s="23">
        <x:f>$V126</x:f>
      </x:c>
      <x:c r="R127" s="24">
        <x:f>$Q127*Inputs!$C$19/12</x:f>
      </x:c>
      <x:c r="S127" s="24">
        <x:f>MIN(MAX(0,($C127+$F127)-$M127),$R127)</x:f>
      </x:c>
      <x:c r="T127" s="24">
        <x:f>MIN(MAX(0,($D127+$X127)-$N127),MAX(0,$Q127-$U127))</x:f>
      </x:c>
      <x:c r="U127" s="24">
        <x:f>MIN(MAX(0,$E127-$I127),$Q127)</x:f>
      </x:c>
      <x:c r="V127" s="24">
        <x:f>MAX(0,$Q127-$U127)-$T127</x:f>
      </x:c>
      <x:c r="W127" s="24">
        <x:f>MAX(0,MAX(0,($C127+$F127)-$M127)-$S127)-MIN(MAX(0,$D$3-(MAX(0,$F127-MAX(0,($M127+$S127)-$C127)))),MAX(0,MAX(0,($C127+$F127)-$M127)-$S127))</x:f>
      </x:c>
      <x:c r="X127" s="24">
        <x:f>IF(Inputs!$C$39=1,$W127,0)</x:f>
      </x:c>
      <x:c r="Y127" s="24">
        <x:f>IF(Inputs!$C$39=0,$W127,0)+MAX(0,MAX(0,($D127+$X127)-$N127)-$T127)</x:f>
      </x:c>
    </x:row>
    <x:row r="128">
      <x:c r="B128" s="22" t="n">
        <x:v>123</x:v>
      </x:c>
      <x:c r="C128" s="29">
        <x:f>IF($B128&lt;=Inputs!$C$6+Inputs!$C$11,Cashflow_Asset!$E126-Cashflow_Asset!$K126,0)</x:f>
      </x:c>
      <x:c r="D128" s="29">
        <x:f>IF($B128&lt;=Inputs!$C$6+Inputs!$C$11,Cashflow_Asset!$F126+Cashflow_Asset!$G126+Cashflow_Asset!$I126,0)</x:f>
      </x:c>
      <x:c r="E128" s="29">
        <x:f>IF($B128&lt;=Inputs!$C$6+Inputs!$C$11,Cashflow_Asset!$J126,0)</x:f>
      </x:c>
      <x:c r="F128" s="23">
        <x:f>$G127</x:f>
      </x:c>
      <x:c r="G128" s="24">
        <x:f>(MAX(0,$F128-MAX(0,($M128+$S128)-$C128)))+MIN(MAX(0,$D$3-(MAX(0,$F128-MAX(0,($M128+$S128)-$C128)))),MAX(0,MAX(0,($C128+$F128)-$M128)-$S128))</x:f>
      </x:c>
      <x:c r="H128" s="23">
        <x:f>$J127</x:f>
      </x:c>
      <x:c r="I128" s="24">
        <x:f>MIN($E128,$H128)</x:f>
      </x:c>
      <x:c r="J128" s="24">
        <x:f>$H128-$I128</x:f>
      </x:c>
      <x:c r="K128" s="23">
        <x:f>$P127</x:f>
      </x:c>
      <x:c r="L128" s="24">
        <x:f>$K128*Inputs!$C$18/12</x:f>
      </x:c>
      <x:c r="M128" s="24">
        <x:f>MIN(($C128+$F128),$L128)</x:f>
      </x:c>
      <x:c r="N128" s="24">
        <x:f>MIN(($D128+$X128),MAX(0,$K128-$O128))</x:f>
      </x:c>
      <x:c r="O128" s="24">
        <x:f>MIN(MAX(0,MAX(0,$E128-$I128)-$U128),$K128)</x:f>
      </x:c>
      <x:c r="P128" s="24">
        <x:f>MAX(0,$K128-$O128)-$N128</x:f>
      </x:c>
      <x:c r="Q128" s="23">
        <x:f>$V127</x:f>
      </x:c>
      <x:c r="R128" s="24">
        <x:f>$Q128*Inputs!$C$19/12</x:f>
      </x:c>
      <x:c r="S128" s="24">
        <x:f>MIN(MAX(0,($C128+$F128)-$M128),$R128)</x:f>
      </x:c>
      <x:c r="T128" s="24">
        <x:f>MIN(MAX(0,($D128+$X128)-$N128),MAX(0,$Q128-$U128))</x:f>
      </x:c>
      <x:c r="U128" s="24">
        <x:f>MIN(MAX(0,$E128-$I128),$Q128)</x:f>
      </x:c>
      <x:c r="V128" s="24">
        <x:f>MAX(0,$Q128-$U128)-$T128</x:f>
      </x:c>
      <x:c r="W128" s="24">
        <x:f>MAX(0,MAX(0,($C128+$F128)-$M128)-$S128)-MIN(MAX(0,$D$3-(MAX(0,$F128-MAX(0,($M128+$S128)-$C128)))),MAX(0,MAX(0,($C128+$F128)-$M128)-$S128))</x:f>
      </x:c>
      <x:c r="X128" s="24">
        <x:f>IF(Inputs!$C$39=1,$W128,0)</x:f>
      </x:c>
      <x:c r="Y128" s="24">
        <x:f>IF(Inputs!$C$39=0,$W128,0)+MAX(0,MAX(0,($D128+$X128)-$N128)-$T128)</x:f>
      </x:c>
    </x:row>
    <x:row r="129">
      <x:c r="B129" s="22" t="n">
        <x:v>124</x:v>
      </x:c>
      <x:c r="C129" s="29">
        <x:f>IF($B129&lt;=Inputs!$C$6+Inputs!$C$11,Cashflow_Asset!$E127-Cashflow_Asset!$K127,0)</x:f>
      </x:c>
      <x:c r="D129" s="29">
        <x:f>IF($B129&lt;=Inputs!$C$6+Inputs!$C$11,Cashflow_Asset!$F127+Cashflow_Asset!$G127+Cashflow_Asset!$I127,0)</x:f>
      </x:c>
      <x:c r="E129" s="29">
        <x:f>IF($B129&lt;=Inputs!$C$6+Inputs!$C$11,Cashflow_Asset!$J127,0)</x:f>
      </x:c>
      <x:c r="F129" s="23">
        <x:f>$G128</x:f>
      </x:c>
      <x:c r="G129" s="24">
        <x:f>(MAX(0,$F129-MAX(0,($M129+$S129)-$C129)))+MIN(MAX(0,$D$3-(MAX(0,$F129-MAX(0,($M129+$S129)-$C129)))),MAX(0,MAX(0,($C129+$F129)-$M129)-$S129))</x:f>
      </x:c>
      <x:c r="H129" s="23">
        <x:f>$J128</x:f>
      </x:c>
      <x:c r="I129" s="24">
        <x:f>MIN($E129,$H129)</x:f>
      </x:c>
      <x:c r="J129" s="24">
        <x:f>$H129-$I129</x:f>
      </x:c>
      <x:c r="K129" s="23">
        <x:f>$P128</x:f>
      </x:c>
      <x:c r="L129" s="24">
        <x:f>$K129*Inputs!$C$18/12</x:f>
      </x:c>
      <x:c r="M129" s="24">
        <x:f>MIN(($C129+$F129),$L129)</x:f>
      </x:c>
      <x:c r="N129" s="24">
        <x:f>MIN(($D129+$X129),MAX(0,$K129-$O129))</x:f>
      </x:c>
      <x:c r="O129" s="24">
        <x:f>MIN(MAX(0,MAX(0,$E129-$I129)-$U129),$K129)</x:f>
      </x:c>
      <x:c r="P129" s="24">
        <x:f>MAX(0,$K129-$O129)-$N129</x:f>
      </x:c>
      <x:c r="Q129" s="23">
        <x:f>$V128</x:f>
      </x:c>
      <x:c r="R129" s="24">
        <x:f>$Q129*Inputs!$C$19/12</x:f>
      </x:c>
      <x:c r="S129" s="24">
        <x:f>MIN(MAX(0,($C129+$F129)-$M129),$R129)</x:f>
      </x:c>
      <x:c r="T129" s="24">
        <x:f>MIN(MAX(0,($D129+$X129)-$N129),MAX(0,$Q129-$U129))</x:f>
      </x:c>
      <x:c r="U129" s="24">
        <x:f>MIN(MAX(0,$E129-$I129),$Q129)</x:f>
      </x:c>
      <x:c r="V129" s="24">
        <x:f>MAX(0,$Q129-$U129)-$T129</x:f>
      </x:c>
      <x:c r="W129" s="24">
        <x:f>MAX(0,MAX(0,($C129+$F129)-$M129)-$S129)-MIN(MAX(0,$D$3-(MAX(0,$F129-MAX(0,($M129+$S129)-$C129)))),MAX(0,MAX(0,($C129+$F129)-$M129)-$S129))</x:f>
      </x:c>
      <x:c r="X129" s="24">
        <x:f>IF(Inputs!$C$39=1,$W129,0)</x:f>
      </x:c>
      <x:c r="Y129" s="24">
        <x:f>IF(Inputs!$C$39=0,$W129,0)+MAX(0,MAX(0,($D129+$X129)-$N129)-$T129)</x:f>
      </x:c>
    </x:row>
    <x:row r="130">
      <x:c r="B130" s="22" t="n">
        <x:v>125</x:v>
      </x:c>
      <x:c r="C130" s="29">
        <x:f>IF($B130&lt;=Inputs!$C$6+Inputs!$C$11,Cashflow_Asset!$E128-Cashflow_Asset!$K128,0)</x:f>
      </x:c>
      <x:c r="D130" s="29">
        <x:f>IF($B130&lt;=Inputs!$C$6+Inputs!$C$11,Cashflow_Asset!$F128+Cashflow_Asset!$G128+Cashflow_Asset!$I128,0)</x:f>
      </x:c>
      <x:c r="E130" s="29">
        <x:f>IF($B130&lt;=Inputs!$C$6+Inputs!$C$11,Cashflow_Asset!$J128,0)</x:f>
      </x:c>
      <x:c r="F130" s="23">
        <x:f>$G129</x:f>
      </x:c>
      <x:c r="G130" s="24">
        <x:f>(MAX(0,$F130-MAX(0,($M130+$S130)-$C130)))+MIN(MAX(0,$D$3-(MAX(0,$F130-MAX(0,($M130+$S130)-$C130)))),MAX(0,MAX(0,($C130+$F130)-$M130)-$S130))</x:f>
      </x:c>
      <x:c r="H130" s="23">
        <x:f>$J129</x:f>
      </x:c>
      <x:c r="I130" s="24">
        <x:f>MIN($E130,$H130)</x:f>
      </x:c>
      <x:c r="J130" s="24">
        <x:f>$H130-$I130</x:f>
      </x:c>
      <x:c r="K130" s="23">
        <x:f>$P129</x:f>
      </x:c>
      <x:c r="L130" s="24">
        <x:f>$K130*Inputs!$C$18/12</x:f>
      </x:c>
      <x:c r="M130" s="24">
        <x:f>MIN(($C130+$F130),$L130)</x:f>
      </x:c>
      <x:c r="N130" s="24">
        <x:f>MIN(($D130+$X130),MAX(0,$K130-$O130))</x:f>
      </x:c>
      <x:c r="O130" s="24">
        <x:f>MIN(MAX(0,MAX(0,$E130-$I130)-$U130),$K130)</x:f>
      </x:c>
      <x:c r="P130" s="24">
        <x:f>MAX(0,$K130-$O130)-$N130</x:f>
      </x:c>
      <x:c r="Q130" s="23">
        <x:f>$V129</x:f>
      </x:c>
      <x:c r="R130" s="24">
        <x:f>$Q130*Inputs!$C$19/12</x:f>
      </x:c>
      <x:c r="S130" s="24">
        <x:f>MIN(MAX(0,($C130+$F130)-$M130),$R130)</x:f>
      </x:c>
      <x:c r="T130" s="24">
        <x:f>MIN(MAX(0,($D130+$X130)-$N130),MAX(0,$Q130-$U130))</x:f>
      </x:c>
      <x:c r="U130" s="24">
        <x:f>MIN(MAX(0,$E130-$I130),$Q130)</x:f>
      </x:c>
      <x:c r="V130" s="24">
        <x:f>MAX(0,$Q130-$U130)-$T130</x:f>
      </x:c>
      <x:c r="W130" s="24">
        <x:f>MAX(0,MAX(0,($C130+$F130)-$M130)-$S130)-MIN(MAX(0,$D$3-(MAX(0,$F130-MAX(0,($M130+$S130)-$C130)))),MAX(0,MAX(0,($C130+$F130)-$M130)-$S130))</x:f>
      </x:c>
      <x:c r="X130" s="24">
        <x:f>IF(Inputs!$C$39=1,$W130,0)</x:f>
      </x:c>
      <x:c r="Y130" s="24">
        <x:f>IF(Inputs!$C$39=0,$W130,0)+MAX(0,MAX(0,($D130+$X130)-$N130)-$T130)</x:f>
      </x:c>
    </x:row>
    <x:row r="131">
      <x:c r="B131" s="22" t="n">
        <x:v>126</x:v>
      </x:c>
      <x:c r="C131" s="29">
        <x:f>IF($B131&lt;=Inputs!$C$6+Inputs!$C$11,Cashflow_Asset!$E129-Cashflow_Asset!$K129,0)</x:f>
      </x:c>
      <x:c r="D131" s="29">
        <x:f>IF($B131&lt;=Inputs!$C$6+Inputs!$C$11,Cashflow_Asset!$F129+Cashflow_Asset!$G129+Cashflow_Asset!$I129,0)</x:f>
      </x:c>
      <x:c r="E131" s="29">
        <x:f>IF($B131&lt;=Inputs!$C$6+Inputs!$C$11,Cashflow_Asset!$J129,0)</x:f>
      </x:c>
      <x:c r="F131" s="23">
        <x:f>$G130</x:f>
      </x:c>
      <x:c r="G131" s="24">
        <x:f>(MAX(0,$F131-MAX(0,($M131+$S131)-$C131)))+MIN(MAX(0,$D$3-(MAX(0,$F131-MAX(0,($M131+$S131)-$C131)))),MAX(0,MAX(0,($C131+$F131)-$M131)-$S131))</x:f>
      </x:c>
      <x:c r="H131" s="23">
        <x:f>$J130</x:f>
      </x:c>
      <x:c r="I131" s="24">
        <x:f>MIN($E131,$H131)</x:f>
      </x:c>
      <x:c r="J131" s="24">
        <x:f>$H131-$I131</x:f>
      </x:c>
      <x:c r="K131" s="23">
        <x:f>$P130</x:f>
      </x:c>
      <x:c r="L131" s="24">
        <x:f>$K131*Inputs!$C$18/12</x:f>
      </x:c>
      <x:c r="M131" s="24">
        <x:f>MIN(($C131+$F131),$L131)</x:f>
      </x:c>
      <x:c r="N131" s="24">
        <x:f>MIN(($D131+$X131),MAX(0,$K131-$O131))</x:f>
      </x:c>
      <x:c r="O131" s="24">
        <x:f>MIN(MAX(0,MAX(0,$E131-$I131)-$U131),$K131)</x:f>
      </x:c>
      <x:c r="P131" s="24">
        <x:f>MAX(0,$K131-$O131)-$N131</x:f>
      </x:c>
      <x:c r="Q131" s="23">
        <x:f>$V130</x:f>
      </x:c>
      <x:c r="R131" s="24">
        <x:f>$Q131*Inputs!$C$19/12</x:f>
      </x:c>
      <x:c r="S131" s="24">
        <x:f>MIN(MAX(0,($C131+$F131)-$M131),$R131)</x:f>
      </x:c>
      <x:c r="T131" s="24">
        <x:f>MIN(MAX(0,($D131+$X131)-$N131),MAX(0,$Q131-$U131))</x:f>
      </x:c>
      <x:c r="U131" s="24">
        <x:f>MIN(MAX(0,$E131-$I131),$Q131)</x:f>
      </x:c>
      <x:c r="V131" s="24">
        <x:f>MAX(0,$Q131-$U131)-$T131</x:f>
      </x:c>
      <x:c r="W131" s="24">
        <x:f>MAX(0,MAX(0,($C131+$F131)-$M131)-$S131)-MIN(MAX(0,$D$3-(MAX(0,$F131-MAX(0,($M131+$S131)-$C131)))),MAX(0,MAX(0,($C131+$F131)-$M131)-$S131))</x:f>
      </x:c>
      <x:c r="X131" s="24">
        <x:f>IF(Inputs!$C$39=1,$W131,0)</x:f>
      </x:c>
      <x:c r="Y131" s="24">
        <x:f>IF(Inputs!$C$39=0,$W131,0)+MAX(0,MAX(0,($D131+$X131)-$N131)-$T131)</x:f>
      </x:c>
    </x:row>
    <x:row r="132">
      <x:c r="B132" s="22" t="n">
        <x:v>127</x:v>
      </x:c>
      <x:c r="C132" s="29">
        <x:f>IF($B132&lt;=Inputs!$C$6+Inputs!$C$11,Cashflow_Asset!$E130-Cashflow_Asset!$K130,0)</x:f>
      </x:c>
      <x:c r="D132" s="29">
        <x:f>IF($B132&lt;=Inputs!$C$6+Inputs!$C$11,Cashflow_Asset!$F130+Cashflow_Asset!$G130+Cashflow_Asset!$I130,0)</x:f>
      </x:c>
      <x:c r="E132" s="29">
        <x:f>IF($B132&lt;=Inputs!$C$6+Inputs!$C$11,Cashflow_Asset!$J130,0)</x:f>
      </x:c>
      <x:c r="F132" s="23">
        <x:f>$G131</x:f>
      </x:c>
      <x:c r="G132" s="24">
        <x:f>(MAX(0,$F132-MAX(0,($M132+$S132)-$C132)))+MIN(MAX(0,$D$3-(MAX(0,$F132-MAX(0,($M132+$S132)-$C132)))),MAX(0,MAX(0,($C132+$F132)-$M132)-$S132))</x:f>
      </x:c>
      <x:c r="H132" s="23">
        <x:f>$J131</x:f>
      </x:c>
      <x:c r="I132" s="24">
        <x:f>MIN($E132,$H132)</x:f>
      </x:c>
      <x:c r="J132" s="24">
        <x:f>$H132-$I132</x:f>
      </x:c>
      <x:c r="K132" s="23">
        <x:f>$P131</x:f>
      </x:c>
      <x:c r="L132" s="24">
        <x:f>$K132*Inputs!$C$18/12</x:f>
      </x:c>
      <x:c r="M132" s="24">
        <x:f>MIN(($C132+$F132),$L132)</x:f>
      </x:c>
      <x:c r="N132" s="24">
        <x:f>MIN(($D132+$X132),MAX(0,$K132-$O132))</x:f>
      </x:c>
      <x:c r="O132" s="24">
        <x:f>MIN(MAX(0,MAX(0,$E132-$I132)-$U132),$K132)</x:f>
      </x:c>
      <x:c r="P132" s="24">
        <x:f>MAX(0,$K132-$O132)-$N132</x:f>
      </x:c>
      <x:c r="Q132" s="23">
        <x:f>$V131</x:f>
      </x:c>
      <x:c r="R132" s="24">
        <x:f>$Q132*Inputs!$C$19/12</x:f>
      </x:c>
      <x:c r="S132" s="24">
        <x:f>MIN(MAX(0,($C132+$F132)-$M132),$R132)</x:f>
      </x:c>
      <x:c r="T132" s="24">
        <x:f>MIN(MAX(0,($D132+$X132)-$N132),MAX(0,$Q132-$U132))</x:f>
      </x:c>
      <x:c r="U132" s="24">
        <x:f>MIN(MAX(0,$E132-$I132),$Q132)</x:f>
      </x:c>
      <x:c r="V132" s="24">
        <x:f>MAX(0,$Q132-$U132)-$T132</x:f>
      </x:c>
      <x:c r="W132" s="24">
        <x:f>MAX(0,MAX(0,($C132+$F132)-$M132)-$S132)-MIN(MAX(0,$D$3-(MAX(0,$F132-MAX(0,($M132+$S132)-$C132)))),MAX(0,MAX(0,($C132+$F132)-$M132)-$S132))</x:f>
      </x:c>
      <x:c r="X132" s="24">
        <x:f>IF(Inputs!$C$39=1,$W132,0)</x:f>
      </x:c>
      <x:c r="Y132" s="24">
        <x:f>IF(Inputs!$C$39=0,$W132,0)+MAX(0,MAX(0,($D132+$X132)-$N132)-$T132)</x:f>
      </x:c>
    </x:row>
    <x:row r="133">
      <x:c r="B133" s="22" t="n">
        <x:v>128</x:v>
      </x:c>
      <x:c r="C133" s="29">
        <x:f>IF($B133&lt;=Inputs!$C$6+Inputs!$C$11,Cashflow_Asset!$E131-Cashflow_Asset!$K131,0)</x:f>
      </x:c>
      <x:c r="D133" s="29">
        <x:f>IF($B133&lt;=Inputs!$C$6+Inputs!$C$11,Cashflow_Asset!$F131+Cashflow_Asset!$G131+Cashflow_Asset!$I131,0)</x:f>
      </x:c>
      <x:c r="E133" s="29">
        <x:f>IF($B133&lt;=Inputs!$C$6+Inputs!$C$11,Cashflow_Asset!$J131,0)</x:f>
      </x:c>
      <x:c r="F133" s="23">
        <x:f>$G132</x:f>
      </x:c>
      <x:c r="G133" s="24">
        <x:f>(MAX(0,$F133-MAX(0,($M133+$S133)-$C133)))+MIN(MAX(0,$D$3-(MAX(0,$F133-MAX(0,($M133+$S133)-$C133)))),MAX(0,MAX(0,($C133+$F133)-$M133)-$S133))</x:f>
      </x:c>
      <x:c r="H133" s="23">
        <x:f>$J132</x:f>
      </x:c>
      <x:c r="I133" s="24">
        <x:f>MIN($E133,$H133)</x:f>
      </x:c>
      <x:c r="J133" s="24">
        <x:f>$H133-$I133</x:f>
      </x:c>
      <x:c r="K133" s="23">
        <x:f>$P132</x:f>
      </x:c>
      <x:c r="L133" s="24">
        <x:f>$K133*Inputs!$C$18/12</x:f>
      </x:c>
      <x:c r="M133" s="24">
        <x:f>MIN(($C133+$F133),$L133)</x:f>
      </x:c>
      <x:c r="N133" s="24">
        <x:f>MIN(($D133+$X133),MAX(0,$K133-$O133))</x:f>
      </x:c>
      <x:c r="O133" s="24">
        <x:f>MIN(MAX(0,MAX(0,$E133-$I133)-$U133),$K133)</x:f>
      </x:c>
      <x:c r="P133" s="24">
        <x:f>MAX(0,$K133-$O133)-$N133</x:f>
      </x:c>
      <x:c r="Q133" s="23">
        <x:f>$V132</x:f>
      </x:c>
      <x:c r="R133" s="24">
        <x:f>$Q133*Inputs!$C$19/12</x:f>
      </x:c>
      <x:c r="S133" s="24">
        <x:f>MIN(MAX(0,($C133+$F133)-$M133),$R133)</x:f>
      </x:c>
      <x:c r="T133" s="24">
        <x:f>MIN(MAX(0,($D133+$X133)-$N133),MAX(0,$Q133-$U133))</x:f>
      </x:c>
      <x:c r="U133" s="24">
        <x:f>MIN(MAX(0,$E133-$I133),$Q133)</x:f>
      </x:c>
      <x:c r="V133" s="24">
        <x:f>MAX(0,$Q133-$U133)-$T133</x:f>
      </x:c>
      <x:c r="W133" s="24">
        <x:f>MAX(0,MAX(0,($C133+$F133)-$M133)-$S133)-MIN(MAX(0,$D$3-(MAX(0,$F133-MAX(0,($M133+$S133)-$C133)))),MAX(0,MAX(0,($C133+$F133)-$M133)-$S133))</x:f>
      </x:c>
      <x:c r="X133" s="24">
        <x:f>IF(Inputs!$C$39=1,$W133,0)</x:f>
      </x:c>
      <x:c r="Y133" s="24">
        <x:f>IF(Inputs!$C$39=0,$W133,0)+MAX(0,MAX(0,($D133+$X133)-$N133)-$T133)</x:f>
      </x:c>
    </x:row>
    <x:row r="134">
      <x:c r="B134" s="22" t="n">
        <x:v>129</x:v>
      </x:c>
      <x:c r="C134" s="29">
        <x:f>IF($B134&lt;=Inputs!$C$6+Inputs!$C$11,Cashflow_Asset!$E132-Cashflow_Asset!$K132,0)</x:f>
      </x:c>
      <x:c r="D134" s="29">
        <x:f>IF($B134&lt;=Inputs!$C$6+Inputs!$C$11,Cashflow_Asset!$F132+Cashflow_Asset!$G132+Cashflow_Asset!$I132,0)</x:f>
      </x:c>
      <x:c r="E134" s="29">
        <x:f>IF($B134&lt;=Inputs!$C$6+Inputs!$C$11,Cashflow_Asset!$J132,0)</x:f>
      </x:c>
      <x:c r="F134" s="23">
        <x:f>$G133</x:f>
      </x:c>
      <x:c r="G134" s="24">
        <x:f>(MAX(0,$F134-MAX(0,($M134+$S134)-$C134)))+MIN(MAX(0,$D$3-(MAX(0,$F134-MAX(0,($M134+$S134)-$C134)))),MAX(0,MAX(0,($C134+$F134)-$M134)-$S134))</x:f>
      </x:c>
      <x:c r="H134" s="23">
        <x:f>$J133</x:f>
      </x:c>
      <x:c r="I134" s="24">
        <x:f>MIN($E134,$H134)</x:f>
      </x:c>
      <x:c r="J134" s="24">
        <x:f>$H134-$I134</x:f>
      </x:c>
      <x:c r="K134" s="23">
        <x:f>$P133</x:f>
      </x:c>
      <x:c r="L134" s="24">
        <x:f>$K134*Inputs!$C$18/12</x:f>
      </x:c>
      <x:c r="M134" s="24">
        <x:f>MIN(($C134+$F134),$L134)</x:f>
      </x:c>
      <x:c r="N134" s="24">
        <x:f>MIN(($D134+$X134),MAX(0,$K134-$O134))</x:f>
      </x:c>
      <x:c r="O134" s="24">
        <x:f>MIN(MAX(0,MAX(0,$E134-$I134)-$U134),$K134)</x:f>
      </x:c>
      <x:c r="P134" s="24">
        <x:f>MAX(0,$K134-$O134)-$N134</x:f>
      </x:c>
      <x:c r="Q134" s="23">
        <x:f>$V133</x:f>
      </x:c>
      <x:c r="R134" s="24">
        <x:f>$Q134*Inputs!$C$19/12</x:f>
      </x:c>
      <x:c r="S134" s="24">
        <x:f>MIN(MAX(0,($C134+$F134)-$M134),$R134)</x:f>
      </x:c>
      <x:c r="T134" s="24">
        <x:f>MIN(MAX(0,($D134+$X134)-$N134),MAX(0,$Q134-$U134))</x:f>
      </x:c>
      <x:c r="U134" s="24">
        <x:f>MIN(MAX(0,$E134-$I134),$Q134)</x:f>
      </x:c>
      <x:c r="V134" s="24">
        <x:f>MAX(0,$Q134-$U134)-$T134</x:f>
      </x:c>
      <x:c r="W134" s="24">
        <x:f>MAX(0,MAX(0,($C134+$F134)-$M134)-$S134)-MIN(MAX(0,$D$3-(MAX(0,$F134-MAX(0,($M134+$S134)-$C134)))),MAX(0,MAX(0,($C134+$F134)-$M134)-$S134))</x:f>
      </x:c>
      <x:c r="X134" s="24">
        <x:f>IF(Inputs!$C$39=1,$W134,0)</x:f>
      </x:c>
      <x:c r="Y134" s="24">
        <x:f>IF(Inputs!$C$39=0,$W134,0)+MAX(0,MAX(0,($D134+$X134)-$N134)-$T134)</x:f>
      </x:c>
    </x:row>
    <x:row r="135">
      <x:c r="B135" s="22" t="n">
        <x:v>130</x:v>
      </x:c>
      <x:c r="C135" s="29">
        <x:f>IF($B135&lt;=Inputs!$C$6+Inputs!$C$11,Cashflow_Asset!$E133-Cashflow_Asset!$K133,0)</x:f>
      </x:c>
      <x:c r="D135" s="29">
        <x:f>IF($B135&lt;=Inputs!$C$6+Inputs!$C$11,Cashflow_Asset!$F133+Cashflow_Asset!$G133+Cashflow_Asset!$I133,0)</x:f>
      </x:c>
      <x:c r="E135" s="29">
        <x:f>IF($B135&lt;=Inputs!$C$6+Inputs!$C$11,Cashflow_Asset!$J133,0)</x:f>
      </x:c>
      <x:c r="F135" s="23">
        <x:f>$G134</x:f>
      </x:c>
      <x:c r="G135" s="24">
        <x:f>(MAX(0,$F135-MAX(0,($M135+$S135)-$C135)))+MIN(MAX(0,$D$3-(MAX(0,$F135-MAX(0,($M135+$S135)-$C135)))),MAX(0,MAX(0,($C135+$F135)-$M135)-$S135))</x:f>
      </x:c>
      <x:c r="H135" s="23">
        <x:f>$J134</x:f>
      </x:c>
      <x:c r="I135" s="24">
        <x:f>MIN($E135,$H135)</x:f>
      </x:c>
      <x:c r="J135" s="24">
        <x:f>$H135-$I135</x:f>
      </x:c>
      <x:c r="K135" s="23">
        <x:f>$P134</x:f>
      </x:c>
      <x:c r="L135" s="24">
        <x:f>$K135*Inputs!$C$18/12</x:f>
      </x:c>
      <x:c r="M135" s="24">
        <x:f>MIN(($C135+$F135),$L135)</x:f>
      </x:c>
      <x:c r="N135" s="24">
        <x:f>MIN(($D135+$X135),MAX(0,$K135-$O135))</x:f>
      </x:c>
      <x:c r="O135" s="24">
        <x:f>MIN(MAX(0,MAX(0,$E135-$I135)-$U135),$K135)</x:f>
      </x:c>
      <x:c r="P135" s="24">
        <x:f>MAX(0,$K135-$O135)-$N135</x:f>
      </x:c>
      <x:c r="Q135" s="23">
        <x:f>$V134</x:f>
      </x:c>
      <x:c r="R135" s="24">
        <x:f>$Q135*Inputs!$C$19/12</x:f>
      </x:c>
      <x:c r="S135" s="24">
        <x:f>MIN(MAX(0,($C135+$F135)-$M135),$R135)</x:f>
      </x:c>
      <x:c r="T135" s="24">
        <x:f>MIN(MAX(0,($D135+$X135)-$N135),MAX(0,$Q135-$U135))</x:f>
      </x:c>
      <x:c r="U135" s="24">
        <x:f>MIN(MAX(0,$E135-$I135),$Q135)</x:f>
      </x:c>
      <x:c r="V135" s="24">
        <x:f>MAX(0,$Q135-$U135)-$T135</x:f>
      </x:c>
      <x:c r="W135" s="24">
        <x:f>MAX(0,MAX(0,($C135+$F135)-$M135)-$S135)-MIN(MAX(0,$D$3-(MAX(0,$F135-MAX(0,($M135+$S135)-$C135)))),MAX(0,MAX(0,($C135+$F135)-$M135)-$S135))</x:f>
      </x:c>
      <x:c r="X135" s="24">
        <x:f>IF(Inputs!$C$39=1,$W135,0)</x:f>
      </x:c>
      <x:c r="Y135" s="24">
        <x:f>IF(Inputs!$C$39=0,$W135,0)+MAX(0,MAX(0,($D135+$X135)-$N135)-$T135)</x:f>
      </x:c>
    </x:row>
    <x:row r="136">
      <x:c r="B136" s="22" t="n">
        <x:v>131</x:v>
      </x:c>
      <x:c r="C136" s="29">
        <x:f>IF($B136&lt;=Inputs!$C$6+Inputs!$C$11,Cashflow_Asset!$E134-Cashflow_Asset!$K134,0)</x:f>
      </x:c>
      <x:c r="D136" s="29">
        <x:f>IF($B136&lt;=Inputs!$C$6+Inputs!$C$11,Cashflow_Asset!$F134+Cashflow_Asset!$G134+Cashflow_Asset!$I134,0)</x:f>
      </x:c>
      <x:c r="E136" s="29">
        <x:f>IF($B136&lt;=Inputs!$C$6+Inputs!$C$11,Cashflow_Asset!$J134,0)</x:f>
      </x:c>
      <x:c r="F136" s="23">
        <x:f>$G135</x:f>
      </x:c>
      <x:c r="G136" s="24">
        <x:f>(MAX(0,$F136-MAX(0,($M136+$S136)-$C136)))+MIN(MAX(0,$D$3-(MAX(0,$F136-MAX(0,($M136+$S136)-$C136)))),MAX(0,MAX(0,($C136+$F136)-$M136)-$S136))</x:f>
      </x:c>
      <x:c r="H136" s="23">
        <x:f>$J135</x:f>
      </x:c>
      <x:c r="I136" s="24">
        <x:f>MIN($E136,$H136)</x:f>
      </x:c>
      <x:c r="J136" s="24">
        <x:f>$H136-$I136</x:f>
      </x:c>
      <x:c r="K136" s="23">
        <x:f>$P135</x:f>
      </x:c>
      <x:c r="L136" s="24">
        <x:f>$K136*Inputs!$C$18/12</x:f>
      </x:c>
      <x:c r="M136" s="24">
        <x:f>MIN(($C136+$F136),$L136)</x:f>
      </x:c>
      <x:c r="N136" s="24">
        <x:f>MIN(($D136+$X136),MAX(0,$K136-$O136))</x:f>
      </x:c>
      <x:c r="O136" s="24">
        <x:f>MIN(MAX(0,MAX(0,$E136-$I136)-$U136),$K136)</x:f>
      </x:c>
      <x:c r="P136" s="24">
        <x:f>MAX(0,$K136-$O136)-$N136</x:f>
      </x:c>
      <x:c r="Q136" s="23">
        <x:f>$V135</x:f>
      </x:c>
      <x:c r="R136" s="24">
        <x:f>$Q136*Inputs!$C$19/12</x:f>
      </x:c>
      <x:c r="S136" s="24">
        <x:f>MIN(MAX(0,($C136+$F136)-$M136),$R136)</x:f>
      </x:c>
      <x:c r="T136" s="24">
        <x:f>MIN(MAX(0,($D136+$X136)-$N136),MAX(0,$Q136-$U136))</x:f>
      </x:c>
      <x:c r="U136" s="24">
        <x:f>MIN(MAX(0,$E136-$I136),$Q136)</x:f>
      </x:c>
      <x:c r="V136" s="24">
        <x:f>MAX(0,$Q136-$U136)-$T136</x:f>
      </x:c>
      <x:c r="W136" s="24">
        <x:f>MAX(0,MAX(0,($C136+$F136)-$M136)-$S136)-MIN(MAX(0,$D$3-(MAX(0,$F136-MAX(0,($M136+$S136)-$C136)))),MAX(0,MAX(0,($C136+$F136)-$M136)-$S136))</x:f>
      </x:c>
      <x:c r="X136" s="24">
        <x:f>IF(Inputs!$C$39=1,$W136,0)</x:f>
      </x:c>
      <x:c r="Y136" s="24">
        <x:f>IF(Inputs!$C$39=0,$W136,0)+MAX(0,MAX(0,($D136+$X136)-$N136)-$T136)</x:f>
      </x:c>
    </x:row>
    <x:row r="137">
      <x:c r="B137" s="22" t="n">
        <x:v>132</x:v>
      </x:c>
      <x:c r="C137" s="29">
        <x:f>IF($B137&lt;=Inputs!$C$6+Inputs!$C$11,Cashflow_Asset!$E135-Cashflow_Asset!$K135,0)</x:f>
      </x:c>
      <x:c r="D137" s="29">
        <x:f>IF($B137&lt;=Inputs!$C$6+Inputs!$C$11,Cashflow_Asset!$F135+Cashflow_Asset!$G135+Cashflow_Asset!$I135,0)</x:f>
      </x:c>
      <x:c r="E137" s="29">
        <x:f>IF($B137&lt;=Inputs!$C$6+Inputs!$C$11,Cashflow_Asset!$J135,0)</x:f>
      </x:c>
      <x:c r="F137" s="23">
        <x:f>$G136</x:f>
      </x:c>
      <x:c r="G137" s="24">
        <x:f>(MAX(0,$F137-MAX(0,($M137+$S137)-$C137)))+MIN(MAX(0,$D$3-(MAX(0,$F137-MAX(0,($M137+$S137)-$C137)))),MAX(0,MAX(0,($C137+$F137)-$M137)-$S137))</x:f>
      </x:c>
      <x:c r="H137" s="23">
        <x:f>$J136</x:f>
      </x:c>
      <x:c r="I137" s="24">
        <x:f>MIN($E137,$H137)</x:f>
      </x:c>
      <x:c r="J137" s="24">
        <x:f>$H137-$I137</x:f>
      </x:c>
      <x:c r="K137" s="23">
        <x:f>$P136</x:f>
      </x:c>
      <x:c r="L137" s="24">
        <x:f>$K137*Inputs!$C$18/12</x:f>
      </x:c>
      <x:c r="M137" s="24">
        <x:f>MIN(($C137+$F137),$L137)</x:f>
      </x:c>
      <x:c r="N137" s="24">
        <x:f>MIN(($D137+$X137),MAX(0,$K137-$O137))</x:f>
      </x:c>
      <x:c r="O137" s="24">
        <x:f>MIN(MAX(0,MAX(0,$E137-$I137)-$U137),$K137)</x:f>
      </x:c>
      <x:c r="P137" s="24">
        <x:f>MAX(0,$K137-$O137)-$N137</x:f>
      </x:c>
      <x:c r="Q137" s="23">
        <x:f>$V136</x:f>
      </x:c>
      <x:c r="R137" s="24">
        <x:f>$Q137*Inputs!$C$19/12</x:f>
      </x:c>
      <x:c r="S137" s="24">
        <x:f>MIN(MAX(0,($C137+$F137)-$M137),$R137)</x:f>
      </x:c>
      <x:c r="T137" s="24">
        <x:f>MIN(MAX(0,($D137+$X137)-$N137),MAX(0,$Q137-$U137))</x:f>
      </x:c>
      <x:c r="U137" s="24">
        <x:f>MIN(MAX(0,$E137-$I137),$Q137)</x:f>
      </x:c>
      <x:c r="V137" s="24">
        <x:f>MAX(0,$Q137-$U137)-$T137</x:f>
      </x:c>
      <x:c r="W137" s="24">
        <x:f>MAX(0,MAX(0,($C137+$F137)-$M137)-$S137)-MIN(MAX(0,$D$3-(MAX(0,$F137-MAX(0,($M137+$S137)-$C137)))),MAX(0,MAX(0,($C137+$F137)-$M137)-$S137))</x:f>
      </x:c>
      <x:c r="X137" s="24">
        <x:f>IF(Inputs!$C$39=1,$W137,0)</x:f>
      </x:c>
      <x:c r="Y137" s="24">
        <x:f>IF(Inputs!$C$39=0,$W137,0)+MAX(0,MAX(0,($D137+$X137)-$N137)-$T137)</x:f>
      </x:c>
    </x:row>
    <x:row r="138">
      <x:c r="B138" s="22" t="n">
        <x:v>133</x:v>
      </x:c>
      <x:c r="C138" s="29">
        <x:f>IF($B138&lt;=Inputs!$C$6+Inputs!$C$11,Cashflow_Asset!$E136-Cashflow_Asset!$K136,0)</x:f>
      </x:c>
      <x:c r="D138" s="29">
        <x:f>IF($B138&lt;=Inputs!$C$6+Inputs!$C$11,Cashflow_Asset!$F136+Cashflow_Asset!$G136+Cashflow_Asset!$I136,0)</x:f>
      </x:c>
      <x:c r="E138" s="29">
        <x:f>IF($B138&lt;=Inputs!$C$6+Inputs!$C$11,Cashflow_Asset!$J136,0)</x:f>
      </x:c>
      <x:c r="F138" s="23">
        <x:f>$G137</x:f>
      </x:c>
      <x:c r="G138" s="24">
        <x:f>(MAX(0,$F138-MAX(0,($M138+$S138)-$C138)))+MIN(MAX(0,$D$3-(MAX(0,$F138-MAX(0,($M138+$S138)-$C138)))),MAX(0,MAX(0,($C138+$F138)-$M138)-$S138))</x:f>
      </x:c>
      <x:c r="H138" s="23">
        <x:f>$J137</x:f>
      </x:c>
      <x:c r="I138" s="24">
        <x:f>MIN($E138,$H138)</x:f>
      </x:c>
      <x:c r="J138" s="24">
        <x:f>$H138-$I138</x:f>
      </x:c>
      <x:c r="K138" s="23">
        <x:f>$P137</x:f>
      </x:c>
      <x:c r="L138" s="24">
        <x:f>$K138*Inputs!$C$18/12</x:f>
      </x:c>
      <x:c r="M138" s="24">
        <x:f>MIN(($C138+$F138),$L138)</x:f>
      </x:c>
      <x:c r="N138" s="24">
        <x:f>MIN(($D138+$X138),MAX(0,$K138-$O138))</x:f>
      </x:c>
      <x:c r="O138" s="24">
        <x:f>MIN(MAX(0,MAX(0,$E138-$I138)-$U138),$K138)</x:f>
      </x:c>
      <x:c r="P138" s="24">
        <x:f>MAX(0,$K138-$O138)-$N138</x:f>
      </x:c>
      <x:c r="Q138" s="23">
        <x:f>$V137</x:f>
      </x:c>
      <x:c r="R138" s="24">
        <x:f>$Q138*Inputs!$C$19/12</x:f>
      </x:c>
      <x:c r="S138" s="24">
        <x:f>MIN(MAX(0,($C138+$F138)-$M138),$R138)</x:f>
      </x:c>
      <x:c r="T138" s="24">
        <x:f>MIN(MAX(0,($D138+$X138)-$N138),MAX(0,$Q138-$U138))</x:f>
      </x:c>
      <x:c r="U138" s="24">
        <x:f>MIN(MAX(0,$E138-$I138),$Q138)</x:f>
      </x:c>
      <x:c r="V138" s="24">
        <x:f>MAX(0,$Q138-$U138)-$T138</x:f>
      </x:c>
      <x:c r="W138" s="24">
        <x:f>MAX(0,MAX(0,($C138+$F138)-$M138)-$S138)-MIN(MAX(0,$D$3-(MAX(0,$F138-MAX(0,($M138+$S138)-$C138)))),MAX(0,MAX(0,($C138+$F138)-$M138)-$S138))</x:f>
      </x:c>
      <x:c r="X138" s="24">
        <x:f>IF(Inputs!$C$39=1,$W138,0)</x:f>
      </x:c>
      <x:c r="Y138" s="24">
        <x:f>IF(Inputs!$C$39=0,$W138,0)+MAX(0,MAX(0,($D138+$X138)-$N138)-$T138)</x:f>
      </x:c>
    </x:row>
    <x:row r="139">
      <x:c r="B139" s="22" t="n">
        <x:v>134</x:v>
      </x:c>
      <x:c r="C139" s="29">
        <x:f>IF($B139&lt;=Inputs!$C$6+Inputs!$C$11,Cashflow_Asset!$E137-Cashflow_Asset!$K137,0)</x:f>
      </x:c>
      <x:c r="D139" s="29">
        <x:f>IF($B139&lt;=Inputs!$C$6+Inputs!$C$11,Cashflow_Asset!$F137+Cashflow_Asset!$G137+Cashflow_Asset!$I137,0)</x:f>
      </x:c>
      <x:c r="E139" s="29">
        <x:f>IF($B139&lt;=Inputs!$C$6+Inputs!$C$11,Cashflow_Asset!$J137,0)</x:f>
      </x:c>
      <x:c r="F139" s="23">
        <x:f>$G138</x:f>
      </x:c>
      <x:c r="G139" s="24">
        <x:f>(MAX(0,$F139-MAX(0,($M139+$S139)-$C139)))+MIN(MAX(0,$D$3-(MAX(0,$F139-MAX(0,($M139+$S139)-$C139)))),MAX(0,MAX(0,($C139+$F139)-$M139)-$S139))</x:f>
      </x:c>
      <x:c r="H139" s="23">
        <x:f>$J138</x:f>
      </x:c>
      <x:c r="I139" s="24">
        <x:f>MIN($E139,$H139)</x:f>
      </x:c>
      <x:c r="J139" s="24">
        <x:f>$H139-$I139</x:f>
      </x:c>
      <x:c r="K139" s="23">
        <x:f>$P138</x:f>
      </x:c>
      <x:c r="L139" s="24">
        <x:f>$K139*Inputs!$C$18/12</x:f>
      </x:c>
      <x:c r="M139" s="24">
        <x:f>MIN(($C139+$F139),$L139)</x:f>
      </x:c>
      <x:c r="N139" s="24">
        <x:f>MIN(($D139+$X139),MAX(0,$K139-$O139))</x:f>
      </x:c>
      <x:c r="O139" s="24">
        <x:f>MIN(MAX(0,MAX(0,$E139-$I139)-$U139),$K139)</x:f>
      </x:c>
      <x:c r="P139" s="24">
        <x:f>MAX(0,$K139-$O139)-$N139</x:f>
      </x:c>
      <x:c r="Q139" s="23">
        <x:f>$V138</x:f>
      </x:c>
      <x:c r="R139" s="24">
        <x:f>$Q139*Inputs!$C$19/12</x:f>
      </x:c>
      <x:c r="S139" s="24">
        <x:f>MIN(MAX(0,($C139+$F139)-$M139),$R139)</x:f>
      </x:c>
      <x:c r="T139" s="24">
        <x:f>MIN(MAX(0,($D139+$X139)-$N139),MAX(0,$Q139-$U139))</x:f>
      </x:c>
      <x:c r="U139" s="24">
        <x:f>MIN(MAX(0,$E139-$I139),$Q139)</x:f>
      </x:c>
      <x:c r="V139" s="24">
        <x:f>MAX(0,$Q139-$U139)-$T139</x:f>
      </x:c>
      <x:c r="W139" s="24">
        <x:f>MAX(0,MAX(0,($C139+$F139)-$M139)-$S139)-MIN(MAX(0,$D$3-(MAX(0,$F139-MAX(0,($M139+$S139)-$C139)))),MAX(0,MAX(0,($C139+$F139)-$M139)-$S139))</x:f>
      </x:c>
      <x:c r="X139" s="24">
        <x:f>IF(Inputs!$C$39=1,$W139,0)</x:f>
      </x:c>
      <x:c r="Y139" s="24">
        <x:f>IF(Inputs!$C$39=0,$W139,0)+MAX(0,MAX(0,($D139+$X139)-$N139)-$T139)</x:f>
      </x:c>
    </x:row>
    <x:row r="140">
      <x:c r="B140" s="22" t="n">
        <x:v>135</x:v>
      </x:c>
      <x:c r="C140" s="29">
        <x:f>IF($B140&lt;=Inputs!$C$6+Inputs!$C$11,Cashflow_Asset!$E138-Cashflow_Asset!$K138,0)</x:f>
      </x:c>
      <x:c r="D140" s="29">
        <x:f>IF($B140&lt;=Inputs!$C$6+Inputs!$C$11,Cashflow_Asset!$F138+Cashflow_Asset!$G138+Cashflow_Asset!$I138,0)</x:f>
      </x:c>
      <x:c r="E140" s="29">
        <x:f>IF($B140&lt;=Inputs!$C$6+Inputs!$C$11,Cashflow_Asset!$J138,0)</x:f>
      </x:c>
      <x:c r="F140" s="23">
        <x:f>$G139</x:f>
      </x:c>
      <x:c r="G140" s="24">
        <x:f>(MAX(0,$F140-MAX(0,($M140+$S140)-$C140)))+MIN(MAX(0,$D$3-(MAX(0,$F140-MAX(0,($M140+$S140)-$C140)))),MAX(0,MAX(0,($C140+$F140)-$M140)-$S140))</x:f>
      </x:c>
      <x:c r="H140" s="23">
        <x:f>$J139</x:f>
      </x:c>
      <x:c r="I140" s="24">
        <x:f>MIN($E140,$H140)</x:f>
      </x:c>
      <x:c r="J140" s="24">
        <x:f>$H140-$I140</x:f>
      </x:c>
      <x:c r="K140" s="23">
        <x:f>$P139</x:f>
      </x:c>
      <x:c r="L140" s="24">
        <x:f>$K140*Inputs!$C$18/12</x:f>
      </x:c>
      <x:c r="M140" s="24">
        <x:f>MIN(($C140+$F140),$L140)</x:f>
      </x:c>
      <x:c r="N140" s="24">
        <x:f>MIN(($D140+$X140),MAX(0,$K140-$O140))</x:f>
      </x:c>
      <x:c r="O140" s="24">
        <x:f>MIN(MAX(0,MAX(0,$E140-$I140)-$U140),$K140)</x:f>
      </x:c>
      <x:c r="P140" s="24">
        <x:f>MAX(0,$K140-$O140)-$N140</x:f>
      </x:c>
      <x:c r="Q140" s="23">
        <x:f>$V139</x:f>
      </x:c>
      <x:c r="R140" s="24">
        <x:f>$Q140*Inputs!$C$19/12</x:f>
      </x:c>
      <x:c r="S140" s="24">
        <x:f>MIN(MAX(0,($C140+$F140)-$M140),$R140)</x:f>
      </x:c>
      <x:c r="T140" s="24">
        <x:f>MIN(MAX(0,($D140+$X140)-$N140),MAX(0,$Q140-$U140))</x:f>
      </x:c>
      <x:c r="U140" s="24">
        <x:f>MIN(MAX(0,$E140-$I140),$Q140)</x:f>
      </x:c>
      <x:c r="V140" s="24">
        <x:f>MAX(0,$Q140-$U140)-$T140</x:f>
      </x:c>
      <x:c r="W140" s="24">
        <x:f>MAX(0,MAX(0,($C140+$F140)-$M140)-$S140)-MIN(MAX(0,$D$3-(MAX(0,$F140-MAX(0,($M140+$S140)-$C140)))),MAX(0,MAX(0,($C140+$F140)-$M140)-$S140))</x:f>
      </x:c>
      <x:c r="X140" s="24">
        <x:f>IF(Inputs!$C$39=1,$W140,0)</x:f>
      </x:c>
      <x:c r="Y140" s="24">
        <x:f>IF(Inputs!$C$39=0,$W140,0)+MAX(0,MAX(0,($D140+$X140)-$N140)-$T140)</x:f>
      </x:c>
    </x:row>
    <x:row r="141">
      <x:c r="B141" s="22" t="n">
        <x:v>136</x:v>
      </x:c>
      <x:c r="C141" s="29">
        <x:f>IF($B141&lt;=Inputs!$C$6+Inputs!$C$11,Cashflow_Asset!$E139-Cashflow_Asset!$K139,0)</x:f>
      </x:c>
      <x:c r="D141" s="29">
        <x:f>IF($B141&lt;=Inputs!$C$6+Inputs!$C$11,Cashflow_Asset!$F139+Cashflow_Asset!$G139+Cashflow_Asset!$I139,0)</x:f>
      </x:c>
      <x:c r="E141" s="29">
        <x:f>IF($B141&lt;=Inputs!$C$6+Inputs!$C$11,Cashflow_Asset!$J139,0)</x:f>
      </x:c>
      <x:c r="F141" s="23">
        <x:f>$G140</x:f>
      </x:c>
      <x:c r="G141" s="24">
        <x:f>(MAX(0,$F141-MAX(0,($M141+$S141)-$C141)))+MIN(MAX(0,$D$3-(MAX(0,$F141-MAX(0,($M141+$S141)-$C141)))),MAX(0,MAX(0,($C141+$F141)-$M141)-$S141))</x:f>
      </x:c>
      <x:c r="H141" s="23">
        <x:f>$J140</x:f>
      </x:c>
      <x:c r="I141" s="24">
        <x:f>MIN($E141,$H141)</x:f>
      </x:c>
      <x:c r="J141" s="24">
        <x:f>$H141-$I141</x:f>
      </x:c>
      <x:c r="K141" s="23">
        <x:f>$P140</x:f>
      </x:c>
      <x:c r="L141" s="24">
        <x:f>$K141*Inputs!$C$18/12</x:f>
      </x:c>
      <x:c r="M141" s="24">
        <x:f>MIN(($C141+$F141),$L141)</x:f>
      </x:c>
      <x:c r="N141" s="24">
        <x:f>MIN(($D141+$X141),MAX(0,$K141-$O141))</x:f>
      </x:c>
      <x:c r="O141" s="24">
        <x:f>MIN(MAX(0,MAX(0,$E141-$I141)-$U141),$K141)</x:f>
      </x:c>
      <x:c r="P141" s="24">
        <x:f>MAX(0,$K141-$O141)-$N141</x:f>
      </x:c>
      <x:c r="Q141" s="23">
        <x:f>$V140</x:f>
      </x:c>
      <x:c r="R141" s="24">
        <x:f>$Q141*Inputs!$C$19/12</x:f>
      </x:c>
      <x:c r="S141" s="24">
        <x:f>MIN(MAX(0,($C141+$F141)-$M141),$R141)</x:f>
      </x:c>
      <x:c r="T141" s="24">
        <x:f>MIN(MAX(0,($D141+$X141)-$N141),MAX(0,$Q141-$U141))</x:f>
      </x:c>
      <x:c r="U141" s="24">
        <x:f>MIN(MAX(0,$E141-$I141),$Q141)</x:f>
      </x:c>
      <x:c r="V141" s="24">
        <x:f>MAX(0,$Q141-$U141)-$T141</x:f>
      </x:c>
      <x:c r="W141" s="24">
        <x:f>MAX(0,MAX(0,($C141+$F141)-$M141)-$S141)-MIN(MAX(0,$D$3-(MAX(0,$F141-MAX(0,($M141+$S141)-$C141)))),MAX(0,MAX(0,($C141+$F141)-$M141)-$S141))</x:f>
      </x:c>
      <x:c r="X141" s="24">
        <x:f>IF(Inputs!$C$39=1,$W141,0)</x:f>
      </x:c>
      <x:c r="Y141" s="24">
        <x:f>IF(Inputs!$C$39=0,$W141,0)+MAX(0,MAX(0,($D141+$X141)-$N141)-$T141)</x:f>
      </x:c>
    </x:row>
    <x:row r="142">
      <x:c r="B142" s="22" t="n">
        <x:v>137</x:v>
      </x:c>
      <x:c r="C142" s="29">
        <x:f>IF($B142&lt;=Inputs!$C$6+Inputs!$C$11,Cashflow_Asset!$E140-Cashflow_Asset!$K140,0)</x:f>
      </x:c>
      <x:c r="D142" s="29">
        <x:f>IF($B142&lt;=Inputs!$C$6+Inputs!$C$11,Cashflow_Asset!$F140+Cashflow_Asset!$G140+Cashflow_Asset!$I140,0)</x:f>
      </x:c>
      <x:c r="E142" s="29">
        <x:f>IF($B142&lt;=Inputs!$C$6+Inputs!$C$11,Cashflow_Asset!$J140,0)</x:f>
      </x:c>
      <x:c r="F142" s="23">
        <x:f>$G141</x:f>
      </x:c>
      <x:c r="G142" s="24">
        <x:f>(MAX(0,$F142-MAX(0,($M142+$S142)-$C142)))+MIN(MAX(0,$D$3-(MAX(0,$F142-MAX(0,($M142+$S142)-$C142)))),MAX(0,MAX(0,($C142+$F142)-$M142)-$S142))</x:f>
      </x:c>
      <x:c r="H142" s="23">
        <x:f>$J141</x:f>
      </x:c>
      <x:c r="I142" s="24">
        <x:f>MIN($E142,$H142)</x:f>
      </x:c>
      <x:c r="J142" s="24">
        <x:f>$H142-$I142</x:f>
      </x:c>
      <x:c r="K142" s="23">
        <x:f>$P141</x:f>
      </x:c>
      <x:c r="L142" s="24">
        <x:f>$K142*Inputs!$C$18/12</x:f>
      </x:c>
      <x:c r="M142" s="24">
        <x:f>MIN(($C142+$F142),$L142)</x:f>
      </x:c>
      <x:c r="N142" s="24">
        <x:f>MIN(($D142+$X142),MAX(0,$K142-$O142))</x:f>
      </x:c>
      <x:c r="O142" s="24">
        <x:f>MIN(MAX(0,MAX(0,$E142-$I142)-$U142),$K142)</x:f>
      </x:c>
      <x:c r="P142" s="24">
        <x:f>MAX(0,$K142-$O142)-$N142</x:f>
      </x:c>
      <x:c r="Q142" s="23">
        <x:f>$V141</x:f>
      </x:c>
      <x:c r="R142" s="24">
        <x:f>$Q142*Inputs!$C$19/12</x:f>
      </x:c>
      <x:c r="S142" s="24">
        <x:f>MIN(MAX(0,($C142+$F142)-$M142),$R142)</x:f>
      </x:c>
      <x:c r="T142" s="24">
        <x:f>MIN(MAX(0,($D142+$X142)-$N142),MAX(0,$Q142-$U142))</x:f>
      </x:c>
      <x:c r="U142" s="24">
        <x:f>MIN(MAX(0,$E142-$I142),$Q142)</x:f>
      </x:c>
      <x:c r="V142" s="24">
        <x:f>MAX(0,$Q142-$U142)-$T142</x:f>
      </x:c>
      <x:c r="W142" s="24">
        <x:f>MAX(0,MAX(0,($C142+$F142)-$M142)-$S142)-MIN(MAX(0,$D$3-(MAX(0,$F142-MAX(0,($M142+$S142)-$C142)))),MAX(0,MAX(0,($C142+$F142)-$M142)-$S142))</x:f>
      </x:c>
      <x:c r="X142" s="24">
        <x:f>IF(Inputs!$C$39=1,$W142,0)</x:f>
      </x:c>
      <x:c r="Y142" s="24">
        <x:f>IF(Inputs!$C$39=0,$W142,0)+MAX(0,MAX(0,($D142+$X142)-$N142)-$T142)</x:f>
      </x:c>
    </x:row>
    <x:row r="143">
      <x:c r="B143" s="22" t="n">
        <x:v>138</x:v>
      </x:c>
      <x:c r="C143" s="29">
        <x:f>IF($B143&lt;=Inputs!$C$6+Inputs!$C$11,Cashflow_Asset!$E141-Cashflow_Asset!$K141,0)</x:f>
      </x:c>
      <x:c r="D143" s="29">
        <x:f>IF($B143&lt;=Inputs!$C$6+Inputs!$C$11,Cashflow_Asset!$F141+Cashflow_Asset!$G141+Cashflow_Asset!$I141,0)</x:f>
      </x:c>
      <x:c r="E143" s="29">
        <x:f>IF($B143&lt;=Inputs!$C$6+Inputs!$C$11,Cashflow_Asset!$J141,0)</x:f>
      </x:c>
      <x:c r="F143" s="23">
        <x:f>$G142</x:f>
      </x:c>
      <x:c r="G143" s="24">
        <x:f>(MAX(0,$F143-MAX(0,($M143+$S143)-$C143)))+MIN(MAX(0,$D$3-(MAX(0,$F143-MAX(0,($M143+$S143)-$C143)))),MAX(0,MAX(0,($C143+$F143)-$M143)-$S143))</x:f>
      </x:c>
      <x:c r="H143" s="23">
        <x:f>$J142</x:f>
      </x:c>
      <x:c r="I143" s="24">
        <x:f>MIN($E143,$H143)</x:f>
      </x:c>
      <x:c r="J143" s="24">
        <x:f>$H143-$I143</x:f>
      </x:c>
      <x:c r="K143" s="23">
        <x:f>$P142</x:f>
      </x:c>
      <x:c r="L143" s="24">
        <x:f>$K143*Inputs!$C$18/12</x:f>
      </x:c>
      <x:c r="M143" s="24">
        <x:f>MIN(($C143+$F143),$L143)</x:f>
      </x:c>
      <x:c r="N143" s="24">
        <x:f>MIN(($D143+$X143),MAX(0,$K143-$O143))</x:f>
      </x:c>
      <x:c r="O143" s="24">
        <x:f>MIN(MAX(0,MAX(0,$E143-$I143)-$U143),$K143)</x:f>
      </x:c>
      <x:c r="P143" s="24">
        <x:f>MAX(0,$K143-$O143)-$N143</x:f>
      </x:c>
      <x:c r="Q143" s="23">
        <x:f>$V142</x:f>
      </x:c>
      <x:c r="R143" s="24">
        <x:f>$Q143*Inputs!$C$19/12</x:f>
      </x:c>
      <x:c r="S143" s="24">
        <x:f>MIN(MAX(0,($C143+$F143)-$M143),$R143)</x:f>
      </x:c>
      <x:c r="T143" s="24">
        <x:f>MIN(MAX(0,($D143+$X143)-$N143),MAX(0,$Q143-$U143))</x:f>
      </x:c>
      <x:c r="U143" s="24">
        <x:f>MIN(MAX(0,$E143-$I143),$Q143)</x:f>
      </x:c>
      <x:c r="V143" s="24">
        <x:f>MAX(0,$Q143-$U143)-$T143</x:f>
      </x:c>
      <x:c r="W143" s="24">
        <x:f>MAX(0,MAX(0,($C143+$F143)-$M143)-$S143)-MIN(MAX(0,$D$3-(MAX(0,$F143-MAX(0,($M143+$S143)-$C143)))),MAX(0,MAX(0,($C143+$F143)-$M143)-$S143))</x:f>
      </x:c>
      <x:c r="X143" s="24">
        <x:f>IF(Inputs!$C$39=1,$W143,0)</x:f>
      </x:c>
      <x:c r="Y143" s="24">
        <x:f>IF(Inputs!$C$39=0,$W143,0)+MAX(0,MAX(0,($D143+$X143)-$N143)-$T143)</x:f>
      </x:c>
    </x:row>
    <x:row r="144">
      <x:c r="B144" s="22" t="n">
        <x:v>139</x:v>
      </x:c>
      <x:c r="C144" s="29">
        <x:f>IF($B144&lt;=Inputs!$C$6+Inputs!$C$11,Cashflow_Asset!$E142-Cashflow_Asset!$K142,0)</x:f>
      </x:c>
      <x:c r="D144" s="29">
        <x:f>IF($B144&lt;=Inputs!$C$6+Inputs!$C$11,Cashflow_Asset!$F142+Cashflow_Asset!$G142+Cashflow_Asset!$I142,0)</x:f>
      </x:c>
      <x:c r="E144" s="29">
        <x:f>IF($B144&lt;=Inputs!$C$6+Inputs!$C$11,Cashflow_Asset!$J142,0)</x:f>
      </x:c>
      <x:c r="F144" s="23">
        <x:f>$G143</x:f>
      </x:c>
      <x:c r="G144" s="24">
        <x:f>(MAX(0,$F144-MAX(0,($M144+$S144)-$C144)))+MIN(MAX(0,$D$3-(MAX(0,$F144-MAX(0,($M144+$S144)-$C144)))),MAX(0,MAX(0,($C144+$F144)-$M144)-$S144))</x:f>
      </x:c>
      <x:c r="H144" s="23">
        <x:f>$J143</x:f>
      </x:c>
      <x:c r="I144" s="24">
        <x:f>MIN($E144,$H144)</x:f>
      </x:c>
      <x:c r="J144" s="24">
        <x:f>$H144-$I144</x:f>
      </x:c>
      <x:c r="K144" s="23">
        <x:f>$P143</x:f>
      </x:c>
      <x:c r="L144" s="24">
        <x:f>$K144*Inputs!$C$18/12</x:f>
      </x:c>
      <x:c r="M144" s="24">
        <x:f>MIN(($C144+$F144),$L144)</x:f>
      </x:c>
      <x:c r="N144" s="24">
        <x:f>MIN(($D144+$X144),MAX(0,$K144-$O144))</x:f>
      </x:c>
      <x:c r="O144" s="24">
        <x:f>MIN(MAX(0,MAX(0,$E144-$I144)-$U144),$K144)</x:f>
      </x:c>
      <x:c r="P144" s="24">
        <x:f>MAX(0,$K144-$O144)-$N144</x:f>
      </x:c>
      <x:c r="Q144" s="23">
        <x:f>$V143</x:f>
      </x:c>
      <x:c r="R144" s="24">
        <x:f>$Q144*Inputs!$C$19/12</x:f>
      </x:c>
      <x:c r="S144" s="24">
        <x:f>MIN(MAX(0,($C144+$F144)-$M144),$R144)</x:f>
      </x:c>
      <x:c r="T144" s="24">
        <x:f>MIN(MAX(0,($D144+$X144)-$N144),MAX(0,$Q144-$U144))</x:f>
      </x:c>
      <x:c r="U144" s="24">
        <x:f>MIN(MAX(0,$E144-$I144),$Q144)</x:f>
      </x:c>
      <x:c r="V144" s="24">
        <x:f>MAX(0,$Q144-$U144)-$T144</x:f>
      </x:c>
      <x:c r="W144" s="24">
        <x:f>MAX(0,MAX(0,($C144+$F144)-$M144)-$S144)-MIN(MAX(0,$D$3-(MAX(0,$F144-MAX(0,($M144+$S144)-$C144)))),MAX(0,MAX(0,($C144+$F144)-$M144)-$S144))</x:f>
      </x:c>
      <x:c r="X144" s="24">
        <x:f>IF(Inputs!$C$39=1,$W144,0)</x:f>
      </x:c>
      <x:c r="Y144" s="24">
        <x:f>IF(Inputs!$C$39=0,$W144,0)+MAX(0,MAX(0,($D144+$X144)-$N144)-$T144)</x:f>
      </x:c>
    </x:row>
    <x:row r="145">
      <x:c r="B145" s="22" t="n">
        <x:v>140</x:v>
      </x:c>
      <x:c r="C145" s="29">
        <x:f>IF($B145&lt;=Inputs!$C$6+Inputs!$C$11,Cashflow_Asset!$E143-Cashflow_Asset!$K143,0)</x:f>
      </x:c>
      <x:c r="D145" s="29">
        <x:f>IF($B145&lt;=Inputs!$C$6+Inputs!$C$11,Cashflow_Asset!$F143+Cashflow_Asset!$G143+Cashflow_Asset!$I143,0)</x:f>
      </x:c>
      <x:c r="E145" s="29">
        <x:f>IF($B145&lt;=Inputs!$C$6+Inputs!$C$11,Cashflow_Asset!$J143,0)</x:f>
      </x:c>
      <x:c r="F145" s="23">
        <x:f>$G144</x:f>
      </x:c>
      <x:c r="G145" s="24">
        <x:f>(MAX(0,$F145-MAX(0,($M145+$S145)-$C145)))+MIN(MAX(0,$D$3-(MAX(0,$F145-MAX(0,($M145+$S145)-$C145)))),MAX(0,MAX(0,($C145+$F145)-$M145)-$S145))</x:f>
      </x:c>
      <x:c r="H145" s="23">
        <x:f>$J144</x:f>
      </x:c>
      <x:c r="I145" s="24">
        <x:f>MIN($E145,$H145)</x:f>
      </x:c>
      <x:c r="J145" s="24">
        <x:f>$H145-$I145</x:f>
      </x:c>
      <x:c r="K145" s="23">
        <x:f>$P144</x:f>
      </x:c>
      <x:c r="L145" s="24">
        <x:f>$K145*Inputs!$C$18/12</x:f>
      </x:c>
      <x:c r="M145" s="24">
        <x:f>MIN(($C145+$F145),$L145)</x:f>
      </x:c>
      <x:c r="N145" s="24">
        <x:f>MIN(($D145+$X145),MAX(0,$K145-$O145))</x:f>
      </x:c>
      <x:c r="O145" s="24">
        <x:f>MIN(MAX(0,MAX(0,$E145-$I145)-$U145),$K145)</x:f>
      </x:c>
      <x:c r="P145" s="24">
        <x:f>MAX(0,$K145-$O145)-$N145</x:f>
      </x:c>
      <x:c r="Q145" s="23">
        <x:f>$V144</x:f>
      </x:c>
      <x:c r="R145" s="24">
        <x:f>$Q145*Inputs!$C$19/12</x:f>
      </x:c>
      <x:c r="S145" s="24">
        <x:f>MIN(MAX(0,($C145+$F145)-$M145),$R145)</x:f>
      </x:c>
      <x:c r="T145" s="24">
        <x:f>MIN(MAX(0,($D145+$X145)-$N145),MAX(0,$Q145-$U145))</x:f>
      </x:c>
      <x:c r="U145" s="24">
        <x:f>MIN(MAX(0,$E145-$I145),$Q145)</x:f>
      </x:c>
      <x:c r="V145" s="24">
        <x:f>MAX(0,$Q145-$U145)-$T145</x:f>
      </x:c>
      <x:c r="W145" s="24">
        <x:f>MAX(0,MAX(0,($C145+$F145)-$M145)-$S145)-MIN(MAX(0,$D$3-(MAX(0,$F145-MAX(0,($M145+$S145)-$C145)))),MAX(0,MAX(0,($C145+$F145)-$M145)-$S145))</x:f>
      </x:c>
      <x:c r="X145" s="24">
        <x:f>IF(Inputs!$C$39=1,$W145,0)</x:f>
      </x:c>
      <x:c r="Y145" s="24">
        <x:f>IF(Inputs!$C$39=0,$W145,0)+MAX(0,MAX(0,($D145+$X145)-$N145)-$T145)</x:f>
      </x:c>
    </x:row>
    <x:row r="146">
      <x:c r="B146" s="22" t="n">
        <x:v>141</x:v>
      </x:c>
      <x:c r="C146" s="29">
        <x:f>IF($B146&lt;=Inputs!$C$6+Inputs!$C$11,Cashflow_Asset!$E144-Cashflow_Asset!$K144,0)</x:f>
      </x:c>
      <x:c r="D146" s="29">
        <x:f>IF($B146&lt;=Inputs!$C$6+Inputs!$C$11,Cashflow_Asset!$F144+Cashflow_Asset!$G144+Cashflow_Asset!$I144,0)</x:f>
      </x:c>
      <x:c r="E146" s="29">
        <x:f>IF($B146&lt;=Inputs!$C$6+Inputs!$C$11,Cashflow_Asset!$J144,0)</x:f>
      </x:c>
      <x:c r="F146" s="23">
        <x:f>$G145</x:f>
      </x:c>
      <x:c r="G146" s="24">
        <x:f>(MAX(0,$F146-MAX(0,($M146+$S146)-$C146)))+MIN(MAX(0,$D$3-(MAX(0,$F146-MAX(0,($M146+$S146)-$C146)))),MAX(0,MAX(0,($C146+$F146)-$M146)-$S146))</x:f>
      </x:c>
      <x:c r="H146" s="23">
        <x:f>$J145</x:f>
      </x:c>
      <x:c r="I146" s="24">
        <x:f>MIN($E146,$H146)</x:f>
      </x:c>
      <x:c r="J146" s="24">
        <x:f>$H146-$I146</x:f>
      </x:c>
      <x:c r="K146" s="23">
        <x:f>$P145</x:f>
      </x:c>
      <x:c r="L146" s="24">
        <x:f>$K146*Inputs!$C$18/12</x:f>
      </x:c>
      <x:c r="M146" s="24">
        <x:f>MIN(($C146+$F146),$L146)</x:f>
      </x:c>
      <x:c r="N146" s="24">
        <x:f>MIN(($D146+$X146),MAX(0,$K146-$O146))</x:f>
      </x:c>
      <x:c r="O146" s="24">
        <x:f>MIN(MAX(0,MAX(0,$E146-$I146)-$U146),$K146)</x:f>
      </x:c>
      <x:c r="P146" s="24">
        <x:f>MAX(0,$K146-$O146)-$N146</x:f>
      </x:c>
      <x:c r="Q146" s="23">
        <x:f>$V145</x:f>
      </x:c>
      <x:c r="R146" s="24">
        <x:f>$Q146*Inputs!$C$19/12</x:f>
      </x:c>
      <x:c r="S146" s="24">
        <x:f>MIN(MAX(0,($C146+$F146)-$M146),$R146)</x:f>
      </x:c>
      <x:c r="T146" s="24">
        <x:f>MIN(MAX(0,($D146+$X146)-$N146),MAX(0,$Q146-$U146))</x:f>
      </x:c>
      <x:c r="U146" s="24">
        <x:f>MIN(MAX(0,$E146-$I146),$Q146)</x:f>
      </x:c>
      <x:c r="V146" s="24">
        <x:f>MAX(0,$Q146-$U146)-$T146</x:f>
      </x:c>
      <x:c r="W146" s="24">
        <x:f>MAX(0,MAX(0,($C146+$F146)-$M146)-$S146)-MIN(MAX(0,$D$3-(MAX(0,$F146-MAX(0,($M146+$S146)-$C146)))),MAX(0,MAX(0,($C146+$F146)-$M146)-$S146))</x:f>
      </x:c>
      <x:c r="X146" s="24">
        <x:f>IF(Inputs!$C$39=1,$W146,0)</x:f>
      </x:c>
      <x:c r="Y146" s="24">
        <x:f>IF(Inputs!$C$39=0,$W146,0)+MAX(0,MAX(0,($D146+$X146)-$N146)-$T146)</x:f>
      </x:c>
    </x:row>
    <x:row r="147">
      <x:c r="B147" s="22" t="n">
        <x:v>142</x:v>
      </x:c>
      <x:c r="C147" s="29">
        <x:f>IF($B147&lt;=Inputs!$C$6+Inputs!$C$11,Cashflow_Asset!$E145-Cashflow_Asset!$K145,0)</x:f>
      </x:c>
      <x:c r="D147" s="29">
        <x:f>IF($B147&lt;=Inputs!$C$6+Inputs!$C$11,Cashflow_Asset!$F145+Cashflow_Asset!$G145+Cashflow_Asset!$I145,0)</x:f>
      </x:c>
      <x:c r="E147" s="29">
        <x:f>IF($B147&lt;=Inputs!$C$6+Inputs!$C$11,Cashflow_Asset!$J145,0)</x:f>
      </x:c>
      <x:c r="F147" s="23">
        <x:f>$G146</x:f>
      </x:c>
      <x:c r="G147" s="24">
        <x:f>(MAX(0,$F147-MAX(0,($M147+$S147)-$C147)))+MIN(MAX(0,$D$3-(MAX(0,$F147-MAX(0,($M147+$S147)-$C147)))),MAX(0,MAX(0,($C147+$F147)-$M147)-$S147))</x:f>
      </x:c>
      <x:c r="H147" s="23">
        <x:f>$J146</x:f>
      </x:c>
      <x:c r="I147" s="24">
        <x:f>MIN($E147,$H147)</x:f>
      </x:c>
      <x:c r="J147" s="24">
        <x:f>$H147-$I147</x:f>
      </x:c>
      <x:c r="K147" s="23">
        <x:f>$P146</x:f>
      </x:c>
      <x:c r="L147" s="24">
        <x:f>$K147*Inputs!$C$18/12</x:f>
      </x:c>
      <x:c r="M147" s="24">
        <x:f>MIN(($C147+$F147),$L147)</x:f>
      </x:c>
      <x:c r="N147" s="24">
        <x:f>MIN(($D147+$X147),MAX(0,$K147-$O147))</x:f>
      </x:c>
      <x:c r="O147" s="24">
        <x:f>MIN(MAX(0,MAX(0,$E147-$I147)-$U147),$K147)</x:f>
      </x:c>
      <x:c r="P147" s="24">
        <x:f>MAX(0,$K147-$O147)-$N147</x:f>
      </x:c>
      <x:c r="Q147" s="23">
        <x:f>$V146</x:f>
      </x:c>
      <x:c r="R147" s="24">
        <x:f>$Q147*Inputs!$C$19/12</x:f>
      </x:c>
      <x:c r="S147" s="24">
        <x:f>MIN(MAX(0,($C147+$F147)-$M147),$R147)</x:f>
      </x:c>
      <x:c r="T147" s="24">
        <x:f>MIN(MAX(0,($D147+$X147)-$N147),MAX(0,$Q147-$U147))</x:f>
      </x:c>
      <x:c r="U147" s="24">
        <x:f>MIN(MAX(0,$E147-$I147),$Q147)</x:f>
      </x:c>
      <x:c r="V147" s="24">
        <x:f>MAX(0,$Q147-$U147)-$T147</x:f>
      </x:c>
      <x:c r="W147" s="24">
        <x:f>MAX(0,MAX(0,($C147+$F147)-$M147)-$S147)-MIN(MAX(0,$D$3-(MAX(0,$F147-MAX(0,($M147+$S147)-$C147)))),MAX(0,MAX(0,($C147+$F147)-$M147)-$S147))</x:f>
      </x:c>
      <x:c r="X147" s="24">
        <x:f>IF(Inputs!$C$39=1,$W147,0)</x:f>
      </x:c>
      <x:c r="Y147" s="24">
        <x:f>IF(Inputs!$C$39=0,$W147,0)+MAX(0,MAX(0,($D147+$X147)-$N147)-$T147)</x:f>
      </x:c>
    </x:row>
    <x:row r="148">
      <x:c r="B148" s="22" t="n">
        <x:v>143</x:v>
      </x:c>
      <x:c r="C148" s="29">
        <x:f>IF($B148&lt;=Inputs!$C$6+Inputs!$C$11,Cashflow_Asset!$E146-Cashflow_Asset!$K146,0)</x:f>
      </x:c>
      <x:c r="D148" s="29">
        <x:f>IF($B148&lt;=Inputs!$C$6+Inputs!$C$11,Cashflow_Asset!$F146+Cashflow_Asset!$G146+Cashflow_Asset!$I146,0)</x:f>
      </x:c>
      <x:c r="E148" s="29">
        <x:f>IF($B148&lt;=Inputs!$C$6+Inputs!$C$11,Cashflow_Asset!$J146,0)</x:f>
      </x:c>
      <x:c r="F148" s="23">
        <x:f>$G147</x:f>
      </x:c>
      <x:c r="G148" s="24">
        <x:f>(MAX(0,$F148-MAX(0,($M148+$S148)-$C148)))+MIN(MAX(0,$D$3-(MAX(0,$F148-MAX(0,($M148+$S148)-$C148)))),MAX(0,MAX(0,($C148+$F148)-$M148)-$S148))</x:f>
      </x:c>
      <x:c r="H148" s="23">
        <x:f>$J147</x:f>
      </x:c>
      <x:c r="I148" s="24">
        <x:f>MIN($E148,$H148)</x:f>
      </x:c>
      <x:c r="J148" s="24">
        <x:f>$H148-$I148</x:f>
      </x:c>
      <x:c r="K148" s="23">
        <x:f>$P147</x:f>
      </x:c>
      <x:c r="L148" s="24">
        <x:f>$K148*Inputs!$C$18/12</x:f>
      </x:c>
      <x:c r="M148" s="24">
        <x:f>MIN(($C148+$F148),$L148)</x:f>
      </x:c>
      <x:c r="N148" s="24">
        <x:f>MIN(($D148+$X148),MAX(0,$K148-$O148))</x:f>
      </x:c>
      <x:c r="O148" s="24">
        <x:f>MIN(MAX(0,MAX(0,$E148-$I148)-$U148),$K148)</x:f>
      </x:c>
      <x:c r="P148" s="24">
        <x:f>MAX(0,$K148-$O148)-$N148</x:f>
      </x:c>
      <x:c r="Q148" s="23">
        <x:f>$V147</x:f>
      </x:c>
      <x:c r="R148" s="24">
        <x:f>$Q148*Inputs!$C$19/12</x:f>
      </x:c>
      <x:c r="S148" s="24">
        <x:f>MIN(MAX(0,($C148+$F148)-$M148),$R148)</x:f>
      </x:c>
      <x:c r="T148" s="24">
        <x:f>MIN(MAX(0,($D148+$X148)-$N148),MAX(0,$Q148-$U148))</x:f>
      </x:c>
      <x:c r="U148" s="24">
        <x:f>MIN(MAX(0,$E148-$I148),$Q148)</x:f>
      </x:c>
      <x:c r="V148" s="24">
        <x:f>MAX(0,$Q148-$U148)-$T148</x:f>
      </x:c>
      <x:c r="W148" s="24">
        <x:f>MAX(0,MAX(0,($C148+$F148)-$M148)-$S148)-MIN(MAX(0,$D$3-(MAX(0,$F148-MAX(0,($M148+$S148)-$C148)))),MAX(0,MAX(0,($C148+$F148)-$M148)-$S148))</x:f>
      </x:c>
      <x:c r="X148" s="24">
        <x:f>IF(Inputs!$C$39=1,$W148,0)</x:f>
      </x:c>
      <x:c r="Y148" s="24">
        <x:f>IF(Inputs!$C$39=0,$W148,0)+MAX(0,MAX(0,($D148+$X148)-$N148)-$T148)</x:f>
      </x:c>
    </x:row>
    <x:row r="149">
      <x:c r="B149" s="22" t="n">
        <x:v>144</x:v>
      </x:c>
      <x:c r="C149" s="29">
        <x:f>IF($B149&lt;=Inputs!$C$6+Inputs!$C$11,Cashflow_Asset!$E147-Cashflow_Asset!$K147,0)</x:f>
      </x:c>
      <x:c r="D149" s="29">
        <x:f>IF($B149&lt;=Inputs!$C$6+Inputs!$C$11,Cashflow_Asset!$F147+Cashflow_Asset!$G147+Cashflow_Asset!$I147,0)</x:f>
      </x:c>
      <x:c r="E149" s="29">
        <x:f>IF($B149&lt;=Inputs!$C$6+Inputs!$C$11,Cashflow_Asset!$J147,0)</x:f>
      </x:c>
      <x:c r="F149" s="23">
        <x:f>$G148</x:f>
      </x:c>
      <x:c r="G149" s="24">
        <x:f>(MAX(0,$F149-MAX(0,($M149+$S149)-$C149)))+MIN(MAX(0,$D$3-(MAX(0,$F149-MAX(0,($M149+$S149)-$C149)))),MAX(0,MAX(0,($C149+$F149)-$M149)-$S149))</x:f>
      </x:c>
      <x:c r="H149" s="23">
        <x:f>$J148</x:f>
      </x:c>
      <x:c r="I149" s="24">
        <x:f>MIN($E149,$H149)</x:f>
      </x:c>
      <x:c r="J149" s="24">
        <x:f>$H149-$I149</x:f>
      </x:c>
      <x:c r="K149" s="23">
        <x:f>$P148</x:f>
      </x:c>
      <x:c r="L149" s="24">
        <x:f>$K149*Inputs!$C$18/12</x:f>
      </x:c>
      <x:c r="M149" s="24">
        <x:f>MIN(($C149+$F149),$L149)</x:f>
      </x:c>
      <x:c r="N149" s="24">
        <x:f>MIN(($D149+$X149),MAX(0,$K149-$O149))</x:f>
      </x:c>
      <x:c r="O149" s="24">
        <x:f>MIN(MAX(0,MAX(0,$E149-$I149)-$U149),$K149)</x:f>
      </x:c>
      <x:c r="P149" s="24">
        <x:f>MAX(0,$K149-$O149)-$N149</x:f>
      </x:c>
      <x:c r="Q149" s="23">
        <x:f>$V148</x:f>
      </x:c>
      <x:c r="R149" s="24">
        <x:f>$Q149*Inputs!$C$19/12</x:f>
      </x:c>
      <x:c r="S149" s="24">
        <x:f>MIN(MAX(0,($C149+$F149)-$M149),$R149)</x:f>
      </x:c>
      <x:c r="T149" s="24">
        <x:f>MIN(MAX(0,($D149+$X149)-$N149),MAX(0,$Q149-$U149))</x:f>
      </x:c>
      <x:c r="U149" s="24">
        <x:f>MIN(MAX(0,$E149-$I149),$Q149)</x:f>
      </x:c>
      <x:c r="V149" s="24">
        <x:f>MAX(0,$Q149-$U149)-$T149</x:f>
      </x:c>
      <x:c r="W149" s="24">
        <x:f>MAX(0,MAX(0,($C149+$F149)-$M149)-$S149)-MIN(MAX(0,$D$3-(MAX(0,$F149-MAX(0,($M149+$S149)-$C149)))),MAX(0,MAX(0,($C149+$F149)-$M149)-$S149))</x:f>
      </x:c>
      <x:c r="X149" s="24">
        <x:f>IF(Inputs!$C$39=1,$W149,0)</x:f>
      </x:c>
      <x:c r="Y149" s="24">
        <x:f>IF(Inputs!$C$39=0,$W149,0)+MAX(0,MAX(0,($D149+$X149)-$N149)-$T149)</x:f>
      </x:c>
    </x:row>
    <x:row r="150">
      <x:c r="B150" s="22" t="n">
        <x:v>145</x:v>
      </x:c>
      <x:c r="C150" s="29">
        <x:f>IF($B150&lt;=Inputs!$C$6+Inputs!$C$11,Cashflow_Asset!$E148-Cashflow_Asset!$K148,0)</x:f>
      </x:c>
      <x:c r="D150" s="29">
        <x:f>IF($B150&lt;=Inputs!$C$6+Inputs!$C$11,Cashflow_Asset!$F148+Cashflow_Asset!$G148+Cashflow_Asset!$I148,0)</x:f>
      </x:c>
      <x:c r="E150" s="29">
        <x:f>IF($B150&lt;=Inputs!$C$6+Inputs!$C$11,Cashflow_Asset!$J148,0)</x:f>
      </x:c>
      <x:c r="F150" s="23">
        <x:f>$G149</x:f>
      </x:c>
      <x:c r="G150" s="24">
        <x:f>(MAX(0,$F150-MAX(0,($M150+$S150)-$C150)))+MIN(MAX(0,$D$3-(MAX(0,$F150-MAX(0,($M150+$S150)-$C150)))),MAX(0,MAX(0,($C150+$F150)-$M150)-$S150))</x:f>
      </x:c>
      <x:c r="H150" s="23">
        <x:f>$J149</x:f>
      </x:c>
      <x:c r="I150" s="24">
        <x:f>MIN($E150,$H150)</x:f>
      </x:c>
      <x:c r="J150" s="24">
        <x:f>$H150-$I150</x:f>
      </x:c>
      <x:c r="K150" s="23">
        <x:f>$P149</x:f>
      </x:c>
      <x:c r="L150" s="24">
        <x:f>$K150*Inputs!$C$18/12</x:f>
      </x:c>
      <x:c r="M150" s="24">
        <x:f>MIN(($C150+$F150),$L150)</x:f>
      </x:c>
      <x:c r="N150" s="24">
        <x:f>MIN(($D150+$X150),MAX(0,$K150-$O150))</x:f>
      </x:c>
      <x:c r="O150" s="24">
        <x:f>MIN(MAX(0,MAX(0,$E150-$I150)-$U150),$K150)</x:f>
      </x:c>
      <x:c r="P150" s="24">
        <x:f>MAX(0,$K150-$O150)-$N150</x:f>
      </x:c>
      <x:c r="Q150" s="23">
        <x:f>$V149</x:f>
      </x:c>
      <x:c r="R150" s="24">
        <x:f>$Q150*Inputs!$C$19/12</x:f>
      </x:c>
      <x:c r="S150" s="24">
        <x:f>MIN(MAX(0,($C150+$F150)-$M150),$R150)</x:f>
      </x:c>
      <x:c r="T150" s="24">
        <x:f>MIN(MAX(0,($D150+$X150)-$N150),MAX(0,$Q150-$U150))</x:f>
      </x:c>
      <x:c r="U150" s="24">
        <x:f>MIN(MAX(0,$E150-$I150),$Q150)</x:f>
      </x:c>
      <x:c r="V150" s="24">
        <x:f>MAX(0,$Q150-$U150)-$T150</x:f>
      </x:c>
      <x:c r="W150" s="24">
        <x:f>MAX(0,MAX(0,($C150+$F150)-$M150)-$S150)-MIN(MAX(0,$D$3-(MAX(0,$F150-MAX(0,($M150+$S150)-$C150)))),MAX(0,MAX(0,($C150+$F150)-$M150)-$S150))</x:f>
      </x:c>
      <x:c r="X150" s="24">
        <x:f>IF(Inputs!$C$39=1,$W150,0)</x:f>
      </x:c>
      <x:c r="Y150" s="24">
        <x:f>IF(Inputs!$C$39=0,$W150,0)+MAX(0,MAX(0,($D150+$X150)-$N150)-$T150)</x:f>
      </x:c>
    </x:row>
    <x:row r="151">
      <x:c r="B151" s="22" t="n">
        <x:v>146</x:v>
      </x:c>
      <x:c r="C151" s="29">
        <x:f>IF($B151&lt;=Inputs!$C$6+Inputs!$C$11,Cashflow_Asset!$E149-Cashflow_Asset!$K149,0)</x:f>
      </x:c>
      <x:c r="D151" s="29">
        <x:f>IF($B151&lt;=Inputs!$C$6+Inputs!$C$11,Cashflow_Asset!$F149+Cashflow_Asset!$G149+Cashflow_Asset!$I149,0)</x:f>
      </x:c>
      <x:c r="E151" s="29">
        <x:f>IF($B151&lt;=Inputs!$C$6+Inputs!$C$11,Cashflow_Asset!$J149,0)</x:f>
      </x:c>
      <x:c r="F151" s="23">
        <x:f>$G150</x:f>
      </x:c>
      <x:c r="G151" s="24">
        <x:f>(MAX(0,$F151-MAX(0,($M151+$S151)-$C151)))+MIN(MAX(0,$D$3-(MAX(0,$F151-MAX(0,($M151+$S151)-$C151)))),MAX(0,MAX(0,($C151+$F151)-$M151)-$S151))</x:f>
      </x:c>
      <x:c r="H151" s="23">
        <x:f>$J150</x:f>
      </x:c>
      <x:c r="I151" s="24">
        <x:f>MIN($E151,$H151)</x:f>
      </x:c>
      <x:c r="J151" s="24">
        <x:f>$H151-$I151</x:f>
      </x:c>
      <x:c r="K151" s="23">
        <x:f>$P150</x:f>
      </x:c>
      <x:c r="L151" s="24">
        <x:f>$K151*Inputs!$C$18/12</x:f>
      </x:c>
      <x:c r="M151" s="24">
        <x:f>MIN(($C151+$F151),$L151)</x:f>
      </x:c>
      <x:c r="N151" s="24">
        <x:f>MIN(($D151+$X151),MAX(0,$K151-$O151))</x:f>
      </x:c>
      <x:c r="O151" s="24">
        <x:f>MIN(MAX(0,MAX(0,$E151-$I151)-$U151),$K151)</x:f>
      </x:c>
      <x:c r="P151" s="24">
        <x:f>MAX(0,$K151-$O151)-$N151</x:f>
      </x:c>
      <x:c r="Q151" s="23">
        <x:f>$V150</x:f>
      </x:c>
      <x:c r="R151" s="24">
        <x:f>$Q151*Inputs!$C$19/12</x:f>
      </x:c>
      <x:c r="S151" s="24">
        <x:f>MIN(MAX(0,($C151+$F151)-$M151),$R151)</x:f>
      </x:c>
      <x:c r="T151" s="24">
        <x:f>MIN(MAX(0,($D151+$X151)-$N151),MAX(0,$Q151-$U151))</x:f>
      </x:c>
      <x:c r="U151" s="24">
        <x:f>MIN(MAX(0,$E151-$I151),$Q151)</x:f>
      </x:c>
      <x:c r="V151" s="24">
        <x:f>MAX(0,$Q151-$U151)-$T151</x:f>
      </x:c>
      <x:c r="W151" s="24">
        <x:f>MAX(0,MAX(0,($C151+$F151)-$M151)-$S151)-MIN(MAX(0,$D$3-(MAX(0,$F151-MAX(0,($M151+$S151)-$C151)))),MAX(0,MAX(0,($C151+$F151)-$M151)-$S151))</x:f>
      </x:c>
      <x:c r="X151" s="24">
        <x:f>IF(Inputs!$C$39=1,$W151,0)</x:f>
      </x:c>
      <x:c r="Y151" s="24">
        <x:f>IF(Inputs!$C$39=0,$W151,0)+MAX(0,MAX(0,($D151+$X151)-$N151)-$T151)</x:f>
      </x:c>
    </x:row>
    <x:row r="152">
      <x:c r="B152" s="22" t="n">
        <x:v>147</x:v>
      </x:c>
      <x:c r="C152" s="29">
        <x:f>IF($B152&lt;=Inputs!$C$6+Inputs!$C$11,Cashflow_Asset!$E150-Cashflow_Asset!$K150,0)</x:f>
      </x:c>
      <x:c r="D152" s="29">
        <x:f>IF($B152&lt;=Inputs!$C$6+Inputs!$C$11,Cashflow_Asset!$F150+Cashflow_Asset!$G150+Cashflow_Asset!$I150,0)</x:f>
      </x:c>
      <x:c r="E152" s="29">
        <x:f>IF($B152&lt;=Inputs!$C$6+Inputs!$C$11,Cashflow_Asset!$J150,0)</x:f>
      </x:c>
      <x:c r="F152" s="23">
        <x:f>$G151</x:f>
      </x:c>
      <x:c r="G152" s="24">
        <x:f>(MAX(0,$F152-MAX(0,($M152+$S152)-$C152)))+MIN(MAX(0,$D$3-(MAX(0,$F152-MAX(0,($M152+$S152)-$C152)))),MAX(0,MAX(0,($C152+$F152)-$M152)-$S152))</x:f>
      </x:c>
      <x:c r="H152" s="23">
        <x:f>$J151</x:f>
      </x:c>
      <x:c r="I152" s="24">
        <x:f>MIN($E152,$H152)</x:f>
      </x:c>
      <x:c r="J152" s="24">
        <x:f>$H152-$I152</x:f>
      </x:c>
      <x:c r="K152" s="23">
        <x:f>$P151</x:f>
      </x:c>
      <x:c r="L152" s="24">
        <x:f>$K152*Inputs!$C$18/12</x:f>
      </x:c>
      <x:c r="M152" s="24">
        <x:f>MIN(($C152+$F152),$L152)</x:f>
      </x:c>
      <x:c r="N152" s="24">
        <x:f>MIN(($D152+$X152),MAX(0,$K152-$O152))</x:f>
      </x:c>
      <x:c r="O152" s="24">
        <x:f>MIN(MAX(0,MAX(0,$E152-$I152)-$U152),$K152)</x:f>
      </x:c>
      <x:c r="P152" s="24">
        <x:f>MAX(0,$K152-$O152)-$N152</x:f>
      </x:c>
      <x:c r="Q152" s="23">
        <x:f>$V151</x:f>
      </x:c>
      <x:c r="R152" s="24">
        <x:f>$Q152*Inputs!$C$19/12</x:f>
      </x:c>
      <x:c r="S152" s="24">
        <x:f>MIN(MAX(0,($C152+$F152)-$M152),$R152)</x:f>
      </x:c>
      <x:c r="T152" s="24">
        <x:f>MIN(MAX(0,($D152+$X152)-$N152),MAX(0,$Q152-$U152))</x:f>
      </x:c>
      <x:c r="U152" s="24">
        <x:f>MIN(MAX(0,$E152-$I152),$Q152)</x:f>
      </x:c>
      <x:c r="V152" s="24">
        <x:f>MAX(0,$Q152-$U152)-$T152</x:f>
      </x:c>
      <x:c r="W152" s="24">
        <x:f>MAX(0,MAX(0,($C152+$F152)-$M152)-$S152)-MIN(MAX(0,$D$3-(MAX(0,$F152-MAX(0,($M152+$S152)-$C152)))),MAX(0,MAX(0,($C152+$F152)-$M152)-$S152))</x:f>
      </x:c>
      <x:c r="X152" s="24">
        <x:f>IF(Inputs!$C$39=1,$W152,0)</x:f>
      </x:c>
      <x:c r="Y152" s="24">
        <x:f>IF(Inputs!$C$39=0,$W152,0)+MAX(0,MAX(0,($D152+$X152)-$N152)-$T152)</x:f>
      </x:c>
    </x:row>
    <x:row r="153">
      <x:c r="B153" s="22" t="n">
        <x:v>148</x:v>
      </x:c>
      <x:c r="C153" s="29">
        <x:f>IF($B153&lt;=Inputs!$C$6+Inputs!$C$11,Cashflow_Asset!$E151-Cashflow_Asset!$K151,0)</x:f>
      </x:c>
      <x:c r="D153" s="29">
        <x:f>IF($B153&lt;=Inputs!$C$6+Inputs!$C$11,Cashflow_Asset!$F151+Cashflow_Asset!$G151+Cashflow_Asset!$I151,0)</x:f>
      </x:c>
      <x:c r="E153" s="29">
        <x:f>IF($B153&lt;=Inputs!$C$6+Inputs!$C$11,Cashflow_Asset!$J151,0)</x:f>
      </x:c>
      <x:c r="F153" s="23">
        <x:f>$G152</x:f>
      </x:c>
      <x:c r="G153" s="24">
        <x:f>(MAX(0,$F153-MAX(0,($M153+$S153)-$C153)))+MIN(MAX(0,$D$3-(MAX(0,$F153-MAX(0,($M153+$S153)-$C153)))),MAX(0,MAX(0,($C153+$F153)-$M153)-$S153))</x:f>
      </x:c>
      <x:c r="H153" s="23">
        <x:f>$J152</x:f>
      </x:c>
      <x:c r="I153" s="24">
        <x:f>MIN($E153,$H153)</x:f>
      </x:c>
      <x:c r="J153" s="24">
        <x:f>$H153-$I153</x:f>
      </x:c>
      <x:c r="K153" s="23">
        <x:f>$P152</x:f>
      </x:c>
      <x:c r="L153" s="24">
        <x:f>$K153*Inputs!$C$18/12</x:f>
      </x:c>
      <x:c r="M153" s="24">
        <x:f>MIN(($C153+$F153),$L153)</x:f>
      </x:c>
      <x:c r="N153" s="24">
        <x:f>MIN(($D153+$X153),MAX(0,$K153-$O153))</x:f>
      </x:c>
      <x:c r="O153" s="24">
        <x:f>MIN(MAX(0,MAX(0,$E153-$I153)-$U153),$K153)</x:f>
      </x:c>
      <x:c r="P153" s="24">
        <x:f>MAX(0,$K153-$O153)-$N153</x:f>
      </x:c>
      <x:c r="Q153" s="23">
        <x:f>$V152</x:f>
      </x:c>
      <x:c r="R153" s="24">
        <x:f>$Q153*Inputs!$C$19/12</x:f>
      </x:c>
      <x:c r="S153" s="24">
        <x:f>MIN(MAX(0,($C153+$F153)-$M153),$R153)</x:f>
      </x:c>
      <x:c r="T153" s="24">
        <x:f>MIN(MAX(0,($D153+$X153)-$N153),MAX(0,$Q153-$U153))</x:f>
      </x:c>
      <x:c r="U153" s="24">
        <x:f>MIN(MAX(0,$E153-$I153),$Q153)</x:f>
      </x:c>
      <x:c r="V153" s="24">
        <x:f>MAX(0,$Q153-$U153)-$T153</x:f>
      </x:c>
      <x:c r="W153" s="24">
        <x:f>MAX(0,MAX(0,($C153+$F153)-$M153)-$S153)-MIN(MAX(0,$D$3-(MAX(0,$F153-MAX(0,($M153+$S153)-$C153)))),MAX(0,MAX(0,($C153+$F153)-$M153)-$S153))</x:f>
      </x:c>
      <x:c r="X153" s="24">
        <x:f>IF(Inputs!$C$39=1,$W153,0)</x:f>
      </x:c>
      <x:c r="Y153" s="24">
        <x:f>IF(Inputs!$C$39=0,$W153,0)+MAX(0,MAX(0,($D153+$X153)-$N153)-$T153)</x:f>
      </x:c>
    </x:row>
    <x:row r="154">
      <x:c r="B154" s="22" t="n">
        <x:v>149</x:v>
      </x:c>
      <x:c r="C154" s="29">
        <x:f>IF($B154&lt;=Inputs!$C$6+Inputs!$C$11,Cashflow_Asset!$E152-Cashflow_Asset!$K152,0)</x:f>
      </x:c>
      <x:c r="D154" s="29">
        <x:f>IF($B154&lt;=Inputs!$C$6+Inputs!$C$11,Cashflow_Asset!$F152+Cashflow_Asset!$G152+Cashflow_Asset!$I152,0)</x:f>
      </x:c>
      <x:c r="E154" s="29">
        <x:f>IF($B154&lt;=Inputs!$C$6+Inputs!$C$11,Cashflow_Asset!$J152,0)</x:f>
      </x:c>
      <x:c r="F154" s="23">
        <x:f>$G153</x:f>
      </x:c>
      <x:c r="G154" s="24">
        <x:f>(MAX(0,$F154-MAX(0,($M154+$S154)-$C154)))+MIN(MAX(0,$D$3-(MAX(0,$F154-MAX(0,($M154+$S154)-$C154)))),MAX(0,MAX(0,($C154+$F154)-$M154)-$S154))</x:f>
      </x:c>
      <x:c r="H154" s="23">
        <x:f>$J153</x:f>
      </x:c>
      <x:c r="I154" s="24">
        <x:f>MIN($E154,$H154)</x:f>
      </x:c>
      <x:c r="J154" s="24">
        <x:f>$H154-$I154</x:f>
      </x:c>
      <x:c r="K154" s="23">
        <x:f>$P153</x:f>
      </x:c>
      <x:c r="L154" s="24">
        <x:f>$K154*Inputs!$C$18/12</x:f>
      </x:c>
      <x:c r="M154" s="24">
        <x:f>MIN(($C154+$F154),$L154)</x:f>
      </x:c>
      <x:c r="N154" s="24">
        <x:f>MIN(($D154+$X154),MAX(0,$K154-$O154))</x:f>
      </x:c>
      <x:c r="O154" s="24">
        <x:f>MIN(MAX(0,MAX(0,$E154-$I154)-$U154),$K154)</x:f>
      </x:c>
      <x:c r="P154" s="24">
        <x:f>MAX(0,$K154-$O154)-$N154</x:f>
      </x:c>
      <x:c r="Q154" s="23">
        <x:f>$V153</x:f>
      </x:c>
      <x:c r="R154" s="24">
        <x:f>$Q154*Inputs!$C$19/12</x:f>
      </x:c>
      <x:c r="S154" s="24">
        <x:f>MIN(MAX(0,($C154+$F154)-$M154),$R154)</x:f>
      </x:c>
      <x:c r="T154" s="24">
        <x:f>MIN(MAX(0,($D154+$X154)-$N154),MAX(0,$Q154-$U154))</x:f>
      </x:c>
      <x:c r="U154" s="24">
        <x:f>MIN(MAX(0,$E154-$I154),$Q154)</x:f>
      </x:c>
      <x:c r="V154" s="24">
        <x:f>MAX(0,$Q154-$U154)-$T154</x:f>
      </x:c>
      <x:c r="W154" s="24">
        <x:f>MAX(0,MAX(0,($C154+$F154)-$M154)-$S154)-MIN(MAX(0,$D$3-(MAX(0,$F154-MAX(0,($M154+$S154)-$C154)))),MAX(0,MAX(0,($C154+$F154)-$M154)-$S154))</x:f>
      </x:c>
      <x:c r="X154" s="24">
        <x:f>IF(Inputs!$C$39=1,$W154,0)</x:f>
      </x:c>
      <x:c r="Y154" s="24">
        <x:f>IF(Inputs!$C$39=0,$W154,0)+MAX(0,MAX(0,($D154+$X154)-$N154)-$T154)</x:f>
      </x:c>
    </x:row>
    <x:row r="155">
      <x:c r="B155" s="22" t="n">
        <x:v>150</x:v>
      </x:c>
      <x:c r="C155" s="29">
        <x:f>IF($B155&lt;=Inputs!$C$6+Inputs!$C$11,Cashflow_Asset!$E153-Cashflow_Asset!$K153,0)</x:f>
      </x:c>
      <x:c r="D155" s="29">
        <x:f>IF($B155&lt;=Inputs!$C$6+Inputs!$C$11,Cashflow_Asset!$F153+Cashflow_Asset!$G153+Cashflow_Asset!$I153,0)</x:f>
      </x:c>
      <x:c r="E155" s="29">
        <x:f>IF($B155&lt;=Inputs!$C$6+Inputs!$C$11,Cashflow_Asset!$J153,0)</x:f>
      </x:c>
      <x:c r="F155" s="23">
        <x:f>$G154</x:f>
      </x:c>
      <x:c r="G155" s="24">
        <x:f>(MAX(0,$F155-MAX(0,($M155+$S155)-$C155)))+MIN(MAX(0,$D$3-(MAX(0,$F155-MAX(0,($M155+$S155)-$C155)))),MAX(0,MAX(0,($C155+$F155)-$M155)-$S155))</x:f>
      </x:c>
      <x:c r="H155" s="23">
        <x:f>$J154</x:f>
      </x:c>
      <x:c r="I155" s="24">
        <x:f>MIN($E155,$H155)</x:f>
      </x:c>
      <x:c r="J155" s="24">
        <x:f>$H155-$I155</x:f>
      </x:c>
      <x:c r="K155" s="23">
        <x:f>$P154</x:f>
      </x:c>
      <x:c r="L155" s="24">
        <x:f>$K155*Inputs!$C$18/12</x:f>
      </x:c>
      <x:c r="M155" s="24">
        <x:f>MIN(($C155+$F155),$L155)</x:f>
      </x:c>
      <x:c r="N155" s="24">
        <x:f>MIN(($D155+$X155),MAX(0,$K155-$O155))</x:f>
      </x:c>
      <x:c r="O155" s="24">
        <x:f>MIN(MAX(0,MAX(0,$E155-$I155)-$U155),$K155)</x:f>
      </x:c>
      <x:c r="P155" s="24">
        <x:f>MAX(0,$K155-$O155)-$N155</x:f>
      </x:c>
      <x:c r="Q155" s="23">
        <x:f>$V154</x:f>
      </x:c>
      <x:c r="R155" s="24">
        <x:f>$Q155*Inputs!$C$19/12</x:f>
      </x:c>
      <x:c r="S155" s="24">
        <x:f>MIN(MAX(0,($C155+$F155)-$M155),$R155)</x:f>
      </x:c>
      <x:c r="T155" s="24">
        <x:f>MIN(MAX(0,($D155+$X155)-$N155),MAX(0,$Q155-$U155))</x:f>
      </x:c>
      <x:c r="U155" s="24">
        <x:f>MIN(MAX(0,$E155-$I155),$Q155)</x:f>
      </x:c>
      <x:c r="V155" s="24">
        <x:f>MAX(0,$Q155-$U155)-$T155</x:f>
      </x:c>
      <x:c r="W155" s="24">
        <x:f>MAX(0,MAX(0,($C155+$F155)-$M155)-$S155)-MIN(MAX(0,$D$3-(MAX(0,$F155-MAX(0,($M155+$S155)-$C155)))),MAX(0,MAX(0,($C155+$F155)-$M155)-$S155))</x:f>
      </x:c>
      <x:c r="X155" s="24">
        <x:f>IF(Inputs!$C$39=1,$W155,0)</x:f>
      </x:c>
      <x:c r="Y155" s="24">
        <x:f>IF(Inputs!$C$39=0,$W155,0)+MAX(0,MAX(0,($D155+$X155)-$N155)-$T155)</x:f>
      </x:c>
    </x:row>
    <x:row r="156">
      <x:c r="B156" s="22" t="n">
        <x:v>151</x:v>
      </x:c>
      <x:c r="C156" s="29">
        <x:f>IF($B156&lt;=Inputs!$C$6+Inputs!$C$11,Cashflow_Asset!$E154-Cashflow_Asset!$K154,0)</x:f>
      </x:c>
      <x:c r="D156" s="29">
        <x:f>IF($B156&lt;=Inputs!$C$6+Inputs!$C$11,Cashflow_Asset!$F154+Cashflow_Asset!$G154+Cashflow_Asset!$I154,0)</x:f>
      </x:c>
      <x:c r="E156" s="29">
        <x:f>IF($B156&lt;=Inputs!$C$6+Inputs!$C$11,Cashflow_Asset!$J154,0)</x:f>
      </x:c>
      <x:c r="F156" s="23">
        <x:f>$G155</x:f>
      </x:c>
      <x:c r="G156" s="24">
        <x:f>(MAX(0,$F156-MAX(0,($M156+$S156)-$C156)))+MIN(MAX(0,$D$3-(MAX(0,$F156-MAX(0,($M156+$S156)-$C156)))),MAX(0,MAX(0,($C156+$F156)-$M156)-$S156))</x:f>
      </x:c>
      <x:c r="H156" s="23">
        <x:f>$J155</x:f>
      </x:c>
      <x:c r="I156" s="24">
        <x:f>MIN($E156,$H156)</x:f>
      </x:c>
      <x:c r="J156" s="24">
        <x:f>$H156-$I156</x:f>
      </x:c>
      <x:c r="K156" s="23">
        <x:f>$P155</x:f>
      </x:c>
      <x:c r="L156" s="24">
        <x:f>$K156*Inputs!$C$18/12</x:f>
      </x:c>
      <x:c r="M156" s="24">
        <x:f>MIN(($C156+$F156),$L156)</x:f>
      </x:c>
      <x:c r="N156" s="24">
        <x:f>MIN(($D156+$X156),MAX(0,$K156-$O156))</x:f>
      </x:c>
      <x:c r="O156" s="24">
        <x:f>MIN(MAX(0,MAX(0,$E156-$I156)-$U156),$K156)</x:f>
      </x:c>
      <x:c r="P156" s="24">
        <x:f>MAX(0,$K156-$O156)-$N156</x:f>
      </x:c>
      <x:c r="Q156" s="23">
        <x:f>$V155</x:f>
      </x:c>
      <x:c r="R156" s="24">
        <x:f>$Q156*Inputs!$C$19/12</x:f>
      </x:c>
      <x:c r="S156" s="24">
        <x:f>MIN(MAX(0,($C156+$F156)-$M156),$R156)</x:f>
      </x:c>
      <x:c r="T156" s="24">
        <x:f>MIN(MAX(0,($D156+$X156)-$N156),MAX(0,$Q156-$U156))</x:f>
      </x:c>
      <x:c r="U156" s="24">
        <x:f>MIN(MAX(0,$E156-$I156),$Q156)</x:f>
      </x:c>
      <x:c r="V156" s="24">
        <x:f>MAX(0,$Q156-$U156)-$T156</x:f>
      </x:c>
      <x:c r="W156" s="24">
        <x:f>MAX(0,MAX(0,($C156+$F156)-$M156)-$S156)-MIN(MAX(0,$D$3-(MAX(0,$F156-MAX(0,($M156+$S156)-$C156)))),MAX(0,MAX(0,($C156+$F156)-$M156)-$S156))</x:f>
      </x:c>
      <x:c r="X156" s="24">
        <x:f>IF(Inputs!$C$39=1,$W156,0)</x:f>
      </x:c>
      <x:c r="Y156" s="24">
        <x:f>IF(Inputs!$C$39=0,$W156,0)+MAX(0,MAX(0,($D156+$X156)-$N156)-$T156)</x:f>
      </x:c>
    </x:row>
    <x:row r="157">
      <x:c r="B157" s="22" t="n">
        <x:v>152</x:v>
      </x:c>
      <x:c r="C157" s="29">
        <x:f>IF($B157&lt;=Inputs!$C$6+Inputs!$C$11,Cashflow_Asset!$E155-Cashflow_Asset!$K155,0)</x:f>
      </x:c>
      <x:c r="D157" s="29">
        <x:f>IF($B157&lt;=Inputs!$C$6+Inputs!$C$11,Cashflow_Asset!$F155+Cashflow_Asset!$G155+Cashflow_Asset!$I155,0)</x:f>
      </x:c>
      <x:c r="E157" s="29">
        <x:f>IF($B157&lt;=Inputs!$C$6+Inputs!$C$11,Cashflow_Asset!$J155,0)</x:f>
      </x:c>
      <x:c r="F157" s="23">
        <x:f>$G156</x:f>
      </x:c>
      <x:c r="G157" s="24">
        <x:f>(MAX(0,$F157-MAX(0,($M157+$S157)-$C157)))+MIN(MAX(0,$D$3-(MAX(0,$F157-MAX(0,($M157+$S157)-$C157)))),MAX(0,MAX(0,($C157+$F157)-$M157)-$S157))</x:f>
      </x:c>
      <x:c r="H157" s="23">
        <x:f>$J156</x:f>
      </x:c>
      <x:c r="I157" s="24">
        <x:f>MIN($E157,$H157)</x:f>
      </x:c>
      <x:c r="J157" s="24">
        <x:f>$H157-$I157</x:f>
      </x:c>
      <x:c r="K157" s="23">
        <x:f>$P156</x:f>
      </x:c>
      <x:c r="L157" s="24">
        <x:f>$K157*Inputs!$C$18/12</x:f>
      </x:c>
      <x:c r="M157" s="24">
        <x:f>MIN(($C157+$F157),$L157)</x:f>
      </x:c>
      <x:c r="N157" s="24">
        <x:f>MIN(($D157+$X157),MAX(0,$K157-$O157))</x:f>
      </x:c>
      <x:c r="O157" s="24">
        <x:f>MIN(MAX(0,MAX(0,$E157-$I157)-$U157),$K157)</x:f>
      </x:c>
      <x:c r="P157" s="24">
        <x:f>MAX(0,$K157-$O157)-$N157</x:f>
      </x:c>
      <x:c r="Q157" s="23">
        <x:f>$V156</x:f>
      </x:c>
      <x:c r="R157" s="24">
        <x:f>$Q157*Inputs!$C$19/12</x:f>
      </x:c>
      <x:c r="S157" s="24">
        <x:f>MIN(MAX(0,($C157+$F157)-$M157),$R157)</x:f>
      </x:c>
      <x:c r="T157" s="24">
        <x:f>MIN(MAX(0,($D157+$X157)-$N157),MAX(0,$Q157-$U157))</x:f>
      </x:c>
      <x:c r="U157" s="24">
        <x:f>MIN(MAX(0,$E157-$I157),$Q157)</x:f>
      </x:c>
      <x:c r="V157" s="24">
        <x:f>MAX(0,$Q157-$U157)-$T157</x:f>
      </x:c>
      <x:c r="W157" s="24">
        <x:f>MAX(0,MAX(0,($C157+$F157)-$M157)-$S157)-MIN(MAX(0,$D$3-(MAX(0,$F157-MAX(0,($M157+$S157)-$C157)))),MAX(0,MAX(0,($C157+$F157)-$M157)-$S157))</x:f>
      </x:c>
      <x:c r="X157" s="24">
        <x:f>IF(Inputs!$C$39=1,$W157,0)</x:f>
      </x:c>
      <x:c r="Y157" s="24">
        <x:f>IF(Inputs!$C$39=0,$W157,0)+MAX(0,MAX(0,($D157+$X157)-$N157)-$T157)</x:f>
      </x:c>
    </x:row>
    <x:row r="158">
      <x:c r="B158" s="22" t="n">
        <x:v>153</x:v>
      </x:c>
      <x:c r="C158" s="29">
        <x:f>IF($B158&lt;=Inputs!$C$6+Inputs!$C$11,Cashflow_Asset!$E156-Cashflow_Asset!$K156,0)</x:f>
      </x:c>
      <x:c r="D158" s="29">
        <x:f>IF($B158&lt;=Inputs!$C$6+Inputs!$C$11,Cashflow_Asset!$F156+Cashflow_Asset!$G156+Cashflow_Asset!$I156,0)</x:f>
      </x:c>
      <x:c r="E158" s="29">
        <x:f>IF($B158&lt;=Inputs!$C$6+Inputs!$C$11,Cashflow_Asset!$J156,0)</x:f>
      </x:c>
      <x:c r="F158" s="23">
        <x:f>$G157</x:f>
      </x:c>
      <x:c r="G158" s="24">
        <x:f>(MAX(0,$F158-MAX(0,($M158+$S158)-$C158)))+MIN(MAX(0,$D$3-(MAX(0,$F158-MAX(0,($M158+$S158)-$C158)))),MAX(0,MAX(0,($C158+$F158)-$M158)-$S158))</x:f>
      </x:c>
      <x:c r="H158" s="23">
        <x:f>$J157</x:f>
      </x:c>
      <x:c r="I158" s="24">
        <x:f>MIN($E158,$H158)</x:f>
      </x:c>
      <x:c r="J158" s="24">
        <x:f>$H158-$I158</x:f>
      </x:c>
      <x:c r="K158" s="23">
        <x:f>$P157</x:f>
      </x:c>
      <x:c r="L158" s="24">
        <x:f>$K158*Inputs!$C$18/12</x:f>
      </x:c>
      <x:c r="M158" s="24">
        <x:f>MIN(($C158+$F158),$L158)</x:f>
      </x:c>
      <x:c r="N158" s="24">
        <x:f>MIN(($D158+$X158),MAX(0,$K158-$O158))</x:f>
      </x:c>
      <x:c r="O158" s="24">
        <x:f>MIN(MAX(0,MAX(0,$E158-$I158)-$U158),$K158)</x:f>
      </x:c>
      <x:c r="P158" s="24">
        <x:f>MAX(0,$K158-$O158)-$N158</x:f>
      </x:c>
      <x:c r="Q158" s="23">
        <x:f>$V157</x:f>
      </x:c>
      <x:c r="R158" s="24">
        <x:f>$Q158*Inputs!$C$19/12</x:f>
      </x:c>
      <x:c r="S158" s="24">
        <x:f>MIN(MAX(0,($C158+$F158)-$M158),$R158)</x:f>
      </x:c>
      <x:c r="T158" s="24">
        <x:f>MIN(MAX(0,($D158+$X158)-$N158),MAX(0,$Q158-$U158))</x:f>
      </x:c>
      <x:c r="U158" s="24">
        <x:f>MIN(MAX(0,$E158-$I158),$Q158)</x:f>
      </x:c>
      <x:c r="V158" s="24">
        <x:f>MAX(0,$Q158-$U158)-$T158</x:f>
      </x:c>
      <x:c r="W158" s="24">
        <x:f>MAX(0,MAX(0,($C158+$F158)-$M158)-$S158)-MIN(MAX(0,$D$3-(MAX(0,$F158-MAX(0,($M158+$S158)-$C158)))),MAX(0,MAX(0,($C158+$F158)-$M158)-$S158))</x:f>
      </x:c>
      <x:c r="X158" s="24">
        <x:f>IF(Inputs!$C$39=1,$W158,0)</x:f>
      </x:c>
      <x:c r="Y158" s="24">
        <x:f>IF(Inputs!$C$39=0,$W158,0)+MAX(0,MAX(0,($D158+$X158)-$N158)-$T158)</x:f>
      </x:c>
    </x:row>
    <x:row r="159">
      <x:c r="B159" s="22" t="n">
        <x:v>154</x:v>
      </x:c>
      <x:c r="C159" s="29">
        <x:f>IF($B159&lt;=Inputs!$C$6+Inputs!$C$11,Cashflow_Asset!$E157-Cashflow_Asset!$K157,0)</x:f>
      </x:c>
      <x:c r="D159" s="29">
        <x:f>IF($B159&lt;=Inputs!$C$6+Inputs!$C$11,Cashflow_Asset!$F157+Cashflow_Asset!$G157+Cashflow_Asset!$I157,0)</x:f>
      </x:c>
      <x:c r="E159" s="29">
        <x:f>IF($B159&lt;=Inputs!$C$6+Inputs!$C$11,Cashflow_Asset!$J157,0)</x:f>
      </x:c>
      <x:c r="F159" s="23">
        <x:f>$G158</x:f>
      </x:c>
      <x:c r="G159" s="24">
        <x:f>(MAX(0,$F159-MAX(0,($M159+$S159)-$C159)))+MIN(MAX(0,$D$3-(MAX(0,$F159-MAX(0,($M159+$S159)-$C159)))),MAX(0,MAX(0,($C159+$F159)-$M159)-$S159))</x:f>
      </x:c>
      <x:c r="H159" s="23">
        <x:f>$J158</x:f>
      </x:c>
      <x:c r="I159" s="24">
        <x:f>MIN($E159,$H159)</x:f>
      </x:c>
      <x:c r="J159" s="24">
        <x:f>$H159-$I159</x:f>
      </x:c>
      <x:c r="K159" s="23">
        <x:f>$P158</x:f>
      </x:c>
      <x:c r="L159" s="24">
        <x:f>$K159*Inputs!$C$18/12</x:f>
      </x:c>
      <x:c r="M159" s="24">
        <x:f>MIN(($C159+$F159),$L159)</x:f>
      </x:c>
      <x:c r="N159" s="24">
        <x:f>MIN(($D159+$X159),MAX(0,$K159-$O159))</x:f>
      </x:c>
      <x:c r="O159" s="24">
        <x:f>MIN(MAX(0,MAX(0,$E159-$I159)-$U159),$K159)</x:f>
      </x:c>
      <x:c r="P159" s="24">
        <x:f>MAX(0,$K159-$O159)-$N159</x:f>
      </x:c>
      <x:c r="Q159" s="23">
        <x:f>$V158</x:f>
      </x:c>
      <x:c r="R159" s="24">
        <x:f>$Q159*Inputs!$C$19/12</x:f>
      </x:c>
      <x:c r="S159" s="24">
        <x:f>MIN(MAX(0,($C159+$F159)-$M159),$R159)</x:f>
      </x:c>
      <x:c r="T159" s="24">
        <x:f>MIN(MAX(0,($D159+$X159)-$N159),MAX(0,$Q159-$U159))</x:f>
      </x:c>
      <x:c r="U159" s="24">
        <x:f>MIN(MAX(0,$E159-$I159),$Q159)</x:f>
      </x:c>
      <x:c r="V159" s="24">
        <x:f>MAX(0,$Q159-$U159)-$T159</x:f>
      </x:c>
      <x:c r="W159" s="24">
        <x:f>MAX(0,MAX(0,($C159+$F159)-$M159)-$S159)-MIN(MAX(0,$D$3-(MAX(0,$F159-MAX(0,($M159+$S159)-$C159)))),MAX(0,MAX(0,($C159+$F159)-$M159)-$S159))</x:f>
      </x:c>
      <x:c r="X159" s="24">
        <x:f>IF(Inputs!$C$39=1,$W159,0)</x:f>
      </x:c>
      <x:c r="Y159" s="24">
        <x:f>IF(Inputs!$C$39=0,$W159,0)+MAX(0,MAX(0,($D159+$X159)-$N159)-$T159)</x:f>
      </x:c>
    </x:row>
    <x:row r="160">
      <x:c r="B160" s="22" t="n">
        <x:v>155</x:v>
      </x:c>
      <x:c r="C160" s="29">
        <x:f>IF($B160&lt;=Inputs!$C$6+Inputs!$C$11,Cashflow_Asset!$E158-Cashflow_Asset!$K158,0)</x:f>
      </x:c>
      <x:c r="D160" s="29">
        <x:f>IF($B160&lt;=Inputs!$C$6+Inputs!$C$11,Cashflow_Asset!$F158+Cashflow_Asset!$G158+Cashflow_Asset!$I158,0)</x:f>
      </x:c>
      <x:c r="E160" s="29">
        <x:f>IF($B160&lt;=Inputs!$C$6+Inputs!$C$11,Cashflow_Asset!$J158,0)</x:f>
      </x:c>
      <x:c r="F160" s="23">
        <x:f>$G159</x:f>
      </x:c>
      <x:c r="G160" s="24">
        <x:f>(MAX(0,$F160-MAX(0,($M160+$S160)-$C160)))+MIN(MAX(0,$D$3-(MAX(0,$F160-MAX(0,($M160+$S160)-$C160)))),MAX(0,MAX(0,($C160+$F160)-$M160)-$S160))</x:f>
      </x:c>
      <x:c r="H160" s="23">
        <x:f>$J159</x:f>
      </x:c>
      <x:c r="I160" s="24">
        <x:f>MIN($E160,$H160)</x:f>
      </x:c>
      <x:c r="J160" s="24">
        <x:f>$H160-$I160</x:f>
      </x:c>
      <x:c r="K160" s="23">
        <x:f>$P159</x:f>
      </x:c>
      <x:c r="L160" s="24">
        <x:f>$K160*Inputs!$C$18/12</x:f>
      </x:c>
      <x:c r="M160" s="24">
        <x:f>MIN(($C160+$F160),$L160)</x:f>
      </x:c>
      <x:c r="N160" s="24">
        <x:f>MIN(($D160+$X160),MAX(0,$K160-$O160))</x:f>
      </x:c>
      <x:c r="O160" s="24">
        <x:f>MIN(MAX(0,MAX(0,$E160-$I160)-$U160),$K160)</x:f>
      </x:c>
      <x:c r="P160" s="24">
        <x:f>MAX(0,$K160-$O160)-$N160</x:f>
      </x:c>
      <x:c r="Q160" s="23">
        <x:f>$V159</x:f>
      </x:c>
      <x:c r="R160" s="24">
        <x:f>$Q160*Inputs!$C$19/12</x:f>
      </x:c>
      <x:c r="S160" s="24">
        <x:f>MIN(MAX(0,($C160+$F160)-$M160),$R160)</x:f>
      </x:c>
      <x:c r="T160" s="24">
        <x:f>MIN(MAX(0,($D160+$X160)-$N160),MAX(0,$Q160-$U160))</x:f>
      </x:c>
      <x:c r="U160" s="24">
        <x:f>MIN(MAX(0,$E160-$I160),$Q160)</x:f>
      </x:c>
      <x:c r="V160" s="24">
        <x:f>MAX(0,$Q160-$U160)-$T160</x:f>
      </x:c>
      <x:c r="W160" s="24">
        <x:f>MAX(0,MAX(0,($C160+$F160)-$M160)-$S160)-MIN(MAX(0,$D$3-(MAX(0,$F160-MAX(0,($M160+$S160)-$C160)))),MAX(0,MAX(0,($C160+$F160)-$M160)-$S160))</x:f>
      </x:c>
      <x:c r="X160" s="24">
        <x:f>IF(Inputs!$C$39=1,$W160,0)</x:f>
      </x:c>
      <x:c r="Y160" s="24">
        <x:f>IF(Inputs!$C$39=0,$W160,0)+MAX(0,MAX(0,($D160+$X160)-$N160)-$T160)</x:f>
      </x:c>
    </x:row>
    <x:row r="161">
      <x:c r="B161" s="22" t="n">
        <x:v>156</x:v>
      </x:c>
      <x:c r="C161" s="29">
        <x:f>IF($B161&lt;=Inputs!$C$6+Inputs!$C$11,Cashflow_Asset!$E159-Cashflow_Asset!$K159,0)</x:f>
      </x:c>
      <x:c r="D161" s="29">
        <x:f>IF($B161&lt;=Inputs!$C$6+Inputs!$C$11,Cashflow_Asset!$F159+Cashflow_Asset!$G159+Cashflow_Asset!$I159,0)</x:f>
      </x:c>
      <x:c r="E161" s="29">
        <x:f>IF($B161&lt;=Inputs!$C$6+Inputs!$C$11,Cashflow_Asset!$J159,0)</x:f>
      </x:c>
      <x:c r="F161" s="23">
        <x:f>$G160</x:f>
      </x:c>
      <x:c r="G161" s="24">
        <x:f>(MAX(0,$F161-MAX(0,($M161+$S161)-$C161)))+MIN(MAX(0,$D$3-(MAX(0,$F161-MAX(0,($M161+$S161)-$C161)))),MAX(0,MAX(0,($C161+$F161)-$M161)-$S161))</x:f>
      </x:c>
      <x:c r="H161" s="23">
        <x:f>$J160</x:f>
      </x:c>
      <x:c r="I161" s="24">
        <x:f>MIN($E161,$H161)</x:f>
      </x:c>
      <x:c r="J161" s="24">
        <x:f>$H161-$I161</x:f>
      </x:c>
      <x:c r="K161" s="23">
        <x:f>$P160</x:f>
      </x:c>
      <x:c r="L161" s="24">
        <x:f>$K161*Inputs!$C$18/12</x:f>
      </x:c>
      <x:c r="M161" s="24">
        <x:f>MIN(($C161+$F161),$L161)</x:f>
      </x:c>
      <x:c r="N161" s="24">
        <x:f>MIN(($D161+$X161),MAX(0,$K161-$O161))</x:f>
      </x:c>
      <x:c r="O161" s="24">
        <x:f>MIN(MAX(0,MAX(0,$E161-$I161)-$U161),$K161)</x:f>
      </x:c>
      <x:c r="P161" s="24">
        <x:f>MAX(0,$K161-$O161)-$N161</x:f>
      </x:c>
      <x:c r="Q161" s="23">
        <x:f>$V160</x:f>
      </x:c>
      <x:c r="R161" s="24">
        <x:f>$Q161*Inputs!$C$19/12</x:f>
      </x:c>
      <x:c r="S161" s="24">
        <x:f>MIN(MAX(0,($C161+$F161)-$M161),$R161)</x:f>
      </x:c>
      <x:c r="T161" s="24">
        <x:f>MIN(MAX(0,($D161+$X161)-$N161),MAX(0,$Q161-$U161))</x:f>
      </x:c>
      <x:c r="U161" s="24">
        <x:f>MIN(MAX(0,$E161-$I161),$Q161)</x:f>
      </x:c>
      <x:c r="V161" s="24">
        <x:f>MAX(0,$Q161-$U161)-$T161</x:f>
      </x:c>
      <x:c r="W161" s="24">
        <x:f>MAX(0,MAX(0,($C161+$F161)-$M161)-$S161)-MIN(MAX(0,$D$3-(MAX(0,$F161-MAX(0,($M161+$S161)-$C161)))),MAX(0,MAX(0,($C161+$F161)-$M161)-$S161))</x:f>
      </x:c>
      <x:c r="X161" s="24">
        <x:f>IF(Inputs!$C$39=1,$W161,0)</x:f>
      </x:c>
      <x:c r="Y161" s="24">
        <x:f>IF(Inputs!$C$39=0,$W161,0)+MAX(0,MAX(0,($D161+$X161)-$N161)-$T161)</x:f>
      </x:c>
    </x:row>
    <x:row r="162">
      <x:c r="B162" s="22" t="n">
        <x:v>157</x:v>
      </x:c>
      <x:c r="C162" s="29">
        <x:f>IF($B162&lt;=Inputs!$C$6+Inputs!$C$11,Cashflow_Asset!$E160-Cashflow_Asset!$K160,0)</x:f>
      </x:c>
      <x:c r="D162" s="29">
        <x:f>IF($B162&lt;=Inputs!$C$6+Inputs!$C$11,Cashflow_Asset!$F160+Cashflow_Asset!$G160+Cashflow_Asset!$I160,0)</x:f>
      </x:c>
      <x:c r="E162" s="29">
        <x:f>IF($B162&lt;=Inputs!$C$6+Inputs!$C$11,Cashflow_Asset!$J160,0)</x:f>
      </x:c>
      <x:c r="F162" s="23">
        <x:f>$G161</x:f>
      </x:c>
      <x:c r="G162" s="24">
        <x:f>(MAX(0,$F162-MAX(0,($M162+$S162)-$C162)))+MIN(MAX(0,$D$3-(MAX(0,$F162-MAX(0,($M162+$S162)-$C162)))),MAX(0,MAX(0,($C162+$F162)-$M162)-$S162))</x:f>
      </x:c>
      <x:c r="H162" s="23">
        <x:f>$J161</x:f>
      </x:c>
      <x:c r="I162" s="24">
        <x:f>MIN($E162,$H162)</x:f>
      </x:c>
      <x:c r="J162" s="24">
        <x:f>$H162-$I162</x:f>
      </x:c>
      <x:c r="K162" s="23">
        <x:f>$P161</x:f>
      </x:c>
      <x:c r="L162" s="24">
        <x:f>$K162*Inputs!$C$18/12</x:f>
      </x:c>
      <x:c r="M162" s="24">
        <x:f>MIN(($C162+$F162),$L162)</x:f>
      </x:c>
      <x:c r="N162" s="24">
        <x:f>MIN(($D162+$X162),MAX(0,$K162-$O162))</x:f>
      </x:c>
      <x:c r="O162" s="24">
        <x:f>MIN(MAX(0,MAX(0,$E162-$I162)-$U162),$K162)</x:f>
      </x:c>
      <x:c r="P162" s="24">
        <x:f>MAX(0,$K162-$O162)-$N162</x:f>
      </x:c>
      <x:c r="Q162" s="23">
        <x:f>$V161</x:f>
      </x:c>
      <x:c r="R162" s="24">
        <x:f>$Q162*Inputs!$C$19/12</x:f>
      </x:c>
      <x:c r="S162" s="24">
        <x:f>MIN(MAX(0,($C162+$F162)-$M162),$R162)</x:f>
      </x:c>
      <x:c r="T162" s="24">
        <x:f>MIN(MAX(0,($D162+$X162)-$N162),MAX(0,$Q162-$U162))</x:f>
      </x:c>
      <x:c r="U162" s="24">
        <x:f>MIN(MAX(0,$E162-$I162),$Q162)</x:f>
      </x:c>
      <x:c r="V162" s="24">
        <x:f>MAX(0,$Q162-$U162)-$T162</x:f>
      </x:c>
      <x:c r="W162" s="24">
        <x:f>MAX(0,MAX(0,($C162+$F162)-$M162)-$S162)-MIN(MAX(0,$D$3-(MAX(0,$F162-MAX(0,($M162+$S162)-$C162)))),MAX(0,MAX(0,($C162+$F162)-$M162)-$S162))</x:f>
      </x:c>
      <x:c r="X162" s="24">
        <x:f>IF(Inputs!$C$39=1,$W162,0)</x:f>
      </x:c>
      <x:c r="Y162" s="24">
        <x:f>IF(Inputs!$C$39=0,$W162,0)+MAX(0,MAX(0,($D162+$X162)-$N162)-$T162)</x:f>
      </x:c>
    </x:row>
    <x:row r="163">
      <x:c r="B163" s="22" t="n">
        <x:v>158</x:v>
      </x:c>
      <x:c r="C163" s="29">
        <x:f>IF($B163&lt;=Inputs!$C$6+Inputs!$C$11,Cashflow_Asset!$E161-Cashflow_Asset!$K161,0)</x:f>
      </x:c>
      <x:c r="D163" s="29">
        <x:f>IF($B163&lt;=Inputs!$C$6+Inputs!$C$11,Cashflow_Asset!$F161+Cashflow_Asset!$G161+Cashflow_Asset!$I161,0)</x:f>
      </x:c>
      <x:c r="E163" s="29">
        <x:f>IF($B163&lt;=Inputs!$C$6+Inputs!$C$11,Cashflow_Asset!$J161,0)</x:f>
      </x:c>
      <x:c r="F163" s="23">
        <x:f>$G162</x:f>
      </x:c>
      <x:c r="G163" s="24">
        <x:f>(MAX(0,$F163-MAX(0,($M163+$S163)-$C163)))+MIN(MAX(0,$D$3-(MAX(0,$F163-MAX(0,($M163+$S163)-$C163)))),MAX(0,MAX(0,($C163+$F163)-$M163)-$S163))</x:f>
      </x:c>
      <x:c r="H163" s="23">
        <x:f>$J162</x:f>
      </x:c>
      <x:c r="I163" s="24">
        <x:f>MIN($E163,$H163)</x:f>
      </x:c>
      <x:c r="J163" s="24">
        <x:f>$H163-$I163</x:f>
      </x:c>
      <x:c r="K163" s="23">
        <x:f>$P162</x:f>
      </x:c>
      <x:c r="L163" s="24">
        <x:f>$K163*Inputs!$C$18/12</x:f>
      </x:c>
      <x:c r="M163" s="24">
        <x:f>MIN(($C163+$F163),$L163)</x:f>
      </x:c>
      <x:c r="N163" s="24">
        <x:f>MIN(($D163+$X163),MAX(0,$K163-$O163))</x:f>
      </x:c>
      <x:c r="O163" s="24">
        <x:f>MIN(MAX(0,MAX(0,$E163-$I163)-$U163),$K163)</x:f>
      </x:c>
      <x:c r="P163" s="24">
        <x:f>MAX(0,$K163-$O163)-$N163</x:f>
      </x:c>
      <x:c r="Q163" s="23">
        <x:f>$V162</x:f>
      </x:c>
      <x:c r="R163" s="24">
        <x:f>$Q163*Inputs!$C$19/12</x:f>
      </x:c>
      <x:c r="S163" s="24">
        <x:f>MIN(MAX(0,($C163+$F163)-$M163),$R163)</x:f>
      </x:c>
      <x:c r="T163" s="24">
        <x:f>MIN(MAX(0,($D163+$X163)-$N163),MAX(0,$Q163-$U163))</x:f>
      </x:c>
      <x:c r="U163" s="24">
        <x:f>MIN(MAX(0,$E163-$I163),$Q163)</x:f>
      </x:c>
      <x:c r="V163" s="24">
        <x:f>MAX(0,$Q163-$U163)-$T163</x:f>
      </x:c>
      <x:c r="W163" s="24">
        <x:f>MAX(0,MAX(0,($C163+$F163)-$M163)-$S163)-MIN(MAX(0,$D$3-(MAX(0,$F163-MAX(0,($M163+$S163)-$C163)))),MAX(0,MAX(0,($C163+$F163)-$M163)-$S163))</x:f>
      </x:c>
      <x:c r="X163" s="24">
        <x:f>IF(Inputs!$C$39=1,$W163,0)</x:f>
      </x:c>
      <x:c r="Y163" s="24">
        <x:f>IF(Inputs!$C$39=0,$W163,0)+MAX(0,MAX(0,($D163+$X163)-$N163)-$T163)</x:f>
      </x:c>
    </x:row>
    <x:row r="164">
      <x:c r="B164" s="22" t="n">
        <x:v>159</x:v>
      </x:c>
      <x:c r="C164" s="29">
        <x:f>IF($B164&lt;=Inputs!$C$6+Inputs!$C$11,Cashflow_Asset!$E162-Cashflow_Asset!$K162,0)</x:f>
      </x:c>
      <x:c r="D164" s="29">
        <x:f>IF($B164&lt;=Inputs!$C$6+Inputs!$C$11,Cashflow_Asset!$F162+Cashflow_Asset!$G162+Cashflow_Asset!$I162,0)</x:f>
      </x:c>
      <x:c r="E164" s="29">
        <x:f>IF($B164&lt;=Inputs!$C$6+Inputs!$C$11,Cashflow_Asset!$J162,0)</x:f>
      </x:c>
      <x:c r="F164" s="23">
        <x:f>$G163</x:f>
      </x:c>
      <x:c r="G164" s="24">
        <x:f>(MAX(0,$F164-MAX(0,($M164+$S164)-$C164)))+MIN(MAX(0,$D$3-(MAX(0,$F164-MAX(0,($M164+$S164)-$C164)))),MAX(0,MAX(0,($C164+$F164)-$M164)-$S164))</x:f>
      </x:c>
      <x:c r="H164" s="23">
        <x:f>$J163</x:f>
      </x:c>
      <x:c r="I164" s="24">
        <x:f>MIN($E164,$H164)</x:f>
      </x:c>
      <x:c r="J164" s="24">
        <x:f>$H164-$I164</x:f>
      </x:c>
      <x:c r="K164" s="23">
        <x:f>$P163</x:f>
      </x:c>
      <x:c r="L164" s="24">
        <x:f>$K164*Inputs!$C$18/12</x:f>
      </x:c>
      <x:c r="M164" s="24">
        <x:f>MIN(($C164+$F164),$L164)</x:f>
      </x:c>
      <x:c r="N164" s="24">
        <x:f>MIN(($D164+$X164),MAX(0,$K164-$O164))</x:f>
      </x:c>
      <x:c r="O164" s="24">
        <x:f>MIN(MAX(0,MAX(0,$E164-$I164)-$U164),$K164)</x:f>
      </x:c>
      <x:c r="P164" s="24">
        <x:f>MAX(0,$K164-$O164)-$N164</x:f>
      </x:c>
      <x:c r="Q164" s="23">
        <x:f>$V163</x:f>
      </x:c>
      <x:c r="R164" s="24">
        <x:f>$Q164*Inputs!$C$19/12</x:f>
      </x:c>
      <x:c r="S164" s="24">
        <x:f>MIN(MAX(0,($C164+$F164)-$M164),$R164)</x:f>
      </x:c>
      <x:c r="T164" s="24">
        <x:f>MIN(MAX(0,($D164+$X164)-$N164),MAX(0,$Q164-$U164))</x:f>
      </x:c>
      <x:c r="U164" s="24">
        <x:f>MIN(MAX(0,$E164-$I164),$Q164)</x:f>
      </x:c>
      <x:c r="V164" s="24">
        <x:f>MAX(0,$Q164-$U164)-$T164</x:f>
      </x:c>
      <x:c r="W164" s="24">
        <x:f>MAX(0,MAX(0,($C164+$F164)-$M164)-$S164)-MIN(MAX(0,$D$3-(MAX(0,$F164-MAX(0,($M164+$S164)-$C164)))),MAX(0,MAX(0,($C164+$F164)-$M164)-$S164))</x:f>
      </x:c>
      <x:c r="X164" s="24">
        <x:f>IF(Inputs!$C$39=1,$W164,0)</x:f>
      </x:c>
      <x:c r="Y164" s="24">
        <x:f>IF(Inputs!$C$39=0,$W164,0)+MAX(0,MAX(0,($D164+$X164)-$N164)-$T164)</x:f>
      </x:c>
    </x:row>
    <x:row r="165">
      <x:c r="B165" s="22" t="n">
        <x:v>160</x:v>
      </x:c>
      <x:c r="C165" s="29">
        <x:f>IF($B165&lt;=Inputs!$C$6+Inputs!$C$11,Cashflow_Asset!$E163-Cashflow_Asset!$K163,0)</x:f>
      </x:c>
      <x:c r="D165" s="29">
        <x:f>IF($B165&lt;=Inputs!$C$6+Inputs!$C$11,Cashflow_Asset!$F163+Cashflow_Asset!$G163+Cashflow_Asset!$I163,0)</x:f>
      </x:c>
      <x:c r="E165" s="29">
        <x:f>IF($B165&lt;=Inputs!$C$6+Inputs!$C$11,Cashflow_Asset!$J163,0)</x:f>
      </x:c>
      <x:c r="F165" s="23">
        <x:f>$G164</x:f>
      </x:c>
      <x:c r="G165" s="24">
        <x:f>(MAX(0,$F165-MAX(0,($M165+$S165)-$C165)))+MIN(MAX(0,$D$3-(MAX(0,$F165-MAX(0,($M165+$S165)-$C165)))),MAX(0,MAX(0,($C165+$F165)-$M165)-$S165))</x:f>
      </x:c>
      <x:c r="H165" s="23">
        <x:f>$J164</x:f>
      </x:c>
      <x:c r="I165" s="24">
        <x:f>MIN($E165,$H165)</x:f>
      </x:c>
      <x:c r="J165" s="24">
        <x:f>$H165-$I165</x:f>
      </x:c>
      <x:c r="K165" s="23">
        <x:f>$P164</x:f>
      </x:c>
      <x:c r="L165" s="24">
        <x:f>$K165*Inputs!$C$18/12</x:f>
      </x:c>
      <x:c r="M165" s="24">
        <x:f>MIN(($C165+$F165),$L165)</x:f>
      </x:c>
      <x:c r="N165" s="24">
        <x:f>MIN(($D165+$X165),MAX(0,$K165-$O165))</x:f>
      </x:c>
      <x:c r="O165" s="24">
        <x:f>MIN(MAX(0,MAX(0,$E165-$I165)-$U165),$K165)</x:f>
      </x:c>
      <x:c r="P165" s="24">
        <x:f>MAX(0,$K165-$O165)-$N165</x:f>
      </x:c>
      <x:c r="Q165" s="23">
        <x:f>$V164</x:f>
      </x:c>
      <x:c r="R165" s="24">
        <x:f>$Q165*Inputs!$C$19/12</x:f>
      </x:c>
      <x:c r="S165" s="24">
        <x:f>MIN(MAX(0,($C165+$F165)-$M165),$R165)</x:f>
      </x:c>
      <x:c r="T165" s="24">
        <x:f>MIN(MAX(0,($D165+$X165)-$N165),MAX(0,$Q165-$U165))</x:f>
      </x:c>
      <x:c r="U165" s="24">
        <x:f>MIN(MAX(0,$E165-$I165),$Q165)</x:f>
      </x:c>
      <x:c r="V165" s="24">
        <x:f>MAX(0,$Q165-$U165)-$T165</x:f>
      </x:c>
      <x:c r="W165" s="24">
        <x:f>MAX(0,MAX(0,($C165+$F165)-$M165)-$S165)-MIN(MAX(0,$D$3-(MAX(0,$F165-MAX(0,($M165+$S165)-$C165)))),MAX(0,MAX(0,($C165+$F165)-$M165)-$S165))</x:f>
      </x:c>
      <x:c r="X165" s="24">
        <x:f>IF(Inputs!$C$39=1,$W165,0)</x:f>
      </x:c>
      <x:c r="Y165" s="24">
        <x:f>IF(Inputs!$C$39=0,$W165,0)+MAX(0,MAX(0,($D165+$X165)-$N165)-$T165)</x:f>
      </x:c>
    </x:row>
    <x:row r="166">
      <x:c r="B166" s="22" t="n">
        <x:v>161</x:v>
      </x:c>
      <x:c r="C166" s="29">
        <x:f>IF($B166&lt;=Inputs!$C$6+Inputs!$C$11,Cashflow_Asset!$E164-Cashflow_Asset!$K164,0)</x:f>
      </x:c>
      <x:c r="D166" s="29">
        <x:f>IF($B166&lt;=Inputs!$C$6+Inputs!$C$11,Cashflow_Asset!$F164+Cashflow_Asset!$G164+Cashflow_Asset!$I164,0)</x:f>
      </x:c>
      <x:c r="E166" s="29">
        <x:f>IF($B166&lt;=Inputs!$C$6+Inputs!$C$11,Cashflow_Asset!$J164,0)</x:f>
      </x:c>
      <x:c r="F166" s="23">
        <x:f>$G165</x:f>
      </x:c>
      <x:c r="G166" s="24">
        <x:f>(MAX(0,$F166-MAX(0,($M166+$S166)-$C166)))+MIN(MAX(0,$D$3-(MAX(0,$F166-MAX(0,($M166+$S166)-$C166)))),MAX(0,MAX(0,($C166+$F166)-$M166)-$S166))</x:f>
      </x:c>
      <x:c r="H166" s="23">
        <x:f>$J165</x:f>
      </x:c>
      <x:c r="I166" s="24">
        <x:f>MIN($E166,$H166)</x:f>
      </x:c>
      <x:c r="J166" s="24">
        <x:f>$H166-$I166</x:f>
      </x:c>
      <x:c r="K166" s="23">
        <x:f>$P165</x:f>
      </x:c>
      <x:c r="L166" s="24">
        <x:f>$K166*Inputs!$C$18/12</x:f>
      </x:c>
      <x:c r="M166" s="24">
        <x:f>MIN(($C166+$F166),$L166)</x:f>
      </x:c>
      <x:c r="N166" s="24">
        <x:f>MIN(($D166+$X166),MAX(0,$K166-$O166))</x:f>
      </x:c>
      <x:c r="O166" s="24">
        <x:f>MIN(MAX(0,MAX(0,$E166-$I166)-$U166),$K166)</x:f>
      </x:c>
      <x:c r="P166" s="24">
        <x:f>MAX(0,$K166-$O166)-$N166</x:f>
      </x:c>
      <x:c r="Q166" s="23">
        <x:f>$V165</x:f>
      </x:c>
      <x:c r="R166" s="24">
        <x:f>$Q166*Inputs!$C$19/12</x:f>
      </x:c>
      <x:c r="S166" s="24">
        <x:f>MIN(MAX(0,($C166+$F166)-$M166),$R166)</x:f>
      </x:c>
      <x:c r="T166" s="24">
        <x:f>MIN(MAX(0,($D166+$X166)-$N166),MAX(0,$Q166-$U166))</x:f>
      </x:c>
      <x:c r="U166" s="24">
        <x:f>MIN(MAX(0,$E166-$I166),$Q166)</x:f>
      </x:c>
      <x:c r="V166" s="24">
        <x:f>MAX(0,$Q166-$U166)-$T166</x:f>
      </x:c>
      <x:c r="W166" s="24">
        <x:f>MAX(0,MAX(0,($C166+$F166)-$M166)-$S166)-MIN(MAX(0,$D$3-(MAX(0,$F166-MAX(0,($M166+$S166)-$C166)))),MAX(0,MAX(0,($C166+$F166)-$M166)-$S166))</x:f>
      </x:c>
      <x:c r="X166" s="24">
        <x:f>IF(Inputs!$C$39=1,$W166,0)</x:f>
      </x:c>
      <x:c r="Y166" s="24">
        <x:f>IF(Inputs!$C$39=0,$W166,0)+MAX(0,MAX(0,($D166+$X166)-$N166)-$T166)</x:f>
      </x:c>
    </x:row>
    <x:row r="167">
      <x:c r="B167" s="22" t="n">
        <x:v>162</x:v>
      </x:c>
      <x:c r="C167" s="29">
        <x:f>IF($B167&lt;=Inputs!$C$6+Inputs!$C$11,Cashflow_Asset!$E165-Cashflow_Asset!$K165,0)</x:f>
      </x:c>
      <x:c r="D167" s="29">
        <x:f>IF($B167&lt;=Inputs!$C$6+Inputs!$C$11,Cashflow_Asset!$F165+Cashflow_Asset!$G165+Cashflow_Asset!$I165,0)</x:f>
      </x:c>
      <x:c r="E167" s="29">
        <x:f>IF($B167&lt;=Inputs!$C$6+Inputs!$C$11,Cashflow_Asset!$J165,0)</x:f>
      </x:c>
      <x:c r="F167" s="23">
        <x:f>$G166</x:f>
      </x:c>
      <x:c r="G167" s="24">
        <x:f>(MAX(0,$F167-MAX(0,($M167+$S167)-$C167)))+MIN(MAX(0,$D$3-(MAX(0,$F167-MAX(0,($M167+$S167)-$C167)))),MAX(0,MAX(0,($C167+$F167)-$M167)-$S167))</x:f>
      </x:c>
      <x:c r="H167" s="23">
        <x:f>$J166</x:f>
      </x:c>
      <x:c r="I167" s="24">
        <x:f>MIN($E167,$H167)</x:f>
      </x:c>
      <x:c r="J167" s="24">
        <x:f>$H167-$I167</x:f>
      </x:c>
      <x:c r="K167" s="23">
        <x:f>$P166</x:f>
      </x:c>
      <x:c r="L167" s="24">
        <x:f>$K167*Inputs!$C$18/12</x:f>
      </x:c>
      <x:c r="M167" s="24">
        <x:f>MIN(($C167+$F167),$L167)</x:f>
      </x:c>
      <x:c r="N167" s="24">
        <x:f>MIN(($D167+$X167),MAX(0,$K167-$O167))</x:f>
      </x:c>
      <x:c r="O167" s="24">
        <x:f>MIN(MAX(0,MAX(0,$E167-$I167)-$U167),$K167)</x:f>
      </x:c>
      <x:c r="P167" s="24">
        <x:f>MAX(0,$K167-$O167)-$N167</x:f>
      </x:c>
      <x:c r="Q167" s="23">
        <x:f>$V166</x:f>
      </x:c>
      <x:c r="R167" s="24">
        <x:f>$Q167*Inputs!$C$19/12</x:f>
      </x:c>
      <x:c r="S167" s="24">
        <x:f>MIN(MAX(0,($C167+$F167)-$M167),$R167)</x:f>
      </x:c>
      <x:c r="T167" s="24">
        <x:f>MIN(MAX(0,($D167+$X167)-$N167),MAX(0,$Q167-$U167))</x:f>
      </x:c>
      <x:c r="U167" s="24">
        <x:f>MIN(MAX(0,$E167-$I167),$Q167)</x:f>
      </x:c>
      <x:c r="V167" s="24">
        <x:f>MAX(0,$Q167-$U167)-$T167</x:f>
      </x:c>
      <x:c r="W167" s="24">
        <x:f>MAX(0,MAX(0,($C167+$F167)-$M167)-$S167)-MIN(MAX(0,$D$3-(MAX(0,$F167-MAX(0,($M167+$S167)-$C167)))),MAX(0,MAX(0,($C167+$F167)-$M167)-$S167))</x:f>
      </x:c>
      <x:c r="X167" s="24">
        <x:f>IF(Inputs!$C$39=1,$W167,0)</x:f>
      </x:c>
      <x:c r="Y167" s="24">
        <x:f>IF(Inputs!$C$39=0,$W167,0)+MAX(0,MAX(0,($D167+$X167)-$N167)-$T167)</x:f>
      </x:c>
    </x:row>
    <x:row r="168">
      <x:c r="B168" s="22" t="n">
        <x:v>163</x:v>
      </x:c>
      <x:c r="C168" s="29">
        <x:f>IF($B168&lt;=Inputs!$C$6+Inputs!$C$11,Cashflow_Asset!$E166-Cashflow_Asset!$K166,0)</x:f>
      </x:c>
      <x:c r="D168" s="29">
        <x:f>IF($B168&lt;=Inputs!$C$6+Inputs!$C$11,Cashflow_Asset!$F166+Cashflow_Asset!$G166+Cashflow_Asset!$I166,0)</x:f>
      </x:c>
      <x:c r="E168" s="29">
        <x:f>IF($B168&lt;=Inputs!$C$6+Inputs!$C$11,Cashflow_Asset!$J166,0)</x:f>
      </x:c>
      <x:c r="F168" s="23">
        <x:f>$G167</x:f>
      </x:c>
      <x:c r="G168" s="24">
        <x:f>(MAX(0,$F168-MAX(0,($M168+$S168)-$C168)))+MIN(MAX(0,$D$3-(MAX(0,$F168-MAX(0,($M168+$S168)-$C168)))),MAX(0,MAX(0,($C168+$F168)-$M168)-$S168))</x:f>
      </x:c>
      <x:c r="H168" s="23">
        <x:f>$J167</x:f>
      </x:c>
      <x:c r="I168" s="24">
        <x:f>MIN($E168,$H168)</x:f>
      </x:c>
      <x:c r="J168" s="24">
        <x:f>$H168-$I168</x:f>
      </x:c>
      <x:c r="K168" s="23">
        <x:f>$P167</x:f>
      </x:c>
      <x:c r="L168" s="24">
        <x:f>$K168*Inputs!$C$18/12</x:f>
      </x:c>
      <x:c r="M168" s="24">
        <x:f>MIN(($C168+$F168),$L168)</x:f>
      </x:c>
      <x:c r="N168" s="24">
        <x:f>MIN(($D168+$X168),MAX(0,$K168-$O168))</x:f>
      </x:c>
      <x:c r="O168" s="24">
        <x:f>MIN(MAX(0,MAX(0,$E168-$I168)-$U168),$K168)</x:f>
      </x:c>
      <x:c r="P168" s="24">
        <x:f>MAX(0,$K168-$O168)-$N168</x:f>
      </x:c>
      <x:c r="Q168" s="23">
        <x:f>$V167</x:f>
      </x:c>
      <x:c r="R168" s="24">
        <x:f>$Q168*Inputs!$C$19/12</x:f>
      </x:c>
      <x:c r="S168" s="24">
        <x:f>MIN(MAX(0,($C168+$F168)-$M168),$R168)</x:f>
      </x:c>
      <x:c r="T168" s="24">
        <x:f>MIN(MAX(0,($D168+$X168)-$N168),MAX(0,$Q168-$U168))</x:f>
      </x:c>
      <x:c r="U168" s="24">
        <x:f>MIN(MAX(0,$E168-$I168),$Q168)</x:f>
      </x:c>
      <x:c r="V168" s="24">
        <x:f>MAX(0,$Q168-$U168)-$T168</x:f>
      </x:c>
      <x:c r="W168" s="24">
        <x:f>MAX(0,MAX(0,($C168+$F168)-$M168)-$S168)-MIN(MAX(0,$D$3-(MAX(0,$F168-MAX(0,($M168+$S168)-$C168)))),MAX(0,MAX(0,($C168+$F168)-$M168)-$S168))</x:f>
      </x:c>
      <x:c r="X168" s="24">
        <x:f>IF(Inputs!$C$39=1,$W168,0)</x:f>
      </x:c>
      <x:c r="Y168" s="24">
        <x:f>IF(Inputs!$C$39=0,$W168,0)+MAX(0,MAX(0,($D168+$X168)-$N168)-$T168)</x:f>
      </x:c>
    </x:row>
    <x:row r="169">
      <x:c r="B169" s="22" t="n">
        <x:v>164</x:v>
      </x:c>
      <x:c r="C169" s="29">
        <x:f>IF($B169&lt;=Inputs!$C$6+Inputs!$C$11,Cashflow_Asset!$E167-Cashflow_Asset!$K167,0)</x:f>
      </x:c>
      <x:c r="D169" s="29">
        <x:f>IF($B169&lt;=Inputs!$C$6+Inputs!$C$11,Cashflow_Asset!$F167+Cashflow_Asset!$G167+Cashflow_Asset!$I167,0)</x:f>
      </x:c>
      <x:c r="E169" s="29">
        <x:f>IF($B169&lt;=Inputs!$C$6+Inputs!$C$11,Cashflow_Asset!$J167,0)</x:f>
      </x:c>
      <x:c r="F169" s="23">
        <x:f>$G168</x:f>
      </x:c>
      <x:c r="G169" s="24">
        <x:f>(MAX(0,$F169-MAX(0,($M169+$S169)-$C169)))+MIN(MAX(0,$D$3-(MAX(0,$F169-MAX(0,($M169+$S169)-$C169)))),MAX(0,MAX(0,($C169+$F169)-$M169)-$S169))</x:f>
      </x:c>
      <x:c r="H169" s="23">
        <x:f>$J168</x:f>
      </x:c>
      <x:c r="I169" s="24">
        <x:f>MIN($E169,$H169)</x:f>
      </x:c>
      <x:c r="J169" s="24">
        <x:f>$H169-$I169</x:f>
      </x:c>
      <x:c r="K169" s="23">
        <x:f>$P168</x:f>
      </x:c>
      <x:c r="L169" s="24">
        <x:f>$K169*Inputs!$C$18/12</x:f>
      </x:c>
      <x:c r="M169" s="24">
        <x:f>MIN(($C169+$F169),$L169)</x:f>
      </x:c>
      <x:c r="N169" s="24">
        <x:f>MIN(($D169+$X169),MAX(0,$K169-$O169))</x:f>
      </x:c>
      <x:c r="O169" s="24">
        <x:f>MIN(MAX(0,MAX(0,$E169-$I169)-$U169),$K169)</x:f>
      </x:c>
      <x:c r="P169" s="24">
        <x:f>MAX(0,$K169-$O169)-$N169</x:f>
      </x:c>
      <x:c r="Q169" s="23">
        <x:f>$V168</x:f>
      </x:c>
      <x:c r="R169" s="24">
        <x:f>$Q169*Inputs!$C$19/12</x:f>
      </x:c>
      <x:c r="S169" s="24">
        <x:f>MIN(MAX(0,($C169+$F169)-$M169),$R169)</x:f>
      </x:c>
      <x:c r="T169" s="24">
        <x:f>MIN(MAX(0,($D169+$X169)-$N169),MAX(0,$Q169-$U169))</x:f>
      </x:c>
      <x:c r="U169" s="24">
        <x:f>MIN(MAX(0,$E169-$I169),$Q169)</x:f>
      </x:c>
      <x:c r="V169" s="24">
        <x:f>MAX(0,$Q169-$U169)-$T169</x:f>
      </x:c>
      <x:c r="W169" s="24">
        <x:f>MAX(0,MAX(0,($C169+$F169)-$M169)-$S169)-MIN(MAX(0,$D$3-(MAX(0,$F169-MAX(0,($M169+$S169)-$C169)))),MAX(0,MAX(0,($C169+$F169)-$M169)-$S169))</x:f>
      </x:c>
      <x:c r="X169" s="24">
        <x:f>IF(Inputs!$C$39=1,$W169,0)</x:f>
      </x:c>
      <x:c r="Y169" s="24">
        <x:f>IF(Inputs!$C$39=0,$W169,0)+MAX(0,MAX(0,($D169+$X169)-$N169)-$T169)</x:f>
      </x:c>
    </x:row>
    <x:row r="170">
      <x:c r="B170" s="22" t="n">
        <x:v>165</x:v>
      </x:c>
      <x:c r="C170" s="29">
        <x:f>IF($B170&lt;=Inputs!$C$6+Inputs!$C$11,Cashflow_Asset!$E168-Cashflow_Asset!$K168,0)</x:f>
      </x:c>
      <x:c r="D170" s="29">
        <x:f>IF($B170&lt;=Inputs!$C$6+Inputs!$C$11,Cashflow_Asset!$F168+Cashflow_Asset!$G168+Cashflow_Asset!$I168,0)</x:f>
      </x:c>
      <x:c r="E170" s="29">
        <x:f>IF($B170&lt;=Inputs!$C$6+Inputs!$C$11,Cashflow_Asset!$J168,0)</x:f>
      </x:c>
      <x:c r="F170" s="23">
        <x:f>$G169</x:f>
      </x:c>
      <x:c r="G170" s="24">
        <x:f>(MAX(0,$F170-MAX(0,($M170+$S170)-$C170)))+MIN(MAX(0,$D$3-(MAX(0,$F170-MAX(0,($M170+$S170)-$C170)))),MAX(0,MAX(0,($C170+$F170)-$M170)-$S170))</x:f>
      </x:c>
      <x:c r="H170" s="23">
        <x:f>$J169</x:f>
      </x:c>
      <x:c r="I170" s="24">
        <x:f>MIN($E170,$H170)</x:f>
      </x:c>
      <x:c r="J170" s="24">
        <x:f>$H170-$I170</x:f>
      </x:c>
      <x:c r="K170" s="23">
        <x:f>$P169</x:f>
      </x:c>
      <x:c r="L170" s="24">
        <x:f>$K170*Inputs!$C$18/12</x:f>
      </x:c>
      <x:c r="M170" s="24">
        <x:f>MIN(($C170+$F170),$L170)</x:f>
      </x:c>
      <x:c r="N170" s="24">
        <x:f>MIN(($D170+$X170),MAX(0,$K170-$O170))</x:f>
      </x:c>
      <x:c r="O170" s="24">
        <x:f>MIN(MAX(0,MAX(0,$E170-$I170)-$U170),$K170)</x:f>
      </x:c>
      <x:c r="P170" s="24">
        <x:f>MAX(0,$K170-$O170)-$N170</x:f>
      </x:c>
      <x:c r="Q170" s="23">
        <x:f>$V169</x:f>
      </x:c>
      <x:c r="R170" s="24">
        <x:f>$Q170*Inputs!$C$19/12</x:f>
      </x:c>
      <x:c r="S170" s="24">
        <x:f>MIN(MAX(0,($C170+$F170)-$M170),$R170)</x:f>
      </x:c>
      <x:c r="T170" s="24">
        <x:f>MIN(MAX(0,($D170+$X170)-$N170),MAX(0,$Q170-$U170))</x:f>
      </x:c>
      <x:c r="U170" s="24">
        <x:f>MIN(MAX(0,$E170-$I170),$Q170)</x:f>
      </x:c>
      <x:c r="V170" s="24">
        <x:f>MAX(0,$Q170-$U170)-$T170</x:f>
      </x:c>
      <x:c r="W170" s="24">
        <x:f>MAX(0,MAX(0,($C170+$F170)-$M170)-$S170)-MIN(MAX(0,$D$3-(MAX(0,$F170-MAX(0,($M170+$S170)-$C170)))),MAX(0,MAX(0,($C170+$F170)-$M170)-$S170))</x:f>
      </x:c>
      <x:c r="X170" s="24">
        <x:f>IF(Inputs!$C$39=1,$W170,0)</x:f>
      </x:c>
      <x:c r="Y170" s="24">
        <x:f>IF(Inputs!$C$39=0,$W170,0)+MAX(0,MAX(0,($D170+$X170)-$N170)-$T170)</x:f>
      </x:c>
    </x:row>
    <x:row r="171">
      <x:c r="B171" s="22" t="n">
        <x:v>166</x:v>
      </x:c>
      <x:c r="C171" s="29">
        <x:f>IF($B171&lt;=Inputs!$C$6+Inputs!$C$11,Cashflow_Asset!$E169-Cashflow_Asset!$K169,0)</x:f>
      </x:c>
      <x:c r="D171" s="29">
        <x:f>IF($B171&lt;=Inputs!$C$6+Inputs!$C$11,Cashflow_Asset!$F169+Cashflow_Asset!$G169+Cashflow_Asset!$I169,0)</x:f>
      </x:c>
      <x:c r="E171" s="29">
        <x:f>IF($B171&lt;=Inputs!$C$6+Inputs!$C$11,Cashflow_Asset!$J169,0)</x:f>
      </x:c>
      <x:c r="F171" s="23">
        <x:f>$G170</x:f>
      </x:c>
      <x:c r="G171" s="24">
        <x:f>(MAX(0,$F171-MAX(0,($M171+$S171)-$C171)))+MIN(MAX(0,$D$3-(MAX(0,$F171-MAX(0,($M171+$S171)-$C171)))),MAX(0,MAX(0,($C171+$F171)-$M171)-$S171))</x:f>
      </x:c>
      <x:c r="H171" s="23">
        <x:f>$J170</x:f>
      </x:c>
      <x:c r="I171" s="24">
        <x:f>MIN($E171,$H171)</x:f>
      </x:c>
      <x:c r="J171" s="24">
        <x:f>$H171-$I171</x:f>
      </x:c>
      <x:c r="K171" s="23">
        <x:f>$P170</x:f>
      </x:c>
      <x:c r="L171" s="24">
        <x:f>$K171*Inputs!$C$18/12</x:f>
      </x:c>
      <x:c r="M171" s="24">
        <x:f>MIN(($C171+$F171),$L171)</x:f>
      </x:c>
      <x:c r="N171" s="24">
        <x:f>MIN(($D171+$X171),MAX(0,$K171-$O171))</x:f>
      </x:c>
      <x:c r="O171" s="24">
        <x:f>MIN(MAX(0,MAX(0,$E171-$I171)-$U171),$K171)</x:f>
      </x:c>
      <x:c r="P171" s="24">
        <x:f>MAX(0,$K171-$O171)-$N171</x:f>
      </x:c>
      <x:c r="Q171" s="23">
        <x:f>$V170</x:f>
      </x:c>
      <x:c r="R171" s="24">
        <x:f>$Q171*Inputs!$C$19/12</x:f>
      </x:c>
      <x:c r="S171" s="24">
        <x:f>MIN(MAX(0,($C171+$F171)-$M171),$R171)</x:f>
      </x:c>
      <x:c r="T171" s="24">
        <x:f>MIN(MAX(0,($D171+$X171)-$N171),MAX(0,$Q171-$U171))</x:f>
      </x:c>
      <x:c r="U171" s="24">
        <x:f>MIN(MAX(0,$E171-$I171),$Q171)</x:f>
      </x:c>
      <x:c r="V171" s="24">
        <x:f>MAX(0,$Q171-$U171)-$T171</x:f>
      </x:c>
      <x:c r="W171" s="24">
        <x:f>MAX(0,MAX(0,($C171+$F171)-$M171)-$S171)-MIN(MAX(0,$D$3-(MAX(0,$F171-MAX(0,($M171+$S171)-$C171)))),MAX(0,MAX(0,($C171+$F171)-$M171)-$S171))</x:f>
      </x:c>
      <x:c r="X171" s="24">
        <x:f>IF(Inputs!$C$39=1,$W171,0)</x:f>
      </x:c>
      <x:c r="Y171" s="24">
        <x:f>IF(Inputs!$C$39=0,$W171,0)+MAX(0,MAX(0,($D171+$X171)-$N171)-$T171)</x:f>
      </x:c>
    </x:row>
    <x:row r="172">
      <x:c r="B172" s="22" t="n">
        <x:v>167</x:v>
      </x:c>
      <x:c r="C172" s="29">
        <x:f>IF($B172&lt;=Inputs!$C$6+Inputs!$C$11,Cashflow_Asset!$E170-Cashflow_Asset!$K170,0)</x:f>
      </x:c>
      <x:c r="D172" s="29">
        <x:f>IF($B172&lt;=Inputs!$C$6+Inputs!$C$11,Cashflow_Asset!$F170+Cashflow_Asset!$G170+Cashflow_Asset!$I170,0)</x:f>
      </x:c>
      <x:c r="E172" s="29">
        <x:f>IF($B172&lt;=Inputs!$C$6+Inputs!$C$11,Cashflow_Asset!$J170,0)</x:f>
      </x:c>
      <x:c r="F172" s="23">
        <x:f>$G171</x:f>
      </x:c>
      <x:c r="G172" s="24">
        <x:f>(MAX(0,$F172-MAX(0,($M172+$S172)-$C172)))+MIN(MAX(0,$D$3-(MAX(0,$F172-MAX(0,($M172+$S172)-$C172)))),MAX(0,MAX(0,($C172+$F172)-$M172)-$S172))</x:f>
      </x:c>
      <x:c r="H172" s="23">
        <x:f>$J171</x:f>
      </x:c>
      <x:c r="I172" s="24">
        <x:f>MIN($E172,$H172)</x:f>
      </x:c>
      <x:c r="J172" s="24">
        <x:f>$H172-$I172</x:f>
      </x:c>
      <x:c r="K172" s="23">
        <x:f>$P171</x:f>
      </x:c>
      <x:c r="L172" s="24">
        <x:f>$K172*Inputs!$C$18/12</x:f>
      </x:c>
      <x:c r="M172" s="24">
        <x:f>MIN(($C172+$F172),$L172)</x:f>
      </x:c>
      <x:c r="N172" s="24">
        <x:f>MIN(($D172+$X172),MAX(0,$K172-$O172))</x:f>
      </x:c>
      <x:c r="O172" s="24">
        <x:f>MIN(MAX(0,MAX(0,$E172-$I172)-$U172),$K172)</x:f>
      </x:c>
      <x:c r="P172" s="24">
        <x:f>MAX(0,$K172-$O172)-$N172</x:f>
      </x:c>
      <x:c r="Q172" s="23">
        <x:f>$V171</x:f>
      </x:c>
      <x:c r="R172" s="24">
        <x:f>$Q172*Inputs!$C$19/12</x:f>
      </x:c>
      <x:c r="S172" s="24">
        <x:f>MIN(MAX(0,($C172+$F172)-$M172),$R172)</x:f>
      </x:c>
      <x:c r="T172" s="24">
        <x:f>MIN(MAX(0,($D172+$X172)-$N172),MAX(0,$Q172-$U172))</x:f>
      </x:c>
      <x:c r="U172" s="24">
        <x:f>MIN(MAX(0,$E172-$I172),$Q172)</x:f>
      </x:c>
      <x:c r="V172" s="24">
        <x:f>MAX(0,$Q172-$U172)-$T172</x:f>
      </x:c>
      <x:c r="W172" s="24">
        <x:f>MAX(0,MAX(0,($C172+$F172)-$M172)-$S172)-MIN(MAX(0,$D$3-(MAX(0,$F172-MAX(0,($M172+$S172)-$C172)))),MAX(0,MAX(0,($C172+$F172)-$M172)-$S172))</x:f>
      </x:c>
      <x:c r="X172" s="24">
        <x:f>IF(Inputs!$C$39=1,$W172,0)</x:f>
      </x:c>
      <x:c r="Y172" s="24">
        <x:f>IF(Inputs!$C$39=0,$W172,0)+MAX(0,MAX(0,($D172+$X172)-$N172)-$T172)</x:f>
      </x:c>
    </x:row>
    <x:row r="173">
      <x:c r="B173" s="22" t="n">
        <x:v>168</x:v>
      </x:c>
      <x:c r="C173" s="29">
        <x:f>IF($B173&lt;=Inputs!$C$6+Inputs!$C$11,Cashflow_Asset!$E171-Cashflow_Asset!$K171,0)</x:f>
      </x:c>
      <x:c r="D173" s="29">
        <x:f>IF($B173&lt;=Inputs!$C$6+Inputs!$C$11,Cashflow_Asset!$F171+Cashflow_Asset!$G171+Cashflow_Asset!$I171,0)</x:f>
      </x:c>
      <x:c r="E173" s="29">
        <x:f>IF($B173&lt;=Inputs!$C$6+Inputs!$C$11,Cashflow_Asset!$J171,0)</x:f>
      </x:c>
      <x:c r="F173" s="23">
        <x:f>$G172</x:f>
      </x:c>
      <x:c r="G173" s="24">
        <x:f>(MAX(0,$F173-MAX(0,($M173+$S173)-$C173)))+MIN(MAX(0,$D$3-(MAX(0,$F173-MAX(0,($M173+$S173)-$C173)))),MAX(0,MAX(0,($C173+$F173)-$M173)-$S173))</x:f>
      </x:c>
      <x:c r="H173" s="23">
        <x:f>$J172</x:f>
      </x:c>
      <x:c r="I173" s="24">
        <x:f>MIN($E173,$H173)</x:f>
      </x:c>
      <x:c r="J173" s="24">
        <x:f>$H173-$I173</x:f>
      </x:c>
      <x:c r="K173" s="23">
        <x:f>$P172</x:f>
      </x:c>
      <x:c r="L173" s="24">
        <x:f>$K173*Inputs!$C$18/12</x:f>
      </x:c>
      <x:c r="M173" s="24">
        <x:f>MIN(($C173+$F173),$L173)</x:f>
      </x:c>
      <x:c r="N173" s="24">
        <x:f>MIN(($D173+$X173),MAX(0,$K173-$O173))</x:f>
      </x:c>
      <x:c r="O173" s="24">
        <x:f>MIN(MAX(0,MAX(0,$E173-$I173)-$U173),$K173)</x:f>
      </x:c>
      <x:c r="P173" s="24">
        <x:f>MAX(0,$K173-$O173)-$N173</x:f>
      </x:c>
      <x:c r="Q173" s="23">
        <x:f>$V172</x:f>
      </x:c>
      <x:c r="R173" s="24">
        <x:f>$Q173*Inputs!$C$19/12</x:f>
      </x:c>
      <x:c r="S173" s="24">
        <x:f>MIN(MAX(0,($C173+$F173)-$M173),$R173)</x:f>
      </x:c>
      <x:c r="T173" s="24">
        <x:f>MIN(MAX(0,($D173+$X173)-$N173),MAX(0,$Q173-$U173))</x:f>
      </x:c>
      <x:c r="U173" s="24">
        <x:f>MIN(MAX(0,$E173-$I173),$Q173)</x:f>
      </x:c>
      <x:c r="V173" s="24">
        <x:f>MAX(0,$Q173-$U173)-$T173</x:f>
      </x:c>
      <x:c r="W173" s="24">
        <x:f>MAX(0,MAX(0,($C173+$F173)-$M173)-$S173)-MIN(MAX(0,$D$3-(MAX(0,$F173-MAX(0,($M173+$S173)-$C173)))),MAX(0,MAX(0,($C173+$F173)-$M173)-$S173))</x:f>
      </x:c>
      <x:c r="X173" s="24">
        <x:f>IF(Inputs!$C$39=1,$W173,0)</x:f>
      </x:c>
      <x:c r="Y173" s="24">
        <x:f>IF(Inputs!$C$39=0,$W173,0)+MAX(0,MAX(0,($D173+$X173)-$N173)-$T173)</x:f>
      </x:c>
    </x:row>
    <x:row r="174">
      <x:c r="B174" s="22" t="n">
        <x:v>169</x:v>
      </x:c>
      <x:c r="C174" s="29">
        <x:f>IF($B174&lt;=Inputs!$C$6+Inputs!$C$11,Cashflow_Asset!$E172-Cashflow_Asset!$K172,0)</x:f>
      </x:c>
      <x:c r="D174" s="29">
        <x:f>IF($B174&lt;=Inputs!$C$6+Inputs!$C$11,Cashflow_Asset!$F172+Cashflow_Asset!$G172+Cashflow_Asset!$I172,0)</x:f>
      </x:c>
      <x:c r="E174" s="29">
        <x:f>IF($B174&lt;=Inputs!$C$6+Inputs!$C$11,Cashflow_Asset!$J172,0)</x:f>
      </x:c>
      <x:c r="F174" s="23">
        <x:f>$G173</x:f>
      </x:c>
      <x:c r="G174" s="24">
        <x:f>(MAX(0,$F174-MAX(0,($M174+$S174)-$C174)))+MIN(MAX(0,$D$3-(MAX(0,$F174-MAX(0,($M174+$S174)-$C174)))),MAX(0,MAX(0,($C174+$F174)-$M174)-$S174))</x:f>
      </x:c>
      <x:c r="H174" s="23">
        <x:f>$J173</x:f>
      </x:c>
      <x:c r="I174" s="24">
        <x:f>MIN($E174,$H174)</x:f>
      </x:c>
      <x:c r="J174" s="24">
        <x:f>$H174-$I174</x:f>
      </x:c>
      <x:c r="K174" s="23">
        <x:f>$P173</x:f>
      </x:c>
      <x:c r="L174" s="24">
        <x:f>$K174*Inputs!$C$18/12</x:f>
      </x:c>
      <x:c r="M174" s="24">
        <x:f>MIN(($C174+$F174),$L174)</x:f>
      </x:c>
      <x:c r="N174" s="24">
        <x:f>MIN(($D174+$X174),MAX(0,$K174-$O174))</x:f>
      </x:c>
      <x:c r="O174" s="24">
        <x:f>MIN(MAX(0,MAX(0,$E174-$I174)-$U174),$K174)</x:f>
      </x:c>
      <x:c r="P174" s="24">
        <x:f>MAX(0,$K174-$O174)-$N174</x:f>
      </x:c>
      <x:c r="Q174" s="23">
        <x:f>$V173</x:f>
      </x:c>
      <x:c r="R174" s="24">
        <x:f>$Q174*Inputs!$C$19/12</x:f>
      </x:c>
      <x:c r="S174" s="24">
        <x:f>MIN(MAX(0,($C174+$F174)-$M174),$R174)</x:f>
      </x:c>
      <x:c r="T174" s="24">
        <x:f>MIN(MAX(0,($D174+$X174)-$N174),MAX(0,$Q174-$U174))</x:f>
      </x:c>
      <x:c r="U174" s="24">
        <x:f>MIN(MAX(0,$E174-$I174),$Q174)</x:f>
      </x:c>
      <x:c r="V174" s="24">
        <x:f>MAX(0,$Q174-$U174)-$T174</x:f>
      </x:c>
      <x:c r="W174" s="24">
        <x:f>MAX(0,MAX(0,($C174+$F174)-$M174)-$S174)-MIN(MAX(0,$D$3-(MAX(0,$F174-MAX(0,($M174+$S174)-$C174)))),MAX(0,MAX(0,($C174+$F174)-$M174)-$S174))</x:f>
      </x:c>
      <x:c r="X174" s="24">
        <x:f>IF(Inputs!$C$39=1,$W174,0)</x:f>
      </x:c>
      <x:c r="Y174" s="24">
        <x:f>IF(Inputs!$C$39=0,$W174,0)+MAX(0,MAX(0,($D174+$X174)-$N174)-$T174)</x:f>
      </x:c>
    </x:row>
    <x:row r="175">
      <x:c r="B175" s="22" t="n">
        <x:v>170</x:v>
      </x:c>
      <x:c r="C175" s="29">
        <x:f>IF($B175&lt;=Inputs!$C$6+Inputs!$C$11,Cashflow_Asset!$E173-Cashflow_Asset!$K173,0)</x:f>
      </x:c>
      <x:c r="D175" s="29">
        <x:f>IF($B175&lt;=Inputs!$C$6+Inputs!$C$11,Cashflow_Asset!$F173+Cashflow_Asset!$G173+Cashflow_Asset!$I173,0)</x:f>
      </x:c>
      <x:c r="E175" s="29">
        <x:f>IF($B175&lt;=Inputs!$C$6+Inputs!$C$11,Cashflow_Asset!$J173,0)</x:f>
      </x:c>
      <x:c r="F175" s="23">
        <x:f>$G174</x:f>
      </x:c>
      <x:c r="G175" s="24">
        <x:f>(MAX(0,$F175-MAX(0,($M175+$S175)-$C175)))+MIN(MAX(0,$D$3-(MAX(0,$F175-MAX(0,($M175+$S175)-$C175)))),MAX(0,MAX(0,($C175+$F175)-$M175)-$S175))</x:f>
      </x:c>
      <x:c r="H175" s="23">
        <x:f>$J174</x:f>
      </x:c>
      <x:c r="I175" s="24">
        <x:f>MIN($E175,$H175)</x:f>
      </x:c>
      <x:c r="J175" s="24">
        <x:f>$H175-$I175</x:f>
      </x:c>
      <x:c r="K175" s="23">
        <x:f>$P174</x:f>
      </x:c>
      <x:c r="L175" s="24">
        <x:f>$K175*Inputs!$C$18/12</x:f>
      </x:c>
      <x:c r="M175" s="24">
        <x:f>MIN(($C175+$F175),$L175)</x:f>
      </x:c>
      <x:c r="N175" s="24">
        <x:f>MIN(($D175+$X175),MAX(0,$K175-$O175))</x:f>
      </x:c>
      <x:c r="O175" s="24">
        <x:f>MIN(MAX(0,MAX(0,$E175-$I175)-$U175),$K175)</x:f>
      </x:c>
      <x:c r="P175" s="24">
        <x:f>MAX(0,$K175-$O175)-$N175</x:f>
      </x:c>
      <x:c r="Q175" s="23">
        <x:f>$V174</x:f>
      </x:c>
      <x:c r="R175" s="24">
        <x:f>$Q175*Inputs!$C$19/12</x:f>
      </x:c>
      <x:c r="S175" s="24">
        <x:f>MIN(MAX(0,($C175+$F175)-$M175),$R175)</x:f>
      </x:c>
      <x:c r="T175" s="24">
        <x:f>MIN(MAX(0,($D175+$X175)-$N175),MAX(0,$Q175-$U175))</x:f>
      </x:c>
      <x:c r="U175" s="24">
        <x:f>MIN(MAX(0,$E175-$I175),$Q175)</x:f>
      </x:c>
      <x:c r="V175" s="24">
        <x:f>MAX(0,$Q175-$U175)-$T175</x:f>
      </x:c>
      <x:c r="W175" s="24">
        <x:f>MAX(0,MAX(0,($C175+$F175)-$M175)-$S175)-MIN(MAX(0,$D$3-(MAX(0,$F175-MAX(0,($M175+$S175)-$C175)))),MAX(0,MAX(0,($C175+$F175)-$M175)-$S175))</x:f>
      </x:c>
      <x:c r="X175" s="24">
        <x:f>IF(Inputs!$C$39=1,$W175,0)</x:f>
      </x:c>
      <x:c r="Y175" s="24">
        <x:f>IF(Inputs!$C$39=0,$W175,0)+MAX(0,MAX(0,($D175+$X175)-$N175)-$T175)</x:f>
      </x:c>
    </x:row>
    <x:row r="176">
      <x:c r="B176" s="22" t="n">
        <x:v>171</x:v>
      </x:c>
      <x:c r="C176" s="29">
        <x:f>IF($B176&lt;=Inputs!$C$6+Inputs!$C$11,Cashflow_Asset!$E174-Cashflow_Asset!$K174,0)</x:f>
      </x:c>
      <x:c r="D176" s="29">
        <x:f>IF($B176&lt;=Inputs!$C$6+Inputs!$C$11,Cashflow_Asset!$F174+Cashflow_Asset!$G174+Cashflow_Asset!$I174,0)</x:f>
      </x:c>
      <x:c r="E176" s="29">
        <x:f>IF($B176&lt;=Inputs!$C$6+Inputs!$C$11,Cashflow_Asset!$J174,0)</x:f>
      </x:c>
      <x:c r="F176" s="23">
        <x:f>$G175</x:f>
      </x:c>
      <x:c r="G176" s="24">
        <x:f>(MAX(0,$F176-MAX(0,($M176+$S176)-$C176)))+MIN(MAX(0,$D$3-(MAX(0,$F176-MAX(0,($M176+$S176)-$C176)))),MAX(0,MAX(0,($C176+$F176)-$M176)-$S176))</x:f>
      </x:c>
      <x:c r="H176" s="23">
        <x:f>$J175</x:f>
      </x:c>
      <x:c r="I176" s="24">
        <x:f>MIN($E176,$H176)</x:f>
      </x:c>
      <x:c r="J176" s="24">
        <x:f>$H176-$I176</x:f>
      </x:c>
      <x:c r="K176" s="23">
        <x:f>$P175</x:f>
      </x:c>
      <x:c r="L176" s="24">
        <x:f>$K176*Inputs!$C$18/12</x:f>
      </x:c>
      <x:c r="M176" s="24">
        <x:f>MIN(($C176+$F176),$L176)</x:f>
      </x:c>
      <x:c r="N176" s="24">
        <x:f>MIN(($D176+$X176),MAX(0,$K176-$O176))</x:f>
      </x:c>
      <x:c r="O176" s="24">
        <x:f>MIN(MAX(0,MAX(0,$E176-$I176)-$U176),$K176)</x:f>
      </x:c>
      <x:c r="P176" s="24">
        <x:f>MAX(0,$K176-$O176)-$N176</x:f>
      </x:c>
      <x:c r="Q176" s="23">
        <x:f>$V175</x:f>
      </x:c>
      <x:c r="R176" s="24">
        <x:f>$Q176*Inputs!$C$19/12</x:f>
      </x:c>
      <x:c r="S176" s="24">
        <x:f>MIN(MAX(0,($C176+$F176)-$M176),$R176)</x:f>
      </x:c>
      <x:c r="T176" s="24">
        <x:f>MIN(MAX(0,($D176+$X176)-$N176),MAX(0,$Q176-$U176))</x:f>
      </x:c>
      <x:c r="U176" s="24">
        <x:f>MIN(MAX(0,$E176-$I176),$Q176)</x:f>
      </x:c>
      <x:c r="V176" s="24">
        <x:f>MAX(0,$Q176-$U176)-$T176</x:f>
      </x:c>
      <x:c r="W176" s="24">
        <x:f>MAX(0,MAX(0,($C176+$F176)-$M176)-$S176)-MIN(MAX(0,$D$3-(MAX(0,$F176-MAX(0,($M176+$S176)-$C176)))),MAX(0,MAX(0,($C176+$F176)-$M176)-$S176))</x:f>
      </x:c>
      <x:c r="X176" s="24">
        <x:f>IF(Inputs!$C$39=1,$W176,0)</x:f>
      </x:c>
      <x:c r="Y176" s="24">
        <x:f>IF(Inputs!$C$39=0,$W176,0)+MAX(0,MAX(0,($D176+$X176)-$N176)-$T176)</x:f>
      </x:c>
    </x:row>
    <x:row r="177">
      <x:c r="B177" s="22" t="n">
        <x:v>172</x:v>
      </x:c>
      <x:c r="C177" s="29">
        <x:f>IF($B177&lt;=Inputs!$C$6+Inputs!$C$11,Cashflow_Asset!$E175-Cashflow_Asset!$K175,0)</x:f>
      </x:c>
      <x:c r="D177" s="29">
        <x:f>IF($B177&lt;=Inputs!$C$6+Inputs!$C$11,Cashflow_Asset!$F175+Cashflow_Asset!$G175+Cashflow_Asset!$I175,0)</x:f>
      </x:c>
      <x:c r="E177" s="29">
        <x:f>IF($B177&lt;=Inputs!$C$6+Inputs!$C$11,Cashflow_Asset!$J175,0)</x:f>
      </x:c>
      <x:c r="F177" s="23">
        <x:f>$G176</x:f>
      </x:c>
      <x:c r="G177" s="24">
        <x:f>(MAX(0,$F177-MAX(0,($M177+$S177)-$C177)))+MIN(MAX(0,$D$3-(MAX(0,$F177-MAX(0,($M177+$S177)-$C177)))),MAX(0,MAX(0,($C177+$F177)-$M177)-$S177))</x:f>
      </x:c>
      <x:c r="H177" s="23">
        <x:f>$J176</x:f>
      </x:c>
      <x:c r="I177" s="24">
        <x:f>MIN($E177,$H177)</x:f>
      </x:c>
      <x:c r="J177" s="24">
        <x:f>$H177-$I177</x:f>
      </x:c>
      <x:c r="K177" s="23">
        <x:f>$P176</x:f>
      </x:c>
      <x:c r="L177" s="24">
        <x:f>$K177*Inputs!$C$18/12</x:f>
      </x:c>
      <x:c r="M177" s="24">
        <x:f>MIN(($C177+$F177),$L177)</x:f>
      </x:c>
      <x:c r="N177" s="24">
        <x:f>MIN(($D177+$X177),MAX(0,$K177-$O177))</x:f>
      </x:c>
      <x:c r="O177" s="24">
        <x:f>MIN(MAX(0,MAX(0,$E177-$I177)-$U177),$K177)</x:f>
      </x:c>
      <x:c r="P177" s="24">
        <x:f>MAX(0,$K177-$O177)-$N177</x:f>
      </x:c>
      <x:c r="Q177" s="23">
        <x:f>$V176</x:f>
      </x:c>
      <x:c r="R177" s="24">
        <x:f>$Q177*Inputs!$C$19/12</x:f>
      </x:c>
      <x:c r="S177" s="24">
        <x:f>MIN(MAX(0,($C177+$F177)-$M177),$R177)</x:f>
      </x:c>
      <x:c r="T177" s="24">
        <x:f>MIN(MAX(0,($D177+$X177)-$N177),MAX(0,$Q177-$U177))</x:f>
      </x:c>
      <x:c r="U177" s="24">
        <x:f>MIN(MAX(0,$E177-$I177),$Q177)</x:f>
      </x:c>
      <x:c r="V177" s="24">
        <x:f>MAX(0,$Q177-$U177)-$T177</x:f>
      </x:c>
      <x:c r="W177" s="24">
        <x:f>MAX(0,MAX(0,($C177+$F177)-$M177)-$S177)-MIN(MAX(0,$D$3-(MAX(0,$F177-MAX(0,($M177+$S177)-$C177)))),MAX(0,MAX(0,($C177+$F177)-$M177)-$S177))</x:f>
      </x:c>
      <x:c r="X177" s="24">
        <x:f>IF(Inputs!$C$39=1,$W177,0)</x:f>
      </x:c>
      <x:c r="Y177" s="24">
        <x:f>IF(Inputs!$C$39=0,$W177,0)+MAX(0,MAX(0,($D177+$X177)-$N177)-$T177)</x:f>
      </x:c>
    </x:row>
    <x:row r="178">
      <x:c r="B178" s="22" t="n">
        <x:v>173</x:v>
      </x:c>
      <x:c r="C178" s="29">
        <x:f>IF($B178&lt;=Inputs!$C$6+Inputs!$C$11,Cashflow_Asset!$E176-Cashflow_Asset!$K176,0)</x:f>
      </x:c>
      <x:c r="D178" s="29">
        <x:f>IF($B178&lt;=Inputs!$C$6+Inputs!$C$11,Cashflow_Asset!$F176+Cashflow_Asset!$G176+Cashflow_Asset!$I176,0)</x:f>
      </x:c>
      <x:c r="E178" s="29">
        <x:f>IF($B178&lt;=Inputs!$C$6+Inputs!$C$11,Cashflow_Asset!$J176,0)</x:f>
      </x:c>
      <x:c r="F178" s="23">
        <x:f>$G177</x:f>
      </x:c>
      <x:c r="G178" s="24">
        <x:f>(MAX(0,$F178-MAX(0,($M178+$S178)-$C178)))+MIN(MAX(0,$D$3-(MAX(0,$F178-MAX(0,($M178+$S178)-$C178)))),MAX(0,MAX(0,($C178+$F178)-$M178)-$S178))</x:f>
      </x:c>
      <x:c r="H178" s="23">
        <x:f>$J177</x:f>
      </x:c>
      <x:c r="I178" s="24">
        <x:f>MIN($E178,$H178)</x:f>
      </x:c>
      <x:c r="J178" s="24">
        <x:f>$H178-$I178</x:f>
      </x:c>
      <x:c r="K178" s="23">
        <x:f>$P177</x:f>
      </x:c>
      <x:c r="L178" s="24">
        <x:f>$K178*Inputs!$C$18/12</x:f>
      </x:c>
      <x:c r="M178" s="24">
        <x:f>MIN(($C178+$F178),$L178)</x:f>
      </x:c>
      <x:c r="N178" s="24">
        <x:f>MIN(($D178+$X178),MAX(0,$K178-$O178))</x:f>
      </x:c>
      <x:c r="O178" s="24">
        <x:f>MIN(MAX(0,MAX(0,$E178-$I178)-$U178),$K178)</x:f>
      </x:c>
      <x:c r="P178" s="24">
        <x:f>MAX(0,$K178-$O178)-$N178</x:f>
      </x:c>
      <x:c r="Q178" s="23">
        <x:f>$V177</x:f>
      </x:c>
      <x:c r="R178" s="24">
        <x:f>$Q178*Inputs!$C$19/12</x:f>
      </x:c>
      <x:c r="S178" s="24">
        <x:f>MIN(MAX(0,($C178+$F178)-$M178),$R178)</x:f>
      </x:c>
      <x:c r="T178" s="24">
        <x:f>MIN(MAX(0,($D178+$X178)-$N178),MAX(0,$Q178-$U178))</x:f>
      </x:c>
      <x:c r="U178" s="24">
        <x:f>MIN(MAX(0,$E178-$I178),$Q178)</x:f>
      </x:c>
      <x:c r="V178" s="24">
        <x:f>MAX(0,$Q178-$U178)-$T178</x:f>
      </x:c>
      <x:c r="W178" s="24">
        <x:f>MAX(0,MAX(0,($C178+$F178)-$M178)-$S178)-MIN(MAX(0,$D$3-(MAX(0,$F178-MAX(0,($M178+$S178)-$C178)))),MAX(0,MAX(0,($C178+$F178)-$M178)-$S178))</x:f>
      </x:c>
      <x:c r="X178" s="24">
        <x:f>IF(Inputs!$C$39=1,$W178,0)</x:f>
      </x:c>
      <x:c r="Y178" s="24">
        <x:f>IF(Inputs!$C$39=0,$W178,0)+MAX(0,MAX(0,($D178+$X178)-$N178)-$T178)</x:f>
      </x:c>
    </x:row>
    <x:row r="179">
      <x:c r="B179" s="22" t="n">
        <x:v>174</x:v>
      </x:c>
      <x:c r="C179" s="29">
        <x:f>IF($B179&lt;=Inputs!$C$6+Inputs!$C$11,Cashflow_Asset!$E177-Cashflow_Asset!$K177,0)</x:f>
      </x:c>
      <x:c r="D179" s="29">
        <x:f>IF($B179&lt;=Inputs!$C$6+Inputs!$C$11,Cashflow_Asset!$F177+Cashflow_Asset!$G177+Cashflow_Asset!$I177,0)</x:f>
      </x:c>
      <x:c r="E179" s="29">
        <x:f>IF($B179&lt;=Inputs!$C$6+Inputs!$C$11,Cashflow_Asset!$J177,0)</x:f>
      </x:c>
      <x:c r="F179" s="23">
        <x:f>$G178</x:f>
      </x:c>
      <x:c r="G179" s="24">
        <x:f>(MAX(0,$F179-MAX(0,($M179+$S179)-$C179)))+MIN(MAX(0,$D$3-(MAX(0,$F179-MAX(0,($M179+$S179)-$C179)))),MAX(0,MAX(0,($C179+$F179)-$M179)-$S179))</x:f>
      </x:c>
      <x:c r="H179" s="23">
        <x:f>$J178</x:f>
      </x:c>
      <x:c r="I179" s="24">
        <x:f>MIN($E179,$H179)</x:f>
      </x:c>
      <x:c r="J179" s="24">
        <x:f>$H179-$I179</x:f>
      </x:c>
      <x:c r="K179" s="23">
        <x:f>$P178</x:f>
      </x:c>
      <x:c r="L179" s="24">
        <x:f>$K179*Inputs!$C$18/12</x:f>
      </x:c>
      <x:c r="M179" s="24">
        <x:f>MIN(($C179+$F179),$L179)</x:f>
      </x:c>
      <x:c r="N179" s="24">
        <x:f>MIN(($D179+$X179),MAX(0,$K179-$O179))</x:f>
      </x:c>
      <x:c r="O179" s="24">
        <x:f>MIN(MAX(0,MAX(0,$E179-$I179)-$U179),$K179)</x:f>
      </x:c>
      <x:c r="P179" s="24">
        <x:f>MAX(0,$K179-$O179)-$N179</x:f>
      </x:c>
      <x:c r="Q179" s="23">
        <x:f>$V178</x:f>
      </x:c>
      <x:c r="R179" s="24">
        <x:f>$Q179*Inputs!$C$19/12</x:f>
      </x:c>
      <x:c r="S179" s="24">
        <x:f>MIN(MAX(0,($C179+$F179)-$M179),$R179)</x:f>
      </x:c>
      <x:c r="T179" s="24">
        <x:f>MIN(MAX(0,($D179+$X179)-$N179),MAX(0,$Q179-$U179))</x:f>
      </x:c>
      <x:c r="U179" s="24">
        <x:f>MIN(MAX(0,$E179-$I179),$Q179)</x:f>
      </x:c>
      <x:c r="V179" s="24">
        <x:f>MAX(0,$Q179-$U179)-$T179</x:f>
      </x:c>
      <x:c r="W179" s="24">
        <x:f>MAX(0,MAX(0,($C179+$F179)-$M179)-$S179)-MIN(MAX(0,$D$3-(MAX(0,$F179-MAX(0,($M179+$S179)-$C179)))),MAX(0,MAX(0,($C179+$F179)-$M179)-$S179))</x:f>
      </x:c>
      <x:c r="X179" s="24">
        <x:f>IF(Inputs!$C$39=1,$W179,0)</x:f>
      </x:c>
      <x:c r="Y179" s="24">
        <x:f>IF(Inputs!$C$39=0,$W179,0)+MAX(0,MAX(0,($D179+$X179)-$N179)-$T179)</x:f>
      </x:c>
    </x:row>
    <x:row r="180">
      <x:c r="B180" s="22" t="n">
        <x:v>175</x:v>
      </x:c>
      <x:c r="C180" s="29">
        <x:f>IF($B180&lt;=Inputs!$C$6+Inputs!$C$11,Cashflow_Asset!$E178-Cashflow_Asset!$K178,0)</x:f>
      </x:c>
      <x:c r="D180" s="29">
        <x:f>IF($B180&lt;=Inputs!$C$6+Inputs!$C$11,Cashflow_Asset!$F178+Cashflow_Asset!$G178+Cashflow_Asset!$I178,0)</x:f>
      </x:c>
      <x:c r="E180" s="29">
        <x:f>IF($B180&lt;=Inputs!$C$6+Inputs!$C$11,Cashflow_Asset!$J178,0)</x:f>
      </x:c>
      <x:c r="F180" s="23">
        <x:f>$G179</x:f>
      </x:c>
      <x:c r="G180" s="24">
        <x:f>(MAX(0,$F180-MAX(0,($M180+$S180)-$C180)))+MIN(MAX(0,$D$3-(MAX(0,$F180-MAX(0,($M180+$S180)-$C180)))),MAX(0,MAX(0,($C180+$F180)-$M180)-$S180))</x:f>
      </x:c>
      <x:c r="H180" s="23">
        <x:f>$J179</x:f>
      </x:c>
      <x:c r="I180" s="24">
        <x:f>MIN($E180,$H180)</x:f>
      </x:c>
      <x:c r="J180" s="24">
        <x:f>$H180-$I180</x:f>
      </x:c>
      <x:c r="K180" s="23">
        <x:f>$P179</x:f>
      </x:c>
      <x:c r="L180" s="24">
        <x:f>$K180*Inputs!$C$18/12</x:f>
      </x:c>
      <x:c r="M180" s="24">
        <x:f>MIN(($C180+$F180),$L180)</x:f>
      </x:c>
      <x:c r="N180" s="24">
        <x:f>MIN(($D180+$X180),MAX(0,$K180-$O180))</x:f>
      </x:c>
      <x:c r="O180" s="24">
        <x:f>MIN(MAX(0,MAX(0,$E180-$I180)-$U180),$K180)</x:f>
      </x:c>
      <x:c r="P180" s="24">
        <x:f>MAX(0,$K180-$O180)-$N180</x:f>
      </x:c>
      <x:c r="Q180" s="23">
        <x:f>$V179</x:f>
      </x:c>
      <x:c r="R180" s="24">
        <x:f>$Q180*Inputs!$C$19/12</x:f>
      </x:c>
      <x:c r="S180" s="24">
        <x:f>MIN(MAX(0,($C180+$F180)-$M180),$R180)</x:f>
      </x:c>
      <x:c r="T180" s="24">
        <x:f>MIN(MAX(0,($D180+$X180)-$N180),MAX(0,$Q180-$U180))</x:f>
      </x:c>
      <x:c r="U180" s="24">
        <x:f>MIN(MAX(0,$E180-$I180),$Q180)</x:f>
      </x:c>
      <x:c r="V180" s="24">
        <x:f>MAX(0,$Q180-$U180)-$T180</x:f>
      </x:c>
      <x:c r="W180" s="24">
        <x:f>MAX(0,MAX(0,($C180+$F180)-$M180)-$S180)-MIN(MAX(0,$D$3-(MAX(0,$F180-MAX(0,($M180+$S180)-$C180)))),MAX(0,MAX(0,($C180+$F180)-$M180)-$S180))</x:f>
      </x:c>
      <x:c r="X180" s="24">
        <x:f>IF(Inputs!$C$39=1,$W180,0)</x:f>
      </x:c>
      <x:c r="Y180" s="24">
        <x:f>IF(Inputs!$C$39=0,$W180,0)+MAX(0,MAX(0,($D180+$X180)-$N180)-$T180)</x:f>
      </x:c>
    </x:row>
    <x:row r="181">
      <x:c r="B181" s="22" t="n">
        <x:v>176</x:v>
      </x:c>
      <x:c r="C181" s="29">
        <x:f>IF($B181&lt;=Inputs!$C$6+Inputs!$C$11,Cashflow_Asset!$E179-Cashflow_Asset!$K179,0)</x:f>
      </x:c>
      <x:c r="D181" s="29">
        <x:f>IF($B181&lt;=Inputs!$C$6+Inputs!$C$11,Cashflow_Asset!$F179+Cashflow_Asset!$G179+Cashflow_Asset!$I179,0)</x:f>
      </x:c>
      <x:c r="E181" s="29">
        <x:f>IF($B181&lt;=Inputs!$C$6+Inputs!$C$11,Cashflow_Asset!$J179,0)</x:f>
      </x:c>
      <x:c r="F181" s="23">
        <x:f>$G180</x:f>
      </x:c>
      <x:c r="G181" s="24">
        <x:f>(MAX(0,$F181-MAX(0,($M181+$S181)-$C181)))+MIN(MAX(0,$D$3-(MAX(0,$F181-MAX(0,($M181+$S181)-$C181)))),MAX(0,MAX(0,($C181+$F181)-$M181)-$S181))</x:f>
      </x:c>
      <x:c r="H181" s="23">
        <x:f>$J180</x:f>
      </x:c>
      <x:c r="I181" s="24">
        <x:f>MIN($E181,$H181)</x:f>
      </x:c>
      <x:c r="J181" s="24">
        <x:f>$H181-$I181</x:f>
      </x:c>
      <x:c r="K181" s="23">
        <x:f>$P180</x:f>
      </x:c>
      <x:c r="L181" s="24">
        <x:f>$K181*Inputs!$C$18/12</x:f>
      </x:c>
      <x:c r="M181" s="24">
        <x:f>MIN(($C181+$F181),$L181)</x:f>
      </x:c>
      <x:c r="N181" s="24">
        <x:f>MIN(($D181+$X181),MAX(0,$K181-$O181))</x:f>
      </x:c>
      <x:c r="O181" s="24">
        <x:f>MIN(MAX(0,MAX(0,$E181-$I181)-$U181),$K181)</x:f>
      </x:c>
      <x:c r="P181" s="24">
        <x:f>MAX(0,$K181-$O181)-$N181</x:f>
      </x:c>
      <x:c r="Q181" s="23">
        <x:f>$V180</x:f>
      </x:c>
      <x:c r="R181" s="24">
        <x:f>$Q181*Inputs!$C$19/12</x:f>
      </x:c>
      <x:c r="S181" s="24">
        <x:f>MIN(MAX(0,($C181+$F181)-$M181),$R181)</x:f>
      </x:c>
      <x:c r="T181" s="24">
        <x:f>MIN(MAX(0,($D181+$X181)-$N181),MAX(0,$Q181-$U181))</x:f>
      </x:c>
      <x:c r="U181" s="24">
        <x:f>MIN(MAX(0,$E181-$I181),$Q181)</x:f>
      </x:c>
      <x:c r="V181" s="24">
        <x:f>MAX(0,$Q181-$U181)-$T181</x:f>
      </x:c>
      <x:c r="W181" s="24">
        <x:f>MAX(0,MAX(0,($C181+$F181)-$M181)-$S181)-MIN(MAX(0,$D$3-(MAX(0,$F181-MAX(0,($M181+$S181)-$C181)))),MAX(0,MAX(0,($C181+$F181)-$M181)-$S181))</x:f>
      </x:c>
      <x:c r="X181" s="24">
        <x:f>IF(Inputs!$C$39=1,$W181,0)</x:f>
      </x:c>
      <x:c r="Y181" s="24">
        <x:f>IF(Inputs!$C$39=0,$W181,0)+MAX(0,MAX(0,($D181+$X181)-$N181)-$T181)</x:f>
      </x:c>
    </x:row>
    <x:row r="182">
      <x:c r="B182" s="22" t="n">
        <x:v>177</x:v>
      </x:c>
      <x:c r="C182" s="29">
        <x:f>IF($B182&lt;=Inputs!$C$6+Inputs!$C$11,Cashflow_Asset!$E180-Cashflow_Asset!$K180,0)</x:f>
      </x:c>
      <x:c r="D182" s="29">
        <x:f>IF($B182&lt;=Inputs!$C$6+Inputs!$C$11,Cashflow_Asset!$F180+Cashflow_Asset!$G180+Cashflow_Asset!$I180,0)</x:f>
      </x:c>
      <x:c r="E182" s="29">
        <x:f>IF($B182&lt;=Inputs!$C$6+Inputs!$C$11,Cashflow_Asset!$J180,0)</x:f>
      </x:c>
      <x:c r="F182" s="23">
        <x:f>$G181</x:f>
      </x:c>
      <x:c r="G182" s="24">
        <x:f>(MAX(0,$F182-MAX(0,($M182+$S182)-$C182)))+MIN(MAX(0,$D$3-(MAX(0,$F182-MAX(0,($M182+$S182)-$C182)))),MAX(0,MAX(0,($C182+$F182)-$M182)-$S182))</x:f>
      </x:c>
      <x:c r="H182" s="23">
        <x:f>$J181</x:f>
      </x:c>
      <x:c r="I182" s="24">
        <x:f>MIN($E182,$H182)</x:f>
      </x:c>
      <x:c r="J182" s="24">
        <x:f>$H182-$I182</x:f>
      </x:c>
      <x:c r="K182" s="23">
        <x:f>$P181</x:f>
      </x:c>
      <x:c r="L182" s="24">
        <x:f>$K182*Inputs!$C$18/12</x:f>
      </x:c>
      <x:c r="M182" s="24">
        <x:f>MIN(($C182+$F182),$L182)</x:f>
      </x:c>
      <x:c r="N182" s="24">
        <x:f>MIN(($D182+$X182),MAX(0,$K182-$O182))</x:f>
      </x:c>
      <x:c r="O182" s="24">
        <x:f>MIN(MAX(0,MAX(0,$E182-$I182)-$U182),$K182)</x:f>
      </x:c>
      <x:c r="P182" s="24">
        <x:f>MAX(0,$K182-$O182)-$N182</x:f>
      </x:c>
      <x:c r="Q182" s="23">
        <x:f>$V181</x:f>
      </x:c>
      <x:c r="R182" s="24">
        <x:f>$Q182*Inputs!$C$19/12</x:f>
      </x:c>
      <x:c r="S182" s="24">
        <x:f>MIN(MAX(0,($C182+$F182)-$M182),$R182)</x:f>
      </x:c>
      <x:c r="T182" s="24">
        <x:f>MIN(MAX(0,($D182+$X182)-$N182),MAX(0,$Q182-$U182))</x:f>
      </x:c>
      <x:c r="U182" s="24">
        <x:f>MIN(MAX(0,$E182-$I182),$Q182)</x:f>
      </x:c>
      <x:c r="V182" s="24">
        <x:f>MAX(0,$Q182-$U182)-$T182</x:f>
      </x:c>
      <x:c r="W182" s="24">
        <x:f>MAX(0,MAX(0,($C182+$F182)-$M182)-$S182)-MIN(MAX(0,$D$3-(MAX(0,$F182-MAX(0,($M182+$S182)-$C182)))),MAX(0,MAX(0,($C182+$F182)-$M182)-$S182))</x:f>
      </x:c>
      <x:c r="X182" s="24">
        <x:f>IF(Inputs!$C$39=1,$W182,0)</x:f>
      </x:c>
      <x:c r="Y182" s="24">
        <x:f>IF(Inputs!$C$39=0,$W182,0)+MAX(0,MAX(0,($D182+$X182)-$N182)-$T182)</x:f>
      </x:c>
    </x:row>
    <x:row r="183">
      <x:c r="B183" s="22" t="n">
        <x:v>178</x:v>
      </x:c>
      <x:c r="C183" s="29">
        <x:f>IF($B183&lt;=Inputs!$C$6+Inputs!$C$11,Cashflow_Asset!$E181-Cashflow_Asset!$K181,0)</x:f>
      </x:c>
      <x:c r="D183" s="29">
        <x:f>IF($B183&lt;=Inputs!$C$6+Inputs!$C$11,Cashflow_Asset!$F181+Cashflow_Asset!$G181+Cashflow_Asset!$I181,0)</x:f>
      </x:c>
      <x:c r="E183" s="29">
        <x:f>IF($B183&lt;=Inputs!$C$6+Inputs!$C$11,Cashflow_Asset!$J181,0)</x:f>
      </x:c>
      <x:c r="F183" s="23">
        <x:f>$G182</x:f>
      </x:c>
      <x:c r="G183" s="24">
        <x:f>(MAX(0,$F183-MAX(0,($M183+$S183)-$C183)))+MIN(MAX(0,$D$3-(MAX(0,$F183-MAX(0,($M183+$S183)-$C183)))),MAX(0,MAX(0,($C183+$F183)-$M183)-$S183))</x:f>
      </x:c>
      <x:c r="H183" s="23">
        <x:f>$J182</x:f>
      </x:c>
      <x:c r="I183" s="24">
        <x:f>MIN($E183,$H183)</x:f>
      </x:c>
      <x:c r="J183" s="24">
        <x:f>$H183-$I183</x:f>
      </x:c>
      <x:c r="K183" s="23">
        <x:f>$P182</x:f>
      </x:c>
      <x:c r="L183" s="24">
        <x:f>$K183*Inputs!$C$18/12</x:f>
      </x:c>
      <x:c r="M183" s="24">
        <x:f>MIN(($C183+$F183),$L183)</x:f>
      </x:c>
      <x:c r="N183" s="24">
        <x:f>MIN(($D183+$X183),MAX(0,$K183-$O183))</x:f>
      </x:c>
      <x:c r="O183" s="24">
        <x:f>MIN(MAX(0,MAX(0,$E183-$I183)-$U183),$K183)</x:f>
      </x:c>
      <x:c r="P183" s="24">
        <x:f>MAX(0,$K183-$O183)-$N183</x:f>
      </x:c>
      <x:c r="Q183" s="23">
        <x:f>$V182</x:f>
      </x:c>
      <x:c r="R183" s="24">
        <x:f>$Q183*Inputs!$C$19/12</x:f>
      </x:c>
      <x:c r="S183" s="24">
        <x:f>MIN(MAX(0,($C183+$F183)-$M183),$R183)</x:f>
      </x:c>
      <x:c r="T183" s="24">
        <x:f>MIN(MAX(0,($D183+$X183)-$N183),MAX(0,$Q183-$U183))</x:f>
      </x:c>
      <x:c r="U183" s="24">
        <x:f>MIN(MAX(0,$E183-$I183),$Q183)</x:f>
      </x:c>
      <x:c r="V183" s="24">
        <x:f>MAX(0,$Q183-$U183)-$T183</x:f>
      </x:c>
      <x:c r="W183" s="24">
        <x:f>MAX(0,MAX(0,($C183+$F183)-$M183)-$S183)-MIN(MAX(0,$D$3-(MAX(0,$F183-MAX(0,($M183+$S183)-$C183)))),MAX(0,MAX(0,($C183+$F183)-$M183)-$S183))</x:f>
      </x:c>
      <x:c r="X183" s="24">
        <x:f>IF(Inputs!$C$39=1,$W183,0)</x:f>
      </x:c>
      <x:c r="Y183" s="24">
        <x:f>IF(Inputs!$C$39=0,$W183,0)+MAX(0,MAX(0,($D183+$X183)-$N183)-$T183)</x:f>
      </x:c>
    </x:row>
    <x:row r="184">
      <x:c r="B184" s="22" t="n">
        <x:v>179</x:v>
      </x:c>
      <x:c r="C184" s="29">
        <x:f>IF($B184&lt;=Inputs!$C$6+Inputs!$C$11,Cashflow_Asset!$E182-Cashflow_Asset!$K182,0)</x:f>
      </x:c>
      <x:c r="D184" s="29">
        <x:f>IF($B184&lt;=Inputs!$C$6+Inputs!$C$11,Cashflow_Asset!$F182+Cashflow_Asset!$G182+Cashflow_Asset!$I182,0)</x:f>
      </x:c>
      <x:c r="E184" s="29">
        <x:f>IF($B184&lt;=Inputs!$C$6+Inputs!$C$11,Cashflow_Asset!$J182,0)</x:f>
      </x:c>
      <x:c r="F184" s="23">
        <x:f>$G183</x:f>
      </x:c>
      <x:c r="G184" s="24">
        <x:f>(MAX(0,$F184-MAX(0,($M184+$S184)-$C184)))+MIN(MAX(0,$D$3-(MAX(0,$F184-MAX(0,($M184+$S184)-$C184)))),MAX(0,MAX(0,($C184+$F184)-$M184)-$S184))</x:f>
      </x:c>
      <x:c r="H184" s="23">
        <x:f>$J183</x:f>
      </x:c>
      <x:c r="I184" s="24">
        <x:f>MIN($E184,$H184)</x:f>
      </x:c>
      <x:c r="J184" s="24">
        <x:f>$H184-$I184</x:f>
      </x:c>
      <x:c r="K184" s="23">
        <x:f>$P183</x:f>
      </x:c>
      <x:c r="L184" s="24">
        <x:f>$K184*Inputs!$C$18/12</x:f>
      </x:c>
      <x:c r="M184" s="24">
        <x:f>MIN(($C184+$F184),$L184)</x:f>
      </x:c>
      <x:c r="N184" s="24">
        <x:f>MIN(($D184+$X184),MAX(0,$K184-$O184))</x:f>
      </x:c>
      <x:c r="O184" s="24">
        <x:f>MIN(MAX(0,MAX(0,$E184-$I184)-$U184),$K184)</x:f>
      </x:c>
      <x:c r="P184" s="24">
        <x:f>MAX(0,$K184-$O184)-$N184</x:f>
      </x:c>
      <x:c r="Q184" s="23">
        <x:f>$V183</x:f>
      </x:c>
      <x:c r="R184" s="24">
        <x:f>$Q184*Inputs!$C$19/12</x:f>
      </x:c>
      <x:c r="S184" s="24">
        <x:f>MIN(MAX(0,($C184+$F184)-$M184),$R184)</x:f>
      </x:c>
      <x:c r="T184" s="24">
        <x:f>MIN(MAX(0,($D184+$X184)-$N184),MAX(0,$Q184-$U184))</x:f>
      </x:c>
      <x:c r="U184" s="24">
        <x:f>MIN(MAX(0,$E184-$I184),$Q184)</x:f>
      </x:c>
      <x:c r="V184" s="24">
        <x:f>MAX(0,$Q184-$U184)-$T184</x:f>
      </x:c>
      <x:c r="W184" s="24">
        <x:f>MAX(0,MAX(0,($C184+$F184)-$M184)-$S184)-MIN(MAX(0,$D$3-(MAX(0,$F184-MAX(0,($M184+$S184)-$C184)))),MAX(0,MAX(0,($C184+$F184)-$M184)-$S184))</x:f>
      </x:c>
      <x:c r="X184" s="24">
        <x:f>IF(Inputs!$C$39=1,$W184,0)</x:f>
      </x:c>
      <x:c r="Y184" s="24">
        <x:f>IF(Inputs!$C$39=0,$W184,0)+MAX(0,MAX(0,($D184+$X184)-$N184)-$T184)</x:f>
      </x:c>
    </x:row>
    <x:row r="185">
      <x:c r="B185" s="22" t="n">
        <x:v>180</x:v>
      </x:c>
      <x:c r="C185" s="29">
        <x:f>IF($B185&lt;=Inputs!$C$6+Inputs!$C$11,Cashflow_Asset!$E183-Cashflow_Asset!$K183,0)</x:f>
      </x:c>
      <x:c r="D185" s="29">
        <x:f>IF($B185&lt;=Inputs!$C$6+Inputs!$C$11,Cashflow_Asset!$F183+Cashflow_Asset!$G183+Cashflow_Asset!$I183,0)</x:f>
      </x:c>
      <x:c r="E185" s="29">
        <x:f>IF($B185&lt;=Inputs!$C$6+Inputs!$C$11,Cashflow_Asset!$J183,0)</x:f>
      </x:c>
      <x:c r="F185" s="23">
        <x:f>$G184</x:f>
      </x:c>
      <x:c r="G185" s="24">
        <x:f>(MAX(0,$F185-MAX(0,($M185+$S185)-$C185)))+MIN(MAX(0,$D$3-(MAX(0,$F185-MAX(0,($M185+$S185)-$C185)))),MAX(0,MAX(0,($C185+$F185)-$M185)-$S185))</x:f>
      </x:c>
      <x:c r="H185" s="23">
        <x:f>$J184</x:f>
      </x:c>
      <x:c r="I185" s="24">
        <x:f>MIN($E185,$H185)</x:f>
      </x:c>
      <x:c r="J185" s="24">
        <x:f>$H185-$I185</x:f>
      </x:c>
      <x:c r="K185" s="23">
        <x:f>$P184</x:f>
      </x:c>
      <x:c r="L185" s="24">
        <x:f>$K185*Inputs!$C$18/12</x:f>
      </x:c>
      <x:c r="M185" s="24">
        <x:f>MIN(($C185+$F185),$L185)</x:f>
      </x:c>
      <x:c r="N185" s="24">
        <x:f>MIN(($D185+$X185),MAX(0,$K185-$O185))</x:f>
      </x:c>
      <x:c r="O185" s="24">
        <x:f>MIN(MAX(0,MAX(0,$E185-$I185)-$U185),$K185)</x:f>
      </x:c>
      <x:c r="P185" s="24">
        <x:f>MAX(0,$K185-$O185)-$N185</x:f>
      </x:c>
      <x:c r="Q185" s="23">
        <x:f>$V184</x:f>
      </x:c>
      <x:c r="R185" s="24">
        <x:f>$Q185*Inputs!$C$19/12</x:f>
      </x:c>
      <x:c r="S185" s="24">
        <x:f>MIN(MAX(0,($C185+$F185)-$M185),$R185)</x:f>
      </x:c>
      <x:c r="T185" s="24">
        <x:f>MIN(MAX(0,($D185+$X185)-$N185),MAX(0,$Q185-$U185))</x:f>
      </x:c>
      <x:c r="U185" s="24">
        <x:f>MIN(MAX(0,$E185-$I185),$Q185)</x:f>
      </x:c>
      <x:c r="V185" s="24">
        <x:f>MAX(0,$Q185-$U185)-$T185</x:f>
      </x:c>
      <x:c r="W185" s="24">
        <x:f>MAX(0,MAX(0,($C185+$F185)-$M185)-$S185)-MIN(MAX(0,$D$3-(MAX(0,$F185-MAX(0,($M185+$S185)-$C185)))),MAX(0,MAX(0,($C185+$F185)-$M185)-$S185))</x:f>
      </x:c>
      <x:c r="X185" s="24">
        <x:f>IF(Inputs!$C$39=1,$W185,0)</x:f>
      </x:c>
      <x:c r="Y185" s="24">
        <x:f>IF(Inputs!$C$39=0,$W185,0)+MAX(0,MAX(0,($D185+$X185)-$N185)-$T185)</x:f>
      </x:c>
    </x:row>
    <x:row r="186">
      <x:c r="B186" s="22" t="n">
        <x:v>181</x:v>
      </x:c>
      <x:c r="C186" s="29">
        <x:f>IF($B186&lt;=Inputs!$C$6+Inputs!$C$11,Cashflow_Asset!$E184-Cashflow_Asset!$K184,0)</x:f>
      </x:c>
      <x:c r="D186" s="29">
        <x:f>IF($B186&lt;=Inputs!$C$6+Inputs!$C$11,Cashflow_Asset!$F184+Cashflow_Asset!$G184+Cashflow_Asset!$I184,0)</x:f>
      </x:c>
      <x:c r="E186" s="29">
        <x:f>IF($B186&lt;=Inputs!$C$6+Inputs!$C$11,Cashflow_Asset!$J184,0)</x:f>
      </x:c>
      <x:c r="F186" s="23">
        <x:f>$G185</x:f>
      </x:c>
      <x:c r="G186" s="24">
        <x:f>(MAX(0,$F186-MAX(0,($M186+$S186)-$C186)))+MIN(MAX(0,$D$3-(MAX(0,$F186-MAX(0,($M186+$S186)-$C186)))),MAX(0,MAX(0,($C186+$F186)-$M186)-$S186))</x:f>
      </x:c>
      <x:c r="H186" s="23">
        <x:f>$J185</x:f>
      </x:c>
      <x:c r="I186" s="24">
        <x:f>MIN($E186,$H186)</x:f>
      </x:c>
      <x:c r="J186" s="24">
        <x:f>$H186-$I186</x:f>
      </x:c>
      <x:c r="K186" s="23">
        <x:f>$P185</x:f>
      </x:c>
      <x:c r="L186" s="24">
        <x:f>$K186*Inputs!$C$18/12</x:f>
      </x:c>
      <x:c r="M186" s="24">
        <x:f>MIN(($C186+$F186),$L186)</x:f>
      </x:c>
      <x:c r="N186" s="24">
        <x:f>MIN(($D186+$X186),MAX(0,$K186-$O186))</x:f>
      </x:c>
      <x:c r="O186" s="24">
        <x:f>MIN(MAX(0,MAX(0,$E186-$I186)-$U186),$K186)</x:f>
      </x:c>
      <x:c r="P186" s="24">
        <x:f>MAX(0,$K186-$O186)-$N186</x:f>
      </x:c>
      <x:c r="Q186" s="23">
        <x:f>$V185</x:f>
      </x:c>
      <x:c r="R186" s="24">
        <x:f>$Q186*Inputs!$C$19/12</x:f>
      </x:c>
      <x:c r="S186" s="24">
        <x:f>MIN(MAX(0,($C186+$F186)-$M186),$R186)</x:f>
      </x:c>
      <x:c r="T186" s="24">
        <x:f>MIN(MAX(0,($D186+$X186)-$N186),MAX(0,$Q186-$U186))</x:f>
      </x:c>
      <x:c r="U186" s="24">
        <x:f>MIN(MAX(0,$E186-$I186),$Q186)</x:f>
      </x:c>
      <x:c r="V186" s="24">
        <x:f>MAX(0,$Q186-$U186)-$T186</x:f>
      </x:c>
      <x:c r="W186" s="24">
        <x:f>MAX(0,MAX(0,($C186+$F186)-$M186)-$S186)-MIN(MAX(0,$D$3-(MAX(0,$F186-MAX(0,($M186+$S186)-$C186)))),MAX(0,MAX(0,($C186+$F186)-$M186)-$S186))</x:f>
      </x:c>
      <x:c r="X186" s="24">
        <x:f>IF(Inputs!$C$39=1,$W186,0)</x:f>
      </x:c>
      <x:c r="Y186" s="24">
        <x:f>IF(Inputs!$C$39=0,$W186,0)+MAX(0,MAX(0,($D186+$X186)-$N186)-$T186)</x:f>
      </x:c>
    </x:row>
    <x:row r="187">
      <x:c r="B187" s="22" t="n">
        <x:v>182</x:v>
      </x:c>
      <x:c r="C187" s="29">
        <x:f>IF($B187&lt;=Inputs!$C$6+Inputs!$C$11,Cashflow_Asset!$E185-Cashflow_Asset!$K185,0)</x:f>
      </x:c>
      <x:c r="D187" s="29">
        <x:f>IF($B187&lt;=Inputs!$C$6+Inputs!$C$11,Cashflow_Asset!$F185+Cashflow_Asset!$G185+Cashflow_Asset!$I185,0)</x:f>
      </x:c>
      <x:c r="E187" s="29">
        <x:f>IF($B187&lt;=Inputs!$C$6+Inputs!$C$11,Cashflow_Asset!$J185,0)</x:f>
      </x:c>
      <x:c r="F187" s="23">
        <x:f>$G186</x:f>
      </x:c>
      <x:c r="G187" s="24">
        <x:f>(MAX(0,$F187-MAX(0,($M187+$S187)-$C187)))+MIN(MAX(0,$D$3-(MAX(0,$F187-MAX(0,($M187+$S187)-$C187)))),MAX(0,MAX(0,($C187+$F187)-$M187)-$S187))</x:f>
      </x:c>
      <x:c r="H187" s="23">
        <x:f>$J186</x:f>
      </x:c>
      <x:c r="I187" s="24">
        <x:f>MIN($E187,$H187)</x:f>
      </x:c>
      <x:c r="J187" s="24">
        <x:f>$H187-$I187</x:f>
      </x:c>
      <x:c r="K187" s="23">
        <x:f>$P186</x:f>
      </x:c>
      <x:c r="L187" s="24">
        <x:f>$K187*Inputs!$C$18/12</x:f>
      </x:c>
      <x:c r="M187" s="24">
        <x:f>MIN(($C187+$F187),$L187)</x:f>
      </x:c>
      <x:c r="N187" s="24">
        <x:f>MIN(($D187+$X187),MAX(0,$K187-$O187))</x:f>
      </x:c>
      <x:c r="O187" s="24">
        <x:f>MIN(MAX(0,MAX(0,$E187-$I187)-$U187),$K187)</x:f>
      </x:c>
      <x:c r="P187" s="24">
        <x:f>MAX(0,$K187-$O187)-$N187</x:f>
      </x:c>
      <x:c r="Q187" s="23">
        <x:f>$V186</x:f>
      </x:c>
      <x:c r="R187" s="24">
        <x:f>$Q187*Inputs!$C$19/12</x:f>
      </x:c>
      <x:c r="S187" s="24">
        <x:f>MIN(MAX(0,($C187+$F187)-$M187),$R187)</x:f>
      </x:c>
      <x:c r="T187" s="24">
        <x:f>MIN(MAX(0,($D187+$X187)-$N187),MAX(0,$Q187-$U187))</x:f>
      </x:c>
      <x:c r="U187" s="24">
        <x:f>MIN(MAX(0,$E187-$I187),$Q187)</x:f>
      </x:c>
      <x:c r="V187" s="24">
        <x:f>MAX(0,$Q187-$U187)-$T187</x:f>
      </x:c>
      <x:c r="W187" s="24">
        <x:f>MAX(0,MAX(0,($C187+$F187)-$M187)-$S187)-MIN(MAX(0,$D$3-(MAX(0,$F187-MAX(0,($M187+$S187)-$C187)))),MAX(0,MAX(0,($C187+$F187)-$M187)-$S187))</x:f>
      </x:c>
      <x:c r="X187" s="24">
        <x:f>IF(Inputs!$C$39=1,$W187,0)</x:f>
      </x:c>
      <x:c r="Y187" s="24">
        <x:f>IF(Inputs!$C$39=0,$W187,0)+MAX(0,MAX(0,($D187+$X187)-$N187)-$T187)</x:f>
      </x:c>
    </x:row>
    <x:row r="188">
      <x:c r="B188" s="22" t="n">
        <x:v>183</x:v>
      </x:c>
      <x:c r="C188" s="29">
        <x:f>IF($B188&lt;=Inputs!$C$6+Inputs!$C$11,Cashflow_Asset!$E186-Cashflow_Asset!$K186,0)</x:f>
      </x:c>
      <x:c r="D188" s="29">
        <x:f>IF($B188&lt;=Inputs!$C$6+Inputs!$C$11,Cashflow_Asset!$F186+Cashflow_Asset!$G186+Cashflow_Asset!$I186,0)</x:f>
      </x:c>
      <x:c r="E188" s="29">
        <x:f>IF($B188&lt;=Inputs!$C$6+Inputs!$C$11,Cashflow_Asset!$J186,0)</x:f>
      </x:c>
      <x:c r="F188" s="23">
        <x:f>$G187</x:f>
      </x:c>
      <x:c r="G188" s="24">
        <x:f>(MAX(0,$F188-MAX(0,($M188+$S188)-$C188)))+MIN(MAX(0,$D$3-(MAX(0,$F188-MAX(0,($M188+$S188)-$C188)))),MAX(0,MAX(0,($C188+$F188)-$M188)-$S188))</x:f>
      </x:c>
      <x:c r="H188" s="23">
        <x:f>$J187</x:f>
      </x:c>
      <x:c r="I188" s="24">
        <x:f>MIN($E188,$H188)</x:f>
      </x:c>
      <x:c r="J188" s="24">
        <x:f>$H188-$I188</x:f>
      </x:c>
      <x:c r="K188" s="23">
        <x:f>$P187</x:f>
      </x:c>
      <x:c r="L188" s="24">
        <x:f>$K188*Inputs!$C$18/12</x:f>
      </x:c>
      <x:c r="M188" s="24">
        <x:f>MIN(($C188+$F188),$L188)</x:f>
      </x:c>
      <x:c r="N188" s="24">
        <x:f>MIN(($D188+$X188),MAX(0,$K188-$O188))</x:f>
      </x:c>
      <x:c r="O188" s="24">
        <x:f>MIN(MAX(0,MAX(0,$E188-$I188)-$U188),$K188)</x:f>
      </x:c>
      <x:c r="P188" s="24">
        <x:f>MAX(0,$K188-$O188)-$N188</x:f>
      </x:c>
      <x:c r="Q188" s="23">
        <x:f>$V187</x:f>
      </x:c>
      <x:c r="R188" s="24">
        <x:f>$Q188*Inputs!$C$19/12</x:f>
      </x:c>
      <x:c r="S188" s="24">
        <x:f>MIN(MAX(0,($C188+$F188)-$M188),$R188)</x:f>
      </x:c>
      <x:c r="T188" s="24">
        <x:f>MIN(MAX(0,($D188+$X188)-$N188),MAX(0,$Q188-$U188))</x:f>
      </x:c>
      <x:c r="U188" s="24">
        <x:f>MIN(MAX(0,$E188-$I188),$Q188)</x:f>
      </x:c>
      <x:c r="V188" s="24">
        <x:f>MAX(0,$Q188-$U188)-$T188</x:f>
      </x:c>
      <x:c r="W188" s="24">
        <x:f>MAX(0,MAX(0,($C188+$F188)-$M188)-$S188)-MIN(MAX(0,$D$3-(MAX(0,$F188-MAX(0,($M188+$S188)-$C188)))),MAX(0,MAX(0,($C188+$F188)-$M188)-$S188))</x:f>
      </x:c>
      <x:c r="X188" s="24">
        <x:f>IF(Inputs!$C$39=1,$W188,0)</x:f>
      </x:c>
      <x:c r="Y188" s="24">
        <x:f>IF(Inputs!$C$39=0,$W188,0)+MAX(0,MAX(0,($D188+$X188)-$N188)-$T188)</x:f>
      </x:c>
    </x:row>
    <x:row r="189">
      <x:c r="B189" s="22" t="n">
        <x:v>184</x:v>
      </x:c>
      <x:c r="C189" s="29">
        <x:f>IF($B189&lt;=Inputs!$C$6+Inputs!$C$11,Cashflow_Asset!$E187-Cashflow_Asset!$K187,0)</x:f>
      </x:c>
      <x:c r="D189" s="29">
        <x:f>IF($B189&lt;=Inputs!$C$6+Inputs!$C$11,Cashflow_Asset!$F187+Cashflow_Asset!$G187+Cashflow_Asset!$I187,0)</x:f>
      </x:c>
      <x:c r="E189" s="29">
        <x:f>IF($B189&lt;=Inputs!$C$6+Inputs!$C$11,Cashflow_Asset!$J187,0)</x:f>
      </x:c>
      <x:c r="F189" s="23">
        <x:f>$G188</x:f>
      </x:c>
      <x:c r="G189" s="24">
        <x:f>(MAX(0,$F189-MAX(0,($M189+$S189)-$C189)))+MIN(MAX(0,$D$3-(MAX(0,$F189-MAX(0,($M189+$S189)-$C189)))),MAX(0,MAX(0,($C189+$F189)-$M189)-$S189))</x:f>
      </x:c>
      <x:c r="H189" s="23">
        <x:f>$J188</x:f>
      </x:c>
      <x:c r="I189" s="24">
        <x:f>MIN($E189,$H189)</x:f>
      </x:c>
      <x:c r="J189" s="24">
        <x:f>$H189-$I189</x:f>
      </x:c>
      <x:c r="K189" s="23">
        <x:f>$P188</x:f>
      </x:c>
      <x:c r="L189" s="24">
        <x:f>$K189*Inputs!$C$18/12</x:f>
      </x:c>
      <x:c r="M189" s="24">
        <x:f>MIN(($C189+$F189),$L189)</x:f>
      </x:c>
      <x:c r="N189" s="24">
        <x:f>MIN(($D189+$X189),MAX(0,$K189-$O189))</x:f>
      </x:c>
      <x:c r="O189" s="24">
        <x:f>MIN(MAX(0,MAX(0,$E189-$I189)-$U189),$K189)</x:f>
      </x:c>
      <x:c r="P189" s="24">
        <x:f>MAX(0,$K189-$O189)-$N189</x:f>
      </x:c>
      <x:c r="Q189" s="23">
        <x:f>$V188</x:f>
      </x:c>
      <x:c r="R189" s="24">
        <x:f>$Q189*Inputs!$C$19/12</x:f>
      </x:c>
      <x:c r="S189" s="24">
        <x:f>MIN(MAX(0,($C189+$F189)-$M189),$R189)</x:f>
      </x:c>
      <x:c r="T189" s="24">
        <x:f>MIN(MAX(0,($D189+$X189)-$N189),MAX(0,$Q189-$U189))</x:f>
      </x:c>
      <x:c r="U189" s="24">
        <x:f>MIN(MAX(0,$E189-$I189),$Q189)</x:f>
      </x:c>
      <x:c r="V189" s="24">
        <x:f>MAX(0,$Q189-$U189)-$T189</x:f>
      </x:c>
      <x:c r="W189" s="24">
        <x:f>MAX(0,MAX(0,($C189+$F189)-$M189)-$S189)-MIN(MAX(0,$D$3-(MAX(0,$F189-MAX(0,($M189+$S189)-$C189)))),MAX(0,MAX(0,($C189+$F189)-$M189)-$S189))</x:f>
      </x:c>
      <x:c r="X189" s="24">
        <x:f>IF(Inputs!$C$39=1,$W189,0)</x:f>
      </x:c>
      <x:c r="Y189" s="24">
        <x:f>IF(Inputs!$C$39=0,$W189,0)+MAX(0,MAX(0,($D189+$X189)-$N189)-$T189)</x:f>
      </x:c>
    </x:row>
    <x:row r="190">
      <x:c r="B190" s="22" t="n">
        <x:v>185</x:v>
      </x:c>
      <x:c r="C190" s="29">
        <x:f>IF($B190&lt;=Inputs!$C$6+Inputs!$C$11,Cashflow_Asset!$E188-Cashflow_Asset!$K188,0)</x:f>
      </x:c>
      <x:c r="D190" s="29">
        <x:f>IF($B190&lt;=Inputs!$C$6+Inputs!$C$11,Cashflow_Asset!$F188+Cashflow_Asset!$G188+Cashflow_Asset!$I188,0)</x:f>
      </x:c>
      <x:c r="E190" s="29">
        <x:f>IF($B190&lt;=Inputs!$C$6+Inputs!$C$11,Cashflow_Asset!$J188,0)</x:f>
      </x:c>
      <x:c r="F190" s="23">
        <x:f>$G189</x:f>
      </x:c>
      <x:c r="G190" s="24">
        <x:f>(MAX(0,$F190-MAX(0,($M190+$S190)-$C190)))+MIN(MAX(0,$D$3-(MAX(0,$F190-MAX(0,($M190+$S190)-$C190)))),MAX(0,MAX(0,($C190+$F190)-$M190)-$S190))</x:f>
      </x:c>
      <x:c r="H190" s="23">
        <x:f>$J189</x:f>
      </x:c>
      <x:c r="I190" s="24">
        <x:f>MIN($E190,$H190)</x:f>
      </x:c>
      <x:c r="J190" s="24">
        <x:f>$H190-$I190</x:f>
      </x:c>
      <x:c r="K190" s="23">
        <x:f>$P189</x:f>
      </x:c>
      <x:c r="L190" s="24">
        <x:f>$K190*Inputs!$C$18/12</x:f>
      </x:c>
      <x:c r="M190" s="24">
        <x:f>MIN(($C190+$F190),$L190)</x:f>
      </x:c>
      <x:c r="N190" s="24">
        <x:f>MIN(($D190+$X190),MAX(0,$K190-$O190))</x:f>
      </x:c>
      <x:c r="O190" s="24">
        <x:f>MIN(MAX(0,MAX(0,$E190-$I190)-$U190),$K190)</x:f>
      </x:c>
      <x:c r="P190" s="24">
        <x:f>MAX(0,$K190-$O190)-$N190</x:f>
      </x:c>
      <x:c r="Q190" s="23">
        <x:f>$V189</x:f>
      </x:c>
      <x:c r="R190" s="24">
        <x:f>$Q190*Inputs!$C$19/12</x:f>
      </x:c>
      <x:c r="S190" s="24">
        <x:f>MIN(MAX(0,($C190+$F190)-$M190),$R190)</x:f>
      </x:c>
      <x:c r="T190" s="24">
        <x:f>MIN(MAX(0,($D190+$X190)-$N190),MAX(0,$Q190-$U190))</x:f>
      </x:c>
      <x:c r="U190" s="24">
        <x:f>MIN(MAX(0,$E190-$I190),$Q190)</x:f>
      </x:c>
      <x:c r="V190" s="24">
        <x:f>MAX(0,$Q190-$U190)-$T190</x:f>
      </x:c>
      <x:c r="W190" s="24">
        <x:f>MAX(0,MAX(0,($C190+$F190)-$M190)-$S190)-MIN(MAX(0,$D$3-(MAX(0,$F190-MAX(0,($M190+$S190)-$C190)))),MAX(0,MAX(0,($C190+$F190)-$M190)-$S190))</x:f>
      </x:c>
      <x:c r="X190" s="24">
        <x:f>IF(Inputs!$C$39=1,$W190,0)</x:f>
      </x:c>
      <x:c r="Y190" s="24">
        <x:f>IF(Inputs!$C$39=0,$W190,0)+MAX(0,MAX(0,($D190+$X190)-$N190)-$T190)</x:f>
      </x:c>
    </x:row>
    <x:row r="191">
      <x:c r="B191" s="22" t="n">
        <x:v>186</x:v>
      </x:c>
      <x:c r="C191" s="29">
        <x:f>IF($B191&lt;=Inputs!$C$6+Inputs!$C$11,Cashflow_Asset!$E189-Cashflow_Asset!$K189,0)</x:f>
      </x:c>
      <x:c r="D191" s="29">
        <x:f>IF($B191&lt;=Inputs!$C$6+Inputs!$C$11,Cashflow_Asset!$F189+Cashflow_Asset!$G189+Cashflow_Asset!$I189,0)</x:f>
      </x:c>
      <x:c r="E191" s="29">
        <x:f>IF($B191&lt;=Inputs!$C$6+Inputs!$C$11,Cashflow_Asset!$J189,0)</x:f>
      </x:c>
      <x:c r="F191" s="23">
        <x:f>$G190</x:f>
      </x:c>
      <x:c r="G191" s="24">
        <x:f>(MAX(0,$F191-MAX(0,($M191+$S191)-$C191)))+MIN(MAX(0,$D$3-(MAX(0,$F191-MAX(0,($M191+$S191)-$C191)))),MAX(0,MAX(0,($C191+$F191)-$M191)-$S191))</x:f>
      </x:c>
      <x:c r="H191" s="23">
        <x:f>$J190</x:f>
      </x:c>
      <x:c r="I191" s="24">
        <x:f>MIN($E191,$H191)</x:f>
      </x:c>
      <x:c r="J191" s="24">
        <x:f>$H191-$I191</x:f>
      </x:c>
      <x:c r="K191" s="23">
        <x:f>$P190</x:f>
      </x:c>
      <x:c r="L191" s="24">
        <x:f>$K191*Inputs!$C$18/12</x:f>
      </x:c>
      <x:c r="M191" s="24">
        <x:f>MIN(($C191+$F191),$L191)</x:f>
      </x:c>
      <x:c r="N191" s="24">
        <x:f>MIN(($D191+$X191),MAX(0,$K191-$O191))</x:f>
      </x:c>
      <x:c r="O191" s="24">
        <x:f>MIN(MAX(0,MAX(0,$E191-$I191)-$U191),$K191)</x:f>
      </x:c>
      <x:c r="P191" s="24">
        <x:f>MAX(0,$K191-$O191)-$N191</x:f>
      </x:c>
      <x:c r="Q191" s="23">
        <x:f>$V190</x:f>
      </x:c>
      <x:c r="R191" s="24">
        <x:f>$Q191*Inputs!$C$19/12</x:f>
      </x:c>
      <x:c r="S191" s="24">
        <x:f>MIN(MAX(0,($C191+$F191)-$M191),$R191)</x:f>
      </x:c>
      <x:c r="T191" s="24">
        <x:f>MIN(MAX(0,($D191+$X191)-$N191),MAX(0,$Q191-$U191))</x:f>
      </x:c>
      <x:c r="U191" s="24">
        <x:f>MIN(MAX(0,$E191-$I191),$Q191)</x:f>
      </x:c>
      <x:c r="V191" s="24">
        <x:f>MAX(0,$Q191-$U191)-$T191</x:f>
      </x:c>
      <x:c r="W191" s="24">
        <x:f>MAX(0,MAX(0,($C191+$F191)-$M191)-$S191)-MIN(MAX(0,$D$3-(MAX(0,$F191-MAX(0,($M191+$S191)-$C191)))),MAX(0,MAX(0,($C191+$F191)-$M191)-$S191))</x:f>
      </x:c>
      <x:c r="X191" s="24">
        <x:f>IF(Inputs!$C$39=1,$W191,0)</x:f>
      </x:c>
      <x:c r="Y191" s="24">
        <x:f>IF(Inputs!$C$39=0,$W191,0)+MAX(0,MAX(0,($D191+$X191)-$N191)-$T191)</x:f>
      </x:c>
    </x:row>
    <x:row r="192">
      <x:c r="B192" s="22" t="n">
        <x:v>187</x:v>
      </x:c>
      <x:c r="C192" s="29">
        <x:f>IF($B192&lt;=Inputs!$C$6+Inputs!$C$11,Cashflow_Asset!$E190-Cashflow_Asset!$K190,0)</x:f>
      </x:c>
      <x:c r="D192" s="29">
        <x:f>IF($B192&lt;=Inputs!$C$6+Inputs!$C$11,Cashflow_Asset!$F190+Cashflow_Asset!$G190+Cashflow_Asset!$I190,0)</x:f>
      </x:c>
      <x:c r="E192" s="29">
        <x:f>IF($B192&lt;=Inputs!$C$6+Inputs!$C$11,Cashflow_Asset!$J190,0)</x:f>
      </x:c>
      <x:c r="F192" s="23">
        <x:f>$G191</x:f>
      </x:c>
      <x:c r="G192" s="24">
        <x:f>(MAX(0,$F192-MAX(0,($M192+$S192)-$C192)))+MIN(MAX(0,$D$3-(MAX(0,$F192-MAX(0,($M192+$S192)-$C192)))),MAX(0,MAX(0,($C192+$F192)-$M192)-$S192))</x:f>
      </x:c>
      <x:c r="H192" s="23">
        <x:f>$J191</x:f>
      </x:c>
      <x:c r="I192" s="24">
        <x:f>MIN($E192,$H192)</x:f>
      </x:c>
      <x:c r="J192" s="24">
        <x:f>$H192-$I192</x:f>
      </x:c>
      <x:c r="K192" s="23">
        <x:f>$P191</x:f>
      </x:c>
      <x:c r="L192" s="24">
        <x:f>$K192*Inputs!$C$18/12</x:f>
      </x:c>
      <x:c r="M192" s="24">
        <x:f>MIN(($C192+$F192),$L192)</x:f>
      </x:c>
      <x:c r="N192" s="24">
        <x:f>MIN(($D192+$X192),MAX(0,$K192-$O192))</x:f>
      </x:c>
      <x:c r="O192" s="24">
        <x:f>MIN(MAX(0,MAX(0,$E192-$I192)-$U192),$K192)</x:f>
      </x:c>
      <x:c r="P192" s="24">
        <x:f>MAX(0,$K192-$O192)-$N192</x:f>
      </x:c>
      <x:c r="Q192" s="23">
        <x:f>$V191</x:f>
      </x:c>
      <x:c r="R192" s="24">
        <x:f>$Q192*Inputs!$C$19/12</x:f>
      </x:c>
      <x:c r="S192" s="24">
        <x:f>MIN(MAX(0,($C192+$F192)-$M192),$R192)</x:f>
      </x:c>
      <x:c r="T192" s="24">
        <x:f>MIN(MAX(0,($D192+$X192)-$N192),MAX(0,$Q192-$U192))</x:f>
      </x:c>
      <x:c r="U192" s="24">
        <x:f>MIN(MAX(0,$E192-$I192),$Q192)</x:f>
      </x:c>
      <x:c r="V192" s="24">
        <x:f>MAX(0,$Q192-$U192)-$T192</x:f>
      </x:c>
      <x:c r="W192" s="24">
        <x:f>MAX(0,MAX(0,($C192+$F192)-$M192)-$S192)-MIN(MAX(0,$D$3-(MAX(0,$F192-MAX(0,($M192+$S192)-$C192)))),MAX(0,MAX(0,($C192+$F192)-$M192)-$S192))</x:f>
      </x:c>
      <x:c r="X192" s="24">
        <x:f>IF(Inputs!$C$39=1,$W192,0)</x:f>
      </x:c>
      <x:c r="Y192" s="24">
        <x:f>IF(Inputs!$C$39=0,$W192,0)+MAX(0,MAX(0,($D192+$X192)-$N192)-$T192)</x:f>
      </x:c>
    </x:row>
    <x:row r="193">
      <x:c r="B193" s="22" t="n">
        <x:v>188</x:v>
      </x:c>
      <x:c r="C193" s="29">
        <x:f>IF($B193&lt;=Inputs!$C$6+Inputs!$C$11,Cashflow_Asset!$E191-Cashflow_Asset!$K191,0)</x:f>
      </x:c>
      <x:c r="D193" s="29">
        <x:f>IF($B193&lt;=Inputs!$C$6+Inputs!$C$11,Cashflow_Asset!$F191+Cashflow_Asset!$G191+Cashflow_Asset!$I191,0)</x:f>
      </x:c>
      <x:c r="E193" s="29">
        <x:f>IF($B193&lt;=Inputs!$C$6+Inputs!$C$11,Cashflow_Asset!$J191,0)</x:f>
      </x:c>
      <x:c r="F193" s="23">
        <x:f>$G192</x:f>
      </x:c>
      <x:c r="G193" s="24">
        <x:f>(MAX(0,$F193-MAX(0,($M193+$S193)-$C193)))+MIN(MAX(0,$D$3-(MAX(0,$F193-MAX(0,($M193+$S193)-$C193)))),MAX(0,MAX(0,($C193+$F193)-$M193)-$S193))</x:f>
      </x:c>
      <x:c r="H193" s="23">
        <x:f>$J192</x:f>
      </x:c>
      <x:c r="I193" s="24">
        <x:f>MIN($E193,$H193)</x:f>
      </x:c>
      <x:c r="J193" s="24">
        <x:f>$H193-$I193</x:f>
      </x:c>
      <x:c r="K193" s="23">
        <x:f>$P192</x:f>
      </x:c>
      <x:c r="L193" s="24">
        <x:f>$K193*Inputs!$C$18/12</x:f>
      </x:c>
      <x:c r="M193" s="24">
        <x:f>MIN(($C193+$F193),$L193)</x:f>
      </x:c>
      <x:c r="N193" s="24">
        <x:f>MIN(($D193+$X193),MAX(0,$K193-$O193))</x:f>
      </x:c>
      <x:c r="O193" s="24">
        <x:f>MIN(MAX(0,MAX(0,$E193-$I193)-$U193),$K193)</x:f>
      </x:c>
      <x:c r="P193" s="24">
        <x:f>MAX(0,$K193-$O193)-$N193</x:f>
      </x:c>
      <x:c r="Q193" s="23">
        <x:f>$V192</x:f>
      </x:c>
      <x:c r="R193" s="24">
        <x:f>$Q193*Inputs!$C$19/12</x:f>
      </x:c>
      <x:c r="S193" s="24">
        <x:f>MIN(MAX(0,($C193+$F193)-$M193),$R193)</x:f>
      </x:c>
      <x:c r="T193" s="24">
        <x:f>MIN(MAX(0,($D193+$X193)-$N193),MAX(0,$Q193-$U193))</x:f>
      </x:c>
      <x:c r="U193" s="24">
        <x:f>MIN(MAX(0,$E193-$I193),$Q193)</x:f>
      </x:c>
      <x:c r="V193" s="24">
        <x:f>MAX(0,$Q193-$U193)-$T193</x:f>
      </x:c>
      <x:c r="W193" s="24">
        <x:f>MAX(0,MAX(0,($C193+$F193)-$M193)-$S193)-MIN(MAX(0,$D$3-(MAX(0,$F193-MAX(0,($M193+$S193)-$C193)))),MAX(0,MAX(0,($C193+$F193)-$M193)-$S193))</x:f>
      </x:c>
      <x:c r="X193" s="24">
        <x:f>IF(Inputs!$C$39=1,$W193,0)</x:f>
      </x:c>
      <x:c r="Y193" s="24">
        <x:f>IF(Inputs!$C$39=0,$W193,0)+MAX(0,MAX(0,($D193+$X193)-$N193)-$T193)</x:f>
      </x:c>
    </x:row>
    <x:row r="194">
      <x:c r="B194" s="22" t="n">
        <x:v>189</x:v>
      </x:c>
      <x:c r="C194" s="29">
        <x:f>IF($B194&lt;=Inputs!$C$6+Inputs!$C$11,Cashflow_Asset!$E192-Cashflow_Asset!$K192,0)</x:f>
      </x:c>
      <x:c r="D194" s="29">
        <x:f>IF($B194&lt;=Inputs!$C$6+Inputs!$C$11,Cashflow_Asset!$F192+Cashflow_Asset!$G192+Cashflow_Asset!$I192,0)</x:f>
      </x:c>
      <x:c r="E194" s="29">
        <x:f>IF($B194&lt;=Inputs!$C$6+Inputs!$C$11,Cashflow_Asset!$J192,0)</x:f>
      </x:c>
      <x:c r="F194" s="23">
        <x:f>$G193</x:f>
      </x:c>
      <x:c r="G194" s="24">
        <x:f>(MAX(0,$F194-MAX(0,($M194+$S194)-$C194)))+MIN(MAX(0,$D$3-(MAX(0,$F194-MAX(0,($M194+$S194)-$C194)))),MAX(0,MAX(0,($C194+$F194)-$M194)-$S194))</x:f>
      </x:c>
      <x:c r="H194" s="23">
        <x:f>$J193</x:f>
      </x:c>
      <x:c r="I194" s="24">
        <x:f>MIN($E194,$H194)</x:f>
      </x:c>
      <x:c r="J194" s="24">
        <x:f>$H194-$I194</x:f>
      </x:c>
      <x:c r="K194" s="23">
        <x:f>$P193</x:f>
      </x:c>
      <x:c r="L194" s="24">
        <x:f>$K194*Inputs!$C$18/12</x:f>
      </x:c>
      <x:c r="M194" s="24">
        <x:f>MIN(($C194+$F194),$L194)</x:f>
      </x:c>
      <x:c r="N194" s="24">
        <x:f>MIN(($D194+$X194),MAX(0,$K194-$O194))</x:f>
      </x:c>
      <x:c r="O194" s="24">
        <x:f>MIN(MAX(0,MAX(0,$E194-$I194)-$U194),$K194)</x:f>
      </x:c>
      <x:c r="P194" s="24">
        <x:f>MAX(0,$K194-$O194)-$N194</x:f>
      </x:c>
      <x:c r="Q194" s="23">
        <x:f>$V193</x:f>
      </x:c>
      <x:c r="R194" s="24">
        <x:f>$Q194*Inputs!$C$19/12</x:f>
      </x:c>
      <x:c r="S194" s="24">
        <x:f>MIN(MAX(0,($C194+$F194)-$M194),$R194)</x:f>
      </x:c>
      <x:c r="T194" s="24">
        <x:f>MIN(MAX(0,($D194+$X194)-$N194),MAX(0,$Q194-$U194))</x:f>
      </x:c>
      <x:c r="U194" s="24">
        <x:f>MIN(MAX(0,$E194-$I194),$Q194)</x:f>
      </x:c>
      <x:c r="V194" s="24">
        <x:f>MAX(0,$Q194-$U194)-$T194</x:f>
      </x:c>
      <x:c r="W194" s="24">
        <x:f>MAX(0,MAX(0,($C194+$F194)-$M194)-$S194)-MIN(MAX(0,$D$3-(MAX(0,$F194-MAX(0,($M194+$S194)-$C194)))),MAX(0,MAX(0,($C194+$F194)-$M194)-$S194))</x:f>
      </x:c>
      <x:c r="X194" s="24">
        <x:f>IF(Inputs!$C$39=1,$W194,0)</x:f>
      </x:c>
      <x:c r="Y194" s="24">
        <x:f>IF(Inputs!$C$39=0,$W194,0)+MAX(0,MAX(0,($D194+$X194)-$N194)-$T194)</x:f>
      </x:c>
    </x:row>
    <x:row r="195">
      <x:c r="B195" s="22" t="n">
        <x:v>190</x:v>
      </x:c>
      <x:c r="C195" s="29">
        <x:f>IF($B195&lt;=Inputs!$C$6+Inputs!$C$11,Cashflow_Asset!$E193-Cashflow_Asset!$K193,0)</x:f>
      </x:c>
      <x:c r="D195" s="29">
        <x:f>IF($B195&lt;=Inputs!$C$6+Inputs!$C$11,Cashflow_Asset!$F193+Cashflow_Asset!$G193+Cashflow_Asset!$I193,0)</x:f>
      </x:c>
      <x:c r="E195" s="29">
        <x:f>IF($B195&lt;=Inputs!$C$6+Inputs!$C$11,Cashflow_Asset!$J193,0)</x:f>
      </x:c>
      <x:c r="F195" s="23">
        <x:f>$G194</x:f>
      </x:c>
      <x:c r="G195" s="24">
        <x:f>(MAX(0,$F195-MAX(0,($M195+$S195)-$C195)))+MIN(MAX(0,$D$3-(MAX(0,$F195-MAX(0,($M195+$S195)-$C195)))),MAX(0,MAX(0,($C195+$F195)-$M195)-$S195))</x:f>
      </x:c>
      <x:c r="H195" s="23">
        <x:f>$J194</x:f>
      </x:c>
      <x:c r="I195" s="24">
        <x:f>MIN($E195,$H195)</x:f>
      </x:c>
      <x:c r="J195" s="24">
        <x:f>$H195-$I195</x:f>
      </x:c>
      <x:c r="K195" s="23">
        <x:f>$P194</x:f>
      </x:c>
      <x:c r="L195" s="24">
        <x:f>$K195*Inputs!$C$18/12</x:f>
      </x:c>
      <x:c r="M195" s="24">
        <x:f>MIN(($C195+$F195),$L195)</x:f>
      </x:c>
      <x:c r="N195" s="24">
        <x:f>MIN(($D195+$X195),MAX(0,$K195-$O195))</x:f>
      </x:c>
      <x:c r="O195" s="24">
        <x:f>MIN(MAX(0,MAX(0,$E195-$I195)-$U195),$K195)</x:f>
      </x:c>
      <x:c r="P195" s="24">
        <x:f>MAX(0,$K195-$O195)-$N195</x:f>
      </x:c>
      <x:c r="Q195" s="23">
        <x:f>$V194</x:f>
      </x:c>
      <x:c r="R195" s="24">
        <x:f>$Q195*Inputs!$C$19/12</x:f>
      </x:c>
      <x:c r="S195" s="24">
        <x:f>MIN(MAX(0,($C195+$F195)-$M195),$R195)</x:f>
      </x:c>
      <x:c r="T195" s="24">
        <x:f>MIN(MAX(0,($D195+$X195)-$N195),MAX(0,$Q195-$U195))</x:f>
      </x:c>
      <x:c r="U195" s="24">
        <x:f>MIN(MAX(0,$E195-$I195),$Q195)</x:f>
      </x:c>
      <x:c r="V195" s="24">
        <x:f>MAX(0,$Q195-$U195)-$T195</x:f>
      </x:c>
      <x:c r="W195" s="24">
        <x:f>MAX(0,MAX(0,($C195+$F195)-$M195)-$S195)-MIN(MAX(0,$D$3-(MAX(0,$F195-MAX(0,($M195+$S195)-$C195)))),MAX(0,MAX(0,($C195+$F195)-$M195)-$S195))</x:f>
      </x:c>
      <x:c r="X195" s="24">
        <x:f>IF(Inputs!$C$39=1,$W195,0)</x:f>
      </x:c>
      <x:c r="Y195" s="24">
        <x:f>IF(Inputs!$C$39=0,$W195,0)+MAX(0,MAX(0,($D195+$X195)-$N195)-$T195)</x:f>
      </x:c>
    </x:row>
    <x:row r="196">
      <x:c r="B196" s="22" t="n">
        <x:v>191</x:v>
      </x:c>
      <x:c r="C196" s="29">
        <x:f>IF($B196&lt;=Inputs!$C$6+Inputs!$C$11,Cashflow_Asset!$E194-Cashflow_Asset!$K194,0)</x:f>
      </x:c>
      <x:c r="D196" s="29">
        <x:f>IF($B196&lt;=Inputs!$C$6+Inputs!$C$11,Cashflow_Asset!$F194+Cashflow_Asset!$G194+Cashflow_Asset!$I194,0)</x:f>
      </x:c>
      <x:c r="E196" s="29">
        <x:f>IF($B196&lt;=Inputs!$C$6+Inputs!$C$11,Cashflow_Asset!$J194,0)</x:f>
      </x:c>
      <x:c r="F196" s="23">
        <x:f>$G195</x:f>
      </x:c>
      <x:c r="G196" s="24">
        <x:f>(MAX(0,$F196-MAX(0,($M196+$S196)-$C196)))+MIN(MAX(0,$D$3-(MAX(0,$F196-MAX(0,($M196+$S196)-$C196)))),MAX(0,MAX(0,($C196+$F196)-$M196)-$S196))</x:f>
      </x:c>
      <x:c r="H196" s="23">
        <x:f>$J195</x:f>
      </x:c>
      <x:c r="I196" s="24">
        <x:f>MIN($E196,$H196)</x:f>
      </x:c>
      <x:c r="J196" s="24">
        <x:f>$H196-$I196</x:f>
      </x:c>
      <x:c r="K196" s="23">
        <x:f>$P195</x:f>
      </x:c>
      <x:c r="L196" s="24">
        <x:f>$K196*Inputs!$C$18/12</x:f>
      </x:c>
      <x:c r="M196" s="24">
        <x:f>MIN(($C196+$F196),$L196)</x:f>
      </x:c>
      <x:c r="N196" s="24">
        <x:f>MIN(($D196+$X196),MAX(0,$K196-$O196))</x:f>
      </x:c>
      <x:c r="O196" s="24">
        <x:f>MIN(MAX(0,MAX(0,$E196-$I196)-$U196),$K196)</x:f>
      </x:c>
      <x:c r="P196" s="24">
        <x:f>MAX(0,$K196-$O196)-$N196</x:f>
      </x:c>
      <x:c r="Q196" s="23">
        <x:f>$V195</x:f>
      </x:c>
      <x:c r="R196" s="24">
        <x:f>$Q196*Inputs!$C$19/12</x:f>
      </x:c>
      <x:c r="S196" s="24">
        <x:f>MIN(MAX(0,($C196+$F196)-$M196),$R196)</x:f>
      </x:c>
      <x:c r="T196" s="24">
        <x:f>MIN(MAX(0,($D196+$X196)-$N196),MAX(0,$Q196-$U196))</x:f>
      </x:c>
      <x:c r="U196" s="24">
        <x:f>MIN(MAX(0,$E196-$I196),$Q196)</x:f>
      </x:c>
      <x:c r="V196" s="24">
        <x:f>MAX(0,$Q196-$U196)-$T196</x:f>
      </x:c>
      <x:c r="W196" s="24">
        <x:f>MAX(0,MAX(0,($C196+$F196)-$M196)-$S196)-MIN(MAX(0,$D$3-(MAX(0,$F196-MAX(0,($M196+$S196)-$C196)))),MAX(0,MAX(0,($C196+$F196)-$M196)-$S196))</x:f>
      </x:c>
      <x:c r="X196" s="24">
        <x:f>IF(Inputs!$C$39=1,$W196,0)</x:f>
      </x:c>
      <x:c r="Y196" s="24">
        <x:f>IF(Inputs!$C$39=0,$W196,0)+MAX(0,MAX(0,($D196+$X196)-$N196)-$T196)</x:f>
      </x:c>
    </x:row>
    <x:row r="197">
      <x:c r="B197" s="22" t="n">
        <x:v>192</x:v>
      </x:c>
      <x:c r="C197" s="29">
        <x:f>IF($B197&lt;=Inputs!$C$6+Inputs!$C$11,Cashflow_Asset!$E195-Cashflow_Asset!$K195,0)</x:f>
      </x:c>
      <x:c r="D197" s="29">
        <x:f>IF($B197&lt;=Inputs!$C$6+Inputs!$C$11,Cashflow_Asset!$F195+Cashflow_Asset!$G195+Cashflow_Asset!$I195,0)</x:f>
      </x:c>
      <x:c r="E197" s="29">
        <x:f>IF($B197&lt;=Inputs!$C$6+Inputs!$C$11,Cashflow_Asset!$J195,0)</x:f>
      </x:c>
      <x:c r="F197" s="23">
        <x:f>$G196</x:f>
      </x:c>
      <x:c r="G197" s="24">
        <x:f>(MAX(0,$F197-MAX(0,($M197+$S197)-$C197)))+MIN(MAX(0,$D$3-(MAX(0,$F197-MAX(0,($M197+$S197)-$C197)))),MAX(0,MAX(0,($C197+$F197)-$M197)-$S197))</x:f>
      </x:c>
      <x:c r="H197" s="23">
        <x:f>$J196</x:f>
      </x:c>
      <x:c r="I197" s="24">
        <x:f>MIN($E197,$H197)</x:f>
      </x:c>
      <x:c r="J197" s="24">
        <x:f>$H197-$I197</x:f>
      </x:c>
      <x:c r="K197" s="23">
        <x:f>$P196</x:f>
      </x:c>
      <x:c r="L197" s="24">
        <x:f>$K197*Inputs!$C$18/12</x:f>
      </x:c>
      <x:c r="M197" s="24">
        <x:f>MIN(($C197+$F197),$L197)</x:f>
      </x:c>
      <x:c r="N197" s="24">
        <x:f>MIN(($D197+$X197),MAX(0,$K197-$O197))</x:f>
      </x:c>
      <x:c r="O197" s="24">
        <x:f>MIN(MAX(0,MAX(0,$E197-$I197)-$U197),$K197)</x:f>
      </x:c>
      <x:c r="P197" s="24">
        <x:f>MAX(0,$K197-$O197)-$N197</x:f>
      </x:c>
      <x:c r="Q197" s="23">
        <x:f>$V196</x:f>
      </x:c>
      <x:c r="R197" s="24">
        <x:f>$Q197*Inputs!$C$19/12</x:f>
      </x:c>
      <x:c r="S197" s="24">
        <x:f>MIN(MAX(0,($C197+$F197)-$M197),$R197)</x:f>
      </x:c>
      <x:c r="T197" s="24">
        <x:f>MIN(MAX(0,($D197+$X197)-$N197),MAX(0,$Q197-$U197))</x:f>
      </x:c>
      <x:c r="U197" s="24">
        <x:f>MIN(MAX(0,$E197-$I197),$Q197)</x:f>
      </x:c>
      <x:c r="V197" s="24">
        <x:f>MAX(0,$Q197-$U197)-$T197</x:f>
      </x:c>
      <x:c r="W197" s="24">
        <x:f>MAX(0,MAX(0,($C197+$F197)-$M197)-$S197)-MIN(MAX(0,$D$3-(MAX(0,$F197-MAX(0,($M197+$S197)-$C197)))),MAX(0,MAX(0,($C197+$F197)-$M197)-$S197))</x:f>
      </x:c>
      <x:c r="X197" s="24">
        <x:f>IF(Inputs!$C$39=1,$W197,0)</x:f>
      </x:c>
      <x:c r="Y197" s="24">
        <x:f>IF(Inputs!$C$39=0,$W197,0)+MAX(0,MAX(0,($D197+$X197)-$N197)-$T197)</x:f>
      </x:c>
    </x:row>
    <x:row r="198">
      <x:c r="B198" s="22" t="n">
        <x:v>193</x:v>
      </x:c>
      <x:c r="C198" s="29">
        <x:f>IF($B198&lt;=Inputs!$C$6+Inputs!$C$11,Cashflow_Asset!$E196-Cashflow_Asset!$K196,0)</x:f>
      </x:c>
      <x:c r="D198" s="29">
        <x:f>IF($B198&lt;=Inputs!$C$6+Inputs!$C$11,Cashflow_Asset!$F196+Cashflow_Asset!$G196+Cashflow_Asset!$I196,0)</x:f>
      </x:c>
      <x:c r="E198" s="29">
        <x:f>IF($B198&lt;=Inputs!$C$6+Inputs!$C$11,Cashflow_Asset!$J196,0)</x:f>
      </x:c>
      <x:c r="F198" s="23">
        <x:f>$G197</x:f>
      </x:c>
      <x:c r="G198" s="24">
        <x:f>(MAX(0,$F198-MAX(0,($M198+$S198)-$C198)))+MIN(MAX(0,$D$3-(MAX(0,$F198-MAX(0,($M198+$S198)-$C198)))),MAX(0,MAX(0,($C198+$F198)-$M198)-$S198))</x:f>
      </x:c>
      <x:c r="H198" s="23">
        <x:f>$J197</x:f>
      </x:c>
      <x:c r="I198" s="24">
        <x:f>MIN($E198,$H198)</x:f>
      </x:c>
      <x:c r="J198" s="24">
        <x:f>$H198-$I198</x:f>
      </x:c>
      <x:c r="K198" s="23">
        <x:f>$P197</x:f>
      </x:c>
      <x:c r="L198" s="24">
        <x:f>$K198*Inputs!$C$18/12</x:f>
      </x:c>
      <x:c r="M198" s="24">
        <x:f>MIN(($C198+$F198),$L198)</x:f>
      </x:c>
      <x:c r="N198" s="24">
        <x:f>MIN(($D198+$X198),MAX(0,$K198-$O198))</x:f>
      </x:c>
      <x:c r="O198" s="24">
        <x:f>MIN(MAX(0,MAX(0,$E198-$I198)-$U198),$K198)</x:f>
      </x:c>
      <x:c r="P198" s="24">
        <x:f>MAX(0,$K198-$O198)-$N198</x:f>
      </x:c>
      <x:c r="Q198" s="23">
        <x:f>$V197</x:f>
      </x:c>
      <x:c r="R198" s="24">
        <x:f>$Q198*Inputs!$C$19/12</x:f>
      </x:c>
      <x:c r="S198" s="24">
        <x:f>MIN(MAX(0,($C198+$F198)-$M198),$R198)</x:f>
      </x:c>
      <x:c r="T198" s="24">
        <x:f>MIN(MAX(0,($D198+$X198)-$N198),MAX(0,$Q198-$U198))</x:f>
      </x:c>
      <x:c r="U198" s="24">
        <x:f>MIN(MAX(0,$E198-$I198),$Q198)</x:f>
      </x:c>
      <x:c r="V198" s="24">
        <x:f>MAX(0,$Q198-$U198)-$T198</x:f>
      </x:c>
      <x:c r="W198" s="24">
        <x:f>MAX(0,MAX(0,($C198+$F198)-$M198)-$S198)-MIN(MAX(0,$D$3-(MAX(0,$F198-MAX(0,($M198+$S198)-$C198)))),MAX(0,MAX(0,($C198+$F198)-$M198)-$S198))</x:f>
      </x:c>
      <x:c r="X198" s="24">
        <x:f>IF(Inputs!$C$39=1,$W198,0)</x:f>
      </x:c>
      <x:c r="Y198" s="24">
        <x:f>IF(Inputs!$C$39=0,$W198,0)+MAX(0,MAX(0,($D198+$X198)-$N198)-$T198)</x:f>
      </x:c>
    </x:row>
    <x:row r="199">
      <x:c r="B199" s="22" t="n">
        <x:v>194</x:v>
      </x:c>
      <x:c r="C199" s="29">
        <x:f>IF($B199&lt;=Inputs!$C$6+Inputs!$C$11,Cashflow_Asset!$E197-Cashflow_Asset!$K197,0)</x:f>
      </x:c>
      <x:c r="D199" s="29">
        <x:f>IF($B199&lt;=Inputs!$C$6+Inputs!$C$11,Cashflow_Asset!$F197+Cashflow_Asset!$G197+Cashflow_Asset!$I197,0)</x:f>
      </x:c>
      <x:c r="E199" s="29">
        <x:f>IF($B199&lt;=Inputs!$C$6+Inputs!$C$11,Cashflow_Asset!$J197,0)</x:f>
      </x:c>
      <x:c r="F199" s="23">
        <x:f>$G198</x:f>
      </x:c>
      <x:c r="G199" s="24">
        <x:f>(MAX(0,$F199-MAX(0,($M199+$S199)-$C199)))+MIN(MAX(0,$D$3-(MAX(0,$F199-MAX(0,($M199+$S199)-$C199)))),MAX(0,MAX(0,($C199+$F199)-$M199)-$S199))</x:f>
      </x:c>
      <x:c r="H199" s="23">
        <x:f>$J198</x:f>
      </x:c>
      <x:c r="I199" s="24">
        <x:f>MIN($E199,$H199)</x:f>
      </x:c>
      <x:c r="J199" s="24">
        <x:f>$H199-$I199</x:f>
      </x:c>
      <x:c r="K199" s="23">
        <x:f>$P198</x:f>
      </x:c>
      <x:c r="L199" s="24">
        <x:f>$K199*Inputs!$C$18/12</x:f>
      </x:c>
      <x:c r="M199" s="24">
        <x:f>MIN(($C199+$F199),$L199)</x:f>
      </x:c>
      <x:c r="N199" s="24">
        <x:f>MIN(($D199+$X199),MAX(0,$K199-$O199))</x:f>
      </x:c>
      <x:c r="O199" s="24">
        <x:f>MIN(MAX(0,MAX(0,$E199-$I199)-$U199),$K199)</x:f>
      </x:c>
      <x:c r="P199" s="24">
        <x:f>MAX(0,$K199-$O199)-$N199</x:f>
      </x:c>
      <x:c r="Q199" s="23">
        <x:f>$V198</x:f>
      </x:c>
      <x:c r="R199" s="24">
        <x:f>$Q199*Inputs!$C$19/12</x:f>
      </x:c>
      <x:c r="S199" s="24">
        <x:f>MIN(MAX(0,($C199+$F199)-$M199),$R199)</x:f>
      </x:c>
      <x:c r="T199" s="24">
        <x:f>MIN(MAX(0,($D199+$X199)-$N199),MAX(0,$Q199-$U199))</x:f>
      </x:c>
      <x:c r="U199" s="24">
        <x:f>MIN(MAX(0,$E199-$I199),$Q199)</x:f>
      </x:c>
      <x:c r="V199" s="24">
        <x:f>MAX(0,$Q199-$U199)-$T199</x:f>
      </x:c>
      <x:c r="W199" s="24">
        <x:f>MAX(0,MAX(0,($C199+$F199)-$M199)-$S199)-MIN(MAX(0,$D$3-(MAX(0,$F199-MAX(0,($M199+$S199)-$C199)))),MAX(0,MAX(0,($C199+$F199)-$M199)-$S199))</x:f>
      </x:c>
      <x:c r="X199" s="24">
        <x:f>IF(Inputs!$C$39=1,$W199,0)</x:f>
      </x:c>
      <x:c r="Y199" s="24">
        <x:f>IF(Inputs!$C$39=0,$W199,0)+MAX(0,MAX(0,($D199+$X199)-$N199)-$T199)</x:f>
      </x:c>
    </x:row>
    <x:row r="200">
      <x:c r="B200" s="22" t="n">
        <x:v>195</x:v>
      </x:c>
      <x:c r="C200" s="29">
        <x:f>IF($B200&lt;=Inputs!$C$6+Inputs!$C$11,Cashflow_Asset!$E198-Cashflow_Asset!$K198,0)</x:f>
      </x:c>
      <x:c r="D200" s="29">
        <x:f>IF($B200&lt;=Inputs!$C$6+Inputs!$C$11,Cashflow_Asset!$F198+Cashflow_Asset!$G198+Cashflow_Asset!$I198,0)</x:f>
      </x:c>
      <x:c r="E200" s="29">
        <x:f>IF($B200&lt;=Inputs!$C$6+Inputs!$C$11,Cashflow_Asset!$J198,0)</x:f>
      </x:c>
      <x:c r="F200" s="23">
        <x:f>$G199</x:f>
      </x:c>
      <x:c r="G200" s="24">
        <x:f>(MAX(0,$F200-MAX(0,($M200+$S200)-$C200)))+MIN(MAX(0,$D$3-(MAX(0,$F200-MAX(0,($M200+$S200)-$C200)))),MAX(0,MAX(0,($C200+$F200)-$M200)-$S200))</x:f>
      </x:c>
      <x:c r="H200" s="23">
        <x:f>$J199</x:f>
      </x:c>
      <x:c r="I200" s="24">
        <x:f>MIN($E200,$H200)</x:f>
      </x:c>
      <x:c r="J200" s="24">
        <x:f>$H200-$I200</x:f>
      </x:c>
      <x:c r="K200" s="23">
        <x:f>$P199</x:f>
      </x:c>
      <x:c r="L200" s="24">
        <x:f>$K200*Inputs!$C$18/12</x:f>
      </x:c>
      <x:c r="M200" s="24">
        <x:f>MIN(($C200+$F200),$L200)</x:f>
      </x:c>
      <x:c r="N200" s="24">
        <x:f>MIN(($D200+$X200),MAX(0,$K200-$O200))</x:f>
      </x:c>
      <x:c r="O200" s="24">
        <x:f>MIN(MAX(0,MAX(0,$E200-$I200)-$U200),$K200)</x:f>
      </x:c>
      <x:c r="P200" s="24">
        <x:f>MAX(0,$K200-$O200)-$N200</x:f>
      </x:c>
      <x:c r="Q200" s="23">
        <x:f>$V199</x:f>
      </x:c>
      <x:c r="R200" s="24">
        <x:f>$Q200*Inputs!$C$19/12</x:f>
      </x:c>
      <x:c r="S200" s="24">
        <x:f>MIN(MAX(0,($C200+$F200)-$M200),$R200)</x:f>
      </x:c>
      <x:c r="T200" s="24">
        <x:f>MIN(MAX(0,($D200+$X200)-$N200),MAX(0,$Q200-$U200))</x:f>
      </x:c>
      <x:c r="U200" s="24">
        <x:f>MIN(MAX(0,$E200-$I200),$Q200)</x:f>
      </x:c>
      <x:c r="V200" s="24">
        <x:f>MAX(0,$Q200-$U200)-$T200</x:f>
      </x:c>
      <x:c r="W200" s="24">
        <x:f>MAX(0,MAX(0,($C200+$F200)-$M200)-$S200)-MIN(MAX(0,$D$3-(MAX(0,$F200-MAX(0,($M200+$S200)-$C200)))),MAX(0,MAX(0,($C200+$F200)-$M200)-$S200))</x:f>
      </x:c>
      <x:c r="X200" s="24">
        <x:f>IF(Inputs!$C$39=1,$W200,0)</x:f>
      </x:c>
      <x:c r="Y200" s="24">
        <x:f>IF(Inputs!$C$39=0,$W200,0)+MAX(0,MAX(0,($D200+$X200)-$N200)-$T200)</x:f>
      </x:c>
    </x:row>
    <x:row r="201">
      <x:c r="B201" s="22" t="n">
        <x:v>196</x:v>
      </x:c>
      <x:c r="C201" s="29">
        <x:f>IF($B201&lt;=Inputs!$C$6+Inputs!$C$11,Cashflow_Asset!$E199-Cashflow_Asset!$K199,0)</x:f>
      </x:c>
      <x:c r="D201" s="29">
        <x:f>IF($B201&lt;=Inputs!$C$6+Inputs!$C$11,Cashflow_Asset!$F199+Cashflow_Asset!$G199+Cashflow_Asset!$I199,0)</x:f>
      </x:c>
      <x:c r="E201" s="29">
        <x:f>IF($B201&lt;=Inputs!$C$6+Inputs!$C$11,Cashflow_Asset!$J199,0)</x:f>
      </x:c>
      <x:c r="F201" s="23">
        <x:f>$G200</x:f>
      </x:c>
      <x:c r="G201" s="24">
        <x:f>(MAX(0,$F201-MAX(0,($M201+$S201)-$C201)))+MIN(MAX(0,$D$3-(MAX(0,$F201-MAX(0,($M201+$S201)-$C201)))),MAX(0,MAX(0,($C201+$F201)-$M201)-$S201))</x:f>
      </x:c>
      <x:c r="H201" s="23">
        <x:f>$J200</x:f>
      </x:c>
      <x:c r="I201" s="24">
        <x:f>MIN($E201,$H201)</x:f>
      </x:c>
      <x:c r="J201" s="24">
        <x:f>$H201-$I201</x:f>
      </x:c>
      <x:c r="K201" s="23">
        <x:f>$P200</x:f>
      </x:c>
      <x:c r="L201" s="24">
        <x:f>$K201*Inputs!$C$18/12</x:f>
      </x:c>
      <x:c r="M201" s="24">
        <x:f>MIN(($C201+$F201),$L201)</x:f>
      </x:c>
      <x:c r="N201" s="24">
        <x:f>MIN(($D201+$X201),MAX(0,$K201-$O201))</x:f>
      </x:c>
      <x:c r="O201" s="24">
        <x:f>MIN(MAX(0,MAX(0,$E201-$I201)-$U201),$K201)</x:f>
      </x:c>
      <x:c r="P201" s="24">
        <x:f>MAX(0,$K201-$O201)-$N201</x:f>
      </x:c>
      <x:c r="Q201" s="23">
        <x:f>$V200</x:f>
      </x:c>
      <x:c r="R201" s="24">
        <x:f>$Q201*Inputs!$C$19/12</x:f>
      </x:c>
      <x:c r="S201" s="24">
        <x:f>MIN(MAX(0,($C201+$F201)-$M201),$R201)</x:f>
      </x:c>
      <x:c r="T201" s="24">
        <x:f>MIN(MAX(0,($D201+$X201)-$N201),MAX(0,$Q201-$U201))</x:f>
      </x:c>
      <x:c r="U201" s="24">
        <x:f>MIN(MAX(0,$E201-$I201),$Q201)</x:f>
      </x:c>
      <x:c r="V201" s="24">
        <x:f>MAX(0,$Q201-$U201)-$T201</x:f>
      </x:c>
      <x:c r="W201" s="24">
        <x:f>MAX(0,MAX(0,($C201+$F201)-$M201)-$S201)-MIN(MAX(0,$D$3-(MAX(0,$F201-MAX(0,($M201+$S201)-$C201)))),MAX(0,MAX(0,($C201+$F201)-$M201)-$S201))</x:f>
      </x:c>
      <x:c r="X201" s="24">
        <x:f>IF(Inputs!$C$39=1,$W201,0)</x:f>
      </x:c>
      <x:c r="Y201" s="24">
        <x:f>IF(Inputs!$C$39=0,$W201,0)+MAX(0,MAX(0,($D201+$X201)-$N201)-$T201)</x:f>
      </x:c>
    </x:row>
    <x:row r="202">
      <x:c r="B202" s="22" t="n">
        <x:v>197</x:v>
      </x:c>
      <x:c r="C202" s="29">
        <x:f>IF($B202&lt;=Inputs!$C$6+Inputs!$C$11,Cashflow_Asset!$E200-Cashflow_Asset!$K200,0)</x:f>
      </x:c>
      <x:c r="D202" s="29">
        <x:f>IF($B202&lt;=Inputs!$C$6+Inputs!$C$11,Cashflow_Asset!$F200+Cashflow_Asset!$G200+Cashflow_Asset!$I200,0)</x:f>
      </x:c>
      <x:c r="E202" s="29">
        <x:f>IF($B202&lt;=Inputs!$C$6+Inputs!$C$11,Cashflow_Asset!$J200,0)</x:f>
      </x:c>
      <x:c r="F202" s="23">
        <x:f>$G201</x:f>
      </x:c>
      <x:c r="G202" s="24">
        <x:f>(MAX(0,$F202-MAX(0,($M202+$S202)-$C202)))+MIN(MAX(0,$D$3-(MAX(0,$F202-MAX(0,($M202+$S202)-$C202)))),MAX(0,MAX(0,($C202+$F202)-$M202)-$S202))</x:f>
      </x:c>
      <x:c r="H202" s="23">
        <x:f>$J201</x:f>
      </x:c>
      <x:c r="I202" s="24">
        <x:f>MIN($E202,$H202)</x:f>
      </x:c>
      <x:c r="J202" s="24">
        <x:f>$H202-$I202</x:f>
      </x:c>
      <x:c r="K202" s="23">
        <x:f>$P201</x:f>
      </x:c>
      <x:c r="L202" s="24">
        <x:f>$K202*Inputs!$C$18/12</x:f>
      </x:c>
      <x:c r="M202" s="24">
        <x:f>MIN(($C202+$F202),$L202)</x:f>
      </x:c>
      <x:c r="N202" s="24">
        <x:f>MIN(($D202+$X202),MAX(0,$K202-$O202))</x:f>
      </x:c>
      <x:c r="O202" s="24">
        <x:f>MIN(MAX(0,MAX(0,$E202-$I202)-$U202),$K202)</x:f>
      </x:c>
      <x:c r="P202" s="24">
        <x:f>MAX(0,$K202-$O202)-$N202</x:f>
      </x:c>
      <x:c r="Q202" s="23">
        <x:f>$V201</x:f>
      </x:c>
      <x:c r="R202" s="24">
        <x:f>$Q202*Inputs!$C$19/12</x:f>
      </x:c>
      <x:c r="S202" s="24">
        <x:f>MIN(MAX(0,($C202+$F202)-$M202),$R202)</x:f>
      </x:c>
      <x:c r="T202" s="24">
        <x:f>MIN(MAX(0,($D202+$X202)-$N202),MAX(0,$Q202-$U202))</x:f>
      </x:c>
      <x:c r="U202" s="24">
        <x:f>MIN(MAX(0,$E202-$I202),$Q202)</x:f>
      </x:c>
      <x:c r="V202" s="24">
        <x:f>MAX(0,$Q202-$U202)-$T202</x:f>
      </x:c>
      <x:c r="W202" s="24">
        <x:f>MAX(0,MAX(0,($C202+$F202)-$M202)-$S202)-MIN(MAX(0,$D$3-(MAX(0,$F202-MAX(0,($M202+$S202)-$C202)))),MAX(0,MAX(0,($C202+$F202)-$M202)-$S202))</x:f>
      </x:c>
      <x:c r="X202" s="24">
        <x:f>IF(Inputs!$C$39=1,$W202,0)</x:f>
      </x:c>
      <x:c r="Y202" s="24">
        <x:f>IF(Inputs!$C$39=0,$W202,0)+MAX(0,MAX(0,($D202+$X202)-$N202)-$T202)</x:f>
      </x:c>
    </x:row>
    <x:row r="203">
      <x:c r="B203" s="22" t="n">
        <x:v>198</x:v>
      </x:c>
      <x:c r="C203" s="29">
        <x:f>IF($B203&lt;=Inputs!$C$6+Inputs!$C$11,Cashflow_Asset!$E201-Cashflow_Asset!$K201,0)</x:f>
      </x:c>
      <x:c r="D203" s="29">
        <x:f>IF($B203&lt;=Inputs!$C$6+Inputs!$C$11,Cashflow_Asset!$F201+Cashflow_Asset!$G201+Cashflow_Asset!$I201,0)</x:f>
      </x:c>
      <x:c r="E203" s="29">
        <x:f>IF($B203&lt;=Inputs!$C$6+Inputs!$C$11,Cashflow_Asset!$J201,0)</x:f>
      </x:c>
      <x:c r="F203" s="23">
        <x:f>$G202</x:f>
      </x:c>
      <x:c r="G203" s="24">
        <x:f>(MAX(0,$F203-MAX(0,($M203+$S203)-$C203)))+MIN(MAX(0,$D$3-(MAX(0,$F203-MAX(0,($M203+$S203)-$C203)))),MAX(0,MAX(0,($C203+$F203)-$M203)-$S203))</x:f>
      </x:c>
      <x:c r="H203" s="23">
        <x:f>$J202</x:f>
      </x:c>
      <x:c r="I203" s="24">
        <x:f>MIN($E203,$H203)</x:f>
      </x:c>
      <x:c r="J203" s="24">
        <x:f>$H203-$I203</x:f>
      </x:c>
      <x:c r="K203" s="23">
        <x:f>$P202</x:f>
      </x:c>
      <x:c r="L203" s="24">
        <x:f>$K203*Inputs!$C$18/12</x:f>
      </x:c>
      <x:c r="M203" s="24">
        <x:f>MIN(($C203+$F203),$L203)</x:f>
      </x:c>
      <x:c r="N203" s="24">
        <x:f>MIN(($D203+$X203),MAX(0,$K203-$O203))</x:f>
      </x:c>
      <x:c r="O203" s="24">
        <x:f>MIN(MAX(0,MAX(0,$E203-$I203)-$U203),$K203)</x:f>
      </x:c>
      <x:c r="P203" s="24">
        <x:f>MAX(0,$K203-$O203)-$N203</x:f>
      </x:c>
      <x:c r="Q203" s="23">
        <x:f>$V202</x:f>
      </x:c>
      <x:c r="R203" s="24">
        <x:f>$Q203*Inputs!$C$19/12</x:f>
      </x:c>
      <x:c r="S203" s="24">
        <x:f>MIN(MAX(0,($C203+$F203)-$M203),$R203)</x:f>
      </x:c>
      <x:c r="T203" s="24">
        <x:f>MIN(MAX(0,($D203+$X203)-$N203),MAX(0,$Q203-$U203))</x:f>
      </x:c>
      <x:c r="U203" s="24">
        <x:f>MIN(MAX(0,$E203-$I203),$Q203)</x:f>
      </x:c>
      <x:c r="V203" s="24">
        <x:f>MAX(0,$Q203-$U203)-$T203</x:f>
      </x:c>
      <x:c r="W203" s="24">
        <x:f>MAX(0,MAX(0,($C203+$F203)-$M203)-$S203)-MIN(MAX(0,$D$3-(MAX(0,$F203-MAX(0,($M203+$S203)-$C203)))),MAX(0,MAX(0,($C203+$F203)-$M203)-$S203))</x:f>
      </x:c>
      <x:c r="X203" s="24">
        <x:f>IF(Inputs!$C$39=1,$W203,0)</x:f>
      </x:c>
      <x:c r="Y203" s="24">
        <x:f>IF(Inputs!$C$39=0,$W203,0)+MAX(0,MAX(0,($D203+$X203)-$N203)-$T203)</x:f>
      </x:c>
    </x:row>
    <x:row r="204">
      <x:c r="B204" s="22" t="n">
        <x:v>199</x:v>
      </x:c>
      <x:c r="C204" s="29">
        <x:f>IF($B204&lt;=Inputs!$C$6+Inputs!$C$11,Cashflow_Asset!$E202-Cashflow_Asset!$K202,0)</x:f>
      </x:c>
      <x:c r="D204" s="29">
        <x:f>IF($B204&lt;=Inputs!$C$6+Inputs!$C$11,Cashflow_Asset!$F202+Cashflow_Asset!$G202+Cashflow_Asset!$I202,0)</x:f>
      </x:c>
      <x:c r="E204" s="29">
        <x:f>IF($B204&lt;=Inputs!$C$6+Inputs!$C$11,Cashflow_Asset!$J202,0)</x:f>
      </x:c>
      <x:c r="F204" s="23">
        <x:f>$G203</x:f>
      </x:c>
      <x:c r="G204" s="24">
        <x:f>(MAX(0,$F204-MAX(0,($M204+$S204)-$C204)))+MIN(MAX(0,$D$3-(MAX(0,$F204-MAX(0,($M204+$S204)-$C204)))),MAX(0,MAX(0,($C204+$F204)-$M204)-$S204))</x:f>
      </x:c>
      <x:c r="H204" s="23">
        <x:f>$J203</x:f>
      </x:c>
      <x:c r="I204" s="24">
        <x:f>MIN($E204,$H204)</x:f>
      </x:c>
      <x:c r="J204" s="24">
        <x:f>$H204-$I204</x:f>
      </x:c>
      <x:c r="K204" s="23">
        <x:f>$P203</x:f>
      </x:c>
      <x:c r="L204" s="24">
        <x:f>$K204*Inputs!$C$18/12</x:f>
      </x:c>
      <x:c r="M204" s="24">
        <x:f>MIN(($C204+$F204),$L204)</x:f>
      </x:c>
      <x:c r="N204" s="24">
        <x:f>MIN(($D204+$X204),MAX(0,$K204-$O204))</x:f>
      </x:c>
      <x:c r="O204" s="24">
        <x:f>MIN(MAX(0,MAX(0,$E204-$I204)-$U204),$K204)</x:f>
      </x:c>
      <x:c r="P204" s="24">
        <x:f>MAX(0,$K204-$O204)-$N204</x:f>
      </x:c>
      <x:c r="Q204" s="23">
        <x:f>$V203</x:f>
      </x:c>
      <x:c r="R204" s="24">
        <x:f>$Q204*Inputs!$C$19/12</x:f>
      </x:c>
      <x:c r="S204" s="24">
        <x:f>MIN(MAX(0,($C204+$F204)-$M204),$R204)</x:f>
      </x:c>
      <x:c r="T204" s="24">
        <x:f>MIN(MAX(0,($D204+$X204)-$N204),MAX(0,$Q204-$U204))</x:f>
      </x:c>
      <x:c r="U204" s="24">
        <x:f>MIN(MAX(0,$E204-$I204),$Q204)</x:f>
      </x:c>
      <x:c r="V204" s="24">
        <x:f>MAX(0,$Q204-$U204)-$T204</x:f>
      </x:c>
      <x:c r="W204" s="24">
        <x:f>MAX(0,MAX(0,($C204+$F204)-$M204)-$S204)-MIN(MAX(0,$D$3-(MAX(0,$F204-MAX(0,($M204+$S204)-$C204)))),MAX(0,MAX(0,($C204+$F204)-$M204)-$S204))</x:f>
      </x:c>
      <x:c r="X204" s="24">
        <x:f>IF(Inputs!$C$39=1,$W204,0)</x:f>
      </x:c>
      <x:c r="Y204" s="24">
        <x:f>IF(Inputs!$C$39=0,$W204,0)+MAX(0,MAX(0,($D204+$X204)-$N204)-$T204)</x:f>
      </x:c>
    </x:row>
    <x:row r="205">
      <x:c r="B205" s="22" t="n">
        <x:v>200</x:v>
      </x:c>
      <x:c r="C205" s="29">
        <x:f>IF($B205&lt;=Inputs!$C$6+Inputs!$C$11,Cashflow_Asset!$E203-Cashflow_Asset!$K203,0)</x:f>
      </x:c>
      <x:c r="D205" s="29">
        <x:f>IF($B205&lt;=Inputs!$C$6+Inputs!$C$11,Cashflow_Asset!$F203+Cashflow_Asset!$G203+Cashflow_Asset!$I203,0)</x:f>
      </x:c>
      <x:c r="E205" s="29">
        <x:f>IF($B205&lt;=Inputs!$C$6+Inputs!$C$11,Cashflow_Asset!$J203,0)</x:f>
      </x:c>
      <x:c r="F205" s="23">
        <x:f>$G204</x:f>
      </x:c>
      <x:c r="G205" s="24">
        <x:f>(MAX(0,$F205-MAX(0,($M205+$S205)-$C205)))+MIN(MAX(0,$D$3-(MAX(0,$F205-MAX(0,($M205+$S205)-$C205)))),MAX(0,MAX(0,($C205+$F205)-$M205)-$S205))</x:f>
      </x:c>
      <x:c r="H205" s="23">
        <x:f>$J204</x:f>
      </x:c>
      <x:c r="I205" s="24">
        <x:f>MIN($E205,$H205)</x:f>
      </x:c>
      <x:c r="J205" s="24">
        <x:f>$H205-$I205</x:f>
      </x:c>
      <x:c r="K205" s="23">
        <x:f>$P204</x:f>
      </x:c>
      <x:c r="L205" s="24">
        <x:f>$K205*Inputs!$C$18/12</x:f>
      </x:c>
      <x:c r="M205" s="24">
        <x:f>MIN(($C205+$F205),$L205)</x:f>
      </x:c>
      <x:c r="N205" s="24">
        <x:f>MIN(($D205+$X205),MAX(0,$K205-$O205))</x:f>
      </x:c>
      <x:c r="O205" s="24">
        <x:f>MIN(MAX(0,MAX(0,$E205-$I205)-$U205),$K205)</x:f>
      </x:c>
      <x:c r="P205" s="24">
        <x:f>MAX(0,$K205-$O205)-$N205</x:f>
      </x:c>
      <x:c r="Q205" s="23">
        <x:f>$V204</x:f>
      </x:c>
      <x:c r="R205" s="24">
        <x:f>$Q205*Inputs!$C$19/12</x:f>
      </x:c>
      <x:c r="S205" s="24">
        <x:f>MIN(MAX(0,($C205+$F205)-$M205),$R205)</x:f>
      </x:c>
      <x:c r="T205" s="24">
        <x:f>MIN(MAX(0,($D205+$X205)-$N205),MAX(0,$Q205-$U205))</x:f>
      </x:c>
      <x:c r="U205" s="24">
        <x:f>MIN(MAX(0,$E205-$I205),$Q205)</x:f>
      </x:c>
      <x:c r="V205" s="24">
        <x:f>MAX(0,$Q205-$U205)-$T205</x:f>
      </x:c>
      <x:c r="W205" s="24">
        <x:f>MAX(0,MAX(0,($C205+$F205)-$M205)-$S205)-MIN(MAX(0,$D$3-(MAX(0,$F205-MAX(0,($M205+$S205)-$C205)))),MAX(0,MAX(0,($C205+$F205)-$M205)-$S205))</x:f>
      </x:c>
      <x:c r="X205" s="24">
        <x:f>IF(Inputs!$C$39=1,$W205,0)</x:f>
      </x:c>
      <x:c r="Y205" s="24">
        <x:f>IF(Inputs!$C$39=0,$W205,0)+MAX(0,MAX(0,($D205+$X205)-$N205)-$T205)</x:f>
      </x:c>
    </x:row>
    <x:row r="206">
      <x:c r="B206" s="22" t="n">
        <x:v>201</x:v>
      </x:c>
      <x:c r="C206" s="29">
        <x:f>IF($B206&lt;=Inputs!$C$6+Inputs!$C$11,Cashflow_Asset!$E204-Cashflow_Asset!$K204,0)</x:f>
      </x:c>
      <x:c r="D206" s="29">
        <x:f>IF($B206&lt;=Inputs!$C$6+Inputs!$C$11,Cashflow_Asset!$F204+Cashflow_Asset!$G204+Cashflow_Asset!$I204,0)</x:f>
      </x:c>
      <x:c r="E206" s="29">
        <x:f>IF($B206&lt;=Inputs!$C$6+Inputs!$C$11,Cashflow_Asset!$J204,0)</x:f>
      </x:c>
      <x:c r="F206" s="23">
        <x:f>$G205</x:f>
      </x:c>
      <x:c r="G206" s="24">
        <x:f>(MAX(0,$F206-MAX(0,($M206+$S206)-$C206)))+MIN(MAX(0,$D$3-(MAX(0,$F206-MAX(0,($M206+$S206)-$C206)))),MAX(0,MAX(0,($C206+$F206)-$M206)-$S206))</x:f>
      </x:c>
      <x:c r="H206" s="23">
        <x:f>$J205</x:f>
      </x:c>
      <x:c r="I206" s="24">
        <x:f>MIN($E206,$H206)</x:f>
      </x:c>
      <x:c r="J206" s="24">
        <x:f>$H206-$I206</x:f>
      </x:c>
      <x:c r="K206" s="23">
        <x:f>$P205</x:f>
      </x:c>
      <x:c r="L206" s="24">
        <x:f>$K206*Inputs!$C$18/12</x:f>
      </x:c>
      <x:c r="M206" s="24">
        <x:f>MIN(($C206+$F206),$L206)</x:f>
      </x:c>
      <x:c r="N206" s="24">
        <x:f>MIN(($D206+$X206),MAX(0,$K206-$O206))</x:f>
      </x:c>
      <x:c r="O206" s="24">
        <x:f>MIN(MAX(0,MAX(0,$E206-$I206)-$U206),$K206)</x:f>
      </x:c>
      <x:c r="P206" s="24">
        <x:f>MAX(0,$K206-$O206)-$N206</x:f>
      </x:c>
      <x:c r="Q206" s="23">
        <x:f>$V205</x:f>
      </x:c>
      <x:c r="R206" s="24">
        <x:f>$Q206*Inputs!$C$19/12</x:f>
      </x:c>
      <x:c r="S206" s="24">
        <x:f>MIN(MAX(0,($C206+$F206)-$M206),$R206)</x:f>
      </x:c>
      <x:c r="T206" s="24">
        <x:f>MIN(MAX(0,($D206+$X206)-$N206),MAX(0,$Q206-$U206))</x:f>
      </x:c>
      <x:c r="U206" s="24">
        <x:f>MIN(MAX(0,$E206-$I206),$Q206)</x:f>
      </x:c>
      <x:c r="V206" s="24">
        <x:f>MAX(0,$Q206-$U206)-$T206</x:f>
      </x:c>
      <x:c r="W206" s="24">
        <x:f>MAX(0,MAX(0,($C206+$F206)-$M206)-$S206)-MIN(MAX(0,$D$3-(MAX(0,$F206-MAX(0,($M206+$S206)-$C206)))),MAX(0,MAX(0,($C206+$F206)-$M206)-$S206))</x:f>
      </x:c>
      <x:c r="X206" s="24">
        <x:f>IF(Inputs!$C$39=1,$W206,0)</x:f>
      </x:c>
      <x:c r="Y206" s="24">
        <x:f>IF(Inputs!$C$39=0,$W206,0)+MAX(0,MAX(0,($D206+$X206)-$N206)-$T206)</x:f>
      </x:c>
    </x:row>
    <x:row r="207">
      <x:c r="B207" s="22" t="n">
        <x:v>202</x:v>
      </x:c>
      <x:c r="C207" s="29">
        <x:f>IF($B207&lt;=Inputs!$C$6+Inputs!$C$11,Cashflow_Asset!$E205-Cashflow_Asset!$K205,0)</x:f>
      </x:c>
      <x:c r="D207" s="29">
        <x:f>IF($B207&lt;=Inputs!$C$6+Inputs!$C$11,Cashflow_Asset!$F205+Cashflow_Asset!$G205+Cashflow_Asset!$I205,0)</x:f>
      </x:c>
      <x:c r="E207" s="29">
        <x:f>IF($B207&lt;=Inputs!$C$6+Inputs!$C$11,Cashflow_Asset!$J205,0)</x:f>
      </x:c>
      <x:c r="F207" s="23">
        <x:f>$G206</x:f>
      </x:c>
      <x:c r="G207" s="24">
        <x:f>(MAX(0,$F207-MAX(0,($M207+$S207)-$C207)))+MIN(MAX(0,$D$3-(MAX(0,$F207-MAX(0,($M207+$S207)-$C207)))),MAX(0,MAX(0,($C207+$F207)-$M207)-$S207))</x:f>
      </x:c>
      <x:c r="H207" s="23">
        <x:f>$J206</x:f>
      </x:c>
      <x:c r="I207" s="24">
        <x:f>MIN($E207,$H207)</x:f>
      </x:c>
      <x:c r="J207" s="24">
        <x:f>$H207-$I207</x:f>
      </x:c>
      <x:c r="K207" s="23">
        <x:f>$P206</x:f>
      </x:c>
      <x:c r="L207" s="24">
        <x:f>$K207*Inputs!$C$18/12</x:f>
      </x:c>
      <x:c r="M207" s="24">
        <x:f>MIN(($C207+$F207),$L207)</x:f>
      </x:c>
      <x:c r="N207" s="24">
        <x:f>MIN(($D207+$X207),MAX(0,$K207-$O207))</x:f>
      </x:c>
      <x:c r="O207" s="24">
        <x:f>MIN(MAX(0,MAX(0,$E207-$I207)-$U207),$K207)</x:f>
      </x:c>
      <x:c r="P207" s="24">
        <x:f>MAX(0,$K207-$O207)-$N207</x:f>
      </x:c>
      <x:c r="Q207" s="23">
        <x:f>$V206</x:f>
      </x:c>
      <x:c r="R207" s="24">
        <x:f>$Q207*Inputs!$C$19/12</x:f>
      </x:c>
      <x:c r="S207" s="24">
        <x:f>MIN(MAX(0,($C207+$F207)-$M207),$R207)</x:f>
      </x:c>
      <x:c r="T207" s="24">
        <x:f>MIN(MAX(0,($D207+$X207)-$N207),MAX(0,$Q207-$U207))</x:f>
      </x:c>
      <x:c r="U207" s="24">
        <x:f>MIN(MAX(0,$E207-$I207),$Q207)</x:f>
      </x:c>
      <x:c r="V207" s="24">
        <x:f>MAX(0,$Q207-$U207)-$T207</x:f>
      </x:c>
      <x:c r="W207" s="24">
        <x:f>MAX(0,MAX(0,($C207+$F207)-$M207)-$S207)-MIN(MAX(0,$D$3-(MAX(0,$F207-MAX(0,($M207+$S207)-$C207)))),MAX(0,MAX(0,($C207+$F207)-$M207)-$S207))</x:f>
      </x:c>
      <x:c r="X207" s="24">
        <x:f>IF(Inputs!$C$39=1,$W207,0)</x:f>
      </x:c>
      <x:c r="Y207" s="24">
        <x:f>IF(Inputs!$C$39=0,$W207,0)+MAX(0,MAX(0,($D207+$X207)-$N207)-$T207)</x:f>
      </x:c>
    </x:row>
    <x:row r="208">
      <x:c r="B208" s="22" t="n">
        <x:v>203</x:v>
      </x:c>
      <x:c r="C208" s="29">
        <x:f>IF($B208&lt;=Inputs!$C$6+Inputs!$C$11,Cashflow_Asset!$E206-Cashflow_Asset!$K206,0)</x:f>
      </x:c>
      <x:c r="D208" s="29">
        <x:f>IF($B208&lt;=Inputs!$C$6+Inputs!$C$11,Cashflow_Asset!$F206+Cashflow_Asset!$G206+Cashflow_Asset!$I206,0)</x:f>
      </x:c>
      <x:c r="E208" s="29">
        <x:f>IF($B208&lt;=Inputs!$C$6+Inputs!$C$11,Cashflow_Asset!$J206,0)</x:f>
      </x:c>
      <x:c r="F208" s="23">
        <x:f>$G207</x:f>
      </x:c>
      <x:c r="G208" s="24">
        <x:f>(MAX(0,$F208-MAX(0,($M208+$S208)-$C208)))+MIN(MAX(0,$D$3-(MAX(0,$F208-MAX(0,($M208+$S208)-$C208)))),MAX(0,MAX(0,($C208+$F208)-$M208)-$S208))</x:f>
      </x:c>
      <x:c r="H208" s="23">
        <x:f>$J207</x:f>
      </x:c>
      <x:c r="I208" s="24">
        <x:f>MIN($E208,$H208)</x:f>
      </x:c>
      <x:c r="J208" s="24">
        <x:f>$H208-$I208</x:f>
      </x:c>
      <x:c r="K208" s="23">
        <x:f>$P207</x:f>
      </x:c>
      <x:c r="L208" s="24">
        <x:f>$K208*Inputs!$C$18/12</x:f>
      </x:c>
      <x:c r="M208" s="24">
        <x:f>MIN(($C208+$F208),$L208)</x:f>
      </x:c>
      <x:c r="N208" s="24">
        <x:f>MIN(($D208+$X208),MAX(0,$K208-$O208))</x:f>
      </x:c>
      <x:c r="O208" s="24">
        <x:f>MIN(MAX(0,MAX(0,$E208-$I208)-$U208),$K208)</x:f>
      </x:c>
      <x:c r="P208" s="24">
        <x:f>MAX(0,$K208-$O208)-$N208</x:f>
      </x:c>
      <x:c r="Q208" s="23">
        <x:f>$V207</x:f>
      </x:c>
      <x:c r="R208" s="24">
        <x:f>$Q208*Inputs!$C$19/12</x:f>
      </x:c>
      <x:c r="S208" s="24">
        <x:f>MIN(MAX(0,($C208+$F208)-$M208),$R208)</x:f>
      </x:c>
      <x:c r="T208" s="24">
        <x:f>MIN(MAX(0,($D208+$X208)-$N208),MAX(0,$Q208-$U208))</x:f>
      </x:c>
      <x:c r="U208" s="24">
        <x:f>MIN(MAX(0,$E208-$I208),$Q208)</x:f>
      </x:c>
      <x:c r="V208" s="24">
        <x:f>MAX(0,$Q208-$U208)-$T208</x:f>
      </x:c>
      <x:c r="W208" s="24">
        <x:f>MAX(0,MAX(0,($C208+$F208)-$M208)-$S208)-MIN(MAX(0,$D$3-(MAX(0,$F208-MAX(0,($M208+$S208)-$C208)))),MAX(0,MAX(0,($C208+$F208)-$M208)-$S208))</x:f>
      </x:c>
      <x:c r="X208" s="24">
        <x:f>IF(Inputs!$C$39=1,$W208,0)</x:f>
      </x:c>
      <x:c r="Y208" s="24">
        <x:f>IF(Inputs!$C$39=0,$W208,0)+MAX(0,MAX(0,($D208+$X208)-$N208)-$T208)</x:f>
      </x:c>
    </x:row>
    <x:row r="209">
      <x:c r="B209" s="22" t="n">
        <x:v>204</x:v>
      </x:c>
      <x:c r="C209" s="29">
        <x:f>IF($B209&lt;=Inputs!$C$6+Inputs!$C$11,Cashflow_Asset!$E207-Cashflow_Asset!$K207,0)</x:f>
      </x:c>
      <x:c r="D209" s="29">
        <x:f>IF($B209&lt;=Inputs!$C$6+Inputs!$C$11,Cashflow_Asset!$F207+Cashflow_Asset!$G207+Cashflow_Asset!$I207,0)</x:f>
      </x:c>
      <x:c r="E209" s="29">
        <x:f>IF($B209&lt;=Inputs!$C$6+Inputs!$C$11,Cashflow_Asset!$J207,0)</x:f>
      </x:c>
      <x:c r="F209" s="23">
        <x:f>$G208</x:f>
      </x:c>
      <x:c r="G209" s="24">
        <x:f>(MAX(0,$F209-MAX(0,($M209+$S209)-$C209)))+MIN(MAX(0,$D$3-(MAX(0,$F209-MAX(0,($M209+$S209)-$C209)))),MAX(0,MAX(0,($C209+$F209)-$M209)-$S209))</x:f>
      </x:c>
      <x:c r="H209" s="23">
        <x:f>$J208</x:f>
      </x:c>
      <x:c r="I209" s="24">
        <x:f>MIN($E209,$H209)</x:f>
      </x:c>
      <x:c r="J209" s="24">
        <x:f>$H209-$I209</x:f>
      </x:c>
      <x:c r="K209" s="23">
        <x:f>$P208</x:f>
      </x:c>
      <x:c r="L209" s="24">
        <x:f>$K209*Inputs!$C$18/12</x:f>
      </x:c>
      <x:c r="M209" s="24">
        <x:f>MIN(($C209+$F209),$L209)</x:f>
      </x:c>
      <x:c r="N209" s="24">
        <x:f>MIN(($D209+$X209),MAX(0,$K209-$O209))</x:f>
      </x:c>
      <x:c r="O209" s="24">
        <x:f>MIN(MAX(0,MAX(0,$E209-$I209)-$U209),$K209)</x:f>
      </x:c>
      <x:c r="P209" s="24">
        <x:f>MAX(0,$K209-$O209)-$N209</x:f>
      </x:c>
      <x:c r="Q209" s="23">
        <x:f>$V208</x:f>
      </x:c>
      <x:c r="R209" s="24">
        <x:f>$Q209*Inputs!$C$19/12</x:f>
      </x:c>
      <x:c r="S209" s="24">
        <x:f>MIN(MAX(0,($C209+$F209)-$M209),$R209)</x:f>
      </x:c>
      <x:c r="T209" s="24">
        <x:f>MIN(MAX(0,($D209+$X209)-$N209),MAX(0,$Q209-$U209))</x:f>
      </x:c>
      <x:c r="U209" s="24">
        <x:f>MIN(MAX(0,$E209-$I209),$Q209)</x:f>
      </x:c>
      <x:c r="V209" s="24">
        <x:f>MAX(0,$Q209-$U209)-$T209</x:f>
      </x:c>
      <x:c r="W209" s="24">
        <x:f>MAX(0,MAX(0,($C209+$F209)-$M209)-$S209)-MIN(MAX(0,$D$3-(MAX(0,$F209-MAX(0,($M209+$S209)-$C209)))),MAX(0,MAX(0,($C209+$F209)-$M209)-$S209))</x:f>
      </x:c>
      <x:c r="X209" s="24">
        <x:f>IF(Inputs!$C$39=1,$W209,0)</x:f>
      </x:c>
      <x:c r="Y209" s="24">
        <x:f>IF(Inputs!$C$39=0,$W209,0)+MAX(0,MAX(0,($D209+$X209)-$N209)-$T209)</x:f>
      </x:c>
    </x:row>
    <x:row r="210">
      <x:c r="B210" s="22" t="n">
        <x:v>205</x:v>
      </x:c>
      <x:c r="C210" s="29">
        <x:f>IF($B210&lt;=Inputs!$C$6+Inputs!$C$11,Cashflow_Asset!$E208-Cashflow_Asset!$K208,0)</x:f>
      </x:c>
      <x:c r="D210" s="29">
        <x:f>IF($B210&lt;=Inputs!$C$6+Inputs!$C$11,Cashflow_Asset!$F208+Cashflow_Asset!$G208+Cashflow_Asset!$I208,0)</x:f>
      </x:c>
      <x:c r="E210" s="29">
        <x:f>IF($B210&lt;=Inputs!$C$6+Inputs!$C$11,Cashflow_Asset!$J208,0)</x:f>
      </x:c>
      <x:c r="F210" s="23">
        <x:f>$G209</x:f>
      </x:c>
      <x:c r="G210" s="24">
        <x:f>(MAX(0,$F210-MAX(0,($M210+$S210)-$C210)))+MIN(MAX(0,$D$3-(MAX(0,$F210-MAX(0,($M210+$S210)-$C210)))),MAX(0,MAX(0,($C210+$F210)-$M210)-$S210))</x:f>
      </x:c>
      <x:c r="H210" s="23">
        <x:f>$J209</x:f>
      </x:c>
      <x:c r="I210" s="24">
        <x:f>MIN($E210,$H210)</x:f>
      </x:c>
      <x:c r="J210" s="24">
        <x:f>$H210-$I210</x:f>
      </x:c>
      <x:c r="K210" s="23">
        <x:f>$P209</x:f>
      </x:c>
      <x:c r="L210" s="24">
        <x:f>$K210*Inputs!$C$18/12</x:f>
      </x:c>
      <x:c r="M210" s="24">
        <x:f>MIN(($C210+$F210),$L210)</x:f>
      </x:c>
      <x:c r="N210" s="24">
        <x:f>MIN(($D210+$X210),MAX(0,$K210-$O210))</x:f>
      </x:c>
      <x:c r="O210" s="24">
        <x:f>MIN(MAX(0,MAX(0,$E210-$I210)-$U210),$K210)</x:f>
      </x:c>
      <x:c r="P210" s="24">
        <x:f>MAX(0,$K210-$O210)-$N210</x:f>
      </x:c>
      <x:c r="Q210" s="23">
        <x:f>$V209</x:f>
      </x:c>
      <x:c r="R210" s="24">
        <x:f>$Q210*Inputs!$C$19/12</x:f>
      </x:c>
      <x:c r="S210" s="24">
        <x:f>MIN(MAX(0,($C210+$F210)-$M210),$R210)</x:f>
      </x:c>
      <x:c r="T210" s="24">
        <x:f>MIN(MAX(0,($D210+$X210)-$N210),MAX(0,$Q210-$U210))</x:f>
      </x:c>
      <x:c r="U210" s="24">
        <x:f>MIN(MAX(0,$E210-$I210),$Q210)</x:f>
      </x:c>
      <x:c r="V210" s="24">
        <x:f>MAX(0,$Q210-$U210)-$T210</x:f>
      </x:c>
      <x:c r="W210" s="24">
        <x:f>MAX(0,MAX(0,($C210+$F210)-$M210)-$S210)-MIN(MAX(0,$D$3-(MAX(0,$F210-MAX(0,($M210+$S210)-$C210)))),MAX(0,MAX(0,($C210+$F210)-$M210)-$S210))</x:f>
      </x:c>
      <x:c r="X210" s="24">
        <x:f>IF(Inputs!$C$39=1,$W210,0)</x:f>
      </x:c>
      <x:c r="Y210" s="24">
        <x:f>IF(Inputs!$C$39=0,$W210,0)+MAX(0,MAX(0,($D210+$X210)-$N210)-$T210)</x:f>
      </x:c>
    </x:row>
    <x:row r="211">
      <x:c r="B211" s="22" t="n">
        <x:v>206</x:v>
      </x:c>
      <x:c r="C211" s="29">
        <x:f>IF($B211&lt;=Inputs!$C$6+Inputs!$C$11,Cashflow_Asset!$E209-Cashflow_Asset!$K209,0)</x:f>
      </x:c>
      <x:c r="D211" s="29">
        <x:f>IF($B211&lt;=Inputs!$C$6+Inputs!$C$11,Cashflow_Asset!$F209+Cashflow_Asset!$G209+Cashflow_Asset!$I209,0)</x:f>
      </x:c>
      <x:c r="E211" s="29">
        <x:f>IF($B211&lt;=Inputs!$C$6+Inputs!$C$11,Cashflow_Asset!$J209,0)</x:f>
      </x:c>
      <x:c r="F211" s="23">
        <x:f>$G210</x:f>
      </x:c>
      <x:c r="G211" s="24">
        <x:f>(MAX(0,$F211-MAX(0,($M211+$S211)-$C211)))+MIN(MAX(0,$D$3-(MAX(0,$F211-MAX(0,($M211+$S211)-$C211)))),MAX(0,MAX(0,($C211+$F211)-$M211)-$S211))</x:f>
      </x:c>
      <x:c r="H211" s="23">
        <x:f>$J210</x:f>
      </x:c>
      <x:c r="I211" s="24">
        <x:f>MIN($E211,$H211)</x:f>
      </x:c>
      <x:c r="J211" s="24">
        <x:f>$H211-$I211</x:f>
      </x:c>
      <x:c r="K211" s="23">
        <x:f>$P210</x:f>
      </x:c>
      <x:c r="L211" s="24">
        <x:f>$K211*Inputs!$C$18/12</x:f>
      </x:c>
      <x:c r="M211" s="24">
        <x:f>MIN(($C211+$F211),$L211)</x:f>
      </x:c>
      <x:c r="N211" s="24">
        <x:f>MIN(($D211+$X211),MAX(0,$K211-$O211))</x:f>
      </x:c>
      <x:c r="O211" s="24">
        <x:f>MIN(MAX(0,MAX(0,$E211-$I211)-$U211),$K211)</x:f>
      </x:c>
      <x:c r="P211" s="24">
        <x:f>MAX(0,$K211-$O211)-$N211</x:f>
      </x:c>
      <x:c r="Q211" s="23">
        <x:f>$V210</x:f>
      </x:c>
      <x:c r="R211" s="24">
        <x:f>$Q211*Inputs!$C$19/12</x:f>
      </x:c>
      <x:c r="S211" s="24">
        <x:f>MIN(MAX(0,($C211+$F211)-$M211),$R211)</x:f>
      </x:c>
      <x:c r="T211" s="24">
        <x:f>MIN(MAX(0,($D211+$X211)-$N211),MAX(0,$Q211-$U211))</x:f>
      </x:c>
      <x:c r="U211" s="24">
        <x:f>MIN(MAX(0,$E211-$I211),$Q211)</x:f>
      </x:c>
      <x:c r="V211" s="24">
        <x:f>MAX(0,$Q211-$U211)-$T211</x:f>
      </x:c>
      <x:c r="W211" s="24">
        <x:f>MAX(0,MAX(0,($C211+$F211)-$M211)-$S211)-MIN(MAX(0,$D$3-(MAX(0,$F211-MAX(0,($M211+$S211)-$C211)))),MAX(0,MAX(0,($C211+$F211)-$M211)-$S211))</x:f>
      </x:c>
      <x:c r="X211" s="24">
        <x:f>IF(Inputs!$C$39=1,$W211,0)</x:f>
      </x:c>
      <x:c r="Y211" s="24">
        <x:f>IF(Inputs!$C$39=0,$W211,0)+MAX(0,MAX(0,($D211+$X211)-$N211)-$T211)</x:f>
      </x:c>
    </x:row>
    <x:row r="212">
      <x:c r="B212" s="22" t="n">
        <x:v>207</x:v>
      </x:c>
      <x:c r="C212" s="29">
        <x:f>IF($B212&lt;=Inputs!$C$6+Inputs!$C$11,Cashflow_Asset!$E210-Cashflow_Asset!$K210,0)</x:f>
      </x:c>
      <x:c r="D212" s="29">
        <x:f>IF($B212&lt;=Inputs!$C$6+Inputs!$C$11,Cashflow_Asset!$F210+Cashflow_Asset!$G210+Cashflow_Asset!$I210,0)</x:f>
      </x:c>
      <x:c r="E212" s="29">
        <x:f>IF($B212&lt;=Inputs!$C$6+Inputs!$C$11,Cashflow_Asset!$J210,0)</x:f>
      </x:c>
      <x:c r="F212" s="23">
        <x:f>$G211</x:f>
      </x:c>
      <x:c r="G212" s="24">
        <x:f>(MAX(0,$F212-MAX(0,($M212+$S212)-$C212)))+MIN(MAX(0,$D$3-(MAX(0,$F212-MAX(0,($M212+$S212)-$C212)))),MAX(0,MAX(0,($C212+$F212)-$M212)-$S212))</x:f>
      </x:c>
      <x:c r="H212" s="23">
        <x:f>$J211</x:f>
      </x:c>
      <x:c r="I212" s="24">
        <x:f>MIN($E212,$H212)</x:f>
      </x:c>
      <x:c r="J212" s="24">
        <x:f>$H212-$I212</x:f>
      </x:c>
      <x:c r="K212" s="23">
        <x:f>$P211</x:f>
      </x:c>
      <x:c r="L212" s="24">
        <x:f>$K212*Inputs!$C$18/12</x:f>
      </x:c>
      <x:c r="M212" s="24">
        <x:f>MIN(($C212+$F212),$L212)</x:f>
      </x:c>
      <x:c r="N212" s="24">
        <x:f>MIN(($D212+$X212),MAX(0,$K212-$O212))</x:f>
      </x:c>
      <x:c r="O212" s="24">
        <x:f>MIN(MAX(0,MAX(0,$E212-$I212)-$U212),$K212)</x:f>
      </x:c>
      <x:c r="P212" s="24">
        <x:f>MAX(0,$K212-$O212)-$N212</x:f>
      </x:c>
      <x:c r="Q212" s="23">
        <x:f>$V211</x:f>
      </x:c>
      <x:c r="R212" s="24">
        <x:f>$Q212*Inputs!$C$19/12</x:f>
      </x:c>
      <x:c r="S212" s="24">
        <x:f>MIN(MAX(0,($C212+$F212)-$M212),$R212)</x:f>
      </x:c>
      <x:c r="T212" s="24">
        <x:f>MIN(MAX(0,($D212+$X212)-$N212),MAX(0,$Q212-$U212))</x:f>
      </x:c>
      <x:c r="U212" s="24">
        <x:f>MIN(MAX(0,$E212-$I212),$Q212)</x:f>
      </x:c>
      <x:c r="V212" s="24">
        <x:f>MAX(0,$Q212-$U212)-$T212</x:f>
      </x:c>
      <x:c r="W212" s="24">
        <x:f>MAX(0,MAX(0,($C212+$F212)-$M212)-$S212)-MIN(MAX(0,$D$3-(MAX(0,$F212-MAX(0,($M212+$S212)-$C212)))),MAX(0,MAX(0,($C212+$F212)-$M212)-$S212))</x:f>
      </x:c>
      <x:c r="X212" s="24">
        <x:f>IF(Inputs!$C$39=1,$W212,0)</x:f>
      </x:c>
      <x:c r="Y212" s="24">
        <x:f>IF(Inputs!$C$39=0,$W212,0)+MAX(0,MAX(0,($D212+$X212)-$N212)-$T212)</x:f>
      </x:c>
    </x:row>
    <x:row r="213">
      <x:c r="B213" s="22" t="n">
        <x:v>208</x:v>
      </x:c>
      <x:c r="C213" s="29">
        <x:f>IF($B213&lt;=Inputs!$C$6+Inputs!$C$11,Cashflow_Asset!$E211-Cashflow_Asset!$K211,0)</x:f>
      </x:c>
      <x:c r="D213" s="29">
        <x:f>IF($B213&lt;=Inputs!$C$6+Inputs!$C$11,Cashflow_Asset!$F211+Cashflow_Asset!$G211+Cashflow_Asset!$I211,0)</x:f>
      </x:c>
      <x:c r="E213" s="29">
        <x:f>IF($B213&lt;=Inputs!$C$6+Inputs!$C$11,Cashflow_Asset!$J211,0)</x:f>
      </x:c>
      <x:c r="F213" s="23">
        <x:f>$G212</x:f>
      </x:c>
      <x:c r="G213" s="24">
        <x:f>(MAX(0,$F213-MAX(0,($M213+$S213)-$C213)))+MIN(MAX(0,$D$3-(MAX(0,$F213-MAX(0,($M213+$S213)-$C213)))),MAX(0,MAX(0,($C213+$F213)-$M213)-$S213))</x:f>
      </x:c>
      <x:c r="H213" s="23">
        <x:f>$J212</x:f>
      </x:c>
      <x:c r="I213" s="24">
        <x:f>MIN($E213,$H213)</x:f>
      </x:c>
      <x:c r="J213" s="24">
        <x:f>$H213-$I213</x:f>
      </x:c>
      <x:c r="K213" s="23">
        <x:f>$P212</x:f>
      </x:c>
      <x:c r="L213" s="24">
        <x:f>$K213*Inputs!$C$18/12</x:f>
      </x:c>
      <x:c r="M213" s="24">
        <x:f>MIN(($C213+$F213),$L213)</x:f>
      </x:c>
      <x:c r="N213" s="24">
        <x:f>MIN(($D213+$X213),MAX(0,$K213-$O213))</x:f>
      </x:c>
      <x:c r="O213" s="24">
        <x:f>MIN(MAX(0,MAX(0,$E213-$I213)-$U213),$K213)</x:f>
      </x:c>
      <x:c r="P213" s="24">
        <x:f>MAX(0,$K213-$O213)-$N213</x:f>
      </x:c>
      <x:c r="Q213" s="23">
        <x:f>$V212</x:f>
      </x:c>
      <x:c r="R213" s="24">
        <x:f>$Q213*Inputs!$C$19/12</x:f>
      </x:c>
      <x:c r="S213" s="24">
        <x:f>MIN(MAX(0,($C213+$F213)-$M213),$R213)</x:f>
      </x:c>
      <x:c r="T213" s="24">
        <x:f>MIN(MAX(0,($D213+$X213)-$N213),MAX(0,$Q213-$U213))</x:f>
      </x:c>
      <x:c r="U213" s="24">
        <x:f>MIN(MAX(0,$E213-$I213),$Q213)</x:f>
      </x:c>
      <x:c r="V213" s="24">
        <x:f>MAX(0,$Q213-$U213)-$T213</x:f>
      </x:c>
      <x:c r="W213" s="24">
        <x:f>MAX(0,MAX(0,($C213+$F213)-$M213)-$S213)-MIN(MAX(0,$D$3-(MAX(0,$F213-MAX(0,($M213+$S213)-$C213)))),MAX(0,MAX(0,($C213+$F213)-$M213)-$S213))</x:f>
      </x:c>
      <x:c r="X213" s="24">
        <x:f>IF(Inputs!$C$39=1,$W213,0)</x:f>
      </x:c>
      <x:c r="Y213" s="24">
        <x:f>IF(Inputs!$C$39=0,$W213,0)+MAX(0,MAX(0,($D213+$X213)-$N213)-$T213)</x:f>
      </x:c>
    </x:row>
    <x:row r="214">
      <x:c r="B214" s="22" t="n">
        <x:v>209</x:v>
      </x:c>
      <x:c r="C214" s="29">
        <x:f>IF($B214&lt;=Inputs!$C$6+Inputs!$C$11,Cashflow_Asset!$E212-Cashflow_Asset!$K212,0)</x:f>
      </x:c>
      <x:c r="D214" s="29">
        <x:f>IF($B214&lt;=Inputs!$C$6+Inputs!$C$11,Cashflow_Asset!$F212+Cashflow_Asset!$G212+Cashflow_Asset!$I212,0)</x:f>
      </x:c>
      <x:c r="E214" s="29">
        <x:f>IF($B214&lt;=Inputs!$C$6+Inputs!$C$11,Cashflow_Asset!$J212,0)</x:f>
      </x:c>
      <x:c r="F214" s="23">
        <x:f>$G213</x:f>
      </x:c>
      <x:c r="G214" s="24">
        <x:f>(MAX(0,$F214-MAX(0,($M214+$S214)-$C214)))+MIN(MAX(0,$D$3-(MAX(0,$F214-MAX(0,($M214+$S214)-$C214)))),MAX(0,MAX(0,($C214+$F214)-$M214)-$S214))</x:f>
      </x:c>
      <x:c r="H214" s="23">
        <x:f>$J213</x:f>
      </x:c>
      <x:c r="I214" s="24">
        <x:f>MIN($E214,$H214)</x:f>
      </x:c>
      <x:c r="J214" s="24">
        <x:f>$H214-$I214</x:f>
      </x:c>
      <x:c r="K214" s="23">
        <x:f>$P213</x:f>
      </x:c>
      <x:c r="L214" s="24">
        <x:f>$K214*Inputs!$C$18/12</x:f>
      </x:c>
      <x:c r="M214" s="24">
        <x:f>MIN(($C214+$F214),$L214)</x:f>
      </x:c>
      <x:c r="N214" s="24">
        <x:f>MIN(($D214+$X214),MAX(0,$K214-$O214))</x:f>
      </x:c>
      <x:c r="O214" s="24">
        <x:f>MIN(MAX(0,MAX(0,$E214-$I214)-$U214),$K214)</x:f>
      </x:c>
      <x:c r="P214" s="24">
        <x:f>MAX(0,$K214-$O214)-$N214</x:f>
      </x:c>
      <x:c r="Q214" s="23">
        <x:f>$V213</x:f>
      </x:c>
      <x:c r="R214" s="24">
        <x:f>$Q214*Inputs!$C$19/12</x:f>
      </x:c>
      <x:c r="S214" s="24">
        <x:f>MIN(MAX(0,($C214+$F214)-$M214),$R214)</x:f>
      </x:c>
      <x:c r="T214" s="24">
        <x:f>MIN(MAX(0,($D214+$X214)-$N214),MAX(0,$Q214-$U214))</x:f>
      </x:c>
      <x:c r="U214" s="24">
        <x:f>MIN(MAX(0,$E214-$I214),$Q214)</x:f>
      </x:c>
      <x:c r="V214" s="24">
        <x:f>MAX(0,$Q214-$U214)-$T214</x:f>
      </x:c>
      <x:c r="W214" s="24">
        <x:f>MAX(0,MAX(0,($C214+$F214)-$M214)-$S214)-MIN(MAX(0,$D$3-(MAX(0,$F214-MAX(0,($M214+$S214)-$C214)))),MAX(0,MAX(0,($C214+$F214)-$M214)-$S214))</x:f>
      </x:c>
      <x:c r="X214" s="24">
        <x:f>IF(Inputs!$C$39=1,$W214,0)</x:f>
      </x:c>
      <x:c r="Y214" s="24">
        <x:f>IF(Inputs!$C$39=0,$W214,0)+MAX(0,MAX(0,($D214+$X214)-$N214)-$T214)</x:f>
      </x:c>
    </x:row>
    <x:row r="215">
      <x:c r="B215" s="22" t="n">
        <x:v>210</x:v>
      </x:c>
      <x:c r="C215" s="29">
        <x:f>IF($B215&lt;=Inputs!$C$6+Inputs!$C$11,Cashflow_Asset!$E213-Cashflow_Asset!$K213,0)</x:f>
      </x:c>
      <x:c r="D215" s="29">
        <x:f>IF($B215&lt;=Inputs!$C$6+Inputs!$C$11,Cashflow_Asset!$F213+Cashflow_Asset!$G213+Cashflow_Asset!$I213,0)</x:f>
      </x:c>
      <x:c r="E215" s="29">
        <x:f>IF($B215&lt;=Inputs!$C$6+Inputs!$C$11,Cashflow_Asset!$J213,0)</x:f>
      </x:c>
      <x:c r="F215" s="23">
        <x:f>$G214</x:f>
      </x:c>
      <x:c r="G215" s="24">
        <x:f>(MAX(0,$F215-MAX(0,($M215+$S215)-$C215)))+MIN(MAX(0,$D$3-(MAX(0,$F215-MAX(0,($M215+$S215)-$C215)))),MAX(0,MAX(0,($C215+$F215)-$M215)-$S215))</x:f>
      </x:c>
      <x:c r="H215" s="23">
        <x:f>$J214</x:f>
      </x:c>
      <x:c r="I215" s="24">
        <x:f>MIN($E215,$H215)</x:f>
      </x:c>
      <x:c r="J215" s="24">
        <x:f>$H215-$I215</x:f>
      </x:c>
      <x:c r="K215" s="23">
        <x:f>$P214</x:f>
      </x:c>
      <x:c r="L215" s="24">
        <x:f>$K215*Inputs!$C$18/12</x:f>
      </x:c>
      <x:c r="M215" s="24">
        <x:f>MIN(($C215+$F215),$L215)</x:f>
      </x:c>
      <x:c r="N215" s="24">
        <x:f>MIN(($D215+$X215),MAX(0,$K215-$O215))</x:f>
      </x:c>
      <x:c r="O215" s="24">
        <x:f>MIN(MAX(0,MAX(0,$E215-$I215)-$U215),$K215)</x:f>
      </x:c>
      <x:c r="P215" s="24">
        <x:f>MAX(0,$K215-$O215)-$N215</x:f>
      </x:c>
      <x:c r="Q215" s="23">
        <x:f>$V214</x:f>
      </x:c>
      <x:c r="R215" s="24">
        <x:f>$Q215*Inputs!$C$19/12</x:f>
      </x:c>
      <x:c r="S215" s="24">
        <x:f>MIN(MAX(0,($C215+$F215)-$M215),$R215)</x:f>
      </x:c>
      <x:c r="T215" s="24">
        <x:f>MIN(MAX(0,($D215+$X215)-$N215),MAX(0,$Q215-$U215))</x:f>
      </x:c>
      <x:c r="U215" s="24">
        <x:f>MIN(MAX(0,$E215-$I215),$Q215)</x:f>
      </x:c>
      <x:c r="V215" s="24">
        <x:f>MAX(0,$Q215-$U215)-$T215</x:f>
      </x:c>
      <x:c r="W215" s="24">
        <x:f>MAX(0,MAX(0,($C215+$F215)-$M215)-$S215)-MIN(MAX(0,$D$3-(MAX(0,$F215-MAX(0,($M215+$S215)-$C215)))),MAX(0,MAX(0,($C215+$F215)-$M215)-$S215))</x:f>
      </x:c>
      <x:c r="X215" s="24">
        <x:f>IF(Inputs!$C$39=1,$W215,0)</x:f>
      </x:c>
      <x:c r="Y215" s="24">
        <x:f>IF(Inputs!$C$39=0,$W215,0)+MAX(0,MAX(0,($D215+$X215)-$N215)-$T215)</x:f>
      </x:c>
    </x:row>
    <x:row r="216">
      <x:c r="B216" s="22" t="n">
        <x:v>211</x:v>
      </x:c>
      <x:c r="C216" s="29">
        <x:f>IF($B216&lt;=Inputs!$C$6+Inputs!$C$11,Cashflow_Asset!$E214-Cashflow_Asset!$K214,0)</x:f>
      </x:c>
      <x:c r="D216" s="29">
        <x:f>IF($B216&lt;=Inputs!$C$6+Inputs!$C$11,Cashflow_Asset!$F214+Cashflow_Asset!$G214+Cashflow_Asset!$I214,0)</x:f>
      </x:c>
      <x:c r="E216" s="29">
        <x:f>IF($B216&lt;=Inputs!$C$6+Inputs!$C$11,Cashflow_Asset!$J214,0)</x:f>
      </x:c>
      <x:c r="F216" s="23">
        <x:f>$G215</x:f>
      </x:c>
      <x:c r="G216" s="24">
        <x:f>(MAX(0,$F216-MAX(0,($M216+$S216)-$C216)))+MIN(MAX(0,$D$3-(MAX(0,$F216-MAX(0,($M216+$S216)-$C216)))),MAX(0,MAX(0,($C216+$F216)-$M216)-$S216))</x:f>
      </x:c>
      <x:c r="H216" s="23">
        <x:f>$J215</x:f>
      </x:c>
      <x:c r="I216" s="24">
        <x:f>MIN($E216,$H216)</x:f>
      </x:c>
      <x:c r="J216" s="24">
        <x:f>$H216-$I216</x:f>
      </x:c>
      <x:c r="K216" s="23">
        <x:f>$P215</x:f>
      </x:c>
      <x:c r="L216" s="24">
        <x:f>$K216*Inputs!$C$18/12</x:f>
      </x:c>
      <x:c r="M216" s="24">
        <x:f>MIN(($C216+$F216),$L216)</x:f>
      </x:c>
      <x:c r="N216" s="24">
        <x:f>MIN(($D216+$X216),MAX(0,$K216-$O216))</x:f>
      </x:c>
      <x:c r="O216" s="24">
        <x:f>MIN(MAX(0,MAX(0,$E216-$I216)-$U216),$K216)</x:f>
      </x:c>
      <x:c r="P216" s="24">
        <x:f>MAX(0,$K216-$O216)-$N216</x:f>
      </x:c>
      <x:c r="Q216" s="23">
        <x:f>$V215</x:f>
      </x:c>
      <x:c r="R216" s="24">
        <x:f>$Q216*Inputs!$C$19/12</x:f>
      </x:c>
      <x:c r="S216" s="24">
        <x:f>MIN(MAX(0,($C216+$F216)-$M216),$R216)</x:f>
      </x:c>
      <x:c r="T216" s="24">
        <x:f>MIN(MAX(0,($D216+$X216)-$N216),MAX(0,$Q216-$U216))</x:f>
      </x:c>
      <x:c r="U216" s="24">
        <x:f>MIN(MAX(0,$E216-$I216),$Q216)</x:f>
      </x:c>
      <x:c r="V216" s="24">
        <x:f>MAX(0,$Q216-$U216)-$T216</x:f>
      </x:c>
      <x:c r="W216" s="24">
        <x:f>MAX(0,MAX(0,($C216+$F216)-$M216)-$S216)-MIN(MAX(0,$D$3-(MAX(0,$F216-MAX(0,($M216+$S216)-$C216)))),MAX(0,MAX(0,($C216+$F216)-$M216)-$S216))</x:f>
      </x:c>
      <x:c r="X216" s="24">
        <x:f>IF(Inputs!$C$39=1,$W216,0)</x:f>
      </x:c>
      <x:c r="Y216" s="24">
        <x:f>IF(Inputs!$C$39=0,$W216,0)+MAX(0,MAX(0,($D216+$X216)-$N216)-$T216)</x:f>
      </x:c>
    </x:row>
    <x:row r="217">
      <x:c r="B217" s="22" t="n">
        <x:v>212</x:v>
      </x:c>
      <x:c r="C217" s="29">
        <x:f>IF($B217&lt;=Inputs!$C$6+Inputs!$C$11,Cashflow_Asset!$E215-Cashflow_Asset!$K215,0)</x:f>
      </x:c>
      <x:c r="D217" s="29">
        <x:f>IF($B217&lt;=Inputs!$C$6+Inputs!$C$11,Cashflow_Asset!$F215+Cashflow_Asset!$G215+Cashflow_Asset!$I215,0)</x:f>
      </x:c>
      <x:c r="E217" s="29">
        <x:f>IF($B217&lt;=Inputs!$C$6+Inputs!$C$11,Cashflow_Asset!$J215,0)</x:f>
      </x:c>
      <x:c r="F217" s="23">
        <x:f>$G216</x:f>
      </x:c>
      <x:c r="G217" s="24">
        <x:f>(MAX(0,$F217-MAX(0,($M217+$S217)-$C217)))+MIN(MAX(0,$D$3-(MAX(0,$F217-MAX(0,($M217+$S217)-$C217)))),MAX(0,MAX(0,($C217+$F217)-$M217)-$S217))</x:f>
      </x:c>
      <x:c r="H217" s="23">
        <x:f>$J216</x:f>
      </x:c>
      <x:c r="I217" s="24">
        <x:f>MIN($E217,$H217)</x:f>
      </x:c>
      <x:c r="J217" s="24">
        <x:f>$H217-$I217</x:f>
      </x:c>
      <x:c r="K217" s="23">
        <x:f>$P216</x:f>
      </x:c>
      <x:c r="L217" s="24">
        <x:f>$K217*Inputs!$C$18/12</x:f>
      </x:c>
      <x:c r="M217" s="24">
        <x:f>MIN(($C217+$F217),$L217)</x:f>
      </x:c>
      <x:c r="N217" s="24">
        <x:f>MIN(($D217+$X217),MAX(0,$K217-$O217))</x:f>
      </x:c>
      <x:c r="O217" s="24">
        <x:f>MIN(MAX(0,MAX(0,$E217-$I217)-$U217),$K217)</x:f>
      </x:c>
      <x:c r="P217" s="24">
        <x:f>MAX(0,$K217-$O217)-$N217</x:f>
      </x:c>
      <x:c r="Q217" s="23">
        <x:f>$V216</x:f>
      </x:c>
      <x:c r="R217" s="24">
        <x:f>$Q217*Inputs!$C$19/12</x:f>
      </x:c>
      <x:c r="S217" s="24">
        <x:f>MIN(MAX(0,($C217+$F217)-$M217),$R217)</x:f>
      </x:c>
      <x:c r="T217" s="24">
        <x:f>MIN(MAX(0,($D217+$X217)-$N217),MAX(0,$Q217-$U217))</x:f>
      </x:c>
      <x:c r="U217" s="24">
        <x:f>MIN(MAX(0,$E217-$I217),$Q217)</x:f>
      </x:c>
      <x:c r="V217" s="24">
        <x:f>MAX(0,$Q217-$U217)-$T217</x:f>
      </x:c>
      <x:c r="W217" s="24">
        <x:f>MAX(0,MAX(0,($C217+$F217)-$M217)-$S217)-MIN(MAX(0,$D$3-(MAX(0,$F217-MAX(0,($M217+$S217)-$C217)))),MAX(0,MAX(0,($C217+$F217)-$M217)-$S217))</x:f>
      </x:c>
      <x:c r="X217" s="24">
        <x:f>IF(Inputs!$C$39=1,$W217,0)</x:f>
      </x:c>
      <x:c r="Y217" s="24">
        <x:f>IF(Inputs!$C$39=0,$W217,0)+MAX(0,MAX(0,($D217+$X217)-$N217)-$T217)</x:f>
      </x:c>
    </x:row>
    <x:row r="218">
      <x:c r="B218" s="22" t="n">
        <x:v>213</x:v>
      </x:c>
      <x:c r="C218" s="29">
        <x:f>IF($B218&lt;=Inputs!$C$6+Inputs!$C$11,Cashflow_Asset!$E216-Cashflow_Asset!$K216,0)</x:f>
      </x:c>
      <x:c r="D218" s="29">
        <x:f>IF($B218&lt;=Inputs!$C$6+Inputs!$C$11,Cashflow_Asset!$F216+Cashflow_Asset!$G216+Cashflow_Asset!$I216,0)</x:f>
      </x:c>
      <x:c r="E218" s="29">
        <x:f>IF($B218&lt;=Inputs!$C$6+Inputs!$C$11,Cashflow_Asset!$J216,0)</x:f>
      </x:c>
      <x:c r="F218" s="23">
        <x:f>$G217</x:f>
      </x:c>
      <x:c r="G218" s="24">
        <x:f>(MAX(0,$F218-MAX(0,($M218+$S218)-$C218)))+MIN(MAX(0,$D$3-(MAX(0,$F218-MAX(0,($M218+$S218)-$C218)))),MAX(0,MAX(0,($C218+$F218)-$M218)-$S218))</x:f>
      </x:c>
      <x:c r="H218" s="23">
        <x:f>$J217</x:f>
      </x:c>
      <x:c r="I218" s="24">
        <x:f>MIN($E218,$H218)</x:f>
      </x:c>
      <x:c r="J218" s="24">
        <x:f>$H218-$I218</x:f>
      </x:c>
      <x:c r="K218" s="23">
        <x:f>$P217</x:f>
      </x:c>
      <x:c r="L218" s="24">
        <x:f>$K218*Inputs!$C$18/12</x:f>
      </x:c>
      <x:c r="M218" s="24">
        <x:f>MIN(($C218+$F218),$L218)</x:f>
      </x:c>
      <x:c r="N218" s="24">
        <x:f>MIN(($D218+$X218),MAX(0,$K218-$O218))</x:f>
      </x:c>
      <x:c r="O218" s="24">
        <x:f>MIN(MAX(0,MAX(0,$E218-$I218)-$U218),$K218)</x:f>
      </x:c>
      <x:c r="P218" s="24">
        <x:f>MAX(0,$K218-$O218)-$N218</x:f>
      </x:c>
      <x:c r="Q218" s="23">
        <x:f>$V217</x:f>
      </x:c>
      <x:c r="R218" s="24">
        <x:f>$Q218*Inputs!$C$19/12</x:f>
      </x:c>
      <x:c r="S218" s="24">
        <x:f>MIN(MAX(0,($C218+$F218)-$M218),$R218)</x:f>
      </x:c>
      <x:c r="T218" s="24">
        <x:f>MIN(MAX(0,($D218+$X218)-$N218),MAX(0,$Q218-$U218))</x:f>
      </x:c>
      <x:c r="U218" s="24">
        <x:f>MIN(MAX(0,$E218-$I218),$Q218)</x:f>
      </x:c>
      <x:c r="V218" s="24">
        <x:f>MAX(0,$Q218-$U218)-$T218</x:f>
      </x:c>
      <x:c r="W218" s="24">
        <x:f>MAX(0,MAX(0,($C218+$F218)-$M218)-$S218)-MIN(MAX(0,$D$3-(MAX(0,$F218-MAX(0,($M218+$S218)-$C218)))),MAX(0,MAX(0,($C218+$F218)-$M218)-$S218))</x:f>
      </x:c>
      <x:c r="X218" s="24">
        <x:f>IF(Inputs!$C$39=1,$W218,0)</x:f>
      </x:c>
      <x:c r="Y218" s="24">
        <x:f>IF(Inputs!$C$39=0,$W218,0)+MAX(0,MAX(0,($D218+$X218)-$N218)-$T218)</x:f>
      </x:c>
    </x:row>
    <x:row r="219">
      <x:c r="B219" s="22" t="n">
        <x:v>214</x:v>
      </x:c>
      <x:c r="C219" s="29">
        <x:f>IF($B219&lt;=Inputs!$C$6+Inputs!$C$11,Cashflow_Asset!$E217-Cashflow_Asset!$K217,0)</x:f>
      </x:c>
      <x:c r="D219" s="29">
        <x:f>IF($B219&lt;=Inputs!$C$6+Inputs!$C$11,Cashflow_Asset!$F217+Cashflow_Asset!$G217+Cashflow_Asset!$I217,0)</x:f>
      </x:c>
      <x:c r="E219" s="29">
        <x:f>IF($B219&lt;=Inputs!$C$6+Inputs!$C$11,Cashflow_Asset!$J217,0)</x:f>
      </x:c>
      <x:c r="F219" s="23">
        <x:f>$G218</x:f>
      </x:c>
      <x:c r="G219" s="24">
        <x:f>(MAX(0,$F219-MAX(0,($M219+$S219)-$C219)))+MIN(MAX(0,$D$3-(MAX(0,$F219-MAX(0,($M219+$S219)-$C219)))),MAX(0,MAX(0,($C219+$F219)-$M219)-$S219))</x:f>
      </x:c>
      <x:c r="H219" s="23">
        <x:f>$J218</x:f>
      </x:c>
      <x:c r="I219" s="24">
        <x:f>MIN($E219,$H219)</x:f>
      </x:c>
      <x:c r="J219" s="24">
        <x:f>$H219-$I219</x:f>
      </x:c>
      <x:c r="K219" s="23">
        <x:f>$P218</x:f>
      </x:c>
      <x:c r="L219" s="24">
        <x:f>$K219*Inputs!$C$18/12</x:f>
      </x:c>
      <x:c r="M219" s="24">
        <x:f>MIN(($C219+$F219),$L219)</x:f>
      </x:c>
      <x:c r="N219" s="24">
        <x:f>MIN(($D219+$X219),MAX(0,$K219-$O219))</x:f>
      </x:c>
      <x:c r="O219" s="24">
        <x:f>MIN(MAX(0,MAX(0,$E219-$I219)-$U219),$K219)</x:f>
      </x:c>
      <x:c r="P219" s="24">
        <x:f>MAX(0,$K219-$O219)-$N219</x:f>
      </x:c>
      <x:c r="Q219" s="23">
        <x:f>$V218</x:f>
      </x:c>
      <x:c r="R219" s="24">
        <x:f>$Q219*Inputs!$C$19/12</x:f>
      </x:c>
      <x:c r="S219" s="24">
        <x:f>MIN(MAX(0,($C219+$F219)-$M219),$R219)</x:f>
      </x:c>
      <x:c r="T219" s="24">
        <x:f>MIN(MAX(0,($D219+$X219)-$N219),MAX(0,$Q219-$U219))</x:f>
      </x:c>
      <x:c r="U219" s="24">
        <x:f>MIN(MAX(0,$E219-$I219),$Q219)</x:f>
      </x:c>
      <x:c r="V219" s="24">
        <x:f>MAX(0,$Q219-$U219)-$T219</x:f>
      </x:c>
      <x:c r="W219" s="24">
        <x:f>MAX(0,MAX(0,($C219+$F219)-$M219)-$S219)-MIN(MAX(0,$D$3-(MAX(0,$F219-MAX(0,($M219+$S219)-$C219)))),MAX(0,MAX(0,($C219+$F219)-$M219)-$S219))</x:f>
      </x:c>
      <x:c r="X219" s="24">
        <x:f>IF(Inputs!$C$39=1,$W219,0)</x:f>
      </x:c>
      <x:c r="Y219" s="24">
        <x:f>IF(Inputs!$C$39=0,$W219,0)+MAX(0,MAX(0,($D219+$X219)-$N219)-$T219)</x:f>
      </x:c>
    </x:row>
    <x:row r="220">
      <x:c r="B220" s="22" t="n">
        <x:v>215</x:v>
      </x:c>
      <x:c r="C220" s="29">
        <x:f>IF($B220&lt;=Inputs!$C$6+Inputs!$C$11,Cashflow_Asset!$E218-Cashflow_Asset!$K218,0)</x:f>
      </x:c>
      <x:c r="D220" s="29">
        <x:f>IF($B220&lt;=Inputs!$C$6+Inputs!$C$11,Cashflow_Asset!$F218+Cashflow_Asset!$G218+Cashflow_Asset!$I218,0)</x:f>
      </x:c>
      <x:c r="E220" s="29">
        <x:f>IF($B220&lt;=Inputs!$C$6+Inputs!$C$11,Cashflow_Asset!$J218,0)</x:f>
      </x:c>
      <x:c r="F220" s="23">
        <x:f>$G219</x:f>
      </x:c>
      <x:c r="G220" s="24">
        <x:f>(MAX(0,$F220-MAX(0,($M220+$S220)-$C220)))+MIN(MAX(0,$D$3-(MAX(0,$F220-MAX(0,($M220+$S220)-$C220)))),MAX(0,MAX(0,($C220+$F220)-$M220)-$S220))</x:f>
      </x:c>
      <x:c r="H220" s="23">
        <x:f>$J219</x:f>
      </x:c>
      <x:c r="I220" s="24">
        <x:f>MIN($E220,$H220)</x:f>
      </x:c>
      <x:c r="J220" s="24">
        <x:f>$H220-$I220</x:f>
      </x:c>
      <x:c r="K220" s="23">
        <x:f>$P219</x:f>
      </x:c>
      <x:c r="L220" s="24">
        <x:f>$K220*Inputs!$C$18/12</x:f>
      </x:c>
      <x:c r="M220" s="24">
        <x:f>MIN(($C220+$F220),$L220)</x:f>
      </x:c>
      <x:c r="N220" s="24">
        <x:f>MIN(($D220+$X220),MAX(0,$K220-$O220))</x:f>
      </x:c>
      <x:c r="O220" s="24">
        <x:f>MIN(MAX(0,MAX(0,$E220-$I220)-$U220),$K220)</x:f>
      </x:c>
      <x:c r="P220" s="24">
        <x:f>MAX(0,$K220-$O220)-$N220</x:f>
      </x:c>
      <x:c r="Q220" s="23">
        <x:f>$V219</x:f>
      </x:c>
      <x:c r="R220" s="24">
        <x:f>$Q220*Inputs!$C$19/12</x:f>
      </x:c>
      <x:c r="S220" s="24">
        <x:f>MIN(MAX(0,($C220+$F220)-$M220),$R220)</x:f>
      </x:c>
      <x:c r="T220" s="24">
        <x:f>MIN(MAX(0,($D220+$X220)-$N220),MAX(0,$Q220-$U220))</x:f>
      </x:c>
      <x:c r="U220" s="24">
        <x:f>MIN(MAX(0,$E220-$I220),$Q220)</x:f>
      </x:c>
      <x:c r="V220" s="24">
        <x:f>MAX(0,$Q220-$U220)-$T220</x:f>
      </x:c>
      <x:c r="W220" s="24">
        <x:f>MAX(0,MAX(0,($C220+$F220)-$M220)-$S220)-MIN(MAX(0,$D$3-(MAX(0,$F220-MAX(0,($M220+$S220)-$C220)))),MAX(0,MAX(0,($C220+$F220)-$M220)-$S220))</x:f>
      </x:c>
      <x:c r="X220" s="24">
        <x:f>IF(Inputs!$C$39=1,$W220,0)</x:f>
      </x:c>
      <x:c r="Y220" s="24">
        <x:f>IF(Inputs!$C$39=0,$W220,0)+MAX(0,MAX(0,($D220+$X220)-$N220)-$T220)</x:f>
      </x:c>
    </x:row>
    <x:row r="221">
      <x:c r="B221" s="22" t="n">
        <x:v>216</x:v>
      </x:c>
      <x:c r="C221" s="29">
        <x:f>IF($B221&lt;=Inputs!$C$6+Inputs!$C$11,Cashflow_Asset!$E219-Cashflow_Asset!$K219,0)</x:f>
      </x:c>
      <x:c r="D221" s="29">
        <x:f>IF($B221&lt;=Inputs!$C$6+Inputs!$C$11,Cashflow_Asset!$F219+Cashflow_Asset!$G219+Cashflow_Asset!$I219,0)</x:f>
      </x:c>
      <x:c r="E221" s="29">
        <x:f>IF($B221&lt;=Inputs!$C$6+Inputs!$C$11,Cashflow_Asset!$J219,0)</x:f>
      </x:c>
      <x:c r="F221" s="23">
        <x:f>$G220</x:f>
      </x:c>
      <x:c r="G221" s="24">
        <x:f>(MAX(0,$F221-MAX(0,($M221+$S221)-$C221)))+MIN(MAX(0,$D$3-(MAX(0,$F221-MAX(0,($M221+$S221)-$C221)))),MAX(0,MAX(0,($C221+$F221)-$M221)-$S221))</x:f>
      </x:c>
      <x:c r="H221" s="23">
        <x:f>$J220</x:f>
      </x:c>
      <x:c r="I221" s="24">
        <x:f>MIN($E221,$H221)</x:f>
      </x:c>
      <x:c r="J221" s="24">
        <x:f>$H221-$I221</x:f>
      </x:c>
      <x:c r="K221" s="23">
        <x:f>$P220</x:f>
      </x:c>
      <x:c r="L221" s="24">
        <x:f>$K221*Inputs!$C$18/12</x:f>
      </x:c>
      <x:c r="M221" s="24">
        <x:f>MIN(($C221+$F221),$L221)</x:f>
      </x:c>
      <x:c r="N221" s="24">
        <x:f>MIN(($D221+$X221),MAX(0,$K221-$O221))</x:f>
      </x:c>
      <x:c r="O221" s="24">
        <x:f>MIN(MAX(0,MAX(0,$E221-$I221)-$U221),$K221)</x:f>
      </x:c>
      <x:c r="P221" s="24">
        <x:f>MAX(0,$K221-$O221)-$N221</x:f>
      </x:c>
      <x:c r="Q221" s="23">
        <x:f>$V220</x:f>
      </x:c>
      <x:c r="R221" s="24">
        <x:f>$Q221*Inputs!$C$19/12</x:f>
      </x:c>
      <x:c r="S221" s="24">
        <x:f>MIN(MAX(0,($C221+$F221)-$M221),$R221)</x:f>
      </x:c>
      <x:c r="T221" s="24">
        <x:f>MIN(MAX(0,($D221+$X221)-$N221),MAX(0,$Q221-$U221))</x:f>
      </x:c>
      <x:c r="U221" s="24">
        <x:f>MIN(MAX(0,$E221-$I221),$Q221)</x:f>
      </x:c>
      <x:c r="V221" s="24">
        <x:f>MAX(0,$Q221-$U221)-$T221</x:f>
      </x:c>
      <x:c r="W221" s="24">
        <x:f>MAX(0,MAX(0,($C221+$F221)-$M221)-$S221)-MIN(MAX(0,$D$3-(MAX(0,$F221-MAX(0,($M221+$S221)-$C221)))),MAX(0,MAX(0,($C221+$F221)-$M221)-$S221))</x:f>
      </x:c>
      <x:c r="X221" s="24">
        <x:f>IF(Inputs!$C$39=1,$W221,0)</x:f>
      </x:c>
      <x:c r="Y221" s="24">
        <x:f>IF(Inputs!$C$39=0,$W221,0)+MAX(0,MAX(0,($D221+$X221)-$N221)-$T221)</x:f>
      </x:c>
    </x:row>
    <x:row r="222">
      <x:c r="B222" s="22" t="n">
        <x:v>217</x:v>
      </x:c>
      <x:c r="C222" s="29">
        <x:f>IF($B222&lt;=Inputs!$C$6+Inputs!$C$11,Cashflow_Asset!$E220-Cashflow_Asset!$K220,0)</x:f>
      </x:c>
      <x:c r="D222" s="29">
        <x:f>IF($B222&lt;=Inputs!$C$6+Inputs!$C$11,Cashflow_Asset!$F220+Cashflow_Asset!$G220+Cashflow_Asset!$I220,0)</x:f>
      </x:c>
      <x:c r="E222" s="29">
        <x:f>IF($B222&lt;=Inputs!$C$6+Inputs!$C$11,Cashflow_Asset!$J220,0)</x:f>
      </x:c>
      <x:c r="F222" s="23">
        <x:f>$G221</x:f>
      </x:c>
      <x:c r="G222" s="24">
        <x:f>(MAX(0,$F222-MAX(0,($M222+$S222)-$C222)))+MIN(MAX(0,$D$3-(MAX(0,$F222-MAX(0,($M222+$S222)-$C222)))),MAX(0,MAX(0,($C222+$F222)-$M222)-$S222))</x:f>
      </x:c>
      <x:c r="H222" s="23">
        <x:f>$J221</x:f>
      </x:c>
      <x:c r="I222" s="24">
        <x:f>MIN($E222,$H222)</x:f>
      </x:c>
      <x:c r="J222" s="24">
        <x:f>$H222-$I222</x:f>
      </x:c>
      <x:c r="K222" s="23">
        <x:f>$P221</x:f>
      </x:c>
      <x:c r="L222" s="24">
        <x:f>$K222*Inputs!$C$18/12</x:f>
      </x:c>
      <x:c r="M222" s="24">
        <x:f>MIN(($C222+$F222),$L222)</x:f>
      </x:c>
      <x:c r="N222" s="24">
        <x:f>MIN(($D222+$X222),MAX(0,$K222-$O222))</x:f>
      </x:c>
      <x:c r="O222" s="24">
        <x:f>MIN(MAX(0,MAX(0,$E222-$I222)-$U222),$K222)</x:f>
      </x:c>
      <x:c r="P222" s="24">
        <x:f>MAX(0,$K222-$O222)-$N222</x:f>
      </x:c>
      <x:c r="Q222" s="23">
        <x:f>$V221</x:f>
      </x:c>
      <x:c r="R222" s="24">
        <x:f>$Q222*Inputs!$C$19/12</x:f>
      </x:c>
      <x:c r="S222" s="24">
        <x:f>MIN(MAX(0,($C222+$F222)-$M222),$R222)</x:f>
      </x:c>
      <x:c r="T222" s="24">
        <x:f>MIN(MAX(0,($D222+$X222)-$N222),MAX(0,$Q222-$U222))</x:f>
      </x:c>
      <x:c r="U222" s="24">
        <x:f>MIN(MAX(0,$E222-$I222),$Q222)</x:f>
      </x:c>
      <x:c r="V222" s="24">
        <x:f>MAX(0,$Q222-$U222)-$T222</x:f>
      </x:c>
      <x:c r="W222" s="24">
        <x:f>MAX(0,MAX(0,($C222+$F222)-$M222)-$S222)-MIN(MAX(0,$D$3-(MAX(0,$F222-MAX(0,($M222+$S222)-$C222)))),MAX(0,MAX(0,($C222+$F222)-$M222)-$S222))</x:f>
      </x:c>
      <x:c r="X222" s="24">
        <x:f>IF(Inputs!$C$39=1,$W222,0)</x:f>
      </x:c>
      <x:c r="Y222" s="24">
        <x:f>IF(Inputs!$C$39=0,$W222,0)+MAX(0,MAX(0,($D222+$X222)-$N222)-$T222)</x:f>
      </x:c>
    </x:row>
    <x:row r="223">
      <x:c r="B223" s="22" t="n">
        <x:v>218</x:v>
      </x:c>
      <x:c r="C223" s="29">
        <x:f>IF($B223&lt;=Inputs!$C$6+Inputs!$C$11,Cashflow_Asset!$E221-Cashflow_Asset!$K221,0)</x:f>
      </x:c>
      <x:c r="D223" s="29">
        <x:f>IF($B223&lt;=Inputs!$C$6+Inputs!$C$11,Cashflow_Asset!$F221+Cashflow_Asset!$G221+Cashflow_Asset!$I221,0)</x:f>
      </x:c>
      <x:c r="E223" s="29">
        <x:f>IF($B223&lt;=Inputs!$C$6+Inputs!$C$11,Cashflow_Asset!$J221,0)</x:f>
      </x:c>
      <x:c r="F223" s="23">
        <x:f>$G222</x:f>
      </x:c>
      <x:c r="G223" s="24">
        <x:f>(MAX(0,$F223-MAX(0,($M223+$S223)-$C223)))+MIN(MAX(0,$D$3-(MAX(0,$F223-MAX(0,($M223+$S223)-$C223)))),MAX(0,MAX(0,($C223+$F223)-$M223)-$S223))</x:f>
      </x:c>
      <x:c r="H223" s="23">
        <x:f>$J222</x:f>
      </x:c>
      <x:c r="I223" s="24">
        <x:f>MIN($E223,$H223)</x:f>
      </x:c>
      <x:c r="J223" s="24">
        <x:f>$H223-$I223</x:f>
      </x:c>
      <x:c r="K223" s="23">
        <x:f>$P222</x:f>
      </x:c>
      <x:c r="L223" s="24">
        <x:f>$K223*Inputs!$C$18/12</x:f>
      </x:c>
      <x:c r="M223" s="24">
        <x:f>MIN(($C223+$F223),$L223)</x:f>
      </x:c>
      <x:c r="N223" s="24">
        <x:f>MIN(($D223+$X223),MAX(0,$K223-$O223))</x:f>
      </x:c>
      <x:c r="O223" s="24">
        <x:f>MIN(MAX(0,MAX(0,$E223-$I223)-$U223),$K223)</x:f>
      </x:c>
      <x:c r="P223" s="24">
        <x:f>MAX(0,$K223-$O223)-$N223</x:f>
      </x:c>
      <x:c r="Q223" s="23">
        <x:f>$V222</x:f>
      </x:c>
      <x:c r="R223" s="24">
        <x:f>$Q223*Inputs!$C$19/12</x:f>
      </x:c>
      <x:c r="S223" s="24">
        <x:f>MIN(MAX(0,($C223+$F223)-$M223),$R223)</x:f>
      </x:c>
      <x:c r="T223" s="24">
        <x:f>MIN(MAX(0,($D223+$X223)-$N223),MAX(0,$Q223-$U223))</x:f>
      </x:c>
      <x:c r="U223" s="24">
        <x:f>MIN(MAX(0,$E223-$I223),$Q223)</x:f>
      </x:c>
      <x:c r="V223" s="24">
        <x:f>MAX(0,$Q223-$U223)-$T223</x:f>
      </x:c>
      <x:c r="W223" s="24">
        <x:f>MAX(0,MAX(0,($C223+$F223)-$M223)-$S223)-MIN(MAX(0,$D$3-(MAX(0,$F223-MAX(0,($M223+$S223)-$C223)))),MAX(0,MAX(0,($C223+$F223)-$M223)-$S223))</x:f>
      </x:c>
      <x:c r="X223" s="24">
        <x:f>IF(Inputs!$C$39=1,$W223,0)</x:f>
      </x:c>
      <x:c r="Y223" s="24">
        <x:f>IF(Inputs!$C$39=0,$W223,0)+MAX(0,MAX(0,($D223+$X223)-$N223)-$T223)</x:f>
      </x:c>
    </x:row>
    <x:row r="224">
      <x:c r="B224" s="22" t="n">
        <x:v>219</x:v>
      </x:c>
      <x:c r="C224" s="29">
        <x:f>IF($B224&lt;=Inputs!$C$6+Inputs!$C$11,Cashflow_Asset!$E222-Cashflow_Asset!$K222,0)</x:f>
      </x:c>
      <x:c r="D224" s="29">
        <x:f>IF($B224&lt;=Inputs!$C$6+Inputs!$C$11,Cashflow_Asset!$F222+Cashflow_Asset!$G222+Cashflow_Asset!$I222,0)</x:f>
      </x:c>
      <x:c r="E224" s="29">
        <x:f>IF($B224&lt;=Inputs!$C$6+Inputs!$C$11,Cashflow_Asset!$J222,0)</x:f>
      </x:c>
      <x:c r="F224" s="23">
        <x:f>$G223</x:f>
      </x:c>
      <x:c r="G224" s="24">
        <x:f>(MAX(0,$F224-MAX(0,($M224+$S224)-$C224)))+MIN(MAX(0,$D$3-(MAX(0,$F224-MAX(0,($M224+$S224)-$C224)))),MAX(0,MAX(0,($C224+$F224)-$M224)-$S224))</x:f>
      </x:c>
      <x:c r="H224" s="23">
        <x:f>$J223</x:f>
      </x:c>
      <x:c r="I224" s="24">
        <x:f>MIN($E224,$H224)</x:f>
      </x:c>
      <x:c r="J224" s="24">
        <x:f>$H224-$I224</x:f>
      </x:c>
      <x:c r="K224" s="23">
        <x:f>$P223</x:f>
      </x:c>
      <x:c r="L224" s="24">
        <x:f>$K224*Inputs!$C$18/12</x:f>
      </x:c>
      <x:c r="M224" s="24">
        <x:f>MIN(($C224+$F224),$L224)</x:f>
      </x:c>
      <x:c r="N224" s="24">
        <x:f>MIN(($D224+$X224),MAX(0,$K224-$O224))</x:f>
      </x:c>
      <x:c r="O224" s="24">
        <x:f>MIN(MAX(0,MAX(0,$E224-$I224)-$U224),$K224)</x:f>
      </x:c>
      <x:c r="P224" s="24">
        <x:f>MAX(0,$K224-$O224)-$N224</x:f>
      </x:c>
      <x:c r="Q224" s="23">
        <x:f>$V223</x:f>
      </x:c>
      <x:c r="R224" s="24">
        <x:f>$Q224*Inputs!$C$19/12</x:f>
      </x:c>
      <x:c r="S224" s="24">
        <x:f>MIN(MAX(0,($C224+$F224)-$M224),$R224)</x:f>
      </x:c>
      <x:c r="T224" s="24">
        <x:f>MIN(MAX(0,($D224+$X224)-$N224),MAX(0,$Q224-$U224))</x:f>
      </x:c>
      <x:c r="U224" s="24">
        <x:f>MIN(MAX(0,$E224-$I224),$Q224)</x:f>
      </x:c>
      <x:c r="V224" s="24">
        <x:f>MAX(0,$Q224-$U224)-$T224</x:f>
      </x:c>
      <x:c r="W224" s="24">
        <x:f>MAX(0,MAX(0,($C224+$F224)-$M224)-$S224)-MIN(MAX(0,$D$3-(MAX(0,$F224-MAX(0,($M224+$S224)-$C224)))),MAX(0,MAX(0,($C224+$F224)-$M224)-$S224))</x:f>
      </x:c>
      <x:c r="X224" s="24">
        <x:f>IF(Inputs!$C$39=1,$W224,0)</x:f>
      </x:c>
      <x:c r="Y224" s="24">
        <x:f>IF(Inputs!$C$39=0,$W224,0)+MAX(0,MAX(0,($D224+$X224)-$N224)-$T224)</x:f>
      </x:c>
    </x:row>
    <x:row r="225">
      <x:c r="B225" s="22" t="n">
        <x:v>220</x:v>
      </x:c>
      <x:c r="C225" s="29">
        <x:f>IF($B225&lt;=Inputs!$C$6+Inputs!$C$11,Cashflow_Asset!$E223-Cashflow_Asset!$K223,0)</x:f>
      </x:c>
      <x:c r="D225" s="29">
        <x:f>IF($B225&lt;=Inputs!$C$6+Inputs!$C$11,Cashflow_Asset!$F223+Cashflow_Asset!$G223+Cashflow_Asset!$I223,0)</x:f>
      </x:c>
      <x:c r="E225" s="29">
        <x:f>IF($B225&lt;=Inputs!$C$6+Inputs!$C$11,Cashflow_Asset!$J223,0)</x:f>
      </x:c>
      <x:c r="F225" s="23">
        <x:f>$G224</x:f>
      </x:c>
      <x:c r="G225" s="24">
        <x:f>(MAX(0,$F225-MAX(0,($M225+$S225)-$C225)))+MIN(MAX(0,$D$3-(MAX(0,$F225-MAX(0,($M225+$S225)-$C225)))),MAX(0,MAX(0,($C225+$F225)-$M225)-$S225))</x:f>
      </x:c>
      <x:c r="H225" s="23">
        <x:f>$J224</x:f>
      </x:c>
      <x:c r="I225" s="24">
        <x:f>MIN($E225,$H225)</x:f>
      </x:c>
      <x:c r="J225" s="24">
        <x:f>$H225-$I225</x:f>
      </x:c>
      <x:c r="K225" s="23">
        <x:f>$P224</x:f>
      </x:c>
      <x:c r="L225" s="24">
        <x:f>$K225*Inputs!$C$18/12</x:f>
      </x:c>
      <x:c r="M225" s="24">
        <x:f>MIN(($C225+$F225),$L225)</x:f>
      </x:c>
      <x:c r="N225" s="24">
        <x:f>MIN(($D225+$X225),MAX(0,$K225-$O225))</x:f>
      </x:c>
      <x:c r="O225" s="24">
        <x:f>MIN(MAX(0,MAX(0,$E225-$I225)-$U225),$K225)</x:f>
      </x:c>
      <x:c r="P225" s="24">
        <x:f>MAX(0,$K225-$O225)-$N225</x:f>
      </x:c>
      <x:c r="Q225" s="23">
        <x:f>$V224</x:f>
      </x:c>
      <x:c r="R225" s="24">
        <x:f>$Q225*Inputs!$C$19/12</x:f>
      </x:c>
      <x:c r="S225" s="24">
        <x:f>MIN(MAX(0,($C225+$F225)-$M225),$R225)</x:f>
      </x:c>
      <x:c r="T225" s="24">
        <x:f>MIN(MAX(0,($D225+$X225)-$N225),MAX(0,$Q225-$U225))</x:f>
      </x:c>
      <x:c r="U225" s="24">
        <x:f>MIN(MAX(0,$E225-$I225),$Q225)</x:f>
      </x:c>
      <x:c r="V225" s="24">
        <x:f>MAX(0,$Q225-$U225)-$T225</x:f>
      </x:c>
      <x:c r="W225" s="24">
        <x:f>MAX(0,MAX(0,($C225+$F225)-$M225)-$S225)-MIN(MAX(0,$D$3-(MAX(0,$F225-MAX(0,($M225+$S225)-$C225)))),MAX(0,MAX(0,($C225+$F225)-$M225)-$S225))</x:f>
      </x:c>
      <x:c r="X225" s="24">
        <x:f>IF(Inputs!$C$39=1,$W225,0)</x:f>
      </x:c>
      <x:c r="Y225" s="24">
        <x:f>IF(Inputs!$C$39=0,$W225,0)+MAX(0,MAX(0,($D225+$X225)-$N225)-$T225)</x:f>
      </x:c>
    </x:row>
    <x:row r="226">
      <x:c r="B226" s="22" t="n">
        <x:v>221</x:v>
      </x:c>
      <x:c r="C226" s="29">
        <x:f>IF($B226&lt;=Inputs!$C$6+Inputs!$C$11,Cashflow_Asset!$E224-Cashflow_Asset!$K224,0)</x:f>
      </x:c>
      <x:c r="D226" s="29">
        <x:f>IF($B226&lt;=Inputs!$C$6+Inputs!$C$11,Cashflow_Asset!$F224+Cashflow_Asset!$G224+Cashflow_Asset!$I224,0)</x:f>
      </x:c>
      <x:c r="E226" s="29">
        <x:f>IF($B226&lt;=Inputs!$C$6+Inputs!$C$11,Cashflow_Asset!$J224,0)</x:f>
      </x:c>
      <x:c r="F226" s="23">
        <x:f>$G225</x:f>
      </x:c>
      <x:c r="G226" s="24">
        <x:f>(MAX(0,$F226-MAX(0,($M226+$S226)-$C226)))+MIN(MAX(0,$D$3-(MAX(0,$F226-MAX(0,($M226+$S226)-$C226)))),MAX(0,MAX(0,($C226+$F226)-$M226)-$S226))</x:f>
      </x:c>
      <x:c r="H226" s="23">
        <x:f>$J225</x:f>
      </x:c>
      <x:c r="I226" s="24">
        <x:f>MIN($E226,$H226)</x:f>
      </x:c>
      <x:c r="J226" s="24">
        <x:f>$H226-$I226</x:f>
      </x:c>
      <x:c r="K226" s="23">
        <x:f>$P225</x:f>
      </x:c>
      <x:c r="L226" s="24">
        <x:f>$K226*Inputs!$C$18/12</x:f>
      </x:c>
      <x:c r="M226" s="24">
        <x:f>MIN(($C226+$F226),$L226)</x:f>
      </x:c>
      <x:c r="N226" s="24">
        <x:f>MIN(($D226+$X226),MAX(0,$K226-$O226))</x:f>
      </x:c>
      <x:c r="O226" s="24">
        <x:f>MIN(MAX(0,MAX(0,$E226-$I226)-$U226),$K226)</x:f>
      </x:c>
      <x:c r="P226" s="24">
        <x:f>MAX(0,$K226-$O226)-$N226</x:f>
      </x:c>
      <x:c r="Q226" s="23">
        <x:f>$V225</x:f>
      </x:c>
      <x:c r="R226" s="24">
        <x:f>$Q226*Inputs!$C$19/12</x:f>
      </x:c>
      <x:c r="S226" s="24">
        <x:f>MIN(MAX(0,($C226+$F226)-$M226),$R226)</x:f>
      </x:c>
      <x:c r="T226" s="24">
        <x:f>MIN(MAX(0,($D226+$X226)-$N226),MAX(0,$Q226-$U226))</x:f>
      </x:c>
      <x:c r="U226" s="24">
        <x:f>MIN(MAX(0,$E226-$I226),$Q226)</x:f>
      </x:c>
      <x:c r="V226" s="24">
        <x:f>MAX(0,$Q226-$U226)-$T226</x:f>
      </x:c>
      <x:c r="W226" s="24">
        <x:f>MAX(0,MAX(0,($C226+$F226)-$M226)-$S226)-MIN(MAX(0,$D$3-(MAX(0,$F226-MAX(0,($M226+$S226)-$C226)))),MAX(0,MAX(0,($C226+$F226)-$M226)-$S226))</x:f>
      </x:c>
      <x:c r="X226" s="24">
        <x:f>IF(Inputs!$C$39=1,$W226,0)</x:f>
      </x:c>
      <x:c r="Y226" s="24">
        <x:f>IF(Inputs!$C$39=0,$W226,0)+MAX(0,MAX(0,($D226+$X226)-$N226)-$T226)</x:f>
      </x:c>
    </x:row>
    <x:row r="227">
      <x:c r="B227" s="22" t="n">
        <x:v>222</x:v>
      </x:c>
      <x:c r="C227" s="29">
        <x:f>IF($B227&lt;=Inputs!$C$6+Inputs!$C$11,Cashflow_Asset!$E225-Cashflow_Asset!$K225,0)</x:f>
      </x:c>
      <x:c r="D227" s="29">
        <x:f>IF($B227&lt;=Inputs!$C$6+Inputs!$C$11,Cashflow_Asset!$F225+Cashflow_Asset!$G225+Cashflow_Asset!$I225,0)</x:f>
      </x:c>
      <x:c r="E227" s="29">
        <x:f>IF($B227&lt;=Inputs!$C$6+Inputs!$C$11,Cashflow_Asset!$J225,0)</x:f>
      </x:c>
      <x:c r="F227" s="23">
        <x:f>$G226</x:f>
      </x:c>
      <x:c r="G227" s="24">
        <x:f>(MAX(0,$F227-MAX(0,($M227+$S227)-$C227)))+MIN(MAX(0,$D$3-(MAX(0,$F227-MAX(0,($M227+$S227)-$C227)))),MAX(0,MAX(0,($C227+$F227)-$M227)-$S227))</x:f>
      </x:c>
      <x:c r="H227" s="23">
        <x:f>$J226</x:f>
      </x:c>
      <x:c r="I227" s="24">
        <x:f>MIN($E227,$H227)</x:f>
      </x:c>
      <x:c r="J227" s="24">
        <x:f>$H227-$I227</x:f>
      </x:c>
      <x:c r="K227" s="23">
        <x:f>$P226</x:f>
      </x:c>
      <x:c r="L227" s="24">
        <x:f>$K227*Inputs!$C$18/12</x:f>
      </x:c>
      <x:c r="M227" s="24">
        <x:f>MIN(($C227+$F227),$L227)</x:f>
      </x:c>
      <x:c r="N227" s="24">
        <x:f>MIN(($D227+$X227),MAX(0,$K227-$O227))</x:f>
      </x:c>
      <x:c r="O227" s="24">
        <x:f>MIN(MAX(0,MAX(0,$E227-$I227)-$U227),$K227)</x:f>
      </x:c>
      <x:c r="P227" s="24">
        <x:f>MAX(0,$K227-$O227)-$N227</x:f>
      </x:c>
      <x:c r="Q227" s="23">
        <x:f>$V226</x:f>
      </x:c>
      <x:c r="R227" s="24">
        <x:f>$Q227*Inputs!$C$19/12</x:f>
      </x:c>
      <x:c r="S227" s="24">
        <x:f>MIN(MAX(0,($C227+$F227)-$M227),$R227)</x:f>
      </x:c>
      <x:c r="T227" s="24">
        <x:f>MIN(MAX(0,($D227+$X227)-$N227),MAX(0,$Q227-$U227))</x:f>
      </x:c>
      <x:c r="U227" s="24">
        <x:f>MIN(MAX(0,$E227-$I227),$Q227)</x:f>
      </x:c>
      <x:c r="V227" s="24">
        <x:f>MAX(0,$Q227-$U227)-$T227</x:f>
      </x:c>
      <x:c r="W227" s="24">
        <x:f>MAX(0,MAX(0,($C227+$F227)-$M227)-$S227)-MIN(MAX(0,$D$3-(MAX(0,$F227-MAX(0,($M227+$S227)-$C227)))),MAX(0,MAX(0,($C227+$F227)-$M227)-$S227))</x:f>
      </x:c>
      <x:c r="X227" s="24">
        <x:f>IF(Inputs!$C$39=1,$W227,0)</x:f>
      </x:c>
      <x:c r="Y227" s="24">
        <x:f>IF(Inputs!$C$39=0,$W227,0)+MAX(0,MAX(0,($D227+$X227)-$N227)-$T227)</x:f>
      </x:c>
    </x:row>
    <x:row r="228">
      <x:c r="B228" s="22" t="n">
        <x:v>223</x:v>
      </x:c>
      <x:c r="C228" s="29">
        <x:f>IF($B228&lt;=Inputs!$C$6+Inputs!$C$11,Cashflow_Asset!$E226-Cashflow_Asset!$K226,0)</x:f>
      </x:c>
      <x:c r="D228" s="29">
        <x:f>IF($B228&lt;=Inputs!$C$6+Inputs!$C$11,Cashflow_Asset!$F226+Cashflow_Asset!$G226+Cashflow_Asset!$I226,0)</x:f>
      </x:c>
      <x:c r="E228" s="29">
        <x:f>IF($B228&lt;=Inputs!$C$6+Inputs!$C$11,Cashflow_Asset!$J226,0)</x:f>
      </x:c>
      <x:c r="F228" s="23">
        <x:f>$G227</x:f>
      </x:c>
      <x:c r="G228" s="24">
        <x:f>(MAX(0,$F228-MAX(0,($M228+$S228)-$C228)))+MIN(MAX(0,$D$3-(MAX(0,$F228-MAX(0,($M228+$S228)-$C228)))),MAX(0,MAX(0,($C228+$F228)-$M228)-$S228))</x:f>
      </x:c>
      <x:c r="H228" s="23">
        <x:f>$J227</x:f>
      </x:c>
      <x:c r="I228" s="24">
        <x:f>MIN($E228,$H228)</x:f>
      </x:c>
      <x:c r="J228" s="24">
        <x:f>$H228-$I228</x:f>
      </x:c>
      <x:c r="K228" s="23">
        <x:f>$P227</x:f>
      </x:c>
      <x:c r="L228" s="24">
        <x:f>$K228*Inputs!$C$18/12</x:f>
      </x:c>
      <x:c r="M228" s="24">
        <x:f>MIN(($C228+$F228),$L228)</x:f>
      </x:c>
      <x:c r="N228" s="24">
        <x:f>MIN(($D228+$X228),MAX(0,$K228-$O228))</x:f>
      </x:c>
      <x:c r="O228" s="24">
        <x:f>MIN(MAX(0,MAX(0,$E228-$I228)-$U228),$K228)</x:f>
      </x:c>
      <x:c r="P228" s="24">
        <x:f>MAX(0,$K228-$O228)-$N228</x:f>
      </x:c>
      <x:c r="Q228" s="23">
        <x:f>$V227</x:f>
      </x:c>
      <x:c r="R228" s="24">
        <x:f>$Q228*Inputs!$C$19/12</x:f>
      </x:c>
      <x:c r="S228" s="24">
        <x:f>MIN(MAX(0,($C228+$F228)-$M228),$R228)</x:f>
      </x:c>
      <x:c r="T228" s="24">
        <x:f>MIN(MAX(0,($D228+$X228)-$N228),MAX(0,$Q228-$U228))</x:f>
      </x:c>
      <x:c r="U228" s="24">
        <x:f>MIN(MAX(0,$E228-$I228),$Q228)</x:f>
      </x:c>
      <x:c r="V228" s="24">
        <x:f>MAX(0,$Q228-$U228)-$T228</x:f>
      </x:c>
      <x:c r="W228" s="24">
        <x:f>MAX(0,MAX(0,($C228+$F228)-$M228)-$S228)-MIN(MAX(0,$D$3-(MAX(0,$F228-MAX(0,($M228+$S228)-$C228)))),MAX(0,MAX(0,($C228+$F228)-$M228)-$S228))</x:f>
      </x:c>
      <x:c r="X228" s="24">
        <x:f>IF(Inputs!$C$39=1,$W228,0)</x:f>
      </x:c>
      <x:c r="Y228" s="24">
        <x:f>IF(Inputs!$C$39=0,$W228,0)+MAX(0,MAX(0,($D228+$X228)-$N228)-$T228)</x:f>
      </x:c>
    </x:row>
    <x:row r="229">
      <x:c r="B229" s="22" t="n">
        <x:v>224</x:v>
      </x:c>
      <x:c r="C229" s="29">
        <x:f>IF($B229&lt;=Inputs!$C$6+Inputs!$C$11,Cashflow_Asset!$E227-Cashflow_Asset!$K227,0)</x:f>
      </x:c>
      <x:c r="D229" s="29">
        <x:f>IF($B229&lt;=Inputs!$C$6+Inputs!$C$11,Cashflow_Asset!$F227+Cashflow_Asset!$G227+Cashflow_Asset!$I227,0)</x:f>
      </x:c>
      <x:c r="E229" s="29">
        <x:f>IF($B229&lt;=Inputs!$C$6+Inputs!$C$11,Cashflow_Asset!$J227,0)</x:f>
      </x:c>
      <x:c r="F229" s="23">
        <x:f>$G228</x:f>
      </x:c>
      <x:c r="G229" s="24">
        <x:f>(MAX(0,$F229-MAX(0,($M229+$S229)-$C229)))+MIN(MAX(0,$D$3-(MAX(0,$F229-MAX(0,($M229+$S229)-$C229)))),MAX(0,MAX(0,($C229+$F229)-$M229)-$S229))</x:f>
      </x:c>
      <x:c r="H229" s="23">
        <x:f>$J228</x:f>
      </x:c>
      <x:c r="I229" s="24">
        <x:f>MIN($E229,$H229)</x:f>
      </x:c>
      <x:c r="J229" s="24">
        <x:f>$H229-$I229</x:f>
      </x:c>
      <x:c r="K229" s="23">
        <x:f>$P228</x:f>
      </x:c>
      <x:c r="L229" s="24">
        <x:f>$K229*Inputs!$C$18/12</x:f>
      </x:c>
      <x:c r="M229" s="24">
        <x:f>MIN(($C229+$F229),$L229)</x:f>
      </x:c>
      <x:c r="N229" s="24">
        <x:f>MIN(($D229+$X229),MAX(0,$K229-$O229))</x:f>
      </x:c>
      <x:c r="O229" s="24">
        <x:f>MIN(MAX(0,MAX(0,$E229-$I229)-$U229),$K229)</x:f>
      </x:c>
      <x:c r="P229" s="24">
        <x:f>MAX(0,$K229-$O229)-$N229</x:f>
      </x:c>
      <x:c r="Q229" s="23">
        <x:f>$V228</x:f>
      </x:c>
      <x:c r="R229" s="24">
        <x:f>$Q229*Inputs!$C$19/12</x:f>
      </x:c>
      <x:c r="S229" s="24">
        <x:f>MIN(MAX(0,($C229+$F229)-$M229),$R229)</x:f>
      </x:c>
      <x:c r="T229" s="24">
        <x:f>MIN(MAX(0,($D229+$X229)-$N229),MAX(0,$Q229-$U229))</x:f>
      </x:c>
      <x:c r="U229" s="24">
        <x:f>MIN(MAX(0,$E229-$I229),$Q229)</x:f>
      </x:c>
      <x:c r="V229" s="24">
        <x:f>MAX(0,$Q229-$U229)-$T229</x:f>
      </x:c>
      <x:c r="W229" s="24">
        <x:f>MAX(0,MAX(0,($C229+$F229)-$M229)-$S229)-MIN(MAX(0,$D$3-(MAX(0,$F229-MAX(0,($M229+$S229)-$C229)))),MAX(0,MAX(0,($C229+$F229)-$M229)-$S229))</x:f>
      </x:c>
      <x:c r="X229" s="24">
        <x:f>IF(Inputs!$C$39=1,$W229,0)</x:f>
      </x:c>
      <x:c r="Y229" s="24">
        <x:f>IF(Inputs!$C$39=0,$W229,0)+MAX(0,MAX(0,($D229+$X229)-$N229)-$T229)</x:f>
      </x:c>
    </x:row>
    <x:row r="230">
      <x:c r="B230" s="22" t="n">
        <x:v>225</x:v>
      </x:c>
      <x:c r="C230" s="29">
        <x:f>IF($B230&lt;=Inputs!$C$6+Inputs!$C$11,Cashflow_Asset!$E228-Cashflow_Asset!$K228,0)</x:f>
      </x:c>
      <x:c r="D230" s="29">
        <x:f>IF($B230&lt;=Inputs!$C$6+Inputs!$C$11,Cashflow_Asset!$F228+Cashflow_Asset!$G228+Cashflow_Asset!$I228,0)</x:f>
      </x:c>
      <x:c r="E230" s="29">
        <x:f>IF($B230&lt;=Inputs!$C$6+Inputs!$C$11,Cashflow_Asset!$J228,0)</x:f>
      </x:c>
      <x:c r="F230" s="23">
        <x:f>$G229</x:f>
      </x:c>
      <x:c r="G230" s="24">
        <x:f>(MAX(0,$F230-MAX(0,($M230+$S230)-$C230)))+MIN(MAX(0,$D$3-(MAX(0,$F230-MAX(0,($M230+$S230)-$C230)))),MAX(0,MAX(0,($C230+$F230)-$M230)-$S230))</x:f>
      </x:c>
      <x:c r="H230" s="23">
        <x:f>$J229</x:f>
      </x:c>
      <x:c r="I230" s="24">
        <x:f>MIN($E230,$H230)</x:f>
      </x:c>
      <x:c r="J230" s="24">
        <x:f>$H230-$I230</x:f>
      </x:c>
      <x:c r="K230" s="23">
        <x:f>$P229</x:f>
      </x:c>
      <x:c r="L230" s="24">
        <x:f>$K230*Inputs!$C$18/12</x:f>
      </x:c>
      <x:c r="M230" s="24">
        <x:f>MIN(($C230+$F230),$L230)</x:f>
      </x:c>
      <x:c r="N230" s="24">
        <x:f>MIN(($D230+$X230),MAX(0,$K230-$O230))</x:f>
      </x:c>
      <x:c r="O230" s="24">
        <x:f>MIN(MAX(0,MAX(0,$E230-$I230)-$U230),$K230)</x:f>
      </x:c>
      <x:c r="P230" s="24">
        <x:f>MAX(0,$K230-$O230)-$N230</x:f>
      </x:c>
      <x:c r="Q230" s="23">
        <x:f>$V229</x:f>
      </x:c>
      <x:c r="R230" s="24">
        <x:f>$Q230*Inputs!$C$19/12</x:f>
      </x:c>
      <x:c r="S230" s="24">
        <x:f>MIN(MAX(0,($C230+$F230)-$M230),$R230)</x:f>
      </x:c>
      <x:c r="T230" s="24">
        <x:f>MIN(MAX(0,($D230+$X230)-$N230),MAX(0,$Q230-$U230))</x:f>
      </x:c>
      <x:c r="U230" s="24">
        <x:f>MIN(MAX(0,$E230-$I230),$Q230)</x:f>
      </x:c>
      <x:c r="V230" s="24">
        <x:f>MAX(0,$Q230-$U230)-$T230</x:f>
      </x:c>
      <x:c r="W230" s="24">
        <x:f>MAX(0,MAX(0,($C230+$F230)-$M230)-$S230)-MIN(MAX(0,$D$3-(MAX(0,$F230-MAX(0,($M230+$S230)-$C230)))),MAX(0,MAX(0,($C230+$F230)-$M230)-$S230))</x:f>
      </x:c>
      <x:c r="X230" s="24">
        <x:f>IF(Inputs!$C$39=1,$W230,0)</x:f>
      </x:c>
      <x:c r="Y230" s="24">
        <x:f>IF(Inputs!$C$39=0,$W230,0)+MAX(0,MAX(0,($D230+$X230)-$N230)-$T230)</x:f>
      </x:c>
    </x:row>
    <x:row r="231">
      <x:c r="B231" s="22" t="n">
        <x:v>226</x:v>
      </x:c>
      <x:c r="C231" s="29">
        <x:f>IF($B231&lt;=Inputs!$C$6+Inputs!$C$11,Cashflow_Asset!$E229-Cashflow_Asset!$K229,0)</x:f>
      </x:c>
      <x:c r="D231" s="29">
        <x:f>IF($B231&lt;=Inputs!$C$6+Inputs!$C$11,Cashflow_Asset!$F229+Cashflow_Asset!$G229+Cashflow_Asset!$I229,0)</x:f>
      </x:c>
      <x:c r="E231" s="29">
        <x:f>IF($B231&lt;=Inputs!$C$6+Inputs!$C$11,Cashflow_Asset!$J229,0)</x:f>
      </x:c>
      <x:c r="F231" s="23">
        <x:f>$G230</x:f>
      </x:c>
      <x:c r="G231" s="24">
        <x:f>(MAX(0,$F231-MAX(0,($M231+$S231)-$C231)))+MIN(MAX(0,$D$3-(MAX(0,$F231-MAX(0,($M231+$S231)-$C231)))),MAX(0,MAX(0,($C231+$F231)-$M231)-$S231))</x:f>
      </x:c>
      <x:c r="H231" s="23">
        <x:f>$J230</x:f>
      </x:c>
      <x:c r="I231" s="24">
        <x:f>MIN($E231,$H231)</x:f>
      </x:c>
      <x:c r="J231" s="24">
        <x:f>$H231-$I231</x:f>
      </x:c>
      <x:c r="K231" s="23">
        <x:f>$P230</x:f>
      </x:c>
      <x:c r="L231" s="24">
        <x:f>$K231*Inputs!$C$18/12</x:f>
      </x:c>
      <x:c r="M231" s="24">
        <x:f>MIN(($C231+$F231),$L231)</x:f>
      </x:c>
      <x:c r="N231" s="24">
        <x:f>MIN(($D231+$X231),MAX(0,$K231-$O231))</x:f>
      </x:c>
      <x:c r="O231" s="24">
        <x:f>MIN(MAX(0,MAX(0,$E231-$I231)-$U231),$K231)</x:f>
      </x:c>
      <x:c r="P231" s="24">
        <x:f>MAX(0,$K231-$O231)-$N231</x:f>
      </x:c>
      <x:c r="Q231" s="23">
        <x:f>$V230</x:f>
      </x:c>
      <x:c r="R231" s="24">
        <x:f>$Q231*Inputs!$C$19/12</x:f>
      </x:c>
      <x:c r="S231" s="24">
        <x:f>MIN(MAX(0,($C231+$F231)-$M231),$R231)</x:f>
      </x:c>
      <x:c r="T231" s="24">
        <x:f>MIN(MAX(0,($D231+$X231)-$N231),MAX(0,$Q231-$U231))</x:f>
      </x:c>
      <x:c r="U231" s="24">
        <x:f>MIN(MAX(0,$E231-$I231),$Q231)</x:f>
      </x:c>
      <x:c r="V231" s="24">
        <x:f>MAX(0,$Q231-$U231)-$T231</x:f>
      </x:c>
      <x:c r="W231" s="24">
        <x:f>MAX(0,MAX(0,($C231+$F231)-$M231)-$S231)-MIN(MAX(0,$D$3-(MAX(0,$F231-MAX(0,($M231+$S231)-$C231)))),MAX(0,MAX(0,($C231+$F231)-$M231)-$S231))</x:f>
      </x:c>
      <x:c r="X231" s="24">
        <x:f>IF(Inputs!$C$39=1,$W231,0)</x:f>
      </x:c>
      <x:c r="Y231" s="24">
        <x:f>IF(Inputs!$C$39=0,$W231,0)+MAX(0,MAX(0,($D231+$X231)-$N231)-$T231)</x:f>
      </x:c>
    </x:row>
    <x:row r="232">
      <x:c r="B232" s="22" t="n">
        <x:v>227</x:v>
      </x:c>
      <x:c r="C232" s="29">
        <x:f>IF($B232&lt;=Inputs!$C$6+Inputs!$C$11,Cashflow_Asset!$E230-Cashflow_Asset!$K230,0)</x:f>
      </x:c>
      <x:c r="D232" s="29">
        <x:f>IF($B232&lt;=Inputs!$C$6+Inputs!$C$11,Cashflow_Asset!$F230+Cashflow_Asset!$G230+Cashflow_Asset!$I230,0)</x:f>
      </x:c>
      <x:c r="E232" s="29">
        <x:f>IF($B232&lt;=Inputs!$C$6+Inputs!$C$11,Cashflow_Asset!$J230,0)</x:f>
      </x:c>
      <x:c r="F232" s="23">
        <x:f>$G231</x:f>
      </x:c>
      <x:c r="G232" s="24">
        <x:f>(MAX(0,$F232-MAX(0,($M232+$S232)-$C232)))+MIN(MAX(0,$D$3-(MAX(0,$F232-MAX(0,($M232+$S232)-$C232)))),MAX(0,MAX(0,($C232+$F232)-$M232)-$S232))</x:f>
      </x:c>
      <x:c r="H232" s="23">
        <x:f>$J231</x:f>
      </x:c>
      <x:c r="I232" s="24">
        <x:f>MIN($E232,$H232)</x:f>
      </x:c>
      <x:c r="J232" s="24">
        <x:f>$H232-$I232</x:f>
      </x:c>
      <x:c r="K232" s="23">
        <x:f>$P231</x:f>
      </x:c>
      <x:c r="L232" s="24">
        <x:f>$K232*Inputs!$C$18/12</x:f>
      </x:c>
      <x:c r="M232" s="24">
        <x:f>MIN(($C232+$F232),$L232)</x:f>
      </x:c>
      <x:c r="N232" s="24">
        <x:f>MIN(($D232+$X232),MAX(0,$K232-$O232))</x:f>
      </x:c>
      <x:c r="O232" s="24">
        <x:f>MIN(MAX(0,MAX(0,$E232-$I232)-$U232),$K232)</x:f>
      </x:c>
      <x:c r="P232" s="24">
        <x:f>MAX(0,$K232-$O232)-$N232</x:f>
      </x:c>
      <x:c r="Q232" s="23">
        <x:f>$V231</x:f>
      </x:c>
      <x:c r="R232" s="24">
        <x:f>$Q232*Inputs!$C$19/12</x:f>
      </x:c>
      <x:c r="S232" s="24">
        <x:f>MIN(MAX(0,($C232+$F232)-$M232),$R232)</x:f>
      </x:c>
      <x:c r="T232" s="24">
        <x:f>MIN(MAX(0,($D232+$X232)-$N232),MAX(0,$Q232-$U232))</x:f>
      </x:c>
      <x:c r="U232" s="24">
        <x:f>MIN(MAX(0,$E232-$I232),$Q232)</x:f>
      </x:c>
      <x:c r="V232" s="24">
        <x:f>MAX(0,$Q232-$U232)-$T232</x:f>
      </x:c>
      <x:c r="W232" s="24">
        <x:f>MAX(0,MAX(0,($C232+$F232)-$M232)-$S232)-MIN(MAX(0,$D$3-(MAX(0,$F232-MAX(0,($M232+$S232)-$C232)))),MAX(0,MAX(0,($C232+$F232)-$M232)-$S232))</x:f>
      </x:c>
      <x:c r="X232" s="24">
        <x:f>IF(Inputs!$C$39=1,$W232,0)</x:f>
      </x:c>
      <x:c r="Y232" s="24">
        <x:f>IF(Inputs!$C$39=0,$W232,0)+MAX(0,MAX(0,($D232+$X232)-$N232)-$T232)</x:f>
      </x:c>
    </x:row>
    <x:row r="233">
      <x:c r="B233" s="22" t="n">
        <x:v>228</x:v>
      </x:c>
      <x:c r="C233" s="29">
        <x:f>IF($B233&lt;=Inputs!$C$6+Inputs!$C$11,Cashflow_Asset!$E231-Cashflow_Asset!$K231,0)</x:f>
      </x:c>
      <x:c r="D233" s="29">
        <x:f>IF($B233&lt;=Inputs!$C$6+Inputs!$C$11,Cashflow_Asset!$F231+Cashflow_Asset!$G231+Cashflow_Asset!$I231,0)</x:f>
      </x:c>
      <x:c r="E233" s="29">
        <x:f>IF($B233&lt;=Inputs!$C$6+Inputs!$C$11,Cashflow_Asset!$J231,0)</x:f>
      </x:c>
      <x:c r="F233" s="23">
        <x:f>$G232</x:f>
      </x:c>
      <x:c r="G233" s="24">
        <x:f>(MAX(0,$F233-MAX(0,($M233+$S233)-$C233)))+MIN(MAX(0,$D$3-(MAX(0,$F233-MAX(0,($M233+$S233)-$C233)))),MAX(0,MAX(0,($C233+$F233)-$M233)-$S233))</x:f>
      </x:c>
      <x:c r="H233" s="23">
        <x:f>$J232</x:f>
      </x:c>
      <x:c r="I233" s="24">
        <x:f>MIN($E233,$H233)</x:f>
      </x:c>
      <x:c r="J233" s="24">
        <x:f>$H233-$I233</x:f>
      </x:c>
      <x:c r="K233" s="23">
        <x:f>$P232</x:f>
      </x:c>
      <x:c r="L233" s="24">
        <x:f>$K233*Inputs!$C$18/12</x:f>
      </x:c>
      <x:c r="M233" s="24">
        <x:f>MIN(($C233+$F233),$L233)</x:f>
      </x:c>
      <x:c r="N233" s="24">
        <x:f>MIN(($D233+$X233),MAX(0,$K233-$O233))</x:f>
      </x:c>
      <x:c r="O233" s="24">
        <x:f>MIN(MAX(0,MAX(0,$E233-$I233)-$U233),$K233)</x:f>
      </x:c>
      <x:c r="P233" s="24">
        <x:f>MAX(0,$K233-$O233)-$N233</x:f>
      </x:c>
      <x:c r="Q233" s="23">
        <x:f>$V232</x:f>
      </x:c>
      <x:c r="R233" s="24">
        <x:f>$Q233*Inputs!$C$19/12</x:f>
      </x:c>
      <x:c r="S233" s="24">
        <x:f>MIN(MAX(0,($C233+$F233)-$M233),$R233)</x:f>
      </x:c>
      <x:c r="T233" s="24">
        <x:f>MIN(MAX(0,($D233+$X233)-$N233),MAX(0,$Q233-$U233))</x:f>
      </x:c>
      <x:c r="U233" s="24">
        <x:f>MIN(MAX(0,$E233-$I233),$Q233)</x:f>
      </x:c>
      <x:c r="V233" s="24">
        <x:f>MAX(0,$Q233-$U233)-$T233</x:f>
      </x:c>
      <x:c r="W233" s="24">
        <x:f>MAX(0,MAX(0,($C233+$F233)-$M233)-$S233)-MIN(MAX(0,$D$3-(MAX(0,$F233-MAX(0,($M233+$S233)-$C233)))),MAX(0,MAX(0,($C233+$F233)-$M233)-$S233))</x:f>
      </x:c>
      <x:c r="X233" s="24">
        <x:f>IF(Inputs!$C$39=1,$W233,0)</x:f>
      </x:c>
      <x:c r="Y233" s="24">
        <x:f>IF(Inputs!$C$39=0,$W233,0)+MAX(0,MAX(0,($D233+$X233)-$N233)-$T233)</x:f>
      </x:c>
    </x:row>
    <x:row r="234">
      <x:c r="B234" s="22" t="n">
        <x:v>229</x:v>
      </x:c>
      <x:c r="C234" s="29">
        <x:f>IF($B234&lt;=Inputs!$C$6+Inputs!$C$11,Cashflow_Asset!$E232-Cashflow_Asset!$K232,0)</x:f>
      </x:c>
      <x:c r="D234" s="29">
        <x:f>IF($B234&lt;=Inputs!$C$6+Inputs!$C$11,Cashflow_Asset!$F232+Cashflow_Asset!$G232+Cashflow_Asset!$I232,0)</x:f>
      </x:c>
      <x:c r="E234" s="29">
        <x:f>IF($B234&lt;=Inputs!$C$6+Inputs!$C$11,Cashflow_Asset!$J232,0)</x:f>
      </x:c>
      <x:c r="F234" s="23">
        <x:f>$G233</x:f>
      </x:c>
      <x:c r="G234" s="24">
        <x:f>(MAX(0,$F234-MAX(0,($M234+$S234)-$C234)))+MIN(MAX(0,$D$3-(MAX(0,$F234-MAX(0,($M234+$S234)-$C234)))),MAX(0,MAX(0,($C234+$F234)-$M234)-$S234))</x:f>
      </x:c>
      <x:c r="H234" s="23">
        <x:f>$J233</x:f>
      </x:c>
      <x:c r="I234" s="24">
        <x:f>MIN($E234,$H234)</x:f>
      </x:c>
      <x:c r="J234" s="24">
        <x:f>$H234-$I234</x:f>
      </x:c>
      <x:c r="K234" s="23">
        <x:f>$P233</x:f>
      </x:c>
      <x:c r="L234" s="24">
        <x:f>$K234*Inputs!$C$18/12</x:f>
      </x:c>
      <x:c r="M234" s="24">
        <x:f>MIN(($C234+$F234),$L234)</x:f>
      </x:c>
      <x:c r="N234" s="24">
        <x:f>MIN(($D234+$X234),MAX(0,$K234-$O234))</x:f>
      </x:c>
      <x:c r="O234" s="24">
        <x:f>MIN(MAX(0,MAX(0,$E234-$I234)-$U234),$K234)</x:f>
      </x:c>
      <x:c r="P234" s="24">
        <x:f>MAX(0,$K234-$O234)-$N234</x:f>
      </x:c>
      <x:c r="Q234" s="23">
        <x:f>$V233</x:f>
      </x:c>
      <x:c r="R234" s="24">
        <x:f>$Q234*Inputs!$C$19/12</x:f>
      </x:c>
      <x:c r="S234" s="24">
        <x:f>MIN(MAX(0,($C234+$F234)-$M234),$R234)</x:f>
      </x:c>
      <x:c r="T234" s="24">
        <x:f>MIN(MAX(0,($D234+$X234)-$N234),MAX(0,$Q234-$U234))</x:f>
      </x:c>
      <x:c r="U234" s="24">
        <x:f>MIN(MAX(0,$E234-$I234),$Q234)</x:f>
      </x:c>
      <x:c r="V234" s="24">
        <x:f>MAX(0,$Q234-$U234)-$T234</x:f>
      </x:c>
      <x:c r="W234" s="24">
        <x:f>MAX(0,MAX(0,($C234+$F234)-$M234)-$S234)-MIN(MAX(0,$D$3-(MAX(0,$F234-MAX(0,($M234+$S234)-$C234)))),MAX(0,MAX(0,($C234+$F234)-$M234)-$S234))</x:f>
      </x:c>
      <x:c r="X234" s="24">
        <x:f>IF(Inputs!$C$39=1,$W234,0)</x:f>
      </x:c>
      <x:c r="Y234" s="24">
        <x:f>IF(Inputs!$C$39=0,$W234,0)+MAX(0,MAX(0,($D234+$X234)-$N234)-$T234)</x:f>
      </x:c>
    </x:row>
    <x:row r="235">
      <x:c r="B235" s="22" t="n">
        <x:v>230</x:v>
      </x:c>
      <x:c r="C235" s="29">
        <x:f>IF($B235&lt;=Inputs!$C$6+Inputs!$C$11,Cashflow_Asset!$E233-Cashflow_Asset!$K233,0)</x:f>
      </x:c>
      <x:c r="D235" s="29">
        <x:f>IF($B235&lt;=Inputs!$C$6+Inputs!$C$11,Cashflow_Asset!$F233+Cashflow_Asset!$G233+Cashflow_Asset!$I233,0)</x:f>
      </x:c>
      <x:c r="E235" s="29">
        <x:f>IF($B235&lt;=Inputs!$C$6+Inputs!$C$11,Cashflow_Asset!$J233,0)</x:f>
      </x:c>
      <x:c r="F235" s="23">
        <x:f>$G234</x:f>
      </x:c>
      <x:c r="G235" s="24">
        <x:f>(MAX(0,$F235-MAX(0,($M235+$S235)-$C235)))+MIN(MAX(0,$D$3-(MAX(0,$F235-MAX(0,($M235+$S235)-$C235)))),MAX(0,MAX(0,($C235+$F235)-$M235)-$S235))</x:f>
      </x:c>
      <x:c r="H235" s="23">
        <x:f>$J234</x:f>
      </x:c>
      <x:c r="I235" s="24">
        <x:f>MIN($E235,$H235)</x:f>
      </x:c>
      <x:c r="J235" s="24">
        <x:f>$H235-$I235</x:f>
      </x:c>
      <x:c r="K235" s="23">
        <x:f>$P234</x:f>
      </x:c>
      <x:c r="L235" s="24">
        <x:f>$K235*Inputs!$C$18/12</x:f>
      </x:c>
      <x:c r="M235" s="24">
        <x:f>MIN(($C235+$F235),$L235)</x:f>
      </x:c>
      <x:c r="N235" s="24">
        <x:f>MIN(($D235+$X235),MAX(0,$K235-$O235))</x:f>
      </x:c>
      <x:c r="O235" s="24">
        <x:f>MIN(MAX(0,MAX(0,$E235-$I235)-$U235),$K235)</x:f>
      </x:c>
      <x:c r="P235" s="24">
        <x:f>MAX(0,$K235-$O235)-$N235</x:f>
      </x:c>
      <x:c r="Q235" s="23">
        <x:f>$V234</x:f>
      </x:c>
      <x:c r="R235" s="24">
        <x:f>$Q235*Inputs!$C$19/12</x:f>
      </x:c>
      <x:c r="S235" s="24">
        <x:f>MIN(MAX(0,($C235+$F235)-$M235),$R235)</x:f>
      </x:c>
      <x:c r="T235" s="24">
        <x:f>MIN(MAX(0,($D235+$X235)-$N235),MAX(0,$Q235-$U235))</x:f>
      </x:c>
      <x:c r="U235" s="24">
        <x:f>MIN(MAX(0,$E235-$I235),$Q235)</x:f>
      </x:c>
      <x:c r="V235" s="24">
        <x:f>MAX(0,$Q235-$U235)-$T235</x:f>
      </x:c>
      <x:c r="W235" s="24">
        <x:f>MAX(0,MAX(0,($C235+$F235)-$M235)-$S235)-MIN(MAX(0,$D$3-(MAX(0,$F235-MAX(0,($M235+$S235)-$C235)))),MAX(0,MAX(0,($C235+$F235)-$M235)-$S235))</x:f>
      </x:c>
      <x:c r="X235" s="24">
        <x:f>IF(Inputs!$C$39=1,$W235,0)</x:f>
      </x:c>
      <x:c r="Y235" s="24">
        <x:f>IF(Inputs!$C$39=0,$W235,0)+MAX(0,MAX(0,($D235+$X235)-$N235)-$T235)</x:f>
      </x:c>
    </x:row>
    <x:row r="236">
      <x:c r="B236" s="22" t="n">
        <x:v>231</x:v>
      </x:c>
      <x:c r="C236" s="29">
        <x:f>IF($B236&lt;=Inputs!$C$6+Inputs!$C$11,Cashflow_Asset!$E234-Cashflow_Asset!$K234,0)</x:f>
      </x:c>
      <x:c r="D236" s="29">
        <x:f>IF($B236&lt;=Inputs!$C$6+Inputs!$C$11,Cashflow_Asset!$F234+Cashflow_Asset!$G234+Cashflow_Asset!$I234,0)</x:f>
      </x:c>
      <x:c r="E236" s="29">
        <x:f>IF($B236&lt;=Inputs!$C$6+Inputs!$C$11,Cashflow_Asset!$J234,0)</x:f>
      </x:c>
      <x:c r="F236" s="23">
        <x:f>$G235</x:f>
      </x:c>
      <x:c r="G236" s="24">
        <x:f>(MAX(0,$F236-MAX(0,($M236+$S236)-$C236)))+MIN(MAX(0,$D$3-(MAX(0,$F236-MAX(0,($M236+$S236)-$C236)))),MAX(0,MAX(0,($C236+$F236)-$M236)-$S236))</x:f>
      </x:c>
      <x:c r="H236" s="23">
        <x:f>$J235</x:f>
      </x:c>
      <x:c r="I236" s="24">
        <x:f>MIN($E236,$H236)</x:f>
      </x:c>
      <x:c r="J236" s="24">
        <x:f>$H236-$I236</x:f>
      </x:c>
      <x:c r="K236" s="23">
        <x:f>$P235</x:f>
      </x:c>
      <x:c r="L236" s="24">
        <x:f>$K236*Inputs!$C$18/12</x:f>
      </x:c>
      <x:c r="M236" s="24">
        <x:f>MIN(($C236+$F236),$L236)</x:f>
      </x:c>
      <x:c r="N236" s="24">
        <x:f>MIN(($D236+$X236),MAX(0,$K236-$O236))</x:f>
      </x:c>
      <x:c r="O236" s="24">
        <x:f>MIN(MAX(0,MAX(0,$E236-$I236)-$U236),$K236)</x:f>
      </x:c>
      <x:c r="P236" s="24">
        <x:f>MAX(0,$K236-$O236)-$N236</x:f>
      </x:c>
      <x:c r="Q236" s="23">
        <x:f>$V235</x:f>
      </x:c>
      <x:c r="R236" s="24">
        <x:f>$Q236*Inputs!$C$19/12</x:f>
      </x:c>
      <x:c r="S236" s="24">
        <x:f>MIN(MAX(0,($C236+$F236)-$M236),$R236)</x:f>
      </x:c>
      <x:c r="T236" s="24">
        <x:f>MIN(MAX(0,($D236+$X236)-$N236),MAX(0,$Q236-$U236))</x:f>
      </x:c>
      <x:c r="U236" s="24">
        <x:f>MIN(MAX(0,$E236-$I236),$Q236)</x:f>
      </x:c>
      <x:c r="V236" s="24">
        <x:f>MAX(0,$Q236-$U236)-$T236</x:f>
      </x:c>
      <x:c r="W236" s="24">
        <x:f>MAX(0,MAX(0,($C236+$F236)-$M236)-$S236)-MIN(MAX(0,$D$3-(MAX(0,$F236-MAX(0,($M236+$S236)-$C236)))),MAX(0,MAX(0,($C236+$F236)-$M236)-$S236))</x:f>
      </x:c>
      <x:c r="X236" s="24">
        <x:f>IF(Inputs!$C$39=1,$W236,0)</x:f>
      </x:c>
      <x:c r="Y236" s="24">
        <x:f>IF(Inputs!$C$39=0,$W236,0)+MAX(0,MAX(0,($D236+$X236)-$N236)-$T236)</x:f>
      </x:c>
    </x:row>
    <x:row r="237">
      <x:c r="B237" s="22" t="n">
        <x:v>232</x:v>
      </x:c>
      <x:c r="C237" s="29">
        <x:f>IF($B237&lt;=Inputs!$C$6+Inputs!$C$11,Cashflow_Asset!$E235-Cashflow_Asset!$K235,0)</x:f>
      </x:c>
      <x:c r="D237" s="29">
        <x:f>IF($B237&lt;=Inputs!$C$6+Inputs!$C$11,Cashflow_Asset!$F235+Cashflow_Asset!$G235+Cashflow_Asset!$I235,0)</x:f>
      </x:c>
      <x:c r="E237" s="29">
        <x:f>IF($B237&lt;=Inputs!$C$6+Inputs!$C$11,Cashflow_Asset!$J235,0)</x:f>
      </x:c>
      <x:c r="F237" s="23">
        <x:f>$G236</x:f>
      </x:c>
      <x:c r="G237" s="24">
        <x:f>(MAX(0,$F237-MAX(0,($M237+$S237)-$C237)))+MIN(MAX(0,$D$3-(MAX(0,$F237-MAX(0,($M237+$S237)-$C237)))),MAX(0,MAX(0,($C237+$F237)-$M237)-$S237))</x:f>
      </x:c>
      <x:c r="H237" s="23">
        <x:f>$J236</x:f>
      </x:c>
      <x:c r="I237" s="24">
        <x:f>MIN($E237,$H237)</x:f>
      </x:c>
      <x:c r="J237" s="24">
        <x:f>$H237-$I237</x:f>
      </x:c>
      <x:c r="K237" s="23">
        <x:f>$P236</x:f>
      </x:c>
      <x:c r="L237" s="24">
        <x:f>$K237*Inputs!$C$18/12</x:f>
      </x:c>
      <x:c r="M237" s="24">
        <x:f>MIN(($C237+$F237),$L237)</x:f>
      </x:c>
      <x:c r="N237" s="24">
        <x:f>MIN(($D237+$X237),MAX(0,$K237-$O237))</x:f>
      </x:c>
      <x:c r="O237" s="24">
        <x:f>MIN(MAX(0,MAX(0,$E237-$I237)-$U237),$K237)</x:f>
      </x:c>
      <x:c r="P237" s="24">
        <x:f>MAX(0,$K237-$O237)-$N237</x:f>
      </x:c>
      <x:c r="Q237" s="23">
        <x:f>$V236</x:f>
      </x:c>
      <x:c r="R237" s="24">
        <x:f>$Q237*Inputs!$C$19/12</x:f>
      </x:c>
      <x:c r="S237" s="24">
        <x:f>MIN(MAX(0,($C237+$F237)-$M237),$R237)</x:f>
      </x:c>
      <x:c r="T237" s="24">
        <x:f>MIN(MAX(0,($D237+$X237)-$N237),MAX(0,$Q237-$U237))</x:f>
      </x:c>
      <x:c r="U237" s="24">
        <x:f>MIN(MAX(0,$E237-$I237),$Q237)</x:f>
      </x:c>
      <x:c r="V237" s="24">
        <x:f>MAX(0,$Q237-$U237)-$T237</x:f>
      </x:c>
      <x:c r="W237" s="24">
        <x:f>MAX(0,MAX(0,($C237+$F237)-$M237)-$S237)-MIN(MAX(0,$D$3-(MAX(0,$F237-MAX(0,($M237+$S237)-$C237)))),MAX(0,MAX(0,($C237+$F237)-$M237)-$S237))</x:f>
      </x:c>
      <x:c r="X237" s="24">
        <x:f>IF(Inputs!$C$39=1,$W237,0)</x:f>
      </x:c>
      <x:c r="Y237" s="24">
        <x:f>IF(Inputs!$C$39=0,$W237,0)+MAX(0,MAX(0,($D237+$X237)-$N237)-$T237)</x:f>
      </x:c>
    </x:row>
    <x:row r="238">
      <x:c r="B238" s="22" t="n">
        <x:v>233</x:v>
      </x:c>
      <x:c r="C238" s="29">
        <x:f>IF($B238&lt;=Inputs!$C$6+Inputs!$C$11,Cashflow_Asset!$E236-Cashflow_Asset!$K236,0)</x:f>
      </x:c>
      <x:c r="D238" s="29">
        <x:f>IF($B238&lt;=Inputs!$C$6+Inputs!$C$11,Cashflow_Asset!$F236+Cashflow_Asset!$G236+Cashflow_Asset!$I236,0)</x:f>
      </x:c>
      <x:c r="E238" s="29">
        <x:f>IF($B238&lt;=Inputs!$C$6+Inputs!$C$11,Cashflow_Asset!$J236,0)</x:f>
      </x:c>
      <x:c r="F238" s="23">
        <x:f>$G237</x:f>
      </x:c>
      <x:c r="G238" s="24">
        <x:f>(MAX(0,$F238-MAX(0,($M238+$S238)-$C238)))+MIN(MAX(0,$D$3-(MAX(0,$F238-MAX(0,($M238+$S238)-$C238)))),MAX(0,MAX(0,($C238+$F238)-$M238)-$S238))</x:f>
      </x:c>
      <x:c r="H238" s="23">
        <x:f>$J237</x:f>
      </x:c>
      <x:c r="I238" s="24">
        <x:f>MIN($E238,$H238)</x:f>
      </x:c>
      <x:c r="J238" s="24">
        <x:f>$H238-$I238</x:f>
      </x:c>
      <x:c r="K238" s="23">
        <x:f>$P237</x:f>
      </x:c>
      <x:c r="L238" s="24">
        <x:f>$K238*Inputs!$C$18/12</x:f>
      </x:c>
      <x:c r="M238" s="24">
        <x:f>MIN(($C238+$F238),$L238)</x:f>
      </x:c>
      <x:c r="N238" s="24">
        <x:f>MIN(($D238+$X238),MAX(0,$K238-$O238))</x:f>
      </x:c>
      <x:c r="O238" s="24">
        <x:f>MIN(MAX(0,MAX(0,$E238-$I238)-$U238),$K238)</x:f>
      </x:c>
      <x:c r="P238" s="24">
        <x:f>MAX(0,$K238-$O238)-$N238</x:f>
      </x:c>
      <x:c r="Q238" s="23">
        <x:f>$V237</x:f>
      </x:c>
      <x:c r="R238" s="24">
        <x:f>$Q238*Inputs!$C$19/12</x:f>
      </x:c>
      <x:c r="S238" s="24">
        <x:f>MIN(MAX(0,($C238+$F238)-$M238),$R238)</x:f>
      </x:c>
      <x:c r="T238" s="24">
        <x:f>MIN(MAX(0,($D238+$X238)-$N238),MAX(0,$Q238-$U238))</x:f>
      </x:c>
      <x:c r="U238" s="24">
        <x:f>MIN(MAX(0,$E238-$I238),$Q238)</x:f>
      </x:c>
      <x:c r="V238" s="24">
        <x:f>MAX(0,$Q238-$U238)-$T238</x:f>
      </x:c>
      <x:c r="W238" s="24">
        <x:f>MAX(0,MAX(0,($C238+$F238)-$M238)-$S238)-MIN(MAX(0,$D$3-(MAX(0,$F238-MAX(0,($M238+$S238)-$C238)))),MAX(0,MAX(0,($C238+$F238)-$M238)-$S238))</x:f>
      </x:c>
      <x:c r="X238" s="24">
        <x:f>IF(Inputs!$C$39=1,$W238,0)</x:f>
      </x:c>
      <x:c r="Y238" s="24">
        <x:f>IF(Inputs!$C$39=0,$W238,0)+MAX(0,MAX(0,($D238+$X238)-$N238)-$T238)</x:f>
      </x:c>
    </x:row>
    <x:row r="239">
      <x:c r="B239" s="22" t="n">
        <x:v>234</x:v>
      </x:c>
      <x:c r="C239" s="29">
        <x:f>IF($B239&lt;=Inputs!$C$6+Inputs!$C$11,Cashflow_Asset!$E237-Cashflow_Asset!$K237,0)</x:f>
      </x:c>
      <x:c r="D239" s="29">
        <x:f>IF($B239&lt;=Inputs!$C$6+Inputs!$C$11,Cashflow_Asset!$F237+Cashflow_Asset!$G237+Cashflow_Asset!$I237,0)</x:f>
      </x:c>
      <x:c r="E239" s="29">
        <x:f>IF($B239&lt;=Inputs!$C$6+Inputs!$C$11,Cashflow_Asset!$J237,0)</x:f>
      </x:c>
      <x:c r="F239" s="23">
        <x:f>$G238</x:f>
      </x:c>
      <x:c r="G239" s="24">
        <x:f>(MAX(0,$F239-MAX(0,($M239+$S239)-$C239)))+MIN(MAX(0,$D$3-(MAX(0,$F239-MAX(0,($M239+$S239)-$C239)))),MAX(0,MAX(0,($C239+$F239)-$M239)-$S239))</x:f>
      </x:c>
      <x:c r="H239" s="23">
        <x:f>$J238</x:f>
      </x:c>
      <x:c r="I239" s="24">
        <x:f>MIN($E239,$H239)</x:f>
      </x:c>
      <x:c r="J239" s="24">
        <x:f>$H239-$I239</x:f>
      </x:c>
      <x:c r="K239" s="23">
        <x:f>$P238</x:f>
      </x:c>
      <x:c r="L239" s="24">
        <x:f>$K239*Inputs!$C$18/12</x:f>
      </x:c>
      <x:c r="M239" s="24">
        <x:f>MIN(($C239+$F239),$L239)</x:f>
      </x:c>
      <x:c r="N239" s="24">
        <x:f>MIN(($D239+$X239),MAX(0,$K239-$O239))</x:f>
      </x:c>
      <x:c r="O239" s="24">
        <x:f>MIN(MAX(0,MAX(0,$E239-$I239)-$U239),$K239)</x:f>
      </x:c>
      <x:c r="P239" s="24">
        <x:f>MAX(0,$K239-$O239)-$N239</x:f>
      </x:c>
      <x:c r="Q239" s="23">
        <x:f>$V238</x:f>
      </x:c>
      <x:c r="R239" s="24">
        <x:f>$Q239*Inputs!$C$19/12</x:f>
      </x:c>
      <x:c r="S239" s="24">
        <x:f>MIN(MAX(0,($C239+$F239)-$M239),$R239)</x:f>
      </x:c>
      <x:c r="T239" s="24">
        <x:f>MIN(MAX(0,($D239+$X239)-$N239),MAX(0,$Q239-$U239))</x:f>
      </x:c>
      <x:c r="U239" s="24">
        <x:f>MIN(MAX(0,$E239-$I239),$Q239)</x:f>
      </x:c>
      <x:c r="V239" s="24">
        <x:f>MAX(0,$Q239-$U239)-$T239</x:f>
      </x:c>
      <x:c r="W239" s="24">
        <x:f>MAX(0,MAX(0,($C239+$F239)-$M239)-$S239)-MIN(MAX(0,$D$3-(MAX(0,$F239-MAX(0,($M239+$S239)-$C239)))),MAX(0,MAX(0,($C239+$F239)-$M239)-$S239))</x:f>
      </x:c>
      <x:c r="X239" s="24">
        <x:f>IF(Inputs!$C$39=1,$W239,0)</x:f>
      </x:c>
      <x:c r="Y239" s="24">
        <x:f>IF(Inputs!$C$39=0,$W239,0)+MAX(0,MAX(0,($D239+$X239)-$N239)-$T239)</x:f>
      </x:c>
    </x:row>
    <x:row r="240">
      <x:c r="B240" s="22" t="n">
        <x:v>235</x:v>
      </x:c>
      <x:c r="C240" s="29">
        <x:f>IF($B240&lt;=Inputs!$C$6+Inputs!$C$11,Cashflow_Asset!$E238-Cashflow_Asset!$K238,0)</x:f>
      </x:c>
      <x:c r="D240" s="29">
        <x:f>IF($B240&lt;=Inputs!$C$6+Inputs!$C$11,Cashflow_Asset!$F238+Cashflow_Asset!$G238+Cashflow_Asset!$I238,0)</x:f>
      </x:c>
      <x:c r="E240" s="29">
        <x:f>IF($B240&lt;=Inputs!$C$6+Inputs!$C$11,Cashflow_Asset!$J238,0)</x:f>
      </x:c>
      <x:c r="F240" s="23">
        <x:f>$G239</x:f>
      </x:c>
      <x:c r="G240" s="24">
        <x:f>(MAX(0,$F240-MAX(0,($M240+$S240)-$C240)))+MIN(MAX(0,$D$3-(MAX(0,$F240-MAX(0,($M240+$S240)-$C240)))),MAX(0,MAX(0,($C240+$F240)-$M240)-$S240))</x:f>
      </x:c>
      <x:c r="H240" s="23">
        <x:f>$J239</x:f>
      </x:c>
      <x:c r="I240" s="24">
        <x:f>MIN($E240,$H240)</x:f>
      </x:c>
      <x:c r="J240" s="24">
        <x:f>$H240-$I240</x:f>
      </x:c>
      <x:c r="K240" s="23">
        <x:f>$P239</x:f>
      </x:c>
      <x:c r="L240" s="24">
        <x:f>$K240*Inputs!$C$18/12</x:f>
      </x:c>
      <x:c r="M240" s="24">
        <x:f>MIN(($C240+$F240),$L240)</x:f>
      </x:c>
      <x:c r="N240" s="24">
        <x:f>MIN(($D240+$X240),MAX(0,$K240-$O240))</x:f>
      </x:c>
      <x:c r="O240" s="24">
        <x:f>MIN(MAX(0,MAX(0,$E240-$I240)-$U240),$K240)</x:f>
      </x:c>
      <x:c r="P240" s="24">
        <x:f>MAX(0,$K240-$O240)-$N240</x:f>
      </x:c>
      <x:c r="Q240" s="23">
        <x:f>$V239</x:f>
      </x:c>
      <x:c r="R240" s="24">
        <x:f>$Q240*Inputs!$C$19/12</x:f>
      </x:c>
      <x:c r="S240" s="24">
        <x:f>MIN(MAX(0,($C240+$F240)-$M240),$R240)</x:f>
      </x:c>
      <x:c r="T240" s="24">
        <x:f>MIN(MAX(0,($D240+$X240)-$N240),MAX(0,$Q240-$U240))</x:f>
      </x:c>
      <x:c r="U240" s="24">
        <x:f>MIN(MAX(0,$E240-$I240),$Q240)</x:f>
      </x:c>
      <x:c r="V240" s="24">
        <x:f>MAX(0,$Q240-$U240)-$T240</x:f>
      </x:c>
      <x:c r="W240" s="24">
        <x:f>MAX(0,MAX(0,($C240+$F240)-$M240)-$S240)-MIN(MAX(0,$D$3-(MAX(0,$F240-MAX(0,($M240+$S240)-$C240)))),MAX(0,MAX(0,($C240+$F240)-$M240)-$S240))</x:f>
      </x:c>
      <x:c r="X240" s="24">
        <x:f>IF(Inputs!$C$39=1,$W240,0)</x:f>
      </x:c>
      <x:c r="Y240" s="24">
        <x:f>IF(Inputs!$C$39=0,$W240,0)+MAX(0,MAX(0,($D240+$X240)-$N240)-$T240)</x:f>
      </x:c>
    </x:row>
    <x:row r="241">
      <x:c r="B241" s="22" t="n">
        <x:v>236</x:v>
      </x:c>
      <x:c r="C241" s="29">
        <x:f>IF($B241&lt;=Inputs!$C$6+Inputs!$C$11,Cashflow_Asset!$E239-Cashflow_Asset!$K239,0)</x:f>
      </x:c>
      <x:c r="D241" s="29">
        <x:f>IF($B241&lt;=Inputs!$C$6+Inputs!$C$11,Cashflow_Asset!$F239+Cashflow_Asset!$G239+Cashflow_Asset!$I239,0)</x:f>
      </x:c>
      <x:c r="E241" s="29">
        <x:f>IF($B241&lt;=Inputs!$C$6+Inputs!$C$11,Cashflow_Asset!$J239,0)</x:f>
      </x:c>
      <x:c r="F241" s="23">
        <x:f>$G240</x:f>
      </x:c>
      <x:c r="G241" s="24">
        <x:f>(MAX(0,$F241-MAX(0,($M241+$S241)-$C241)))+MIN(MAX(0,$D$3-(MAX(0,$F241-MAX(0,($M241+$S241)-$C241)))),MAX(0,MAX(0,($C241+$F241)-$M241)-$S241))</x:f>
      </x:c>
      <x:c r="H241" s="23">
        <x:f>$J240</x:f>
      </x:c>
      <x:c r="I241" s="24">
        <x:f>MIN($E241,$H241)</x:f>
      </x:c>
      <x:c r="J241" s="24">
        <x:f>$H241-$I241</x:f>
      </x:c>
      <x:c r="K241" s="23">
        <x:f>$P240</x:f>
      </x:c>
      <x:c r="L241" s="24">
        <x:f>$K241*Inputs!$C$18/12</x:f>
      </x:c>
      <x:c r="M241" s="24">
        <x:f>MIN(($C241+$F241),$L241)</x:f>
      </x:c>
      <x:c r="N241" s="24">
        <x:f>MIN(($D241+$X241),MAX(0,$K241-$O241))</x:f>
      </x:c>
      <x:c r="O241" s="24">
        <x:f>MIN(MAX(0,MAX(0,$E241-$I241)-$U241),$K241)</x:f>
      </x:c>
      <x:c r="P241" s="24">
        <x:f>MAX(0,$K241-$O241)-$N241</x:f>
      </x:c>
      <x:c r="Q241" s="23">
        <x:f>$V240</x:f>
      </x:c>
      <x:c r="R241" s="24">
        <x:f>$Q241*Inputs!$C$19/12</x:f>
      </x:c>
      <x:c r="S241" s="24">
        <x:f>MIN(MAX(0,($C241+$F241)-$M241),$R241)</x:f>
      </x:c>
      <x:c r="T241" s="24">
        <x:f>MIN(MAX(0,($D241+$X241)-$N241),MAX(0,$Q241-$U241))</x:f>
      </x:c>
      <x:c r="U241" s="24">
        <x:f>MIN(MAX(0,$E241-$I241),$Q241)</x:f>
      </x:c>
      <x:c r="V241" s="24">
        <x:f>MAX(0,$Q241-$U241)-$T241</x:f>
      </x:c>
      <x:c r="W241" s="24">
        <x:f>MAX(0,MAX(0,($C241+$F241)-$M241)-$S241)-MIN(MAX(0,$D$3-(MAX(0,$F241-MAX(0,($M241+$S241)-$C241)))),MAX(0,MAX(0,($C241+$F241)-$M241)-$S241))</x:f>
      </x:c>
      <x:c r="X241" s="24">
        <x:f>IF(Inputs!$C$39=1,$W241,0)</x:f>
      </x:c>
      <x:c r="Y241" s="24">
        <x:f>IF(Inputs!$C$39=0,$W241,0)+MAX(0,MAX(0,($D241+$X241)-$N241)-$T241)</x:f>
      </x:c>
    </x:row>
    <x:row r="242">
      <x:c r="B242" s="22" t="n">
        <x:v>237</x:v>
      </x:c>
      <x:c r="C242" s="29">
        <x:f>IF($B242&lt;=Inputs!$C$6+Inputs!$C$11,Cashflow_Asset!$E240-Cashflow_Asset!$K240,0)</x:f>
      </x:c>
      <x:c r="D242" s="29">
        <x:f>IF($B242&lt;=Inputs!$C$6+Inputs!$C$11,Cashflow_Asset!$F240+Cashflow_Asset!$G240+Cashflow_Asset!$I240,0)</x:f>
      </x:c>
      <x:c r="E242" s="29">
        <x:f>IF($B242&lt;=Inputs!$C$6+Inputs!$C$11,Cashflow_Asset!$J240,0)</x:f>
      </x:c>
      <x:c r="F242" s="23">
        <x:f>$G241</x:f>
      </x:c>
      <x:c r="G242" s="24">
        <x:f>(MAX(0,$F242-MAX(0,($M242+$S242)-$C242)))+MIN(MAX(0,$D$3-(MAX(0,$F242-MAX(0,($M242+$S242)-$C242)))),MAX(0,MAX(0,($C242+$F242)-$M242)-$S242))</x:f>
      </x:c>
      <x:c r="H242" s="23">
        <x:f>$J241</x:f>
      </x:c>
      <x:c r="I242" s="24">
        <x:f>MIN($E242,$H242)</x:f>
      </x:c>
      <x:c r="J242" s="24">
        <x:f>$H242-$I242</x:f>
      </x:c>
      <x:c r="K242" s="23">
        <x:f>$P241</x:f>
      </x:c>
      <x:c r="L242" s="24">
        <x:f>$K242*Inputs!$C$18/12</x:f>
      </x:c>
      <x:c r="M242" s="24">
        <x:f>MIN(($C242+$F242),$L242)</x:f>
      </x:c>
      <x:c r="N242" s="24">
        <x:f>MIN(($D242+$X242),MAX(0,$K242-$O242))</x:f>
      </x:c>
      <x:c r="O242" s="24">
        <x:f>MIN(MAX(0,MAX(0,$E242-$I242)-$U242),$K242)</x:f>
      </x:c>
      <x:c r="P242" s="24">
        <x:f>MAX(0,$K242-$O242)-$N242</x:f>
      </x:c>
      <x:c r="Q242" s="23">
        <x:f>$V241</x:f>
      </x:c>
      <x:c r="R242" s="24">
        <x:f>$Q242*Inputs!$C$19/12</x:f>
      </x:c>
      <x:c r="S242" s="24">
        <x:f>MIN(MAX(0,($C242+$F242)-$M242),$R242)</x:f>
      </x:c>
      <x:c r="T242" s="24">
        <x:f>MIN(MAX(0,($D242+$X242)-$N242),MAX(0,$Q242-$U242))</x:f>
      </x:c>
      <x:c r="U242" s="24">
        <x:f>MIN(MAX(0,$E242-$I242),$Q242)</x:f>
      </x:c>
      <x:c r="V242" s="24">
        <x:f>MAX(0,$Q242-$U242)-$T242</x:f>
      </x:c>
      <x:c r="W242" s="24">
        <x:f>MAX(0,MAX(0,($C242+$F242)-$M242)-$S242)-MIN(MAX(0,$D$3-(MAX(0,$F242-MAX(0,($M242+$S242)-$C242)))),MAX(0,MAX(0,($C242+$F242)-$M242)-$S242))</x:f>
      </x:c>
      <x:c r="X242" s="24">
        <x:f>IF(Inputs!$C$39=1,$W242,0)</x:f>
      </x:c>
      <x:c r="Y242" s="24">
        <x:f>IF(Inputs!$C$39=0,$W242,0)+MAX(0,MAX(0,($D242+$X242)-$N242)-$T242)</x:f>
      </x:c>
    </x:row>
    <x:row r="243">
      <x:c r="B243" s="22" t="n">
        <x:v>238</x:v>
      </x:c>
      <x:c r="C243" s="29">
        <x:f>IF($B243&lt;=Inputs!$C$6+Inputs!$C$11,Cashflow_Asset!$E241-Cashflow_Asset!$K241,0)</x:f>
      </x:c>
      <x:c r="D243" s="29">
        <x:f>IF($B243&lt;=Inputs!$C$6+Inputs!$C$11,Cashflow_Asset!$F241+Cashflow_Asset!$G241+Cashflow_Asset!$I241,0)</x:f>
      </x:c>
      <x:c r="E243" s="29">
        <x:f>IF($B243&lt;=Inputs!$C$6+Inputs!$C$11,Cashflow_Asset!$J241,0)</x:f>
      </x:c>
      <x:c r="F243" s="23">
        <x:f>$G242</x:f>
      </x:c>
      <x:c r="G243" s="24">
        <x:f>(MAX(0,$F243-MAX(0,($M243+$S243)-$C243)))+MIN(MAX(0,$D$3-(MAX(0,$F243-MAX(0,($M243+$S243)-$C243)))),MAX(0,MAX(0,($C243+$F243)-$M243)-$S243))</x:f>
      </x:c>
      <x:c r="H243" s="23">
        <x:f>$J242</x:f>
      </x:c>
      <x:c r="I243" s="24">
        <x:f>MIN($E243,$H243)</x:f>
      </x:c>
      <x:c r="J243" s="24">
        <x:f>$H243-$I243</x:f>
      </x:c>
      <x:c r="K243" s="23">
        <x:f>$P242</x:f>
      </x:c>
      <x:c r="L243" s="24">
        <x:f>$K243*Inputs!$C$18/12</x:f>
      </x:c>
      <x:c r="M243" s="24">
        <x:f>MIN(($C243+$F243),$L243)</x:f>
      </x:c>
      <x:c r="N243" s="24">
        <x:f>MIN(($D243+$X243),MAX(0,$K243-$O243))</x:f>
      </x:c>
      <x:c r="O243" s="24">
        <x:f>MIN(MAX(0,MAX(0,$E243-$I243)-$U243),$K243)</x:f>
      </x:c>
      <x:c r="P243" s="24">
        <x:f>MAX(0,$K243-$O243)-$N243</x:f>
      </x:c>
      <x:c r="Q243" s="23">
        <x:f>$V242</x:f>
      </x:c>
      <x:c r="R243" s="24">
        <x:f>$Q243*Inputs!$C$19/12</x:f>
      </x:c>
      <x:c r="S243" s="24">
        <x:f>MIN(MAX(0,($C243+$F243)-$M243),$R243)</x:f>
      </x:c>
      <x:c r="T243" s="24">
        <x:f>MIN(MAX(0,($D243+$X243)-$N243),MAX(0,$Q243-$U243))</x:f>
      </x:c>
      <x:c r="U243" s="24">
        <x:f>MIN(MAX(0,$E243-$I243),$Q243)</x:f>
      </x:c>
      <x:c r="V243" s="24">
        <x:f>MAX(0,$Q243-$U243)-$T243</x:f>
      </x:c>
      <x:c r="W243" s="24">
        <x:f>MAX(0,MAX(0,($C243+$F243)-$M243)-$S243)-MIN(MAX(0,$D$3-(MAX(0,$F243-MAX(0,($M243+$S243)-$C243)))),MAX(0,MAX(0,($C243+$F243)-$M243)-$S243))</x:f>
      </x:c>
      <x:c r="X243" s="24">
        <x:f>IF(Inputs!$C$39=1,$W243,0)</x:f>
      </x:c>
      <x:c r="Y243" s="24">
        <x:f>IF(Inputs!$C$39=0,$W243,0)+MAX(0,MAX(0,($D243+$X243)-$N243)-$T243)</x:f>
      </x:c>
    </x:row>
    <x:row r="244">
      <x:c r="B244" s="22" t="n">
        <x:v>239</x:v>
      </x:c>
      <x:c r="C244" s="29">
        <x:f>IF($B244&lt;=Inputs!$C$6+Inputs!$C$11,Cashflow_Asset!$E242-Cashflow_Asset!$K242,0)</x:f>
      </x:c>
      <x:c r="D244" s="29">
        <x:f>IF($B244&lt;=Inputs!$C$6+Inputs!$C$11,Cashflow_Asset!$F242+Cashflow_Asset!$G242+Cashflow_Asset!$I242,0)</x:f>
      </x:c>
      <x:c r="E244" s="29">
        <x:f>IF($B244&lt;=Inputs!$C$6+Inputs!$C$11,Cashflow_Asset!$J242,0)</x:f>
      </x:c>
      <x:c r="F244" s="23">
        <x:f>$G243</x:f>
      </x:c>
      <x:c r="G244" s="24">
        <x:f>(MAX(0,$F244-MAX(0,($M244+$S244)-$C244)))+MIN(MAX(0,$D$3-(MAX(0,$F244-MAX(0,($M244+$S244)-$C244)))),MAX(0,MAX(0,($C244+$F244)-$M244)-$S244))</x:f>
      </x:c>
      <x:c r="H244" s="23">
        <x:f>$J243</x:f>
      </x:c>
      <x:c r="I244" s="24">
        <x:f>MIN($E244,$H244)</x:f>
      </x:c>
      <x:c r="J244" s="24">
        <x:f>$H244-$I244</x:f>
      </x:c>
      <x:c r="K244" s="23">
        <x:f>$P243</x:f>
      </x:c>
      <x:c r="L244" s="24">
        <x:f>$K244*Inputs!$C$18/12</x:f>
      </x:c>
      <x:c r="M244" s="24">
        <x:f>MIN(($C244+$F244),$L244)</x:f>
      </x:c>
      <x:c r="N244" s="24">
        <x:f>MIN(($D244+$X244),MAX(0,$K244-$O244))</x:f>
      </x:c>
      <x:c r="O244" s="24">
        <x:f>MIN(MAX(0,MAX(0,$E244-$I244)-$U244),$K244)</x:f>
      </x:c>
      <x:c r="P244" s="24">
        <x:f>MAX(0,$K244-$O244)-$N244</x:f>
      </x:c>
      <x:c r="Q244" s="23">
        <x:f>$V243</x:f>
      </x:c>
      <x:c r="R244" s="24">
        <x:f>$Q244*Inputs!$C$19/12</x:f>
      </x:c>
      <x:c r="S244" s="24">
        <x:f>MIN(MAX(0,($C244+$F244)-$M244),$R244)</x:f>
      </x:c>
      <x:c r="T244" s="24">
        <x:f>MIN(MAX(0,($D244+$X244)-$N244),MAX(0,$Q244-$U244))</x:f>
      </x:c>
      <x:c r="U244" s="24">
        <x:f>MIN(MAX(0,$E244-$I244),$Q244)</x:f>
      </x:c>
      <x:c r="V244" s="24">
        <x:f>MAX(0,$Q244-$U244)-$T244</x:f>
      </x:c>
      <x:c r="W244" s="24">
        <x:f>MAX(0,MAX(0,($C244+$F244)-$M244)-$S244)-MIN(MAX(0,$D$3-(MAX(0,$F244-MAX(0,($M244+$S244)-$C244)))),MAX(0,MAX(0,($C244+$F244)-$M244)-$S244))</x:f>
      </x:c>
      <x:c r="X244" s="24">
        <x:f>IF(Inputs!$C$39=1,$W244,0)</x:f>
      </x:c>
      <x:c r="Y244" s="24">
        <x:f>IF(Inputs!$C$39=0,$W244,0)+MAX(0,MAX(0,($D244+$X244)-$N244)-$T244)</x:f>
      </x:c>
    </x:row>
    <x:row r="245">
      <x:c r="B245" s="22" t="n">
        <x:v>240</x:v>
      </x:c>
      <x:c r="C245" s="29">
        <x:f>IF($B245&lt;=Inputs!$C$6+Inputs!$C$11,Cashflow_Asset!$E243-Cashflow_Asset!$K243,0)</x:f>
      </x:c>
      <x:c r="D245" s="29">
        <x:f>IF($B245&lt;=Inputs!$C$6+Inputs!$C$11,Cashflow_Asset!$F243+Cashflow_Asset!$G243+Cashflow_Asset!$I243,0)</x:f>
      </x:c>
      <x:c r="E245" s="29">
        <x:f>IF($B245&lt;=Inputs!$C$6+Inputs!$C$11,Cashflow_Asset!$J243,0)</x:f>
      </x:c>
      <x:c r="F245" s="23">
        <x:f>$G244</x:f>
      </x:c>
      <x:c r="G245" s="24">
        <x:f>(MAX(0,$F245-MAX(0,($M245+$S245)-$C245)))+MIN(MAX(0,$D$3-(MAX(0,$F245-MAX(0,($M245+$S245)-$C245)))),MAX(0,MAX(0,($C245+$F245)-$M245)-$S245))</x:f>
      </x:c>
      <x:c r="H245" s="23">
        <x:f>$J244</x:f>
      </x:c>
      <x:c r="I245" s="24">
        <x:f>MIN($E245,$H245)</x:f>
      </x:c>
      <x:c r="J245" s="24">
        <x:f>$H245-$I245</x:f>
      </x:c>
      <x:c r="K245" s="23">
        <x:f>$P244</x:f>
      </x:c>
      <x:c r="L245" s="24">
        <x:f>$K245*Inputs!$C$18/12</x:f>
      </x:c>
      <x:c r="M245" s="24">
        <x:f>MIN(($C245+$F245),$L245)</x:f>
      </x:c>
      <x:c r="N245" s="24">
        <x:f>MIN(($D245+$X245),MAX(0,$K245-$O245))</x:f>
      </x:c>
      <x:c r="O245" s="24">
        <x:f>MIN(MAX(0,MAX(0,$E245-$I245)-$U245),$K245)</x:f>
      </x:c>
      <x:c r="P245" s="24">
        <x:f>MAX(0,$K245-$O245)-$N245</x:f>
      </x:c>
      <x:c r="Q245" s="23">
        <x:f>$V244</x:f>
      </x:c>
      <x:c r="R245" s="24">
        <x:f>$Q245*Inputs!$C$19/12</x:f>
      </x:c>
      <x:c r="S245" s="24">
        <x:f>MIN(MAX(0,($C245+$F245)-$M245),$R245)</x:f>
      </x:c>
      <x:c r="T245" s="24">
        <x:f>MIN(MAX(0,($D245+$X245)-$N245),MAX(0,$Q245-$U245))</x:f>
      </x:c>
      <x:c r="U245" s="24">
        <x:f>MIN(MAX(0,$E245-$I245),$Q245)</x:f>
      </x:c>
      <x:c r="V245" s="24">
        <x:f>MAX(0,$Q245-$U245)-$T245</x:f>
      </x:c>
      <x:c r="W245" s="24">
        <x:f>MAX(0,MAX(0,($C245+$F245)-$M245)-$S245)-MIN(MAX(0,$D$3-(MAX(0,$F245-MAX(0,($M245+$S245)-$C245)))),MAX(0,MAX(0,($C245+$F245)-$M245)-$S245))</x:f>
      </x:c>
      <x:c r="X245" s="24">
        <x:f>IF(Inputs!$C$39=1,$W245,0)</x:f>
      </x:c>
      <x:c r="Y245" s="24">
        <x:f>IF(Inputs!$C$39=0,$W245,0)+MAX(0,MAX(0,($D245+$X245)-$N245)-$T245)</x:f>
      </x:c>
    </x:row>
    <x:row r="246">
      <x:c r="B246" s="22" t="n">
        <x:v>241</x:v>
      </x:c>
      <x:c r="C246" s="29">
        <x:f>IF($B246&lt;=Inputs!$C$6+Inputs!$C$11,Cashflow_Asset!$E244-Cashflow_Asset!$K244,0)</x:f>
      </x:c>
      <x:c r="D246" s="29">
        <x:f>IF($B246&lt;=Inputs!$C$6+Inputs!$C$11,Cashflow_Asset!$F244+Cashflow_Asset!$G244+Cashflow_Asset!$I244,0)</x:f>
      </x:c>
      <x:c r="E246" s="29">
        <x:f>IF($B246&lt;=Inputs!$C$6+Inputs!$C$11,Cashflow_Asset!$J244,0)</x:f>
      </x:c>
      <x:c r="F246" s="23">
        <x:f>$G245</x:f>
      </x:c>
      <x:c r="G246" s="24">
        <x:f>(MAX(0,$F246-MAX(0,($M246+$S246)-$C246)))+MIN(MAX(0,$D$3-(MAX(0,$F246-MAX(0,($M246+$S246)-$C246)))),MAX(0,MAX(0,($C246+$F246)-$M246)-$S246))</x:f>
      </x:c>
      <x:c r="H246" s="23">
        <x:f>$J245</x:f>
      </x:c>
      <x:c r="I246" s="24">
        <x:f>MIN($E246,$H246)</x:f>
      </x:c>
      <x:c r="J246" s="24">
        <x:f>$H246-$I246</x:f>
      </x:c>
      <x:c r="K246" s="23">
        <x:f>$P245</x:f>
      </x:c>
      <x:c r="L246" s="24">
        <x:f>$K246*Inputs!$C$18/12</x:f>
      </x:c>
      <x:c r="M246" s="24">
        <x:f>MIN(($C246+$F246),$L246)</x:f>
      </x:c>
      <x:c r="N246" s="24">
        <x:f>MIN(($D246+$X246),MAX(0,$K246-$O246))</x:f>
      </x:c>
      <x:c r="O246" s="24">
        <x:f>MIN(MAX(0,MAX(0,$E246-$I246)-$U246),$K246)</x:f>
      </x:c>
      <x:c r="P246" s="24">
        <x:f>MAX(0,$K246-$O246)-$N246</x:f>
      </x:c>
      <x:c r="Q246" s="23">
        <x:f>$V245</x:f>
      </x:c>
      <x:c r="R246" s="24">
        <x:f>$Q246*Inputs!$C$19/12</x:f>
      </x:c>
      <x:c r="S246" s="24">
        <x:f>MIN(MAX(0,($C246+$F246)-$M246),$R246)</x:f>
      </x:c>
      <x:c r="T246" s="24">
        <x:f>MIN(MAX(0,($D246+$X246)-$N246),MAX(0,$Q246-$U246))</x:f>
      </x:c>
      <x:c r="U246" s="24">
        <x:f>MIN(MAX(0,$E246-$I246),$Q246)</x:f>
      </x:c>
      <x:c r="V246" s="24">
        <x:f>MAX(0,$Q246-$U246)-$T246</x:f>
      </x:c>
      <x:c r="W246" s="24">
        <x:f>MAX(0,MAX(0,($C246+$F246)-$M246)-$S246)-MIN(MAX(0,$D$3-(MAX(0,$F246-MAX(0,($M246+$S246)-$C246)))),MAX(0,MAX(0,($C246+$F246)-$M246)-$S246))</x:f>
      </x:c>
      <x:c r="X246" s="24">
        <x:f>IF(Inputs!$C$39=1,$W246,0)</x:f>
      </x:c>
      <x:c r="Y246" s="24">
        <x:f>IF(Inputs!$C$39=0,$W246,0)+MAX(0,MAX(0,($D246+$X246)-$N246)-$T246)</x:f>
      </x:c>
    </x:row>
    <x:row r="247">
      <x:c r="B247" s="22" t="n">
        <x:v>242</x:v>
      </x:c>
      <x:c r="C247" s="29">
        <x:f>IF($B247&lt;=Inputs!$C$6+Inputs!$C$11,Cashflow_Asset!$E245-Cashflow_Asset!$K245,0)</x:f>
      </x:c>
      <x:c r="D247" s="29">
        <x:f>IF($B247&lt;=Inputs!$C$6+Inputs!$C$11,Cashflow_Asset!$F245+Cashflow_Asset!$G245+Cashflow_Asset!$I245,0)</x:f>
      </x:c>
      <x:c r="E247" s="29">
        <x:f>IF($B247&lt;=Inputs!$C$6+Inputs!$C$11,Cashflow_Asset!$J245,0)</x:f>
      </x:c>
      <x:c r="F247" s="23">
        <x:f>$G246</x:f>
      </x:c>
      <x:c r="G247" s="24">
        <x:f>(MAX(0,$F247-MAX(0,($M247+$S247)-$C247)))+MIN(MAX(0,$D$3-(MAX(0,$F247-MAX(0,($M247+$S247)-$C247)))),MAX(0,MAX(0,($C247+$F247)-$M247)-$S247))</x:f>
      </x:c>
      <x:c r="H247" s="23">
        <x:f>$J246</x:f>
      </x:c>
      <x:c r="I247" s="24">
        <x:f>MIN($E247,$H247)</x:f>
      </x:c>
      <x:c r="J247" s="24">
        <x:f>$H247-$I247</x:f>
      </x:c>
      <x:c r="K247" s="23">
        <x:f>$P246</x:f>
      </x:c>
      <x:c r="L247" s="24">
        <x:f>$K247*Inputs!$C$18/12</x:f>
      </x:c>
      <x:c r="M247" s="24">
        <x:f>MIN(($C247+$F247),$L247)</x:f>
      </x:c>
      <x:c r="N247" s="24">
        <x:f>MIN(($D247+$X247),MAX(0,$K247-$O247))</x:f>
      </x:c>
      <x:c r="O247" s="24">
        <x:f>MIN(MAX(0,MAX(0,$E247-$I247)-$U247),$K247)</x:f>
      </x:c>
      <x:c r="P247" s="24">
        <x:f>MAX(0,$K247-$O247)-$N247</x:f>
      </x:c>
      <x:c r="Q247" s="23">
        <x:f>$V246</x:f>
      </x:c>
      <x:c r="R247" s="24">
        <x:f>$Q247*Inputs!$C$19/12</x:f>
      </x:c>
      <x:c r="S247" s="24">
        <x:f>MIN(MAX(0,($C247+$F247)-$M247),$R247)</x:f>
      </x:c>
      <x:c r="T247" s="24">
        <x:f>MIN(MAX(0,($D247+$X247)-$N247),MAX(0,$Q247-$U247))</x:f>
      </x:c>
      <x:c r="U247" s="24">
        <x:f>MIN(MAX(0,$E247-$I247),$Q247)</x:f>
      </x:c>
      <x:c r="V247" s="24">
        <x:f>MAX(0,$Q247-$U247)-$T247</x:f>
      </x:c>
      <x:c r="W247" s="24">
        <x:f>MAX(0,MAX(0,($C247+$F247)-$M247)-$S247)-MIN(MAX(0,$D$3-(MAX(0,$F247-MAX(0,($M247+$S247)-$C247)))),MAX(0,MAX(0,($C247+$F247)-$M247)-$S247))</x:f>
      </x:c>
      <x:c r="X247" s="24">
        <x:f>IF(Inputs!$C$39=1,$W247,0)</x:f>
      </x:c>
      <x:c r="Y247" s="24">
        <x:f>IF(Inputs!$C$39=0,$W247,0)+MAX(0,MAX(0,($D247+$X247)-$N247)-$T247)</x:f>
      </x:c>
    </x:row>
    <x:row r="248">
      <x:c r="B248" s="22" t="n">
        <x:v>243</x:v>
      </x:c>
      <x:c r="C248" s="29">
        <x:f>IF($B248&lt;=Inputs!$C$6+Inputs!$C$11,Cashflow_Asset!$E246-Cashflow_Asset!$K246,0)</x:f>
      </x:c>
      <x:c r="D248" s="29">
        <x:f>IF($B248&lt;=Inputs!$C$6+Inputs!$C$11,Cashflow_Asset!$F246+Cashflow_Asset!$G246+Cashflow_Asset!$I246,0)</x:f>
      </x:c>
      <x:c r="E248" s="29">
        <x:f>IF($B248&lt;=Inputs!$C$6+Inputs!$C$11,Cashflow_Asset!$J246,0)</x:f>
      </x:c>
      <x:c r="F248" s="23">
        <x:f>$G247</x:f>
      </x:c>
      <x:c r="G248" s="24">
        <x:f>(MAX(0,$F248-MAX(0,($M248+$S248)-$C248)))+MIN(MAX(0,$D$3-(MAX(0,$F248-MAX(0,($M248+$S248)-$C248)))),MAX(0,MAX(0,($C248+$F248)-$M248)-$S248))</x:f>
      </x:c>
      <x:c r="H248" s="23">
        <x:f>$J247</x:f>
      </x:c>
      <x:c r="I248" s="24">
        <x:f>MIN($E248,$H248)</x:f>
      </x:c>
      <x:c r="J248" s="24">
        <x:f>$H248-$I248</x:f>
      </x:c>
      <x:c r="K248" s="23">
        <x:f>$P247</x:f>
      </x:c>
      <x:c r="L248" s="24">
        <x:f>$K248*Inputs!$C$18/12</x:f>
      </x:c>
      <x:c r="M248" s="24">
        <x:f>MIN(($C248+$F248),$L248)</x:f>
      </x:c>
      <x:c r="N248" s="24">
        <x:f>MIN(($D248+$X248),MAX(0,$K248-$O248))</x:f>
      </x:c>
      <x:c r="O248" s="24">
        <x:f>MIN(MAX(0,MAX(0,$E248-$I248)-$U248),$K248)</x:f>
      </x:c>
      <x:c r="P248" s="24">
        <x:f>MAX(0,$K248-$O248)-$N248</x:f>
      </x:c>
      <x:c r="Q248" s="23">
        <x:f>$V247</x:f>
      </x:c>
      <x:c r="R248" s="24">
        <x:f>$Q248*Inputs!$C$19/12</x:f>
      </x:c>
      <x:c r="S248" s="24">
        <x:f>MIN(MAX(0,($C248+$F248)-$M248),$R248)</x:f>
      </x:c>
      <x:c r="T248" s="24">
        <x:f>MIN(MAX(0,($D248+$X248)-$N248),MAX(0,$Q248-$U248))</x:f>
      </x:c>
      <x:c r="U248" s="24">
        <x:f>MIN(MAX(0,$E248-$I248),$Q248)</x:f>
      </x:c>
      <x:c r="V248" s="24">
        <x:f>MAX(0,$Q248-$U248)-$T248</x:f>
      </x:c>
      <x:c r="W248" s="24">
        <x:f>MAX(0,MAX(0,($C248+$F248)-$M248)-$S248)-MIN(MAX(0,$D$3-(MAX(0,$F248-MAX(0,($M248+$S248)-$C248)))),MAX(0,MAX(0,($C248+$F248)-$M248)-$S248))</x:f>
      </x:c>
      <x:c r="X248" s="24">
        <x:f>IF(Inputs!$C$39=1,$W248,0)</x:f>
      </x:c>
      <x:c r="Y248" s="24">
        <x:f>IF(Inputs!$C$39=0,$W248,0)+MAX(0,MAX(0,($D248+$X248)-$N248)-$T248)</x:f>
      </x:c>
    </x:row>
    <x:row r="249">
      <x:c r="B249" s="22" t="n">
        <x:v>244</x:v>
      </x:c>
      <x:c r="C249" s="29">
        <x:f>IF($B249&lt;=Inputs!$C$6+Inputs!$C$11,Cashflow_Asset!$E247-Cashflow_Asset!$K247,0)</x:f>
      </x:c>
      <x:c r="D249" s="29">
        <x:f>IF($B249&lt;=Inputs!$C$6+Inputs!$C$11,Cashflow_Asset!$F247+Cashflow_Asset!$G247+Cashflow_Asset!$I247,0)</x:f>
      </x:c>
      <x:c r="E249" s="29">
        <x:f>IF($B249&lt;=Inputs!$C$6+Inputs!$C$11,Cashflow_Asset!$J247,0)</x:f>
      </x:c>
      <x:c r="F249" s="23">
        <x:f>$G248</x:f>
      </x:c>
      <x:c r="G249" s="24">
        <x:f>(MAX(0,$F249-MAX(0,($M249+$S249)-$C249)))+MIN(MAX(0,$D$3-(MAX(0,$F249-MAX(0,($M249+$S249)-$C249)))),MAX(0,MAX(0,($C249+$F249)-$M249)-$S249))</x:f>
      </x:c>
      <x:c r="H249" s="23">
        <x:f>$J248</x:f>
      </x:c>
      <x:c r="I249" s="24">
        <x:f>MIN($E249,$H249)</x:f>
      </x:c>
      <x:c r="J249" s="24">
        <x:f>$H249-$I249</x:f>
      </x:c>
      <x:c r="K249" s="23">
        <x:f>$P248</x:f>
      </x:c>
      <x:c r="L249" s="24">
        <x:f>$K249*Inputs!$C$18/12</x:f>
      </x:c>
      <x:c r="M249" s="24">
        <x:f>MIN(($C249+$F249),$L249)</x:f>
      </x:c>
      <x:c r="N249" s="24">
        <x:f>MIN(($D249+$X249),MAX(0,$K249-$O249))</x:f>
      </x:c>
      <x:c r="O249" s="24">
        <x:f>MIN(MAX(0,MAX(0,$E249-$I249)-$U249),$K249)</x:f>
      </x:c>
      <x:c r="P249" s="24">
        <x:f>MAX(0,$K249-$O249)-$N249</x:f>
      </x:c>
      <x:c r="Q249" s="23">
        <x:f>$V248</x:f>
      </x:c>
      <x:c r="R249" s="24">
        <x:f>$Q249*Inputs!$C$19/12</x:f>
      </x:c>
      <x:c r="S249" s="24">
        <x:f>MIN(MAX(0,($C249+$F249)-$M249),$R249)</x:f>
      </x:c>
      <x:c r="T249" s="24">
        <x:f>MIN(MAX(0,($D249+$X249)-$N249),MAX(0,$Q249-$U249))</x:f>
      </x:c>
      <x:c r="U249" s="24">
        <x:f>MIN(MAX(0,$E249-$I249),$Q249)</x:f>
      </x:c>
      <x:c r="V249" s="24">
        <x:f>MAX(0,$Q249-$U249)-$T249</x:f>
      </x:c>
      <x:c r="W249" s="24">
        <x:f>MAX(0,MAX(0,($C249+$F249)-$M249)-$S249)-MIN(MAX(0,$D$3-(MAX(0,$F249-MAX(0,($M249+$S249)-$C249)))),MAX(0,MAX(0,($C249+$F249)-$M249)-$S249))</x:f>
      </x:c>
      <x:c r="X249" s="24">
        <x:f>IF(Inputs!$C$39=1,$W249,0)</x:f>
      </x:c>
      <x:c r="Y249" s="24">
        <x:f>IF(Inputs!$C$39=0,$W249,0)+MAX(0,MAX(0,($D249+$X249)-$N249)-$T249)</x:f>
      </x:c>
    </x:row>
    <x:row r="250">
      <x:c r="B250" s="22" t="n">
        <x:v>245</x:v>
      </x:c>
      <x:c r="C250" s="29">
        <x:f>IF($B250&lt;=Inputs!$C$6+Inputs!$C$11,Cashflow_Asset!$E248-Cashflow_Asset!$K248,0)</x:f>
      </x:c>
      <x:c r="D250" s="29">
        <x:f>IF($B250&lt;=Inputs!$C$6+Inputs!$C$11,Cashflow_Asset!$F248+Cashflow_Asset!$G248+Cashflow_Asset!$I248,0)</x:f>
      </x:c>
      <x:c r="E250" s="29">
        <x:f>IF($B250&lt;=Inputs!$C$6+Inputs!$C$11,Cashflow_Asset!$J248,0)</x:f>
      </x:c>
      <x:c r="F250" s="23">
        <x:f>$G249</x:f>
      </x:c>
      <x:c r="G250" s="24">
        <x:f>(MAX(0,$F250-MAX(0,($M250+$S250)-$C250)))+MIN(MAX(0,$D$3-(MAX(0,$F250-MAX(0,($M250+$S250)-$C250)))),MAX(0,MAX(0,($C250+$F250)-$M250)-$S250))</x:f>
      </x:c>
      <x:c r="H250" s="23">
        <x:f>$J249</x:f>
      </x:c>
      <x:c r="I250" s="24">
        <x:f>MIN($E250,$H250)</x:f>
      </x:c>
      <x:c r="J250" s="24">
        <x:f>$H250-$I250</x:f>
      </x:c>
      <x:c r="K250" s="23">
        <x:f>$P249</x:f>
      </x:c>
      <x:c r="L250" s="24">
        <x:f>$K250*Inputs!$C$18/12</x:f>
      </x:c>
      <x:c r="M250" s="24">
        <x:f>MIN(($C250+$F250),$L250)</x:f>
      </x:c>
      <x:c r="N250" s="24">
        <x:f>MIN(($D250+$X250),MAX(0,$K250-$O250))</x:f>
      </x:c>
      <x:c r="O250" s="24">
        <x:f>MIN(MAX(0,MAX(0,$E250-$I250)-$U250),$K250)</x:f>
      </x:c>
      <x:c r="P250" s="24">
        <x:f>MAX(0,$K250-$O250)-$N250</x:f>
      </x:c>
      <x:c r="Q250" s="23">
        <x:f>$V249</x:f>
      </x:c>
      <x:c r="R250" s="24">
        <x:f>$Q250*Inputs!$C$19/12</x:f>
      </x:c>
      <x:c r="S250" s="24">
        <x:f>MIN(MAX(0,($C250+$F250)-$M250),$R250)</x:f>
      </x:c>
      <x:c r="T250" s="24">
        <x:f>MIN(MAX(0,($D250+$X250)-$N250),MAX(0,$Q250-$U250))</x:f>
      </x:c>
      <x:c r="U250" s="24">
        <x:f>MIN(MAX(0,$E250-$I250),$Q250)</x:f>
      </x:c>
      <x:c r="V250" s="24">
        <x:f>MAX(0,$Q250-$U250)-$T250</x:f>
      </x:c>
      <x:c r="W250" s="24">
        <x:f>MAX(0,MAX(0,($C250+$F250)-$M250)-$S250)-MIN(MAX(0,$D$3-(MAX(0,$F250-MAX(0,($M250+$S250)-$C250)))),MAX(0,MAX(0,($C250+$F250)-$M250)-$S250))</x:f>
      </x:c>
      <x:c r="X250" s="24">
        <x:f>IF(Inputs!$C$39=1,$W250,0)</x:f>
      </x:c>
      <x:c r="Y250" s="24">
        <x:f>IF(Inputs!$C$39=0,$W250,0)+MAX(0,MAX(0,($D250+$X250)-$N250)-$T250)</x:f>
      </x:c>
    </x:row>
    <x:row r="251">
      <x:c r="B251" s="22" t="n">
        <x:v>246</x:v>
      </x:c>
      <x:c r="C251" s="29">
        <x:f>IF($B251&lt;=Inputs!$C$6+Inputs!$C$11,Cashflow_Asset!$E249-Cashflow_Asset!$K249,0)</x:f>
      </x:c>
      <x:c r="D251" s="29">
        <x:f>IF($B251&lt;=Inputs!$C$6+Inputs!$C$11,Cashflow_Asset!$F249+Cashflow_Asset!$G249+Cashflow_Asset!$I249,0)</x:f>
      </x:c>
      <x:c r="E251" s="29">
        <x:f>IF($B251&lt;=Inputs!$C$6+Inputs!$C$11,Cashflow_Asset!$J249,0)</x:f>
      </x:c>
      <x:c r="F251" s="23">
        <x:f>$G250</x:f>
      </x:c>
      <x:c r="G251" s="24">
        <x:f>(MAX(0,$F251-MAX(0,($M251+$S251)-$C251)))+MIN(MAX(0,$D$3-(MAX(0,$F251-MAX(0,($M251+$S251)-$C251)))),MAX(0,MAX(0,($C251+$F251)-$M251)-$S251))</x:f>
      </x:c>
      <x:c r="H251" s="23">
        <x:f>$J250</x:f>
      </x:c>
      <x:c r="I251" s="24">
        <x:f>MIN($E251,$H251)</x:f>
      </x:c>
      <x:c r="J251" s="24">
        <x:f>$H251-$I251</x:f>
      </x:c>
      <x:c r="K251" s="23">
        <x:f>$P250</x:f>
      </x:c>
      <x:c r="L251" s="24">
        <x:f>$K251*Inputs!$C$18/12</x:f>
      </x:c>
      <x:c r="M251" s="24">
        <x:f>MIN(($C251+$F251),$L251)</x:f>
      </x:c>
      <x:c r="N251" s="24">
        <x:f>MIN(($D251+$X251),MAX(0,$K251-$O251))</x:f>
      </x:c>
      <x:c r="O251" s="24">
        <x:f>MIN(MAX(0,MAX(0,$E251-$I251)-$U251),$K251)</x:f>
      </x:c>
      <x:c r="P251" s="24">
        <x:f>MAX(0,$K251-$O251)-$N251</x:f>
      </x:c>
      <x:c r="Q251" s="23">
        <x:f>$V250</x:f>
      </x:c>
      <x:c r="R251" s="24">
        <x:f>$Q251*Inputs!$C$19/12</x:f>
      </x:c>
      <x:c r="S251" s="24">
        <x:f>MIN(MAX(0,($C251+$F251)-$M251),$R251)</x:f>
      </x:c>
      <x:c r="T251" s="24">
        <x:f>MIN(MAX(0,($D251+$X251)-$N251),MAX(0,$Q251-$U251))</x:f>
      </x:c>
      <x:c r="U251" s="24">
        <x:f>MIN(MAX(0,$E251-$I251),$Q251)</x:f>
      </x:c>
      <x:c r="V251" s="24">
        <x:f>MAX(0,$Q251-$U251)-$T251</x:f>
      </x:c>
      <x:c r="W251" s="24">
        <x:f>MAX(0,MAX(0,($C251+$F251)-$M251)-$S251)-MIN(MAX(0,$D$3-(MAX(0,$F251-MAX(0,($M251+$S251)-$C251)))),MAX(0,MAX(0,($C251+$F251)-$M251)-$S251))</x:f>
      </x:c>
      <x:c r="X251" s="24">
        <x:f>IF(Inputs!$C$39=1,$W251,0)</x:f>
      </x:c>
      <x:c r="Y251" s="24">
        <x:f>IF(Inputs!$C$39=0,$W251,0)+MAX(0,MAX(0,($D251+$X251)-$N251)-$T251)</x:f>
      </x:c>
    </x:row>
    <x:row r="252">
      <x:c r="B252" s="22" t="n">
        <x:v>247</x:v>
      </x:c>
      <x:c r="C252" s="29">
        <x:f>IF($B252&lt;=Inputs!$C$6+Inputs!$C$11,Cashflow_Asset!$E250-Cashflow_Asset!$K250,0)</x:f>
      </x:c>
      <x:c r="D252" s="29">
        <x:f>IF($B252&lt;=Inputs!$C$6+Inputs!$C$11,Cashflow_Asset!$F250+Cashflow_Asset!$G250+Cashflow_Asset!$I250,0)</x:f>
      </x:c>
      <x:c r="E252" s="29">
        <x:f>IF($B252&lt;=Inputs!$C$6+Inputs!$C$11,Cashflow_Asset!$J250,0)</x:f>
      </x:c>
      <x:c r="F252" s="23">
        <x:f>$G251</x:f>
      </x:c>
      <x:c r="G252" s="24">
        <x:f>(MAX(0,$F252-MAX(0,($M252+$S252)-$C252)))+MIN(MAX(0,$D$3-(MAX(0,$F252-MAX(0,($M252+$S252)-$C252)))),MAX(0,MAX(0,($C252+$F252)-$M252)-$S252))</x:f>
      </x:c>
      <x:c r="H252" s="23">
        <x:f>$J251</x:f>
      </x:c>
      <x:c r="I252" s="24">
        <x:f>MIN($E252,$H252)</x:f>
      </x:c>
      <x:c r="J252" s="24">
        <x:f>$H252-$I252</x:f>
      </x:c>
      <x:c r="K252" s="23">
        <x:f>$P251</x:f>
      </x:c>
      <x:c r="L252" s="24">
        <x:f>$K252*Inputs!$C$18/12</x:f>
      </x:c>
      <x:c r="M252" s="24">
        <x:f>MIN(($C252+$F252),$L252)</x:f>
      </x:c>
      <x:c r="N252" s="24">
        <x:f>MIN(($D252+$X252),MAX(0,$K252-$O252))</x:f>
      </x:c>
      <x:c r="O252" s="24">
        <x:f>MIN(MAX(0,MAX(0,$E252-$I252)-$U252),$K252)</x:f>
      </x:c>
      <x:c r="P252" s="24">
        <x:f>MAX(0,$K252-$O252)-$N252</x:f>
      </x:c>
      <x:c r="Q252" s="23">
        <x:f>$V251</x:f>
      </x:c>
      <x:c r="R252" s="24">
        <x:f>$Q252*Inputs!$C$19/12</x:f>
      </x:c>
      <x:c r="S252" s="24">
        <x:f>MIN(MAX(0,($C252+$F252)-$M252),$R252)</x:f>
      </x:c>
      <x:c r="T252" s="24">
        <x:f>MIN(MAX(0,($D252+$X252)-$N252),MAX(0,$Q252-$U252))</x:f>
      </x:c>
      <x:c r="U252" s="24">
        <x:f>MIN(MAX(0,$E252-$I252),$Q252)</x:f>
      </x:c>
      <x:c r="V252" s="24">
        <x:f>MAX(0,$Q252-$U252)-$T252</x:f>
      </x:c>
      <x:c r="W252" s="24">
        <x:f>MAX(0,MAX(0,($C252+$F252)-$M252)-$S252)-MIN(MAX(0,$D$3-(MAX(0,$F252-MAX(0,($M252+$S252)-$C252)))),MAX(0,MAX(0,($C252+$F252)-$M252)-$S252))</x:f>
      </x:c>
      <x:c r="X252" s="24">
        <x:f>IF(Inputs!$C$39=1,$W252,0)</x:f>
      </x:c>
      <x:c r="Y252" s="24">
        <x:f>IF(Inputs!$C$39=0,$W252,0)+MAX(0,MAX(0,($D252+$X252)-$N252)-$T252)</x:f>
      </x:c>
    </x:row>
    <x:row r="253">
      <x:c r="B253" s="22" t="n">
        <x:v>248</x:v>
      </x:c>
      <x:c r="C253" s="29">
        <x:f>IF($B253&lt;=Inputs!$C$6+Inputs!$C$11,Cashflow_Asset!$E251-Cashflow_Asset!$K251,0)</x:f>
      </x:c>
      <x:c r="D253" s="29">
        <x:f>IF($B253&lt;=Inputs!$C$6+Inputs!$C$11,Cashflow_Asset!$F251+Cashflow_Asset!$G251+Cashflow_Asset!$I251,0)</x:f>
      </x:c>
      <x:c r="E253" s="29">
        <x:f>IF($B253&lt;=Inputs!$C$6+Inputs!$C$11,Cashflow_Asset!$J251,0)</x:f>
      </x:c>
      <x:c r="F253" s="23">
        <x:f>$G252</x:f>
      </x:c>
      <x:c r="G253" s="24">
        <x:f>(MAX(0,$F253-MAX(0,($M253+$S253)-$C253)))+MIN(MAX(0,$D$3-(MAX(0,$F253-MAX(0,($M253+$S253)-$C253)))),MAX(0,MAX(0,($C253+$F253)-$M253)-$S253))</x:f>
      </x:c>
      <x:c r="H253" s="23">
        <x:f>$J252</x:f>
      </x:c>
      <x:c r="I253" s="24">
        <x:f>MIN($E253,$H253)</x:f>
      </x:c>
      <x:c r="J253" s="24">
        <x:f>$H253-$I253</x:f>
      </x:c>
      <x:c r="K253" s="23">
        <x:f>$P252</x:f>
      </x:c>
      <x:c r="L253" s="24">
        <x:f>$K253*Inputs!$C$18/12</x:f>
      </x:c>
      <x:c r="M253" s="24">
        <x:f>MIN(($C253+$F253),$L253)</x:f>
      </x:c>
      <x:c r="N253" s="24">
        <x:f>MIN(($D253+$X253),MAX(0,$K253-$O253))</x:f>
      </x:c>
      <x:c r="O253" s="24">
        <x:f>MIN(MAX(0,MAX(0,$E253-$I253)-$U253),$K253)</x:f>
      </x:c>
      <x:c r="P253" s="24">
        <x:f>MAX(0,$K253-$O253)-$N253</x:f>
      </x:c>
      <x:c r="Q253" s="23">
        <x:f>$V252</x:f>
      </x:c>
      <x:c r="R253" s="24">
        <x:f>$Q253*Inputs!$C$19/12</x:f>
      </x:c>
      <x:c r="S253" s="24">
        <x:f>MIN(MAX(0,($C253+$F253)-$M253),$R253)</x:f>
      </x:c>
      <x:c r="T253" s="24">
        <x:f>MIN(MAX(0,($D253+$X253)-$N253),MAX(0,$Q253-$U253))</x:f>
      </x:c>
      <x:c r="U253" s="24">
        <x:f>MIN(MAX(0,$E253-$I253),$Q253)</x:f>
      </x:c>
      <x:c r="V253" s="24">
        <x:f>MAX(0,$Q253-$U253)-$T253</x:f>
      </x:c>
      <x:c r="W253" s="24">
        <x:f>MAX(0,MAX(0,($C253+$F253)-$M253)-$S253)-MIN(MAX(0,$D$3-(MAX(0,$F253-MAX(0,($M253+$S253)-$C253)))),MAX(0,MAX(0,($C253+$F253)-$M253)-$S253))</x:f>
      </x:c>
      <x:c r="X253" s="24">
        <x:f>IF(Inputs!$C$39=1,$W253,0)</x:f>
      </x:c>
      <x:c r="Y253" s="24">
        <x:f>IF(Inputs!$C$39=0,$W253,0)+MAX(0,MAX(0,($D253+$X253)-$N253)-$T253)</x:f>
      </x:c>
    </x:row>
    <x:row r="254">
      <x:c r="B254" s="22" t="n">
        <x:v>249</x:v>
      </x:c>
      <x:c r="C254" s="29">
        <x:f>IF($B254&lt;=Inputs!$C$6+Inputs!$C$11,Cashflow_Asset!$E252-Cashflow_Asset!$K252,0)</x:f>
      </x:c>
      <x:c r="D254" s="29">
        <x:f>IF($B254&lt;=Inputs!$C$6+Inputs!$C$11,Cashflow_Asset!$F252+Cashflow_Asset!$G252+Cashflow_Asset!$I252,0)</x:f>
      </x:c>
      <x:c r="E254" s="29">
        <x:f>IF($B254&lt;=Inputs!$C$6+Inputs!$C$11,Cashflow_Asset!$J252,0)</x:f>
      </x:c>
      <x:c r="F254" s="23">
        <x:f>$G253</x:f>
      </x:c>
      <x:c r="G254" s="24">
        <x:f>(MAX(0,$F254-MAX(0,($M254+$S254)-$C254)))+MIN(MAX(0,$D$3-(MAX(0,$F254-MAX(0,($M254+$S254)-$C254)))),MAX(0,MAX(0,($C254+$F254)-$M254)-$S254))</x:f>
      </x:c>
      <x:c r="H254" s="23">
        <x:f>$J253</x:f>
      </x:c>
      <x:c r="I254" s="24">
        <x:f>MIN($E254,$H254)</x:f>
      </x:c>
      <x:c r="J254" s="24">
        <x:f>$H254-$I254</x:f>
      </x:c>
      <x:c r="K254" s="23">
        <x:f>$P253</x:f>
      </x:c>
      <x:c r="L254" s="24">
        <x:f>$K254*Inputs!$C$18/12</x:f>
      </x:c>
      <x:c r="M254" s="24">
        <x:f>MIN(($C254+$F254),$L254)</x:f>
      </x:c>
      <x:c r="N254" s="24">
        <x:f>MIN(($D254+$X254),MAX(0,$K254-$O254))</x:f>
      </x:c>
      <x:c r="O254" s="24">
        <x:f>MIN(MAX(0,MAX(0,$E254-$I254)-$U254),$K254)</x:f>
      </x:c>
      <x:c r="P254" s="24">
        <x:f>MAX(0,$K254-$O254)-$N254</x:f>
      </x:c>
      <x:c r="Q254" s="23">
        <x:f>$V253</x:f>
      </x:c>
      <x:c r="R254" s="24">
        <x:f>$Q254*Inputs!$C$19/12</x:f>
      </x:c>
      <x:c r="S254" s="24">
        <x:f>MIN(MAX(0,($C254+$F254)-$M254),$R254)</x:f>
      </x:c>
      <x:c r="T254" s="24">
        <x:f>MIN(MAX(0,($D254+$X254)-$N254),MAX(0,$Q254-$U254))</x:f>
      </x:c>
      <x:c r="U254" s="24">
        <x:f>MIN(MAX(0,$E254-$I254),$Q254)</x:f>
      </x:c>
      <x:c r="V254" s="24">
        <x:f>MAX(0,$Q254-$U254)-$T254</x:f>
      </x:c>
      <x:c r="W254" s="24">
        <x:f>MAX(0,MAX(0,($C254+$F254)-$M254)-$S254)-MIN(MAX(0,$D$3-(MAX(0,$F254-MAX(0,($M254+$S254)-$C254)))),MAX(0,MAX(0,($C254+$F254)-$M254)-$S254))</x:f>
      </x:c>
      <x:c r="X254" s="24">
        <x:f>IF(Inputs!$C$39=1,$W254,0)</x:f>
      </x:c>
      <x:c r="Y254" s="24">
        <x:f>IF(Inputs!$C$39=0,$W254,0)+MAX(0,MAX(0,($D254+$X254)-$N254)-$T254)</x:f>
      </x:c>
    </x:row>
    <x:row r="255">
      <x:c r="B255" s="22" t="n">
        <x:v>250</x:v>
      </x:c>
      <x:c r="C255" s="29">
        <x:f>IF($B255&lt;=Inputs!$C$6+Inputs!$C$11,Cashflow_Asset!$E253-Cashflow_Asset!$K253,0)</x:f>
      </x:c>
      <x:c r="D255" s="29">
        <x:f>IF($B255&lt;=Inputs!$C$6+Inputs!$C$11,Cashflow_Asset!$F253+Cashflow_Asset!$G253+Cashflow_Asset!$I253,0)</x:f>
      </x:c>
      <x:c r="E255" s="29">
        <x:f>IF($B255&lt;=Inputs!$C$6+Inputs!$C$11,Cashflow_Asset!$J253,0)</x:f>
      </x:c>
      <x:c r="F255" s="23">
        <x:f>$G254</x:f>
      </x:c>
      <x:c r="G255" s="24">
        <x:f>(MAX(0,$F255-MAX(0,($M255+$S255)-$C255)))+MIN(MAX(0,$D$3-(MAX(0,$F255-MAX(0,($M255+$S255)-$C255)))),MAX(0,MAX(0,($C255+$F255)-$M255)-$S255))</x:f>
      </x:c>
      <x:c r="H255" s="23">
        <x:f>$J254</x:f>
      </x:c>
      <x:c r="I255" s="24">
        <x:f>MIN($E255,$H255)</x:f>
      </x:c>
      <x:c r="J255" s="24">
        <x:f>$H255-$I255</x:f>
      </x:c>
      <x:c r="K255" s="23">
        <x:f>$P254</x:f>
      </x:c>
      <x:c r="L255" s="24">
        <x:f>$K255*Inputs!$C$18/12</x:f>
      </x:c>
      <x:c r="M255" s="24">
        <x:f>MIN(($C255+$F255),$L255)</x:f>
      </x:c>
      <x:c r="N255" s="24">
        <x:f>MIN(($D255+$X255),MAX(0,$K255-$O255))</x:f>
      </x:c>
      <x:c r="O255" s="24">
        <x:f>MIN(MAX(0,MAX(0,$E255-$I255)-$U255),$K255)</x:f>
      </x:c>
      <x:c r="P255" s="24">
        <x:f>MAX(0,$K255-$O255)-$N255</x:f>
      </x:c>
      <x:c r="Q255" s="23">
        <x:f>$V254</x:f>
      </x:c>
      <x:c r="R255" s="24">
        <x:f>$Q255*Inputs!$C$19/12</x:f>
      </x:c>
      <x:c r="S255" s="24">
        <x:f>MIN(MAX(0,($C255+$F255)-$M255),$R255)</x:f>
      </x:c>
      <x:c r="T255" s="24">
        <x:f>MIN(MAX(0,($D255+$X255)-$N255),MAX(0,$Q255-$U255))</x:f>
      </x:c>
      <x:c r="U255" s="24">
        <x:f>MIN(MAX(0,$E255-$I255),$Q255)</x:f>
      </x:c>
      <x:c r="V255" s="24">
        <x:f>MAX(0,$Q255-$U255)-$T255</x:f>
      </x:c>
      <x:c r="W255" s="24">
        <x:f>MAX(0,MAX(0,($C255+$F255)-$M255)-$S255)-MIN(MAX(0,$D$3-(MAX(0,$F255-MAX(0,($M255+$S255)-$C255)))),MAX(0,MAX(0,($C255+$F255)-$M255)-$S255))</x:f>
      </x:c>
      <x:c r="X255" s="24">
        <x:f>IF(Inputs!$C$39=1,$W255,0)</x:f>
      </x:c>
      <x:c r="Y255" s="24">
        <x:f>IF(Inputs!$C$39=0,$W255,0)+MAX(0,MAX(0,($D255+$X255)-$N255)-$T255)</x:f>
      </x:c>
    </x:row>
    <x:row r="256">
      <x:c r="B256" s="22" t="n">
        <x:v>251</x:v>
      </x:c>
      <x:c r="C256" s="29">
        <x:f>IF($B256&lt;=Inputs!$C$6+Inputs!$C$11,Cashflow_Asset!$E254-Cashflow_Asset!$K254,0)</x:f>
      </x:c>
      <x:c r="D256" s="29">
        <x:f>IF($B256&lt;=Inputs!$C$6+Inputs!$C$11,Cashflow_Asset!$F254+Cashflow_Asset!$G254+Cashflow_Asset!$I254,0)</x:f>
      </x:c>
      <x:c r="E256" s="29">
        <x:f>IF($B256&lt;=Inputs!$C$6+Inputs!$C$11,Cashflow_Asset!$J254,0)</x:f>
      </x:c>
      <x:c r="F256" s="23">
        <x:f>$G255</x:f>
      </x:c>
      <x:c r="G256" s="24">
        <x:f>(MAX(0,$F256-MAX(0,($M256+$S256)-$C256)))+MIN(MAX(0,$D$3-(MAX(0,$F256-MAX(0,($M256+$S256)-$C256)))),MAX(0,MAX(0,($C256+$F256)-$M256)-$S256))</x:f>
      </x:c>
      <x:c r="H256" s="23">
        <x:f>$J255</x:f>
      </x:c>
      <x:c r="I256" s="24">
        <x:f>MIN($E256,$H256)</x:f>
      </x:c>
      <x:c r="J256" s="24">
        <x:f>$H256-$I256</x:f>
      </x:c>
      <x:c r="K256" s="23">
        <x:f>$P255</x:f>
      </x:c>
      <x:c r="L256" s="24">
        <x:f>$K256*Inputs!$C$18/12</x:f>
      </x:c>
      <x:c r="M256" s="24">
        <x:f>MIN(($C256+$F256),$L256)</x:f>
      </x:c>
      <x:c r="N256" s="24">
        <x:f>MIN(($D256+$X256),MAX(0,$K256-$O256))</x:f>
      </x:c>
      <x:c r="O256" s="24">
        <x:f>MIN(MAX(0,MAX(0,$E256-$I256)-$U256),$K256)</x:f>
      </x:c>
      <x:c r="P256" s="24">
        <x:f>MAX(0,$K256-$O256)-$N256</x:f>
      </x:c>
      <x:c r="Q256" s="23">
        <x:f>$V255</x:f>
      </x:c>
      <x:c r="R256" s="24">
        <x:f>$Q256*Inputs!$C$19/12</x:f>
      </x:c>
      <x:c r="S256" s="24">
        <x:f>MIN(MAX(0,($C256+$F256)-$M256),$R256)</x:f>
      </x:c>
      <x:c r="T256" s="24">
        <x:f>MIN(MAX(0,($D256+$X256)-$N256),MAX(0,$Q256-$U256))</x:f>
      </x:c>
      <x:c r="U256" s="24">
        <x:f>MIN(MAX(0,$E256-$I256),$Q256)</x:f>
      </x:c>
      <x:c r="V256" s="24">
        <x:f>MAX(0,$Q256-$U256)-$T256</x:f>
      </x:c>
      <x:c r="W256" s="24">
        <x:f>MAX(0,MAX(0,($C256+$F256)-$M256)-$S256)-MIN(MAX(0,$D$3-(MAX(0,$F256-MAX(0,($M256+$S256)-$C256)))),MAX(0,MAX(0,($C256+$F256)-$M256)-$S256))</x:f>
      </x:c>
      <x:c r="X256" s="24">
        <x:f>IF(Inputs!$C$39=1,$W256,0)</x:f>
      </x:c>
      <x:c r="Y256" s="24">
        <x:f>IF(Inputs!$C$39=0,$W256,0)+MAX(0,MAX(0,($D256+$X256)-$N256)-$T256)</x:f>
      </x:c>
    </x:row>
    <x:row r="257">
      <x:c r="B257" s="22" t="n">
        <x:v>252</x:v>
      </x:c>
      <x:c r="C257" s="29">
        <x:f>IF($B257&lt;=Inputs!$C$6+Inputs!$C$11,Cashflow_Asset!$E255-Cashflow_Asset!$K255,0)</x:f>
      </x:c>
      <x:c r="D257" s="29">
        <x:f>IF($B257&lt;=Inputs!$C$6+Inputs!$C$11,Cashflow_Asset!$F255+Cashflow_Asset!$G255+Cashflow_Asset!$I255,0)</x:f>
      </x:c>
      <x:c r="E257" s="29">
        <x:f>IF($B257&lt;=Inputs!$C$6+Inputs!$C$11,Cashflow_Asset!$J255,0)</x:f>
      </x:c>
      <x:c r="F257" s="23">
        <x:f>$G256</x:f>
      </x:c>
      <x:c r="G257" s="24">
        <x:f>(MAX(0,$F257-MAX(0,($M257+$S257)-$C257)))+MIN(MAX(0,$D$3-(MAX(0,$F257-MAX(0,($M257+$S257)-$C257)))),MAX(0,MAX(0,($C257+$F257)-$M257)-$S257))</x:f>
      </x:c>
      <x:c r="H257" s="23">
        <x:f>$J256</x:f>
      </x:c>
      <x:c r="I257" s="24">
        <x:f>MIN($E257,$H257)</x:f>
      </x:c>
      <x:c r="J257" s="24">
        <x:f>$H257-$I257</x:f>
      </x:c>
      <x:c r="K257" s="23">
        <x:f>$P256</x:f>
      </x:c>
      <x:c r="L257" s="24">
        <x:f>$K257*Inputs!$C$18/12</x:f>
      </x:c>
      <x:c r="M257" s="24">
        <x:f>MIN(($C257+$F257),$L257)</x:f>
      </x:c>
      <x:c r="N257" s="24">
        <x:f>MIN(($D257+$X257),MAX(0,$K257-$O257))</x:f>
      </x:c>
      <x:c r="O257" s="24">
        <x:f>MIN(MAX(0,MAX(0,$E257-$I257)-$U257),$K257)</x:f>
      </x:c>
      <x:c r="P257" s="24">
        <x:f>MAX(0,$K257-$O257)-$N257</x:f>
      </x:c>
      <x:c r="Q257" s="23">
        <x:f>$V256</x:f>
      </x:c>
      <x:c r="R257" s="24">
        <x:f>$Q257*Inputs!$C$19/12</x:f>
      </x:c>
      <x:c r="S257" s="24">
        <x:f>MIN(MAX(0,($C257+$F257)-$M257),$R257)</x:f>
      </x:c>
      <x:c r="T257" s="24">
        <x:f>MIN(MAX(0,($D257+$X257)-$N257),MAX(0,$Q257-$U257))</x:f>
      </x:c>
      <x:c r="U257" s="24">
        <x:f>MIN(MAX(0,$E257-$I257),$Q257)</x:f>
      </x:c>
      <x:c r="V257" s="24">
        <x:f>MAX(0,$Q257-$U257)-$T257</x:f>
      </x:c>
      <x:c r="W257" s="24">
        <x:f>MAX(0,MAX(0,($C257+$F257)-$M257)-$S257)-MIN(MAX(0,$D$3-(MAX(0,$F257-MAX(0,($M257+$S257)-$C257)))),MAX(0,MAX(0,($C257+$F257)-$M257)-$S257))</x:f>
      </x:c>
      <x:c r="X257" s="24">
        <x:f>IF(Inputs!$C$39=1,$W257,0)</x:f>
      </x:c>
      <x:c r="Y257" s="24">
        <x:f>IF(Inputs!$C$39=0,$W257,0)+MAX(0,MAX(0,($D257+$X257)-$N257)-$T257)</x:f>
      </x:c>
    </x:row>
    <x:row r="258">
      <x:c r="B258" s="22" t="n">
        <x:v>253</x:v>
      </x:c>
      <x:c r="C258" s="29">
        <x:f>IF($B258&lt;=Inputs!$C$6+Inputs!$C$11,Cashflow_Asset!$E256-Cashflow_Asset!$K256,0)</x:f>
      </x:c>
      <x:c r="D258" s="29">
        <x:f>IF($B258&lt;=Inputs!$C$6+Inputs!$C$11,Cashflow_Asset!$F256+Cashflow_Asset!$G256+Cashflow_Asset!$I256,0)</x:f>
      </x:c>
      <x:c r="E258" s="29">
        <x:f>IF($B258&lt;=Inputs!$C$6+Inputs!$C$11,Cashflow_Asset!$J256,0)</x:f>
      </x:c>
      <x:c r="F258" s="23">
        <x:f>$G257</x:f>
      </x:c>
      <x:c r="G258" s="24">
        <x:f>(MAX(0,$F258-MAX(0,($M258+$S258)-$C258)))+MIN(MAX(0,$D$3-(MAX(0,$F258-MAX(0,($M258+$S258)-$C258)))),MAX(0,MAX(0,($C258+$F258)-$M258)-$S258))</x:f>
      </x:c>
      <x:c r="H258" s="23">
        <x:f>$J257</x:f>
      </x:c>
      <x:c r="I258" s="24">
        <x:f>MIN($E258,$H258)</x:f>
      </x:c>
      <x:c r="J258" s="24">
        <x:f>$H258-$I258</x:f>
      </x:c>
      <x:c r="K258" s="23">
        <x:f>$P257</x:f>
      </x:c>
      <x:c r="L258" s="24">
        <x:f>$K258*Inputs!$C$18/12</x:f>
      </x:c>
      <x:c r="M258" s="24">
        <x:f>MIN(($C258+$F258),$L258)</x:f>
      </x:c>
      <x:c r="N258" s="24">
        <x:f>MIN(($D258+$X258),MAX(0,$K258-$O258))</x:f>
      </x:c>
      <x:c r="O258" s="24">
        <x:f>MIN(MAX(0,MAX(0,$E258-$I258)-$U258),$K258)</x:f>
      </x:c>
      <x:c r="P258" s="24">
        <x:f>MAX(0,$K258-$O258)-$N258</x:f>
      </x:c>
      <x:c r="Q258" s="23">
        <x:f>$V257</x:f>
      </x:c>
      <x:c r="R258" s="24">
        <x:f>$Q258*Inputs!$C$19/12</x:f>
      </x:c>
      <x:c r="S258" s="24">
        <x:f>MIN(MAX(0,($C258+$F258)-$M258),$R258)</x:f>
      </x:c>
      <x:c r="T258" s="24">
        <x:f>MIN(MAX(0,($D258+$X258)-$N258),MAX(0,$Q258-$U258))</x:f>
      </x:c>
      <x:c r="U258" s="24">
        <x:f>MIN(MAX(0,$E258-$I258),$Q258)</x:f>
      </x:c>
      <x:c r="V258" s="24">
        <x:f>MAX(0,$Q258-$U258)-$T258</x:f>
      </x:c>
      <x:c r="W258" s="24">
        <x:f>MAX(0,MAX(0,($C258+$F258)-$M258)-$S258)-MIN(MAX(0,$D$3-(MAX(0,$F258-MAX(0,($M258+$S258)-$C258)))),MAX(0,MAX(0,($C258+$F258)-$M258)-$S258))</x:f>
      </x:c>
      <x:c r="X258" s="24">
        <x:f>IF(Inputs!$C$39=1,$W258,0)</x:f>
      </x:c>
      <x:c r="Y258" s="24">
        <x:f>IF(Inputs!$C$39=0,$W258,0)+MAX(0,MAX(0,($D258+$X258)-$N258)-$T258)</x:f>
      </x:c>
    </x:row>
    <x:row r="259">
      <x:c r="B259" s="22" t="n">
        <x:v>254</x:v>
      </x:c>
      <x:c r="C259" s="29">
        <x:f>IF($B259&lt;=Inputs!$C$6+Inputs!$C$11,Cashflow_Asset!$E257-Cashflow_Asset!$K257,0)</x:f>
      </x:c>
      <x:c r="D259" s="29">
        <x:f>IF($B259&lt;=Inputs!$C$6+Inputs!$C$11,Cashflow_Asset!$F257+Cashflow_Asset!$G257+Cashflow_Asset!$I257,0)</x:f>
      </x:c>
      <x:c r="E259" s="29">
        <x:f>IF($B259&lt;=Inputs!$C$6+Inputs!$C$11,Cashflow_Asset!$J257,0)</x:f>
      </x:c>
      <x:c r="F259" s="23">
        <x:f>$G258</x:f>
      </x:c>
      <x:c r="G259" s="24">
        <x:f>(MAX(0,$F259-MAX(0,($M259+$S259)-$C259)))+MIN(MAX(0,$D$3-(MAX(0,$F259-MAX(0,($M259+$S259)-$C259)))),MAX(0,MAX(0,($C259+$F259)-$M259)-$S259))</x:f>
      </x:c>
      <x:c r="H259" s="23">
        <x:f>$J258</x:f>
      </x:c>
      <x:c r="I259" s="24">
        <x:f>MIN($E259,$H259)</x:f>
      </x:c>
      <x:c r="J259" s="24">
        <x:f>$H259-$I259</x:f>
      </x:c>
      <x:c r="K259" s="23">
        <x:f>$P258</x:f>
      </x:c>
      <x:c r="L259" s="24">
        <x:f>$K259*Inputs!$C$18/12</x:f>
      </x:c>
      <x:c r="M259" s="24">
        <x:f>MIN(($C259+$F259),$L259)</x:f>
      </x:c>
      <x:c r="N259" s="24">
        <x:f>MIN(($D259+$X259),MAX(0,$K259-$O259))</x:f>
      </x:c>
      <x:c r="O259" s="24">
        <x:f>MIN(MAX(0,MAX(0,$E259-$I259)-$U259),$K259)</x:f>
      </x:c>
      <x:c r="P259" s="24">
        <x:f>MAX(0,$K259-$O259)-$N259</x:f>
      </x:c>
      <x:c r="Q259" s="23">
        <x:f>$V258</x:f>
      </x:c>
      <x:c r="R259" s="24">
        <x:f>$Q259*Inputs!$C$19/12</x:f>
      </x:c>
      <x:c r="S259" s="24">
        <x:f>MIN(MAX(0,($C259+$F259)-$M259),$R259)</x:f>
      </x:c>
      <x:c r="T259" s="24">
        <x:f>MIN(MAX(0,($D259+$X259)-$N259),MAX(0,$Q259-$U259))</x:f>
      </x:c>
      <x:c r="U259" s="24">
        <x:f>MIN(MAX(0,$E259-$I259),$Q259)</x:f>
      </x:c>
      <x:c r="V259" s="24">
        <x:f>MAX(0,$Q259-$U259)-$T259</x:f>
      </x:c>
      <x:c r="W259" s="24">
        <x:f>MAX(0,MAX(0,($C259+$F259)-$M259)-$S259)-MIN(MAX(0,$D$3-(MAX(0,$F259-MAX(0,($M259+$S259)-$C259)))),MAX(0,MAX(0,($C259+$F259)-$M259)-$S259))</x:f>
      </x:c>
      <x:c r="X259" s="24">
        <x:f>IF(Inputs!$C$39=1,$W259,0)</x:f>
      </x:c>
      <x:c r="Y259" s="24">
        <x:f>IF(Inputs!$C$39=0,$W259,0)+MAX(0,MAX(0,($D259+$X259)-$N259)-$T259)</x:f>
      </x:c>
    </x:row>
    <x:row r="260">
      <x:c r="B260" s="22" t="n">
        <x:v>255</x:v>
      </x:c>
      <x:c r="C260" s="29">
        <x:f>IF($B260&lt;=Inputs!$C$6+Inputs!$C$11,Cashflow_Asset!$E258-Cashflow_Asset!$K258,0)</x:f>
      </x:c>
      <x:c r="D260" s="29">
        <x:f>IF($B260&lt;=Inputs!$C$6+Inputs!$C$11,Cashflow_Asset!$F258+Cashflow_Asset!$G258+Cashflow_Asset!$I258,0)</x:f>
      </x:c>
      <x:c r="E260" s="29">
        <x:f>IF($B260&lt;=Inputs!$C$6+Inputs!$C$11,Cashflow_Asset!$J258,0)</x:f>
      </x:c>
      <x:c r="F260" s="23">
        <x:f>$G259</x:f>
      </x:c>
      <x:c r="G260" s="24">
        <x:f>(MAX(0,$F260-MAX(0,($M260+$S260)-$C260)))+MIN(MAX(0,$D$3-(MAX(0,$F260-MAX(0,($M260+$S260)-$C260)))),MAX(0,MAX(0,($C260+$F260)-$M260)-$S260))</x:f>
      </x:c>
      <x:c r="H260" s="23">
        <x:f>$J259</x:f>
      </x:c>
      <x:c r="I260" s="24">
        <x:f>MIN($E260,$H260)</x:f>
      </x:c>
      <x:c r="J260" s="24">
        <x:f>$H260-$I260</x:f>
      </x:c>
      <x:c r="K260" s="23">
        <x:f>$P259</x:f>
      </x:c>
      <x:c r="L260" s="24">
        <x:f>$K260*Inputs!$C$18/12</x:f>
      </x:c>
      <x:c r="M260" s="24">
        <x:f>MIN(($C260+$F260),$L260)</x:f>
      </x:c>
      <x:c r="N260" s="24">
        <x:f>MIN(($D260+$X260),MAX(0,$K260-$O260))</x:f>
      </x:c>
      <x:c r="O260" s="24">
        <x:f>MIN(MAX(0,MAX(0,$E260-$I260)-$U260),$K260)</x:f>
      </x:c>
      <x:c r="P260" s="24">
        <x:f>MAX(0,$K260-$O260)-$N260</x:f>
      </x:c>
      <x:c r="Q260" s="23">
        <x:f>$V259</x:f>
      </x:c>
      <x:c r="R260" s="24">
        <x:f>$Q260*Inputs!$C$19/12</x:f>
      </x:c>
      <x:c r="S260" s="24">
        <x:f>MIN(MAX(0,($C260+$F260)-$M260),$R260)</x:f>
      </x:c>
      <x:c r="T260" s="24">
        <x:f>MIN(MAX(0,($D260+$X260)-$N260),MAX(0,$Q260-$U260))</x:f>
      </x:c>
      <x:c r="U260" s="24">
        <x:f>MIN(MAX(0,$E260-$I260),$Q260)</x:f>
      </x:c>
      <x:c r="V260" s="24">
        <x:f>MAX(0,$Q260-$U260)-$T260</x:f>
      </x:c>
      <x:c r="W260" s="24">
        <x:f>MAX(0,MAX(0,($C260+$F260)-$M260)-$S260)-MIN(MAX(0,$D$3-(MAX(0,$F260-MAX(0,($M260+$S260)-$C260)))),MAX(0,MAX(0,($C260+$F260)-$M260)-$S260))</x:f>
      </x:c>
      <x:c r="X260" s="24">
        <x:f>IF(Inputs!$C$39=1,$W260,0)</x:f>
      </x:c>
      <x:c r="Y260" s="24">
        <x:f>IF(Inputs!$C$39=0,$W260,0)+MAX(0,MAX(0,($D260+$X260)-$N260)-$T260)</x:f>
      </x:c>
    </x:row>
    <x:row r="261">
      <x:c r="B261" s="22" t="n">
        <x:v>256</x:v>
      </x:c>
      <x:c r="C261" s="29">
        <x:f>IF($B261&lt;=Inputs!$C$6+Inputs!$C$11,Cashflow_Asset!$E259-Cashflow_Asset!$K259,0)</x:f>
      </x:c>
      <x:c r="D261" s="29">
        <x:f>IF($B261&lt;=Inputs!$C$6+Inputs!$C$11,Cashflow_Asset!$F259+Cashflow_Asset!$G259+Cashflow_Asset!$I259,0)</x:f>
      </x:c>
      <x:c r="E261" s="29">
        <x:f>IF($B261&lt;=Inputs!$C$6+Inputs!$C$11,Cashflow_Asset!$J259,0)</x:f>
      </x:c>
      <x:c r="F261" s="23">
        <x:f>$G260</x:f>
      </x:c>
      <x:c r="G261" s="24">
        <x:f>(MAX(0,$F261-MAX(0,($M261+$S261)-$C261)))+MIN(MAX(0,$D$3-(MAX(0,$F261-MAX(0,($M261+$S261)-$C261)))),MAX(0,MAX(0,($C261+$F261)-$M261)-$S261))</x:f>
      </x:c>
      <x:c r="H261" s="23">
        <x:f>$J260</x:f>
      </x:c>
      <x:c r="I261" s="24">
        <x:f>MIN($E261,$H261)</x:f>
      </x:c>
      <x:c r="J261" s="24">
        <x:f>$H261-$I261</x:f>
      </x:c>
      <x:c r="K261" s="23">
        <x:f>$P260</x:f>
      </x:c>
      <x:c r="L261" s="24">
        <x:f>$K261*Inputs!$C$18/12</x:f>
      </x:c>
      <x:c r="M261" s="24">
        <x:f>MIN(($C261+$F261),$L261)</x:f>
      </x:c>
      <x:c r="N261" s="24">
        <x:f>MIN(($D261+$X261),MAX(0,$K261-$O261))</x:f>
      </x:c>
      <x:c r="O261" s="24">
        <x:f>MIN(MAX(0,MAX(0,$E261-$I261)-$U261),$K261)</x:f>
      </x:c>
      <x:c r="P261" s="24">
        <x:f>MAX(0,$K261-$O261)-$N261</x:f>
      </x:c>
      <x:c r="Q261" s="23">
        <x:f>$V260</x:f>
      </x:c>
      <x:c r="R261" s="24">
        <x:f>$Q261*Inputs!$C$19/12</x:f>
      </x:c>
      <x:c r="S261" s="24">
        <x:f>MIN(MAX(0,($C261+$F261)-$M261),$R261)</x:f>
      </x:c>
      <x:c r="T261" s="24">
        <x:f>MIN(MAX(0,($D261+$X261)-$N261),MAX(0,$Q261-$U261))</x:f>
      </x:c>
      <x:c r="U261" s="24">
        <x:f>MIN(MAX(0,$E261-$I261),$Q261)</x:f>
      </x:c>
      <x:c r="V261" s="24">
        <x:f>MAX(0,$Q261-$U261)-$T261</x:f>
      </x:c>
      <x:c r="W261" s="24">
        <x:f>MAX(0,MAX(0,($C261+$F261)-$M261)-$S261)-MIN(MAX(0,$D$3-(MAX(0,$F261-MAX(0,($M261+$S261)-$C261)))),MAX(0,MAX(0,($C261+$F261)-$M261)-$S261))</x:f>
      </x:c>
      <x:c r="X261" s="24">
        <x:f>IF(Inputs!$C$39=1,$W261,0)</x:f>
      </x:c>
      <x:c r="Y261" s="24">
        <x:f>IF(Inputs!$C$39=0,$W261,0)+MAX(0,MAX(0,($D261+$X261)-$N261)-$T261)</x:f>
      </x:c>
    </x:row>
    <x:row r="262">
      <x:c r="B262" s="22" t="n">
        <x:v>257</x:v>
      </x:c>
      <x:c r="C262" s="29">
        <x:f>IF($B262&lt;=Inputs!$C$6+Inputs!$C$11,Cashflow_Asset!$E260-Cashflow_Asset!$K260,0)</x:f>
      </x:c>
      <x:c r="D262" s="29">
        <x:f>IF($B262&lt;=Inputs!$C$6+Inputs!$C$11,Cashflow_Asset!$F260+Cashflow_Asset!$G260+Cashflow_Asset!$I260,0)</x:f>
      </x:c>
      <x:c r="E262" s="29">
        <x:f>IF($B262&lt;=Inputs!$C$6+Inputs!$C$11,Cashflow_Asset!$J260,0)</x:f>
      </x:c>
      <x:c r="F262" s="23">
        <x:f>$G261</x:f>
      </x:c>
      <x:c r="G262" s="24">
        <x:f>(MAX(0,$F262-MAX(0,($M262+$S262)-$C262)))+MIN(MAX(0,$D$3-(MAX(0,$F262-MAX(0,($M262+$S262)-$C262)))),MAX(0,MAX(0,($C262+$F262)-$M262)-$S262))</x:f>
      </x:c>
      <x:c r="H262" s="23">
        <x:f>$J261</x:f>
      </x:c>
      <x:c r="I262" s="24">
        <x:f>MIN($E262,$H262)</x:f>
      </x:c>
      <x:c r="J262" s="24">
        <x:f>$H262-$I262</x:f>
      </x:c>
      <x:c r="K262" s="23">
        <x:f>$P261</x:f>
      </x:c>
      <x:c r="L262" s="24">
        <x:f>$K262*Inputs!$C$18/12</x:f>
      </x:c>
      <x:c r="M262" s="24">
        <x:f>MIN(($C262+$F262),$L262)</x:f>
      </x:c>
      <x:c r="N262" s="24">
        <x:f>MIN(($D262+$X262),MAX(0,$K262-$O262))</x:f>
      </x:c>
      <x:c r="O262" s="24">
        <x:f>MIN(MAX(0,MAX(0,$E262-$I262)-$U262),$K262)</x:f>
      </x:c>
      <x:c r="P262" s="24">
        <x:f>MAX(0,$K262-$O262)-$N262</x:f>
      </x:c>
      <x:c r="Q262" s="23">
        <x:f>$V261</x:f>
      </x:c>
      <x:c r="R262" s="24">
        <x:f>$Q262*Inputs!$C$19/12</x:f>
      </x:c>
      <x:c r="S262" s="24">
        <x:f>MIN(MAX(0,($C262+$F262)-$M262),$R262)</x:f>
      </x:c>
      <x:c r="T262" s="24">
        <x:f>MIN(MAX(0,($D262+$X262)-$N262),MAX(0,$Q262-$U262))</x:f>
      </x:c>
      <x:c r="U262" s="24">
        <x:f>MIN(MAX(0,$E262-$I262),$Q262)</x:f>
      </x:c>
      <x:c r="V262" s="24">
        <x:f>MAX(0,$Q262-$U262)-$T262</x:f>
      </x:c>
      <x:c r="W262" s="24">
        <x:f>MAX(0,MAX(0,($C262+$F262)-$M262)-$S262)-MIN(MAX(0,$D$3-(MAX(0,$F262-MAX(0,($M262+$S262)-$C262)))),MAX(0,MAX(0,($C262+$F262)-$M262)-$S262))</x:f>
      </x:c>
      <x:c r="X262" s="24">
        <x:f>IF(Inputs!$C$39=1,$W262,0)</x:f>
      </x:c>
      <x:c r="Y262" s="24">
        <x:f>IF(Inputs!$C$39=0,$W262,0)+MAX(0,MAX(0,($D262+$X262)-$N262)-$T262)</x:f>
      </x:c>
    </x:row>
    <x:row r="263">
      <x:c r="B263" s="22" t="n">
        <x:v>258</x:v>
      </x:c>
      <x:c r="C263" s="29">
        <x:f>IF($B263&lt;=Inputs!$C$6+Inputs!$C$11,Cashflow_Asset!$E261-Cashflow_Asset!$K261,0)</x:f>
      </x:c>
      <x:c r="D263" s="29">
        <x:f>IF($B263&lt;=Inputs!$C$6+Inputs!$C$11,Cashflow_Asset!$F261+Cashflow_Asset!$G261+Cashflow_Asset!$I261,0)</x:f>
      </x:c>
      <x:c r="E263" s="29">
        <x:f>IF($B263&lt;=Inputs!$C$6+Inputs!$C$11,Cashflow_Asset!$J261,0)</x:f>
      </x:c>
      <x:c r="F263" s="23">
        <x:f>$G262</x:f>
      </x:c>
      <x:c r="G263" s="24">
        <x:f>(MAX(0,$F263-MAX(0,($M263+$S263)-$C263)))+MIN(MAX(0,$D$3-(MAX(0,$F263-MAX(0,($M263+$S263)-$C263)))),MAX(0,MAX(0,($C263+$F263)-$M263)-$S263))</x:f>
      </x:c>
      <x:c r="H263" s="23">
        <x:f>$J262</x:f>
      </x:c>
      <x:c r="I263" s="24">
        <x:f>MIN($E263,$H263)</x:f>
      </x:c>
      <x:c r="J263" s="24">
        <x:f>$H263-$I263</x:f>
      </x:c>
      <x:c r="K263" s="23">
        <x:f>$P262</x:f>
      </x:c>
      <x:c r="L263" s="24">
        <x:f>$K263*Inputs!$C$18/12</x:f>
      </x:c>
      <x:c r="M263" s="24">
        <x:f>MIN(($C263+$F263),$L263)</x:f>
      </x:c>
      <x:c r="N263" s="24">
        <x:f>MIN(($D263+$X263),MAX(0,$K263-$O263))</x:f>
      </x:c>
      <x:c r="O263" s="24">
        <x:f>MIN(MAX(0,MAX(0,$E263-$I263)-$U263),$K263)</x:f>
      </x:c>
      <x:c r="P263" s="24">
        <x:f>MAX(0,$K263-$O263)-$N263</x:f>
      </x:c>
      <x:c r="Q263" s="23">
        <x:f>$V262</x:f>
      </x:c>
      <x:c r="R263" s="24">
        <x:f>$Q263*Inputs!$C$19/12</x:f>
      </x:c>
      <x:c r="S263" s="24">
        <x:f>MIN(MAX(0,($C263+$F263)-$M263),$R263)</x:f>
      </x:c>
      <x:c r="T263" s="24">
        <x:f>MIN(MAX(0,($D263+$X263)-$N263),MAX(0,$Q263-$U263))</x:f>
      </x:c>
      <x:c r="U263" s="24">
        <x:f>MIN(MAX(0,$E263-$I263),$Q263)</x:f>
      </x:c>
      <x:c r="V263" s="24">
        <x:f>MAX(0,$Q263-$U263)-$T263</x:f>
      </x:c>
      <x:c r="W263" s="24">
        <x:f>MAX(0,MAX(0,($C263+$F263)-$M263)-$S263)-MIN(MAX(0,$D$3-(MAX(0,$F263-MAX(0,($M263+$S263)-$C263)))),MAX(0,MAX(0,($C263+$F263)-$M263)-$S263))</x:f>
      </x:c>
      <x:c r="X263" s="24">
        <x:f>IF(Inputs!$C$39=1,$W263,0)</x:f>
      </x:c>
      <x:c r="Y263" s="24">
        <x:f>IF(Inputs!$C$39=0,$W263,0)+MAX(0,MAX(0,($D263+$X263)-$N263)-$T263)</x:f>
      </x:c>
    </x:row>
    <x:row r="264">
      <x:c r="B264" s="22" t="n">
        <x:v>259</x:v>
      </x:c>
      <x:c r="C264" s="29">
        <x:f>IF($B264&lt;=Inputs!$C$6+Inputs!$C$11,Cashflow_Asset!$E262-Cashflow_Asset!$K262,0)</x:f>
      </x:c>
      <x:c r="D264" s="29">
        <x:f>IF($B264&lt;=Inputs!$C$6+Inputs!$C$11,Cashflow_Asset!$F262+Cashflow_Asset!$G262+Cashflow_Asset!$I262,0)</x:f>
      </x:c>
      <x:c r="E264" s="29">
        <x:f>IF($B264&lt;=Inputs!$C$6+Inputs!$C$11,Cashflow_Asset!$J262,0)</x:f>
      </x:c>
      <x:c r="F264" s="23">
        <x:f>$G263</x:f>
      </x:c>
      <x:c r="G264" s="24">
        <x:f>(MAX(0,$F264-MAX(0,($M264+$S264)-$C264)))+MIN(MAX(0,$D$3-(MAX(0,$F264-MAX(0,($M264+$S264)-$C264)))),MAX(0,MAX(0,($C264+$F264)-$M264)-$S264))</x:f>
      </x:c>
      <x:c r="H264" s="23">
        <x:f>$J263</x:f>
      </x:c>
      <x:c r="I264" s="24">
        <x:f>MIN($E264,$H264)</x:f>
      </x:c>
      <x:c r="J264" s="24">
        <x:f>$H264-$I264</x:f>
      </x:c>
      <x:c r="K264" s="23">
        <x:f>$P263</x:f>
      </x:c>
      <x:c r="L264" s="24">
        <x:f>$K264*Inputs!$C$18/12</x:f>
      </x:c>
      <x:c r="M264" s="24">
        <x:f>MIN(($C264+$F264),$L264)</x:f>
      </x:c>
      <x:c r="N264" s="24">
        <x:f>MIN(($D264+$X264),MAX(0,$K264-$O264))</x:f>
      </x:c>
      <x:c r="O264" s="24">
        <x:f>MIN(MAX(0,MAX(0,$E264-$I264)-$U264),$K264)</x:f>
      </x:c>
      <x:c r="P264" s="24">
        <x:f>MAX(0,$K264-$O264)-$N264</x:f>
      </x:c>
      <x:c r="Q264" s="23">
        <x:f>$V263</x:f>
      </x:c>
      <x:c r="R264" s="24">
        <x:f>$Q264*Inputs!$C$19/12</x:f>
      </x:c>
      <x:c r="S264" s="24">
        <x:f>MIN(MAX(0,($C264+$F264)-$M264),$R264)</x:f>
      </x:c>
      <x:c r="T264" s="24">
        <x:f>MIN(MAX(0,($D264+$X264)-$N264),MAX(0,$Q264-$U264))</x:f>
      </x:c>
      <x:c r="U264" s="24">
        <x:f>MIN(MAX(0,$E264-$I264),$Q264)</x:f>
      </x:c>
      <x:c r="V264" s="24">
        <x:f>MAX(0,$Q264-$U264)-$T264</x:f>
      </x:c>
      <x:c r="W264" s="24">
        <x:f>MAX(0,MAX(0,($C264+$F264)-$M264)-$S264)-MIN(MAX(0,$D$3-(MAX(0,$F264-MAX(0,($M264+$S264)-$C264)))),MAX(0,MAX(0,($C264+$F264)-$M264)-$S264))</x:f>
      </x:c>
      <x:c r="X264" s="24">
        <x:f>IF(Inputs!$C$39=1,$W264,0)</x:f>
      </x:c>
      <x:c r="Y264" s="24">
        <x:f>IF(Inputs!$C$39=0,$W264,0)+MAX(0,MAX(0,($D264+$X264)-$N264)-$T264)</x:f>
      </x:c>
    </x:row>
    <x:row r="265">
      <x:c r="B265" s="22" t="n">
        <x:v>260</x:v>
      </x:c>
      <x:c r="C265" s="29">
        <x:f>IF($B265&lt;=Inputs!$C$6+Inputs!$C$11,Cashflow_Asset!$E263-Cashflow_Asset!$K263,0)</x:f>
      </x:c>
      <x:c r="D265" s="29">
        <x:f>IF($B265&lt;=Inputs!$C$6+Inputs!$C$11,Cashflow_Asset!$F263+Cashflow_Asset!$G263+Cashflow_Asset!$I263,0)</x:f>
      </x:c>
      <x:c r="E265" s="29">
        <x:f>IF($B265&lt;=Inputs!$C$6+Inputs!$C$11,Cashflow_Asset!$J263,0)</x:f>
      </x:c>
      <x:c r="F265" s="23">
        <x:f>$G264</x:f>
      </x:c>
      <x:c r="G265" s="24">
        <x:f>(MAX(0,$F265-MAX(0,($M265+$S265)-$C265)))+MIN(MAX(0,$D$3-(MAX(0,$F265-MAX(0,($M265+$S265)-$C265)))),MAX(0,MAX(0,($C265+$F265)-$M265)-$S265))</x:f>
      </x:c>
      <x:c r="H265" s="23">
        <x:f>$J264</x:f>
      </x:c>
      <x:c r="I265" s="24">
        <x:f>MIN($E265,$H265)</x:f>
      </x:c>
      <x:c r="J265" s="24">
        <x:f>$H265-$I265</x:f>
      </x:c>
      <x:c r="K265" s="23">
        <x:f>$P264</x:f>
      </x:c>
      <x:c r="L265" s="24">
        <x:f>$K265*Inputs!$C$18/12</x:f>
      </x:c>
      <x:c r="M265" s="24">
        <x:f>MIN(($C265+$F265),$L265)</x:f>
      </x:c>
      <x:c r="N265" s="24">
        <x:f>MIN(($D265+$X265),MAX(0,$K265-$O265))</x:f>
      </x:c>
      <x:c r="O265" s="24">
        <x:f>MIN(MAX(0,MAX(0,$E265-$I265)-$U265),$K265)</x:f>
      </x:c>
      <x:c r="P265" s="24">
        <x:f>MAX(0,$K265-$O265)-$N265</x:f>
      </x:c>
      <x:c r="Q265" s="23">
        <x:f>$V264</x:f>
      </x:c>
      <x:c r="R265" s="24">
        <x:f>$Q265*Inputs!$C$19/12</x:f>
      </x:c>
      <x:c r="S265" s="24">
        <x:f>MIN(MAX(0,($C265+$F265)-$M265),$R265)</x:f>
      </x:c>
      <x:c r="T265" s="24">
        <x:f>MIN(MAX(0,($D265+$X265)-$N265),MAX(0,$Q265-$U265))</x:f>
      </x:c>
      <x:c r="U265" s="24">
        <x:f>MIN(MAX(0,$E265-$I265),$Q265)</x:f>
      </x:c>
      <x:c r="V265" s="24">
        <x:f>MAX(0,$Q265-$U265)-$T265</x:f>
      </x:c>
      <x:c r="W265" s="24">
        <x:f>MAX(0,MAX(0,($C265+$F265)-$M265)-$S265)-MIN(MAX(0,$D$3-(MAX(0,$F265-MAX(0,($M265+$S265)-$C265)))),MAX(0,MAX(0,($C265+$F265)-$M265)-$S265))</x:f>
      </x:c>
      <x:c r="X265" s="24">
        <x:f>IF(Inputs!$C$39=1,$W265,0)</x:f>
      </x:c>
      <x:c r="Y265" s="24">
        <x:f>IF(Inputs!$C$39=0,$W265,0)+MAX(0,MAX(0,($D265+$X265)-$N265)-$T265)</x:f>
      </x:c>
    </x:row>
    <x:row r="266">
      <x:c r="B266" s="22" t="n">
        <x:v>261</x:v>
      </x:c>
      <x:c r="C266" s="29">
        <x:f>IF($B266&lt;=Inputs!$C$6+Inputs!$C$11,Cashflow_Asset!$E264-Cashflow_Asset!$K264,0)</x:f>
      </x:c>
      <x:c r="D266" s="29">
        <x:f>IF($B266&lt;=Inputs!$C$6+Inputs!$C$11,Cashflow_Asset!$F264+Cashflow_Asset!$G264+Cashflow_Asset!$I264,0)</x:f>
      </x:c>
      <x:c r="E266" s="29">
        <x:f>IF($B266&lt;=Inputs!$C$6+Inputs!$C$11,Cashflow_Asset!$J264,0)</x:f>
      </x:c>
      <x:c r="F266" s="23">
        <x:f>$G265</x:f>
      </x:c>
      <x:c r="G266" s="24">
        <x:f>(MAX(0,$F266-MAX(0,($M266+$S266)-$C266)))+MIN(MAX(0,$D$3-(MAX(0,$F266-MAX(0,($M266+$S266)-$C266)))),MAX(0,MAX(0,($C266+$F266)-$M266)-$S266))</x:f>
      </x:c>
      <x:c r="H266" s="23">
        <x:f>$J265</x:f>
      </x:c>
      <x:c r="I266" s="24">
        <x:f>MIN($E266,$H266)</x:f>
      </x:c>
      <x:c r="J266" s="24">
        <x:f>$H266-$I266</x:f>
      </x:c>
      <x:c r="K266" s="23">
        <x:f>$P265</x:f>
      </x:c>
      <x:c r="L266" s="24">
        <x:f>$K266*Inputs!$C$18/12</x:f>
      </x:c>
      <x:c r="M266" s="24">
        <x:f>MIN(($C266+$F266),$L266)</x:f>
      </x:c>
      <x:c r="N266" s="24">
        <x:f>MIN(($D266+$X266),MAX(0,$K266-$O266))</x:f>
      </x:c>
      <x:c r="O266" s="24">
        <x:f>MIN(MAX(0,MAX(0,$E266-$I266)-$U266),$K266)</x:f>
      </x:c>
      <x:c r="P266" s="24">
        <x:f>MAX(0,$K266-$O266)-$N266</x:f>
      </x:c>
      <x:c r="Q266" s="23">
        <x:f>$V265</x:f>
      </x:c>
      <x:c r="R266" s="24">
        <x:f>$Q266*Inputs!$C$19/12</x:f>
      </x:c>
      <x:c r="S266" s="24">
        <x:f>MIN(MAX(0,($C266+$F266)-$M266),$R266)</x:f>
      </x:c>
      <x:c r="T266" s="24">
        <x:f>MIN(MAX(0,($D266+$X266)-$N266),MAX(0,$Q266-$U266))</x:f>
      </x:c>
      <x:c r="U266" s="24">
        <x:f>MIN(MAX(0,$E266-$I266),$Q266)</x:f>
      </x:c>
      <x:c r="V266" s="24">
        <x:f>MAX(0,$Q266-$U266)-$T266</x:f>
      </x:c>
      <x:c r="W266" s="24">
        <x:f>MAX(0,MAX(0,($C266+$F266)-$M266)-$S266)-MIN(MAX(0,$D$3-(MAX(0,$F266-MAX(0,($M266+$S266)-$C266)))),MAX(0,MAX(0,($C266+$F266)-$M266)-$S266))</x:f>
      </x:c>
      <x:c r="X266" s="24">
        <x:f>IF(Inputs!$C$39=1,$W266,0)</x:f>
      </x:c>
      <x:c r="Y266" s="24">
        <x:f>IF(Inputs!$C$39=0,$W266,0)+MAX(0,MAX(0,($D266+$X266)-$N266)-$T266)</x:f>
      </x:c>
    </x:row>
    <x:row r="267">
      <x:c r="B267" s="22" t="n">
        <x:v>262</x:v>
      </x:c>
      <x:c r="C267" s="29">
        <x:f>IF($B267&lt;=Inputs!$C$6+Inputs!$C$11,Cashflow_Asset!$E265-Cashflow_Asset!$K265,0)</x:f>
      </x:c>
      <x:c r="D267" s="29">
        <x:f>IF($B267&lt;=Inputs!$C$6+Inputs!$C$11,Cashflow_Asset!$F265+Cashflow_Asset!$G265+Cashflow_Asset!$I265,0)</x:f>
      </x:c>
      <x:c r="E267" s="29">
        <x:f>IF($B267&lt;=Inputs!$C$6+Inputs!$C$11,Cashflow_Asset!$J265,0)</x:f>
      </x:c>
      <x:c r="F267" s="23">
        <x:f>$G266</x:f>
      </x:c>
      <x:c r="G267" s="24">
        <x:f>(MAX(0,$F267-MAX(0,($M267+$S267)-$C267)))+MIN(MAX(0,$D$3-(MAX(0,$F267-MAX(0,($M267+$S267)-$C267)))),MAX(0,MAX(0,($C267+$F267)-$M267)-$S267))</x:f>
      </x:c>
      <x:c r="H267" s="23">
        <x:f>$J266</x:f>
      </x:c>
      <x:c r="I267" s="24">
        <x:f>MIN($E267,$H267)</x:f>
      </x:c>
      <x:c r="J267" s="24">
        <x:f>$H267-$I267</x:f>
      </x:c>
      <x:c r="K267" s="23">
        <x:f>$P266</x:f>
      </x:c>
      <x:c r="L267" s="24">
        <x:f>$K267*Inputs!$C$18/12</x:f>
      </x:c>
      <x:c r="M267" s="24">
        <x:f>MIN(($C267+$F267),$L267)</x:f>
      </x:c>
      <x:c r="N267" s="24">
        <x:f>MIN(($D267+$X267),MAX(0,$K267-$O267))</x:f>
      </x:c>
      <x:c r="O267" s="24">
        <x:f>MIN(MAX(0,MAX(0,$E267-$I267)-$U267),$K267)</x:f>
      </x:c>
      <x:c r="P267" s="24">
        <x:f>MAX(0,$K267-$O267)-$N267</x:f>
      </x:c>
      <x:c r="Q267" s="23">
        <x:f>$V266</x:f>
      </x:c>
      <x:c r="R267" s="24">
        <x:f>$Q267*Inputs!$C$19/12</x:f>
      </x:c>
      <x:c r="S267" s="24">
        <x:f>MIN(MAX(0,($C267+$F267)-$M267),$R267)</x:f>
      </x:c>
      <x:c r="T267" s="24">
        <x:f>MIN(MAX(0,($D267+$X267)-$N267),MAX(0,$Q267-$U267))</x:f>
      </x:c>
      <x:c r="U267" s="24">
        <x:f>MIN(MAX(0,$E267-$I267),$Q267)</x:f>
      </x:c>
      <x:c r="V267" s="24">
        <x:f>MAX(0,$Q267-$U267)-$T267</x:f>
      </x:c>
      <x:c r="W267" s="24">
        <x:f>MAX(0,MAX(0,($C267+$F267)-$M267)-$S267)-MIN(MAX(0,$D$3-(MAX(0,$F267-MAX(0,($M267+$S267)-$C267)))),MAX(0,MAX(0,($C267+$F267)-$M267)-$S267))</x:f>
      </x:c>
      <x:c r="X267" s="24">
        <x:f>IF(Inputs!$C$39=1,$W267,0)</x:f>
      </x:c>
      <x:c r="Y267" s="24">
        <x:f>IF(Inputs!$C$39=0,$W267,0)+MAX(0,MAX(0,($D267+$X267)-$N267)-$T267)</x:f>
      </x:c>
    </x:row>
    <x:row r="268">
      <x:c r="B268" s="22" t="n">
        <x:v>263</x:v>
      </x:c>
      <x:c r="C268" s="29">
        <x:f>IF($B268&lt;=Inputs!$C$6+Inputs!$C$11,Cashflow_Asset!$E266-Cashflow_Asset!$K266,0)</x:f>
      </x:c>
      <x:c r="D268" s="29">
        <x:f>IF($B268&lt;=Inputs!$C$6+Inputs!$C$11,Cashflow_Asset!$F266+Cashflow_Asset!$G266+Cashflow_Asset!$I266,0)</x:f>
      </x:c>
      <x:c r="E268" s="29">
        <x:f>IF($B268&lt;=Inputs!$C$6+Inputs!$C$11,Cashflow_Asset!$J266,0)</x:f>
      </x:c>
      <x:c r="F268" s="23">
        <x:f>$G267</x:f>
      </x:c>
      <x:c r="G268" s="24">
        <x:f>(MAX(0,$F268-MAX(0,($M268+$S268)-$C268)))+MIN(MAX(0,$D$3-(MAX(0,$F268-MAX(0,($M268+$S268)-$C268)))),MAX(0,MAX(0,($C268+$F268)-$M268)-$S268))</x:f>
      </x:c>
      <x:c r="H268" s="23">
        <x:f>$J267</x:f>
      </x:c>
      <x:c r="I268" s="24">
        <x:f>MIN($E268,$H268)</x:f>
      </x:c>
      <x:c r="J268" s="24">
        <x:f>$H268-$I268</x:f>
      </x:c>
      <x:c r="K268" s="23">
        <x:f>$P267</x:f>
      </x:c>
      <x:c r="L268" s="24">
        <x:f>$K268*Inputs!$C$18/12</x:f>
      </x:c>
      <x:c r="M268" s="24">
        <x:f>MIN(($C268+$F268),$L268)</x:f>
      </x:c>
      <x:c r="N268" s="24">
        <x:f>MIN(($D268+$X268),MAX(0,$K268-$O268))</x:f>
      </x:c>
      <x:c r="O268" s="24">
        <x:f>MIN(MAX(0,MAX(0,$E268-$I268)-$U268),$K268)</x:f>
      </x:c>
      <x:c r="P268" s="24">
        <x:f>MAX(0,$K268-$O268)-$N268</x:f>
      </x:c>
      <x:c r="Q268" s="23">
        <x:f>$V267</x:f>
      </x:c>
      <x:c r="R268" s="24">
        <x:f>$Q268*Inputs!$C$19/12</x:f>
      </x:c>
      <x:c r="S268" s="24">
        <x:f>MIN(MAX(0,($C268+$F268)-$M268),$R268)</x:f>
      </x:c>
      <x:c r="T268" s="24">
        <x:f>MIN(MAX(0,($D268+$X268)-$N268),MAX(0,$Q268-$U268))</x:f>
      </x:c>
      <x:c r="U268" s="24">
        <x:f>MIN(MAX(0,$E268-$I268),$Q268)</x:f>
      </x:c>
      <x:c r="V268" s="24">
        <x:f>MAX(0,$Q268-$U268)-$T268</x:f>
      </x:c>
      <x:c r="W268" s="24">
        <x:f>MAX(0,MAX(0,($C268+$F268)-$M268)-$S268)-MIN(MAX(0,$D$3-(MAX(0,$F268-MAX(0,($M268+$S268)-$C268)))),MAX(0,MAX(0,($C268+$F268)-$M268)-$S268))</x:f>
      </x:c>
      <x:c r="X268" s="24">
        <x:f>IF(Inputs!$C$39=1,$W268,0)</x:f>
      </x:c>
      <x:c r="Y268" s="24">
        <x:f>IF(Inputs!$C$39=0,$W268,0)+MAX(0,MAX(0,($D268+$X268)-$N268)-$T268)</x:f>
      </x:c>
    </x:row>
    <x:row r="269">
      <x:c r="B269" s="22" t="n">
        <x:v>264</x:v>
      </x:c>
      <x:c r="C269" s="29">
        <x:f>IF($B269&lt;=Inputs!$C$6+Inputs!$C$11,Cashflow_Asset!$E267-Cashflow_Asset!$K267,0)</x:f>
      </x:c>
      <x:c r="D269" s="29">
        <x:f>IF($B269&lt;=Inputs!$C$6+Inputs!$C$11,Cashflow_Asset!$F267+Cashflow_Asset!$G267+Cashflow_Asset!$I267,0)</x:f>
      </x:c>
      <x:c r="E269" s="29">
        <x:f>IF($B269&lt;=Inputs!$C$6+Inputs!$C$11,Cashflow_Asset!$J267,0)</x:f>
      </x:c>
      <x:c r="F269" s="23">
        <x:f>$G268</x:f>
      </x:c>
      <x:c r="G269" s="24">
        <x:f>(MAX(0,$F269-MAX(0,($M269+$S269)-$C269)))+MIN(MAX(0,$D$3-(MAX(0,$F269-MAX(0,($M269+$S269)-$C269)))),MAX(0,MAX(0,($C269+$F269)-$M269)-$S269))</x:f>
      </x:c>
      <x:c r="H269" s="23">
        <x:f>$J268</x:f>
      </x:c>
      <x:c r="I269" s="24">
        <x:f>MIN($E269,$H269)</x:f>
      </x:c>
      <x:c r="J269" s="24">
        <x:f>$H269-$I269</x:f>
      </x:c>
      <x:c r="K269" s="23">
        <x:f>$P268</x:f>
      </x:c>
      <x:c r="L269" s="24">
        <x:f>$K269*Inputs!$C$18/12</x:f>
      </x:c>
      <x:c r="M269" s="24">
        <x:f>MIN(($C269+$F269),$L269)</x:f>
      </x:c>
      <x:c r="N269" s="24">
        <x:f>MIN(($D269+$X269),MAX(0,$K269-$O269))</x:f>
      </x:c>
      <x:c r="O269" s="24">
        <x:f>MIN(MAX(0,MAX(0,$E269-$I269)-$U269),$K269)</x:f>
      </x:c>
      <x:c r="P269" s="24">
        <x:f>MAX(0,$K269-$O269)-$N269</x:f>
      </x:c>
      <x:c r="Q269" s="23">
        <x:f>$V268</x:f>
      </x:c>
      <x:c r="R269" s="24">
        <x:f>$Q269*Inputs!$C$19/12</x:f>
      </x:c>
      <x:c r="S269" s="24">
        <x:f>MIN(MAX(0,($C269+$F269)-$M269),$R269)</x:f>
      </x:c>
      <x:c r="T269" s="24">
        <x:f>MIN(MAX(0,($D269+$X269)-$N269),MAX(0,$Q269-$U269))</x:f>
      </x:c>
      <x:c r="U269" s="24">
        <x:f>MIN(MAX(0,$E269-$I269),$Q269)</x:f>
      </x:c>
      <x:c r="V269" s="24">
        <x:f>MAX(0,$Q269-$U269)-$T269</x:f>
      </x:c>
      <x:c r="W269" s="24">
        <x:f>MAX(0,MAX(0,($C269+$F269)-$M269)-$S269)-MIN(MAX(0,$D$3-(MAX(0,$F269-MAX(0,($M269+$S269)-$C269)))),MAX(0,MAX(0,($C269+$F269)-$M269)-$S269))</x:f>
      </x:c>
      <x:c r="X269" s="24">
        <x:f>IF(Inputs!$C$39=1,$W269,0)</x:f>
      </x:c>
      <x:c r="Y269" s="24">
        <x:f>IF(Inputs!$C$39=0,$W269,0)+MAX(0,MAX(0,($D269+$X269)-$N269)-$T269)</x:f>
      </x:c>
    </x:row>
    <x:row r="270">
      <x:c r="B270" s="22" t="n">
        <x:v>265</x:v>
      </x:c>
      <x:c r="C270" s="29">
        <x:f>IF($B270&lt;=Inputs!$C$6+Inputs!$C$11,Cashflow_Asset!$E268-Cashflow_Asset!$K268,0)</x:f>
      </x:c>
      <x:c r="D270" s="29">
        <x:f>IF($B270&lt;=Inputs!$C$6+Inputs!$C$11,Cashflow_Asset!$F268+Cashflow_Asset!$G268+Cashflow_Asset!$I268,0)</x:f>
      </x:c>
      <x:c r="E270" s="29">
        <x:f>IF($B270&lt;=Inputs!$C$6+Inputs!$C$11,Cashflow_Asset!$J268,0)</x:f>
      </x:c>
      <x:c r="F270" s="23">
        <x:f>$G269</x:f>
      </x:c>
      <x:c r="G270" s="24">
        <x:f>(MAX(0,$F270-MAX(0,($M270+$S270)-$C270)))+MIN(MAX(0,$D$3-(MAX(0,$F270-MAX(0,($M270+$S270)-$C270)))),MAX(0,MAX(0,($C270+$F270)-$M270)-$S270))</x:f>
      </x:c>
      <x:c r="H270" s="23">
        <x:f>$J269</x:f>
      </x:c>
      <x:c r="I270" s="24">
        <x:f>MIN($E270,$H270)</x:f>
      </x:c>
      <x:c r="J270" s="24">
        <x:f>$H270-$I270</x:f>
      </x:c>
      <x:c r="K270" s="23">
        <x:f>$P269</x:f>
      </x:c>
      <x:c r="L270" s="24">
        <x:f>$K270*Inputs!$C$18/12</x:f>
      </x:c>
      <x:c r="M270" s="24">
        <x:f>MIN(($C270+$F270),$L270)</x:f>
      </x:c>
      <x:c r="N270" s="24">
        <x:f>MIN(($D270+$X270),MAX(0,$K270-$O270))</x:f>
      </x:c>
      <x:c r="O270" s="24">
        <x:f>MIN(MAX(0,MAX(0,$E270-$I270)-$U270),$K270)</x:f>
      </x:c>
      <x:c r="P270" s="24">
        <x:f>MAX(0,$K270-$O270)-$N270</x:f>
      </x:c>
      <x:c r="Q270" s="23">
        <x:f>$V269</x:f>
      </x:c>
      <x:c r="R270" s="24">
        <x:f>$Q270*Inputs!$C$19/12</x:f>
      </x:c>
      <x:c r="S270" s="24">
        <x:f>MIN(MAX(0,($C270+$F270)-$M270),$R270)</x:f>
      </x:c>
      <x:c r="T270" s="24">
        <x:f>MIN(MAX(0,($D270+$X270)-$N270),MAX(0,$Q270-$U270))</x:f>
      </x:c>
      <x:c r="U270" s="24">
        <x:f>MIN(MAX(0,$E270-$I270),$Q270)</x:f>
      </x:c>
      <x:c r="V270" s="24">
        <x:f>MAX(0,$Q270-$U270)-$T270</x:f>
      </x:c>
      <x:c r="W270" s="24">
        <x:f>MAX(0,MAX(0,($C270+$F270)-$M270)-$S270)-MIN(MAX(0,$D$3-(MAX(0,$F270-MAX(0,($M270+$S270)-$C270)))),MAX(0,MAX(0,($C270+$F270)-$M270)-$S270))</x:f>
      </x:c>
      <x:c r="X270" s="24">
        <x:f>IF(Inputs!$C$39=1,$W270,0)</x:f>
      </x:c>
      <x:c r="Y270" s="24">
        <x:f>IF(Inputs!$C$39=0,$W270,0)+MAX(0,MAX(0,($D270+$X270)-$N270)-$T270)</x:f>
      </x:c>
    </x:row>
    <x:row r="271">
      <x:c r="B271" s="22" t="n">
        <x:v>266</x:v>
      </x:c>
      <x:c r="C271" s="29">
        <x:f>IF($B271&lt;=Inputs!$C$6+Inputs!$C$11,Cashflow_Asset!$E269-Cashflow_Asset!$K269,0)</x:f>
      </x:c>
      <x:c r="D271" s="29">
        <x:f>IF($B271&lt;=Inputs!$C$6+Inputs!$C$11,Cashflow_Asset!$F269+Cashflow_Asset!$G269+Cashflow_Asset!$I269,0)</x:f>
      </x:c>
      <x:c r="E271" s="29">
        <x:f>IF($B271&lt;=Inputs!$C$6+Inputs!$C$11,Cashflow_Asset!$J269,0)</x:f>
      </x:c>
      <x:c r="F271" s="23">
        <x:f>$G270</x:f>
      </x:c>
      <x:c r="G271" s="24">
        <x:f>(MAX(0,$F271-MAX(0,($M271+$S271)-$C271)))+MIN(MAX(0,$D$3-(MAX(0,$F271-MAX(0,($M271+$S271)-$C271)))),MAX(0,MAX(0,($C271+$F271)-$M271)-$S271))</x:f>
      </x:c>
      <x:c r="H271" s="23">
        <x:f>$J270</x:f>
      </x:c>
      <x:c r="I271" s="24">
        <x:f>MIN($E271,$H271)</x:f>
      </x:c>
      <x:c r="J271" s="24">
        <x:f>$H271-$I271</x:f>
      </x:c>
      <x:c r="K271" s="23">
        <x:f>$P270</x:f>
      </x:c>
      <x:c r="L271" s="24">
        <x:f>$K271*Inputs!$C$18/12</x:f>
      </x:c>
      <x:c r="M271" s="24">
        <x:f>MIN(($C271+$F271),$L271)</x:f>
      </x:c>
      <x:c r="N271" s="24">
        <x:f>MIN(($D271+$X271),MAX(0,$K271-$O271))</x:f>
      </x:c>
      <x:c r="O271" s="24">
        <x:f>MIN(MAX(0,MAX(0,$E271-$I271)-$U271),$K271)</x:f>
      </x:c>
      <x:c r="P271" s="24">
        <x:f>MAX(0,$K271-$O271)-$N271</x:f>
      </x:c>
      <x:c r="Q271" s="23">
        <x:f>$V270</x:f>
      </x:c>
      <x:c r="R271" s="24">
        <x:f>$Q271*Inputs!$C$19/12</x:f>
      </x:c>
      <x:c r="S271" s="24">
        <x:f>MIN(MAX(0,($C271+$F271)-$M271),$R271)</x:f>
      </x:c>
      <x:c r="T271" s="24">
        <x:f>MIN(MAX(0,($D271+$X271)-$N271),MAX(0,$Q271-$U271))</x:f>
      </x:c>
      <x:c r="U271" s="24">
        <x:f>MIN(MAX(0,$E271-$I271),$Q271)</x:f>
      </x:c>
      <x:c r="V271" s="24">
        <x:f>MAX(0,$Q271-$U271)-$T271</x:f>
      </x:c>
      <x:c r="W271" s="24">
        <x:f>MAX(0,MAX(0,($C271+$F271)-$M271)-$S271)-MIN(MAX(0,$D$3-(MAX(0,$F271-MAX(0,($M271+$S271)-$C271)))),MAX(0,MAX(0,($C271+$F271)-$M271)-$S271))</x:f>
      </x:c>
      <x:c r="X271" s="24">
        <x:f>IF(Inputs!$C$39=1,$W271,0)</x:f>
      </x:c>
      <x:c r="Y271" s="24">
        <x:f>IF(Inputs!$C$39=0,$W271,0)+MAX(0,MAX(0,($D271+$X271)-$N271)-$T271)</x:f>
      </x:c>
    </x:row>
    <x:row r="272">
      <x:c r="B272" s="22" t="n">
        <x:v>267</x:v>
      </x:c>
      <x:c r="C272" s="29">
        <x:f>IF($B272&lt;=Inputs!$C$6+Inputs!$C$11,Cashflow_Asset!$E270-Cashflow_Asset!$K270,0)</x:f>
      </x:c>
      <x:c r="D272" s="29">
        <x:f>IF($B272&lt;=Inputs!$C$6+Inputs!$C$11,Cashflow_Asset!$F270+Cashflow_Asset!$G270+Cashflow_Asset!$I270,0)</x:f>
      </x:c>
      <x:c r="E272" s="29">
        <x:f>IF($B272&lt;=Inputs!$C$6+Inputs!$C$11,Cashflow_Asset!$J270,0)</x:f>
      </x:c>
      <x:c r="F272" s="23">
        <x:f>$G271</x:f>
      </x:c>
      <x:c r="G272" s="24">
        <x:f>(MAX(0,$F272-MAX(0,($M272+$S272)-$C272)))+MIN(MAX(0,$D$3-(MAX(0,$F272-MAX(0,($M272+$S272)-$C272)))),MAX(0,MAX(0,($C272+$F272)-$M272)-$S272))</x:f>
      </x:c>
      <x:c r="H272" s="23">
        <x:f>$J271</x:f>
      </x:c>
      <x:c r="I272" s="24">
        <x:f>MIN($E272,$H272)</x:f>
      </x:c>
      <x:c r="J272" s="24">
        <x:f>$H272-$I272</x:f>
      </x:c>
      <x:c r="K272" s="23">
        <x:f>$P271</x:f>
      </x:c>
      <x:c r="L272" s="24">
        <x:f>$K272*Inputs!$C$18/12</x:f>
      </x:c>
      <x:c r="M272" s="24">
        <x:f>MIN(($C272+$F272),$L272)</x:f>
      </x:c>
      <x:c r="N272" s="24">
        <x:f>MIN(($D272+$X272),MAX(0,$K272-$O272))</x:f>
      </x:c>
      <x:c r="O272" s="24">
        <x:f>MIN(MAX(0,MAX(0,$E272-$I272)-$U272),$K272)</x:f>
      </x:c>
      <x:c r="P272" s="24">
        <x:f>MAX(0,$K272-$O272)-$N272</x:f>
      </x:c>
      <x:c r="Q272" s="23">
        <x:f>$V271</x:f>
      </x:c>
      <x:c r="R272" s="24">
        <x:f>$Q272*Inputs!$C$19/12</x:f>
      </x:c>
      <x:c r="S272" s="24">
        <x:f>MIN(MAX(0,($C272+$F272)-$M272),$R272)</x:f>
      </x:c>
      <x:c r="T272" s="24">
        <x:f>MIN(MAX(0,($D272+$X272)-$N272),MAX(0,$Q272-$U272))</x:f>
      </x:c>
      <x:c r="U272" s="24">
        <x:f>MIN(MAX(0,$E272-$I272),$Q272)</x:f>
      </x:c>
      <x:c r="V272" s="24">
        <x:f>MAX(0,$Q272-$U272)-$T272</x:f>
      </x:c>
      <x:c r="W272" s="24">
        <x:f>MAX(0,MAX(0,($C272+$F272)-$M272)-$S272)-MIN(MAX(0,$D$3-(MAX(0,$F272-MAX(0,($M272+$S272)-$C272)))),MAX(0,MAX(0,($C272+$F272)-$M272)-$S272))</x:f>
      </x:c>
      <x:c r="X272" s="24">
        <x:f>IF(Inputs!$C$39=1,$W272,0)</x:f>
      </x:c>
      <x:c r="Y272" s="24">
        <x:f>IF(Inputs!$C$39=0,$W272,0)+MAX(0,MAX(0,($D272+$X272)-$N272)-$T272)</x:f>
      </x:c>
    </x:row>
    <x:row r="273">
      <x:c r="B273" s="22" t="n">
        <x:v>268</x:v>
      </x:c>
      <x:c r="C273" s="29">
        <x:f>IF($B273&lt;=Inputs!$C$6+Inputs!$C$11,Cashflow_Asset!$E271-Cashflow_Asset!$K271,0)</x:f>
      </x:c>
      <x:c r="D273" s="29">
        <x:f>IF($B273&lt;=Inputs!$C$6+Inputs!$C$11,Cashflow_Asset!$F271+Cashflow_Asset!$G271+Cashflow_Asset!$I271,0)</x:f>
      </x:c>
      <x:c r="E273" s="29">
        <x:f>IF($B273&lt;=Inputs!$C$6+Inputs!$C$11,Cashflow_Asset!$J271,0)</x:f>
      </x:c>
      <x:c r="F273" s="23">
        <x:f>$G272</x:f>
      </x:c>
      <x:c r="G273" s="24">
        <x:f>(MAX(0,$F273-MAX(0,($M273+$S273)-$C273)))+MIN(MAX(0,$D$3-(MAX(0,$F273-MAX(0,($M273+$S273)-$C273)))),MAX(0,MAX(0,($C273+$F273)-$M273)-$S273))</x:f>
      </x:c>
      <x:c r="H273" s="23">
        <x:f>$J272</x:f>
      </x:c>
      <x:c r="I273" s="24">
        <x:f>MIN($E273,$H273)</x:f>
      </x:c>
      <x:c r="J273" s="24">
        <x:f>$H273-$I273</x:f>
      </x:c>
      <x:c r="K273" s="23">
        <x:f>$P272</x:f>
      </x:c>
      <x:c r="L273" s="24">
        <x:f>$K273*Inputs!$C$18/12</x:f>
      </x:c>
      <x:c r="M273" s="24">
        <x:f>MIN(($C273+$F273),$L273)</x:f>
      </x:c>
      <x:c r="N273" s="24">
        <x:f>MIN(($D273+$X273),MAX(0,$K273-$O273))</x:f>
      </x:c>
      <x:c r="O273" s="24">
        <x:f>MIN(MAX(0,MAX(0,$E273-$I273)-$U273),$K273)</x:f>
      </x:c>
      <x:c r="P273" s="24">
        <x:f>MAX(0,$K273-$O273)-$N273</x:f>
      </x:c>
      <x:c r="Q273" s="23">
        <x:f>$V272</x:f>
      </x:c>
      <x:c r="R273" s="24">
        <x:f>$Q273*Inputs!$C$19/12</x:f>
      </x:c>
      <x:c r="S273" s="24">
        <x:f>MIN(MAX(0,($C273+$F273)-$M273),$R273)</x:f>
      </x:c>
      <x:c r="T273" s="24">
        <x:f>MIN(MAX(0,($D273+$X273)-$N273),MAX(0,$Q273-$U273))</x:f>
      </x:c>
      <x:c r="U273" s="24">
        <x:f>MIN(MAX(0,$E273-$I273),$Q273)</x:f>
      </x:c>
      <x:c r="V273" s="24">
        <x:f>MAX(0,$Q273-$U273)-$T273</x:f>
      </x:c>
      <x:c r="W273" s="24">
        <x:f>MAX(0,MAX(0,($C273+$F273)-$M273)-$S273)-MIN(MAX(0,$D$3-(MAX(0,$F273-MAX(0,($M273+$S273)-$C273)))),MAX(0,MAX(0,($C273+$F273)-$M273)-$S273))</x:f>
      </x:c>
      <x:c r="X273" s="24">
        <x:f>IF(Inputs!$C$39=1,$W273,0)</x:f>
      </x:c>
      <x:c r="Y273" s="24">
        <x:f>IF(Inputs!$C$39=0,$W273,0)+MAX(0,MAX(0,($D273+$X273)-$N273)-$T273)</x:f>
      </x:c>
    </x:row>
    <x:row r="274">
      <x:c r="B274" s="22" t="n">
        <x:v>269</x:v>
      </x:c>
      <x:c r="C274" s="29">
        <x:f>IF($B274&lt;=Inputs!$C$6+Inputs!$C$11,Cashflow_Asset!$E272-Cashflow_Asset!$K272,0)</x:f>
      </x:c>
      <x:c r="D274" s="29">
        <x:f>IF($B274&lt;=Inputs!$C$6+Inputs!$C$11,Cashflow_Asset!$F272+Cashflow_Asset!$G272+Cashflow_Asset!$I272,0)</x:f>
      </x:c>
      <x:c r="E274" s="29">
        <x:f>IF($B274&lt;=Inputs!$C$6+Inputs!$C$11,Cashflow_Asset!$J272,0)</x:f>
      </x:c>
      <x:c r="F274" s="23">
        <x:f>$G273</x:f>
      </x:c>
      <x:c r="G274" s="24">
        <x:f>(MAX(0,$F274-MAX(0,($M274+$S274)-$C274)))+MIN(MAX(0,$D$3-(MAX(0,$F274-MAX(0,($M274+$S274)-$C274)))),MAX(0,MAX(0,($C274+$F274)-$M274)-$S274))</x:f>
      </x:c>
      <x:c r="H274" s="23">
        <x:f>$J273</x:f>
      </x:c>
      <x:c r="I274" s="24">
        <x:f>MIN($E274,$H274)</x:f>
      </x:c>
      <x:c r="J274" s="24">
        <x:f>$H274-$I274</x:f>
      </x:c>
      <x:c r="K274" s="23">
        <x:f>$P273</x:f>
      </x:c>
      <x:c r="L274" s="24">
        <x:f>$K274*Inputs!$C$18/12</x:f>
      </x:c>
      <x:c r="M274" s="24">
        <x:f>MIN(($C274+$F274),$L274)</x:f>
      </x:c>
      <x:c r="N274" s="24">
        <x:f>MIN(($D274+$X274),MAX(0,$K274-$O274))</x:f>
      </x:c>
      <x:c r="O274" s="24">
        <x:f>MIN(MAX(0,MAX(0,$E274-$I274)-$U274),$K274)</x:f>
      </x:c>
      <x:c r="P274" s="24">
        <x:f>MAX(0,$K274-$O274)-$N274</x:f>
      </x:c>
      <x:c r="Q274" s="23">
        <x:f>$V273</x:f>
      </x:c>
      <x:c r="R274" s="24">
        <x:f>$Q274*Inputs!$C$19/12</x:f>
      </x:c>
      <x:c r="S274" s="24">
        <x:f>MIN(MAX(0,($C274+$F274)-$M274),$R274)</x:f>
      </x:c>
      <x:c r="T274" s="24">
        <x:f>MIN(MAX(0,($D274+$X274)-$N274),MAX(0,$Q274-$U274))</x:f>
      </x:c>
      <x:c r="U274" s="24">
        <x:f>MIN(MAX(0,$E274-$I274),$Q274)</x:f>
      </x:c>
      <x:c r="V274" s="24">
        <x:f>MAX(0,$Q274-$U274)-$T274</x:f>
      </x:c>
      <x:c r="W274" s="24">
        <x:f>MAX(0,MAX(0,($C274+$F274)-$M274)-$S274)-MIN(MAX(0,$D$3-(MAX(0,$F274-MAX(0,($M274+$S274)-$C274)))),MAX(0,MAX(0,($C274+$F274)-$M274)-$S274))</x:f>
      </x:c>
      <x:c r="X274" s="24">
        <x:f>IF(Inputs!$C$39=1,$W274,0)</x:f>
      </x:c>
      <x:c r="Y274" s="24">
        <x:f>IF(Inputs!$C$39=0,$W274,0)+MAX(0,MAX(0,($D274+$X274)-$N274)-$T274)</x:f>
      </x:c>
    </x:row>
    <x:row r="275">
      <x:c r="B275" s="22" t="n">
        <x:v>270</x:v>
      </x:c>
      <x:c r="C275" s="29">
        <x:f>IF($B275&lt;=Inputs!$C$6+Inputs!$C$11,Cashflow_Asset!$E273-Cashflow_Asset!$K273,0)</x:f>
      </x:c>
      <x:c r="D275" s="29">
        <x:f>IF($B275&lt;=Inputs!$C$6+Inputs!$C$11,Cashflow_Asset!$F273+Cashflow_Asset!$G273+Cashflow_Asset!$I273,0)</x:f>
      </x:c>
      <x:c r="E275" s="29">
        <x:f>IF($B275&lt;=Inputs!$C$6+Inputs!$C$11,Cashflow_Asset!$J273,0)</x:f>
      </x:c>
      <x:c r="F275" s="23">
        <x:f>$G274</x:f>
      </x:c>
      <x:c r="G275" s="24">
        <x:f>(MAX(0,$F275-MAX(0,($M275+$S275)-$C275)))+MIN(MAX(0,$D$3-(MAX(0,$F275-MAX(0,($M275+$S275)-$C275)))),MAX(0,MAX(0,($C275+$F275)-$M275)-$S275))</x:f>
      </x:c>
      <x:c r="H275" s="23">
        <x:f>$J274</x:f>
      </x:c>
      <x:c r="I275" s="24">
        <x:f>MIN($E275,$H275)</x:f>
      </x:c>
      <x:c r="J275" s="24">
        <x:f>$H275-$I275</x:f>
      </x:c>
      <x:c r="K275" s="23">
        <x:f>$P274</x:f>
      </x:c>
      <x:c r="L275" s="24">
        <x:f>$K275*Inputs!$C$18/12</x:f>
      </x:c>
      <x:c r="M275" s="24">
        <x:f>MIN(($C275+$F275),$L275)</x:f>
      </x:c>
      <x:c r="N275" s="24">
        <x:f>MIN(($D275+$X275),MAX(0,$K275-$O275))</x:f>
      </x:c>
      <x:c r="O275" s="24">
        <x:f>MIN(MAX(0,MAX(0,$E275-$I275)-$U275),$K275)</x:f>
      </x:c>
      <x:c r="P275" s="24">
        <x:f>MAX(0,$K275-$O275)-$N275</x:f>
      </x:c>
      <x:c r="Q275" s="23">
        <x:f>$V274</x:f>
      </x:c>
      <x:c r="R275" s="24">
        <x:f>$Q275*Inputs!$C$19/12</x:f>
      </x:c>
      <x:c r="S275" s="24">
        <x:f>MIN(MAX(0,($C275+$F275)-$M275),$R275)</x:f>
      </x:c>
      <x:c r="T275" s="24">
        <x:f>MIN(MAX(0,($D275+$X275)-$N275),MAX(0,$Q275-$U275))</x:f>
      </x:c>
      <x:c r="U275" s="24">
        <x:f>MIN(MAX(0,$E275-$I275),$Q275)</x:f>
      </x:c>
      <x:c r="V275" s="24">
        <x:f>MAX(0,$Q275-$U275)-$T275</x:f>
      </x:c>
      <x:c r="W275" s="24">
        <x:f>MAX(0,MAX(0,($C275+$F275)-$M275)-$S275)-MIN(MAX(0,$D$3-(MAX(0,$F275-MAX(0,($M275+$S275)-$C275)))),MAX(0,MAX(0,($C275+$F275)-$M275)-$S275))</x:f>
      </x:c>
      <x:c r="X275" s="24">
        <x:f>IF(Inputs!$C$39=1,$W275,0)</x:f>
      </x:c>
      <x:c r="Y275" s="24">
        <x:f>IF(Inputs!$C$39=0,$W275,0)+MAX(0,MAX(0,($D275+$X275)-$N275)-$T275)</x:f>
      </x:c>
    </x:row>
    <x:row r="276">
      <x:c r="B276" s="22" t="n">
        <x:v>271</x:v>
      </x:c>
      <x:c r="C276" s="29">
        <x:f>IF($B276&lt;=Inputs!$C$6+Inputs!$C$11,Cashflow_Asset!$E274-Cashflow_Asset!$K274,0)</x:f>
      </x:c>
      <x:c r="D276" s="29">
        <x:f>IF($B276&lt;=Inputs!$C$6+Inputs!$C$11,Cashflow_Asset!$F274+Cashflow_Asset!$G274+Cashflow_Asset!$I274,0)</x:f>
      </x:c>
      <x:c r="E276" s="29">
        <x:f>IF($B276&lt;=Inputs!$C$6+Inputs!$C$11,Cashflow_Asset!$J274,0)</x:f>
      </x:c>
      <x:c r="F276" s="23">
        <x:f>$G275</x:f>
      </x:c>
      <x:c r="G276" s="24">
        <x:f>(MAX(0,$F276-MAX(0,($M276+$S276)-$C276)))+MIN(MAX(0,$D$3-(MAX(0,$F276-MAX(0,($M276+$S276)-$C276)))),MAX(0,MAX(0,($C276+$F276)-$M276)-$S276))</x:f>
      </x:c>
      <x:c r="H276" s="23">
        <x:f>$J275</x:f>
      </x:c>
      <x:c r="I276" s="24">
        <x:f>MIN($E276,$H276)</x:f>
      </x:c>
      <x:c r="J276" s="24">
        <x:f>$H276-$I276</x:f>
      </x:c>
      <x:c r="K276" s="23">
        <x:f>$P275</x:f>
      </x:c>
      <x:c r="L276" s="24">
        <x:f>$K276*Inputs!$C$18/12</x:f>
      </x:c>
      <x:c r="M276" s="24">
        <x:f>MIN(($C276+$F276),$L276)</x:f>
      </x:c>
      <x:c r="N276" s="24">
        <x:f>MIN(($D276+$X276),MAX(0,$K276-$O276))</x:f>
      </x:c>
      <x:c r="O276" s="24">
        <x:f>MIN(MAX(0,MAX(0,$E276-$I276)-$U276),$K276)</x:f>
      </x:c>
      <x:c r="P276" s="24">
        <x:f>MAX(0,$K276-$O276)-$N276</x:f>
      </x:c>
      <x:c r="Q276" s="23">
        <x:f>$V275</x:f>
      </x:c>
      <x:c r="R276" s="24">
        <x:f>$Q276*Inputs!$C$19/12</x:f>
      </x:c>
      <x:c r="S276" s="24">
        <x:f>MIN(MAX(0,($C276+$F276)-$M276),$R276)</x:f>
      </x:c>
      <x:c r="T276" s="24">
        <x:f>MIN(MAX(0,($D276+$X276)-$N276),MAX(0,$Q276-$U276))</x:f>
      </x:c>
      <x:c r="U276" s="24">
        <x:f>MIN(MAX(0,$E276-$I276),$Q276)</x:f>
      </x:c>
      <x:c r="V276" s="24">
        <x:f>MAX(0,$Q276-$U276)-$T276</x:f>
      </x:c>
      <x:c r="W276" s="24">
        <x:f>MAX(0,MAX(0,($C276+$F276)-$M276)-$S276)-MIN(MAX(0,$D$3-(MAX(0,$F276-MAX(0,($M276+$S276)-$C276)))),MAX(0,MAX(0,($C276+$F276)-$M276)-$S276))</x:f>
      </x:c>
      <x:c r="X276" s="24">
        <x:f>IF(Inputs!$C$39=1,$W276,0)</x:f>
      </x:c>
      <x:c r="Y276" s="24">
        <x:f>IF(Inputs!$C$39=0,$W276,0)+MAX(0,MAX(0,($D276+$X276)-$N276)-$T276)</x:f>
      </x:c>
    </x:row>
    <x:row r="277">
      <x:c r="B277" s="22" t="n">
        <x:v>272</x:v>
      </x:c>
      <x:c r="C277" s="29">
        <x:f>IF($B277&lt;=Inputs!$C$6+Inputs!$C$11,Cashflow_Asset!$E275-Cashflow_Asset!$K275,0)</x:f>
      </x:c>
      <x:c r="D277" s="29">
        <x:f>IF($B277&lt;=Inputs!$C$6+Inputs!$C$11,Cashflow_Asset!$F275+Cashflow_Asset!$G275+Cashflow_Asset!$I275,0)</x:f>
      </x:c>
      <x:c r="E277" s="29">
        <x:f>IF($B277&lt;=Inputs!$C$6+Inputs!$C$11,Cashflow_Asset!$J275,0)</x:f>
      </x:c>
      <x:c r="F277" s="23">
        <x:f>$G276</x:f>
      </x:c>
      <x:c r="G277" s="24">
        <x:f>(MAX(0,$F277-MAX(0,($M277+$S277)-$C277)))+MIN(MAX(0,$D$3-(MAX(0,$F277-MAX(0,($M277+$S277)-$C277)))),MAX(0,MAX(0,($C277+$F277)-$M277)-$S277))</x:f>
      </x:c>
      <x:c r="H277" s="23">
        <x:f>$J276</x:f>
      </x:c>
      <x:c r="I277" s="24">
        <x:f>MIN($E277,$H277)</x:f>
      </x:c>
      <x:c r="J277" s="24">
        <x:f>$H277-$I277</x:f>
      </x:c>
      <x:c r="K277" s="23">
        <x:f>$P276</x:f>
      </x:c>
      <x:c r="L277" s="24">
        <x:f>$K277*Inputs!$C$18/12</x:f>
      </x:c>
      <x:c r="M277" s="24">
        <x:f>MIN(($C277+$F277),$L277)</x:f>
      </x:c>
      <x:c r="N277" s="24">
        <x:f>MIN(($D277+$X277),MAX(0,$K277-$O277))</x:f>
      </x:c>
      <x:c r="O277" s="24">
        <x:f>MIN(MAX(0,MAX(0,$E277-$I277)-$U277),$K277)</x:f>
      </x:c>
      <x:c r="P277" s="24">
        <x:f>MAX(0,$K277-$O277)-$N277</x:f>
      </x:c>
      <x:c r="Q277" s="23">
        <x:f>$V276</x:f>
      </x:c>
      <x:c r="R277" s="24">
        <x:f>$Q277*Inputs!$C$19/12</x:f>
      </x:c>
      <x:c r="S277" s="24">
        <x:f>MIN(MAX(0,($C277+$F277)-$M277),$R277)</x:f>
      </x:c>
      <x:c r="T277" s="24">
        <x:f>MIN(MAX(0,($D277+$X277)-$N277),MAX(0,$Q277-$U277))</x:f>
      </x:c>
      <x:c r="U277" s="24">
        <x:f>MIN(MAX(0,$E277-$I277),$Q277)</x:f>
      </x:c>
      <x:c r="V277" s="24">
        <x:f>MAX(0,$Q277-$U277)-$T277</x:f>
      </x:c>
      <x:c r="W277" s="24">
        <x:f>MAX(0,MAX(0,($C277+$F277)-$M277)-$S277)-MIN(MAX(0,$D$3-(MAX(0,$F277-MAX(0,($M277+$S277)-$C277)))),MAX(0,MAX(0,($C277+$F277)-$M277)-$S277))</x:f>
      </x:c>
      <x:c r="X277" s="24">
        <x:f>IF(Inputs!$C$39=1,$W277,0)</x:f>
      </x:c>
      <x:c r="Y277" s="24">
        <x:f>IF(Inputs!$C$39=0,$W277,0)+MAX(0,MAX(0,($D277+$X277)-$N277)-$T277)</x:f>
      </x:c>
    </x:row>
    <x:row r="278">
      <x:c r="B278" s="22" t="n">
        <x:v>273</x:v>
      </x:c>
      <x:c r="C278" s="29">
        <x:f>IF($B278&lt;=Inputs!$C$6+Inputs!$C$11,Cashflow_Asset!$E276-Cashflow_Asset!$K276,0)</x:f>
      </x:c>
      <x:c r="D278" s="29">
        <x:f>IF($B278&lt;=Inputs!$C$6+Inputs!$C$11,Cashflow_Asset!$F276+Cashflow_Asset!$G276+Cashflow_Asset!$I276,0)</x:f>
      </x:c>
      <x:c r="E278" s="29">
        <x:f>IF($B278&lt;=Inputs!$C$6+Inputs!$C$11,Cashflow_Asset!$J276,0)</x:f>
      </x:c>
      <x:c r="F278" s="23">
        <x:f>$G277</x:f>
      </x:c>
      <x:c r="G278" s="24">
        <x:f>(MAX(0,$F278-MAX(0,($M278+$S278)-$C278)))+MIN(MAX(0,$D$3-(MAX(0,$F278-MAX(0,($M278+$S278)-$C278)))),MAX(0,MAX(0,($C278+$F278)-$M278)-$S278))</x:f>
      </x:c>
      <x:c r="H278" s="23">
        <x:f>$J277</x:f>
      </x:c>
      <x:c r="I278" s="24">
        <x:f>MIN($E278,$H278)</x:f>
      </x:c>
      <x:c r="J278" s="24">
        <x:f>$H278-$I278</x:f>
      </x:c>
      <x:c r="K278" s="23">
        <x:f>$P277</x:f>
      </x:c>
      <x:c r="L278" s="24">
        <x:f>$K278*Inputs!$C$18/12</x:f>
      </x:c>
      <x:c r="M278" s="24">
        <x:f>MIN(($C278+$F278),$L278)</x:f>
      </x:c>
      <x:c r="N278" s="24">
        <x:f>MIN(($D278+$X278),MAX(0,$K278-$O278))</x:f>
      </x:c>
      <x:c r="O278" s="24">
        <x:f>MIN(MAX(0,MAX(0,$E278-$I278)-$U278),$K278)</x:f>
      </x:c>
      <x:c r="P278" s="24">
        <x:f>MAX(0,$K278-$O278)-$N278</x:f>
      </x:c>
      <x:c r="Q278" s="23">
        <x:f>$V277</x:f>
      </x:c>
      <x:c r="R278" s="24">
        <x:f>$Q278*Inputs!$C$19/12</x:f>
      </x:c>
      <x:c r="S278" s="24">
        <x:f>MIN(MAX(0,($C278+$F278)-$M278),$R278)</x:f>
      </x:c>
      <x:c r="T278" s="24">
        <x:f>MIN(MAX(0,($D278+$X278)-$N278),MAX(0,$Q278-$U278))</x:f>
      </x:c>
      <x:c r="U278" s="24">
        <x:f>MIN(MAX(0,$E278-$I278),$Q278)</x:f>
      </x:c>
      <x:c r="V278" s="24">
        <x:f>MAX(0,$Q278-$U278)-$T278</x:f>
      </x:c>
      <x:c r="W278" s="24">
        <x:f>MAX(0,MAX(0,($C278+$F278)-$M278)-$S278)-MIN(MAX(0,$D$3-(MAX(0,$F278-MAX(0,($M278+$S278)-$C278)))),MAX(0,MAX(0,($C278+$F278)-$M278)-$S278))</x:f>
      </x:c>
      <x:c r="X278" s="24">
        <x:f>IF(Inputs!$C$39=1,$W278,0)</x:f>
      </x:c>
      <x:c r="Y278" s="24">
        <x:f>IF(Inputs!$C$39=0,$W278,0)+MAX(0,MAX(0,($D278+$X278)-$N278)-$T278)</x:f>
      </x:c>
    </x:row>
    <x:row r="279">
      <x:c r="B279" s="22" t="n">
        <x:v>274</x:v>
      </x:c>
      <x:c r="C279" s="29">
        <x:f>IF($B279&lt;=Inputs!$C$6+Inputs!$C$11,Cashflow_Asset!$E277-Cashflow_Asset!$K277,0)</x:f>
      </x:c>
      <x:c r="D279" s="29">
        <x:f>IF($B279&lt;=Inputs!$C$6+Inputs!$C$11,Cashflow_Asset!$F277+Cashflow_Asset!$G277+Cashflow_Asset!$I277,0)</x:f>
      </x:c>
      <x:c r="E279" s="29">
        <x:f>IF($B279&lt;=Inputs!$C$6+Inputs!$C$11,Cashflow_Asset!$J277,0)</x:f>
      </x:c>
      <x:c r="F279" s="23">
        <x:f>$G278</x:f>
      </x:c>
      <x:c r="G279" s="24">
        <x:f>(MAX(0,$F279-MAX(0,($M279+$S279)-$C279)))+MIN(MAX(0,$D$3-(MAX(0,$F279-MAX(0,($M279+$S279)-$C279)))),MAX(0,MAX(0,($C279+$F279)-$M279)-$S279))</x:f>
      </x:c>
      <x:c r="H279" s="23">
        <x:f>$J278</x:f>
      </x:c>
      <x:c r="I279" s="24">
        <x:f>MIN($E279,$H279)</x:f>
      </x:c>
      <x:c r="J279" s="24">
        <x:f>$H279-$I279</x:f>
      </x:c>
      <x:c r="K279" s="23">
        <x:f>$P278</x:f>
      </x:c>
      <x:c r="L279" s="24">
        <x:f>$K279*Inputs!$C$18/12</x:f>
      </x:c>
      <x:c r="M279" s="24">
        <x:f>MIN(($C279+$F279),$L279)</x:f>
      </x:c>
      <x:c r="N279" s="24">
        <x:f>MIN(($D279+$X279),MAX(0,$K279-$O279))</x:f>
      </x:c>
      <x:c r="O279" s="24">
        <x:f>MIN(MAX(0,MAX(0,$E279-$I279)-$U279),$K279)</x:f>
      </x:c>
      <x:c r="P279" s="24">
        <x:f>MAX(0,$K279-$O279)-$N279</x:f>
      </x:c>
      <x:c r="Q279" s="23">
        <x:f>$V278</x:f>
      </x:c>
      <x:c r="R279" s="24">
        <x:f>$Q279*Inputs!$C$19/12</x:f>
      </x:c>
      <x:c r="S279" s="24">
        <x:f>MIN(MAX(0,($C279+$F279)-$M279),$R279)</x:f>
      </x:c>
      <x:c r="T279" s="24">
        <x:f>MIN(MAX(0,($D279+$X279)-$N279),MAX(0,$Q279-$U279))</x:f>
      </x:c>
      <x:c r="U279" s="24">
        <x:f>MIN(MAX(0,$E279-$I279),$Q279)</x:f>
      </x:c>
      <x:c r="V279" s="24">
        <x:f>MAX(0,$Q279-$U279)-$T279</x:f>
      </x:c>
      <x:c r="W279" s="24">
        <x:f>MAX(0,MAX(0,($C279+$F279)-$M279)-$S279)-MIN(MAX(0,$D$3-(MAX(0,$F279-MAX(0,($M279+$S279)-$C279)))),MAX(0,MAX(0,($C279+$F279)-$M279)-$S279))</x:f>
      </x:c>
      <x:c r="X279" s="24">
        <x:f>IF(Inputs!$C$39=1,$W279,0)</x:f>
      </x:c>
      <x:c r="Y279" s="24">
        <x:f>IF(Inputs!$C$39=0,$W279,0)+MAX(0,MAX(0,($D279+$X279)-$N279)-$T279)</x:f>
      </x:c>
    </x:row>
    <x:row r="280">
      <x:c r="B280" s="22" t="n">
        <x:v>275</x:v>
      </x:c>
      <x:c r="C280" s="29">
        <x:f>IF($B280&lt;=Inputs!$C$6+Inputs!$C$11,Cashflow_Asset!$E278-Cashflow_Asset!$K278,0)</x:f>
      </x:c>
      <x:c r="D280" s="29">
        <x:f>IF($B280&lt;=Inputs!$C$6+Inputs!$C$11,Cashflow_Asset!$F278+Cashflow_Asset!$G278+Cashflow_Asset!$I278,0)</x:f>
      </x:c>
      <x:c r="E280" s="29">
        <x:f>IF($B280&lt;=Inputs!$C$6+Inputs!$C$11,Cashflow_Asset!$J278,0)</x:f>
      </x:c>
      <x:c r="F280" s="23">
        <x:f>$G279</x:f>
      </x:c>
      <x:c r="G280" s="24">
        <x:f>(MAX(0,$F280-MAX(0,($M280+$S280)-$C280)))+MIN(MAX(0,$D$3-(MAX(0,$F280-MAX(0,($M280+$S280)-$C280)))),MAX(0,MAX(0,($C280+$F280)-$M280)-$S280))</x:f>
      </x:c>
      <x:c r="H280" s="23">
        <x:f>$J279</x:f>
      </x:c>
      <x:c r="I280" s="24">
        <x:f>MIN($E280,$H280)</x:f>
      </x:c>
      <x:c r="J280" s="24">
        <x:f>$H280-$I280</x:f>
      </x:c>
      <x:c r="K280" s="23">
        <x:f>$P279</x:f>
      </x:c>
      <x:c r="L280" s="24">
        <x:f>$K280*Inputs!$C$18/12</x:f>
      </x:c>
      <x:c r="M280" s="24">
        <x:f>MIN(($C280+$F280),$L280)</x:f>
      </x:c>
      <x:c r="N280" s="24">
        <x:f>MIN(($D280+$X280),MAX(0,$K280-$O280))</x:f>
      </x:c>
      <x:c r="O280" s="24">
        <x:f>MIN(MAX(0,MAX(0,$E280-$I280)-$U280),$K280)</x:f>
      </x:c>
      <x:c r="P280" s="24">
        <x:f>MAX(0,$K280-$O280)-$N280</x:f>
      </x:c>
      <x:c r="Q280" s="23">
        <x:f>$V279</x:f>
      </x:c>
      <x:c r="R280" s="24">
        <x:f>$Q280*Inputs!$C$19/12</x:f>
      </x:c>
      <x:c r="S280" s="24">
        <x:f>MIN(MAX(0,($C280+$F280)-$M280),$R280)</x:f>
      </x:c>
      <x:c r="T280" s="24">
        <x:f>MIN(MAX(0,($D280+$X280)-$N280),MAX(0,$Q280-$U280))</x:f>
      </x:c>
      <x:c r="U280" s="24">
        <x:f>MIN(MAX(0,$E280-$I280),$Q280)</x:f>
      </x:c>
      <x:c r="V280" s="24">
        <x:f>MAX(0,$Q280-$U280)-$T280</x:f>
      </x:c>
      <x:c r="W280" s="24">
        <x:f>MAX(0,MAX(0,($C280+$F280)-$M280)-$S280)-MIN(MAX(0,$D$3-(MAX(0,$F280-MAX(0,($M280+$S280)-$C280)))),MAX(0,MAX(0,($C280+$F280)-$M280)-$S280))</x:f>
      </x:c>
      <x:c r="X280" s="24">
        <x:f>IF(Inputs!$C$39=1,$W280,0)</x:f>
      </x:c>
      <x:c r="Y280" s="24">
        <x:f>IF(Inputs!$C$39=0,$W280,0)+MAX(0,MAX(0,($D280+$X280)-$N280)-$T280)</x:f>
      </x:c>
    </x:row>
    <x:row r="281">
      <x:c r="B281" s="22" t="n">
        <x:v>276</x:v>
      </x:c>
      <x:c r="C281" s="29">
        <x:f>IF($B281&lt;=Inputs!$C$6+Inputs!$C$11,Cashflow_Asset!$E279-Cashflow_Asset!$K279,0)</x:f>
      </x:c>
      <x:c r="D281" s="29">
        <x:f>IF($B281&lt;=Inputs!$C$6+Inputs!$C$11,Cashflow_Asset!$F279+Cashflow_Asset!$G279+Cashflow_Asset!$I279,0)</x:f>
      </x:c>
      <x:c r="E281" s="29">
        <x:f>IF($B281&lt;=Inputs!$C$6+Inputs!$C$11,Cashflow_Asset!$J279,0)</x:f>
      </x:c>
      <x:c r="F281" s="23">
        <x:f>$G280</x:f>
      </x:c>
      <x:c r="G281" s="24">
        <x:f>(MAX(0,$F281-MAX(0,($M281+$S281)-$C281)))+MIN(MAX(0,$D$3-(MAX(0,$F281-MAX(0,($M281+$S281)-$C281)))),MAX(0,MAX(0,($C281+$F281)-$M281)-$S281))</x:f>
      </x:c>
      <x:c r="H281" s="23">
        <x:f>$J280</x:f>
      </x:c>
      <x:c r="I281" s="24">
        <x:f>MIN($E281,$H281)</x:f>
      </x:c>
      <x:c r="J281" s="24">
        <x:f>$H281-$I281</x:f>
      </x:c>
      <x:c r="K281" s="23">
        <x:f>$P280</x:f>
      </x:c>
      <x:c r="L281" s="24">
        <x:f>$K281*Inputs!$C$18/12</x:f>
      </x:c>
      <x:c r="M281" s="24">
        <x:f>MIN(($C281+$F281),$L281)</x:f>
      </x:c>
      <x:c r="N281" s="24">
        <x:f>MIN(($D281+$X281),MAX(0,$K281-$O281))</x:f>
      </x:c>
      <x:c r="O281" s="24">
        <x:f>MIN(MAX(0,MAX(0,$E281-$I281)-$U281),$K281)</x:f>
      </x:c>
      <x:c r="P281" s="24">
        <x:f>MAX(0,$K281-$O281)-$N281</x:f>
      </x:c>
      <x:c r="Q281" s="23">
        <x:f>$V280</x:f>
      </x:c>
      <x:c r="R281" s="24">
        <x:f>$Q281*Inputs!$C$19/12</x:f>
      </x:c>
      <x:c r="S281" s="24">
        <x:f>MIN(MAX(0,($C281+$F281)-$M281),$R281)</x:f>
      </x:c>
      <x:c r="T281" s="24">
        <x:f>MIN(MAX(0,($D281+$X281)-$N281),MAX(0,$Q281-$U281))</x:f>
      </x:c>
      <x:c r="U281" s="24">
        <x:f>MIN(MAX(0,$E281-$I281),$Q281)</x:f>
      </x:c>
      <x:c r="V281" s="24">
        <x:f>MAX(0,$Q281-$U281)-$T281</x:f>
      </x:c>
      <x:c r="W281" s="24">
        <x:f>MAX(0,MAX(0,($C281+$F281)-$M281)-$S281)-MIN(MAX(0,$D$3-(MAX(0,$F281-MAX(0,($M281+$S281)-$C281)))),MAX(0,MAX(0,($C281+$F281)-$M281)-$S281))</x:f>
      </x:c>
      <x:c r="X281" s="24">
        <x:f>IF(Inputs!$C$39=1,$W281,0)</x:f>
      </x:c>
      <x:c r="Y281" s="24">
        <x:f>IF(Inputs!$C$39=0,$W281,0)+MAX(0,MAX(0,($D281+$X281)-$N281)-$T281)</x:f>
      </x:c>
    </x:row>
    <x:row r="282">
      <x:c r="B282" s="22" t="n">
        <x:v>277</x:v>
      </x:c>
      <x:c r="C282" s="29">
        <x:f>IF($B282&lt;=Inputs!$C$6+Inputs!$C$11,Cashflow_Asset!$E280-Cashflow_Asset!$K280,0)</x:f>
      </x:c>
      <x:c r="D282" s="29">
        <x:f>IF($B282&lt;=Inputs!$C$6+Inputs!$C$11,Cashflow_Asset!$F280+Cashflow_Asset!$G280+Cashflow_Asset!$I280,0)</x:f>
      </x:c>
      <x:c r="E282" s="29">
        <x:f>IF($B282&lt;=Inputs!$C$6+Inputs!$C$11,Cashflow_Asset!$J280,0)</x:f>
      </x:c>
      <x:c r="F282" s="23">
        <x:f>$G281</x:f>
      </x:c>
      <x:c r="G282" s="24">
        <x:f>(MAX(0,$F282-MAX(0,($M282+$S282)-$C282)))+MIN(MAX(0,$D$3-(MAX(0,$F282-MAX(0,($M282+$S282)-$C282)))),MAX(0,MAX(0,($C282+$F282)-$M282)-$S282))</x:f>
      </x:c>
      <x:c r="H282" s="23">
        <x:f>$J281</x:f>
      </x:c>
      <x:c r="I282" s="24">
        <x:f>MIN($E282,$H282)</x:f>
      </x:c>
      <x:c r="J282" s="24">
        <x:f>$H282-$I282</x:f>
      </x:c>
      <x:c r="K282" s="23">
        <x:f>$P281</x:f>
      </x:c>
      <x:c r="L282" s="24">
        <x:f>$K282*Inputs!$C$18/12</x:f>
      </x:c>
      <x:c r="M282" s="24">
        <x:f>MIN(($C282+$F282),$L282)</x:f>
      </x:c>
      <x:c r="N282" s="24">
        <x:f>MIN(($D282+$X282),MAX(0,$K282-$O282))</x:f>
      </x:c>
      <x:c r="O282" s="24">
        <x:f>MIN(MAX(0,MAX(0,$E282-$I282)-$U282),$K282)</x:f>
      </x:c>
      <x:c r="P282" s="24">
        <x:f>MAX(0,$K282-$O282)-$N282</x:f>
      </x:c>
      <x:c r="Q282" s="23">
        <x:f>$V281</x:f>
      </x:c>
      <x:c r="R282" s="24">
        <x:f>$Q282*Inputs!$C$19/12</x:f>
      </x:c>
      <x:c r="S282" s="24">
        <x:f>MIN(MAX(0,($C282+$F282)-$M282),$R282)</x:f>
      </x:c>
      <x:c r="T282" s="24">
        <x:f>MIN(MAX(0,($D282+$X282)-$N282),MAX(0,$Q282-$U282))</x:f>
      </x:c>
      <x:c r="U282" s="24">
        <x:f>MIN(MAX(0,$E282-$I282),$Q282)</x:f>
      </x:c>
      <x:c r="V282" s="24">
        <x:f>MAX(0,$Q282-$U282)-$T282</x:f>
      </x:c>
      <x:c r="W282" s="24">
        <x:f>MAX(0,MAX(0,($C282+$F282)-$M282)-$S282)-MIN(MAX(0,$D$3-(MAX(0,$F282-MAX(0,($M282+$S282)-$C282)))),MAX(0,MAX(0,($C282+$F282)-$M282)-$S282))</x:f>
      </x:c>
      <x:c r="X282" s="24">
        <x:f>IF(Inputs!$C$39=1,$W282,0)</x:f>
      </x:c>
      <x:c r="Y282" s="24">
        <x:f>IF(Inputs!$C$39=0,$W282,0)+MAX(0,MAX(0,($D282+$X282)-$N282)-$T282)</x:f>
      </x:c>
    </x:row>
    <x:row r="283">
      <x:c r="B283" s="22" t="n">
        <x:v>278</x:v>
      </x:c>
      <x:c r="C283" s="29">
        <x:f>IF($B283&lt;=Inputs!$C$6+Inputs!$C$11,Cashflow_Asset!$E281-Cashflow_Asset!$K281,0)</x:f>
      </x:c>
      <x:c r="D283" s="29">
        <x:f>IF($B283&lt;=Inputs!$C$6+Inputs!$C$11,Cashflow_Asset!$F281+Cashflow_Asset!$G281+Cashflow_Asset!$I281,0)</x:f>
      </x:c>
      <x:c r="E283" s="29">
        <x:f>IF($B283&lt;=Inputs!$C$6+Inputs!$C$11,Cashflow_Asset!$J281,0)</x:f>
      </x:c>
      <x:c r="F283" s="23">
        <x:f>$G282</x:f>
      </x:c>
      <x:c r="G283" s="24">
        <x:f>(MAX(0,$F283-MAX(0,($M283+$S283)-$C283)))+MIN(MAX(0,$D$3-(MAX(0,$F283-MAX(0,($M283+$S283)-$C283)))),MAX(0,MAX(0,($C283+$F283)-$M283)-$S283))</x:f>
      </x:c>
      <x:c r="H283" s="23">
        <x:f>$J282</x:f>
      </x:c>
      <x:c r="I283" s="24">
        <x:f>MIN($E283,$H283)</x:f>
      </x:c>
      <x:c r="J283" s="24">
        <x:f>$H283-$I283</x:f>
      </x:c>
      <x:c r="K283" s="23">
        <x:f>$P282</x:f>
      </x:c>
      <x:c r="L283" s="24">
        <x:f>$K283*Inputs!$C$18/12</x:f>
      </x:c>
      <x:c r="M283" s="24">
        <x:f>MIN(($C283+$F283),$L283)</x:f>
      </x:c>
      <x:c r="N283" s="24">
        <x:f>MIN(($D283+$X283),MAX(0,$K283-$O283))</x:f>
      </x:c>
      <x:c r="O283" s="24">
        <x:f>MIN(MAX(0,MAX(0,$E283-$I283)-$U283),$K283)</x:f>
      </x:c>
      <x:c r="P283" s="24">
        <x:f>MAX(0,$K283-$O283)-$N283</x:f>
      </x:c>
      <x:c r="Q283" s="23">
        <x:f>$V282</x:f>
      </x:c>
      <x:c r="R283" s="24">
        <x:f>$Q283*Inputs!$C$19/12</x:f>
      </x:c>
      <x:c r="S283" s="24">
        <x:f>MIN(MAX(0,($C283+$F283)-$M283),$R283)</x:f>
      </x:c>
      <x:c r="T283" s="24">
        <x:f>MIN(MAX(0,($D283+$X283)-$N283),MAX(0,$Q283-$U283))</x:f>
      </x:c>
      <x:c r="U283" s="24">
        <x:f>MIN(MAX(0,$E283-$I283),$Q283)</x:f>
      </x:c>
      <x:c r="V283" s="24">
        <x:f>MAX(0,$Q283-$U283)-$T283</x:f>
      </x:c>
      <x:c r="W283" s="24">
        <x:f>MAX(0,MAX(0,($C283+$F283)-$M283)-$S283)-MIN(MAX(0,$D$3-(MAX(0,$F283-MAX(0,($M283+$S283)-$C283)))),MAX(0,MAX(0,($C283+$F283)-$M283)-$S283))</x:f>
      </x:c>
      <x:c r="X283" s="24">
        <x:f>IF(Inputs!$C$39=1,$W283,0)</x:f>
      </x:c>
      <x:c r="Y283" s="24">
        <x:f>IF(Inputs!$C$39=0,$W283,0)+MAX(0,MAX(0,($D283+$X283)-$N283)-$T283)</x:f>
      </x:c>
    </x:row>
    <x:row r="284">
      <x:c r="B284" s="22" t="n">
        <x:v>279</x:v>
      </x:c>
      <x:c r="C284" s="29">
        <x:f>IF($B284&lt;=Inputs!$C$6+Inputs!$C$11,Cashflow_Asset!$E282-Cashflow_Asset!$K282,0)</x:f>
      </x:c>
      <x:c r="D284" s="29">
        <x:f>IF($B284&lt;=Inputs!$C$6+Inputs!$C$11,Cashflow_Asset!$F282+Cashflow_Asset!$G282+Cashflow_Asset!$I282,0)</x:f>
      </x:c>
      <x:c r="E284" s="29">
        <x:f>IF($B284&lt;=Inputs!$C$6+Inputs!$C$11,Cashflow_Asset!$J282,0)</x:f>
      </x:c>
      <x:c r="F284" s="23">
        <x:f>$G283</x:f>
      </x:c>
      <x:c r="G284" s="24">
        <x:f>(MAX(0,$F284-MAX(0,($M284+$S284)-$C284)))+MIN(MAX(0,$D$3-(MAX(0,$F284-MAX(0,($M284+$S284)-$C284)))),MAX(0,MAX(0,($C284+$F284)-$M284)-$S284))</x:f>
      </x:c>
      <x:c r="H284" s="23">
        <x:f>$J283</x:f>
      </x:c>
      <x:c r="I284" s="24">
        <x:f>MIN($E284,$H284)</x:f>
      </x:c>
      <x:c r="J284" s="24">
        <x:f>$H284-$I284</x:f>
      </x:c>
      <x:c r="K284" s="23">
        <x:f>$P283</x:f>
      </x:c>
      <x:c r="L284" s="24">
        <x:f>$K284*Inputs!$C$18/12</x:f>
      </x:c>
      <x:c r="M284" s="24">
        <x:f>MIN(($C284+$F284),$L284)</x:f>
      </x:c>
      <x:c r="N284" s="24">
        <x:f>MIN(($D284+$X284),MAX(0,$K284-$O284))</x:f>
      </x:c>
      <x:c r="O284" s="24">
        <x:f>MIN(MAX(0,MAX(0,$E284-$I284)-$U284),$K284)</x:f>
      </x:c>
      <x:c r="P284" s="24">
        <x:f>MAX(0,$K284-$O284)-$N284</x:f>
      </x:c>
      <x:c r="Q284" s="23">
        <x:f>$V283</x:f>
      </x:c>
      <x:c r="R284" s="24">
        <x:f>$Q284*Inputs!$C$19/12</x:f>
      </x:c>
      <x:c r="S284" s="24">
        <x:f>MIN(MAX(0,($C284+$F284)-$M284),$R284)</x:f>
      </x:c>
      <x:c r="T284" s="24">
        <x:f>MIN(MAX(0,($D284+$X284)-$N284),MAX(0,$Q284-$U284))</x:f>
      </x:c>
      <x:c r="U284" s="24">
        <x:f>MIN(MAX(0,$E284-$I284),$Q284)</x:f>
      </x:c>
      <x:c r="V284" s="24">
        <x:f>MAX(0,$Q284-$U284)-$T284</x:f>
      </x:c>
      <x:c r="W284" s="24">
        <x:f>MAX(0,MAX(0,($C284+$F284)-$M284)-$S284)-MIN(MAX(0,$D$3-(MAX(0,$F284-MAX(0,($M284+$S284)-$C284)))),MAX(0,MAX(0,($C284+$F284)-$M284)-$S284))</x:f>
      </x:c>
      <x:c r="X284" s="24">
        <x:f>IF(Inputs!$C$39=1,$W284,0)</x:f>
      </x:c>
      <x:c r="Y284" s="24">
        <x:f>IF(Inputs!$C$39=0,$W284,0)+MAX(0,MAX(0,($D284+$X284)-$N284)-$T284)</x:f>
      </x:c>
    </x:row>
    <x:row r="285">
      <x:c r="B285" s="22" t="n">
        <x:v>280</x:v>
      </x:c>
      <x:c r="C285" s="29">
        <x:f>IF($B285&lt;=Inputs!$C$6+Inputs!$C$11,Cashflow_Asset!$E283-Cashflow_Asset!$K283,0)</x:f>
      </x:c>
      <x:c r="D285" s="29">
        <x:f>IF($B285&lt;=Inputs!$C$6+Inputs!$C$11,Cashflow_Asset!$F283+Cashflow_Asset!$G283+Cashflow_Asset!$I283,0)</x:f>
      </x:c>
      <x:c r="E285" s="29">
        <x:f>IF($B285&lt;=Inputs!$C$6+Inputs!$C$11,Cashflow_Asset!$J283,0)</x:f>
      </x:c>
      <x:c r="F285" s="23">
        <x:f>$G284</x:f>
      </x:c>
      <x:c r="G285" s="24">
        <x:f>(MAX(0,$F285-MAX(0,($M285+$S285)-$C285)))+MIN(MAX(0,$D$3-(MAX(0,$F285-MAX(0,($M285+$S285)-$C285)))),MAX(0,MAX(0,($C285+$F285)-$M285)-$S285))</x:f>
      </x:c>
      <x:c r="H285" s="23">
        <x:f>$J284</x:f>
      </x:c>
      <x:c r="I285" s="24">
        <x:f>MIN($E285,$H285)</x:f>
      </x:c>
      <x:c r="J285" s="24">
        <x:f>$H285-$I285</x:f>
      </x:c>
      <x:c r="K285" s="23">
        <x:f>$P284</x:f>
      </x:c>
      <x:c r="L285" s="24">
        <x:f>$K285*Inputs!$C$18/12</x:f>
      </x:c>
      <x:c r="M285" s="24">
        <x:f>MIN(($C285+$F285),$L285)</x:f>
      </x:c>
      <x:c r="N285" s="24">
        <x:f>MIN(($D285+$X285),MAX(0,$K285-$O285))</x:f>
      </x:c>
      <x:c r="O285" s="24">
        <x:f>MIN(MAX(0,MAX(0,$E285-$I285)-$U285),$K285)</x:f>
      </x:c>
      <x:c r="P285" s="24">
        <x:f>MAX(0,$K285-$O285)-$N285</x:f>
      </x:c>
      <x:c r="Q285" s="23">
        <x:f>$V284</x:f>
      </x:c>
      <x:c r="R285" s="24">
        <x:f>$Q285*Inputs!$C$19/12</x:f>
      </x:c>
      <x:c r="S285" s="24">
        <x:f>MIN(MAX(0,($C285+$F285)-$M285),$R285)</x:f>
      </x:c>
      <x:c r="T285" s="24">
        <x:f>MIN(MAX(0,($D285+$X285)-$N285),MAX(0,$Q285-$U285))</x:f>
      </x:c>
      <x:c r="U285" s="24">
        <x:f>MIN(MAX(0,$E285-$I285),$Q285)</x:f>
      </x:c>
      <x:c r="V285" s="24">
        <x:f>MAX(0,$Q285-$U285)-$T285</x:f>
      </x:c>
      <x:c r="W285" s="24">
        <x:f>MAX(0,MAX(0,($C285+$F285)-$M285)-$S285)-MIN(MAX(0,$D$3-(MAX(0,$F285-MAX(0,($M285+$S285)-$C285)))),MAX(0,MAX(0,($C285+$F285)-$M285)-$S285))</x:f>
      </x:c>
      <x:c r="X285" s="24">
        <x:f>IF(Inputs!$C$39=1,$W285,0)</x:f>
      </x:c>
      <x:c r="Y285" s="24">
        <x:f>IF(Inputs!$C$39=0,$W285,0)+MAX(0,MAX(0,($D285+$X285)-$N285)-$T285)</x:f>
      </x:c>
    </x:row>
    <x:row r="286">
      <x:c r="B286" s="22" t="n">
        <x:v>281</x:v>
      </x:c>
      <x:c r="C286" s="29">
        <x:f>IF($B286&lt;=Inputs!$C$6+Inputs!$C$11,Cashflow_Asset!$E284-Cashflow_Asset!$K284,0)</x:f>
      </x:c>
      <x:c r="D286" s="29">
        <x:f>IF($B286&lt;=Inputs!$C$6+Inputs!$C$11,Cashflow_Asset!$F284+Cashflow_Asset!$G284+Cashflow_Asset!$I284,0)</x:f>
      </x:c>
      <x:c r="E286" s="29">
        <x:f>IF($B286&lt;=Inputs!$C$6+Inputs!$C$11,Cashflow_Asset!$J284,0)</x:f>
      </x:c>
      <x:c r="F286" s="23">
        <x:f>$G285</x:f>
      </x:c>
      <x:c r="G286" s="24">
        <x:f>(MAX(0,$F286-MAX(0,($M286+$S286)-$C286)))+MIN(MAX(0,$D$3-(MAX(0,$F286-MAX(0,($M286+$S286)-$C286)))),MAX(0,MAX(0,($C286+$F286)-$M286)-$S286))</x:f>
      </x:c>
      <x:c r="H286" s="23">
        <x:f>$J285</x:f>
      </x:c>
      <x:c r="I286" s="24">
        <x:f>MIN($E286,$H286)</x:f>
      </x:c>
      <x:c r="J286" s="24">
        <x:f>$H286-$I286</x:f>
      </x:c>
      <x:c r="K286" s="23">
        <x:f>$P285</x:f>
      </x:c>
      <x:c r="L286" s="24">
        <x:f>$K286*Inputs!$C$18/12</x:f>
      </x:c>
      <x:c r="M286" s="24">
        <x:f>MIN(($C286+$F286),$L286)</x:f>
      </x:c>
      <x:c r="N286" s="24">
        <x:f>MIN(($D286+$X286),MAX(0,$K286-$O286))</x:f>
      </x:c>
      <x:c r="O286" s="24">
        <x:f>MIN(MAX(0,MAX(0,$E286-$I286)-$U286),$K286)</x:f>
      </x:c>
      <x:c r="P286" s="24">
        <x:f>MAX(0,$K286-$O286)-$N286</x:f>
      </x:c>
      <x:c r="Q286" s="23">
        <x:f>$V285</x:f>
      </x:c>
      <x:c r="R286" s="24">
        <x:f>$Q286*Inputs!$C$19/12</x:f>
      </x:c>
      <x:c r="S286" s="24">
        <x:f>MIN(MAX(0,($C286+$F286)-$M286),$R286)</x:f>
      </x:c>
      <x:c r="T286" s="24">
        <x:f>MIN(MAX(0,($D286+$X286)-$N286),MAX(0,$Q286-$U286))</x:f>
      </x:c>
      <x:c r="U286" s="24">
        <x:f>MIN(MAX(0,$E286-$I286),$Q286)</x:f>
      </x:c>
      <x:c r="V286" s="24">
        <x:f>MAX(0,$Q286-$U286)-$T286</x:f>
      </x:c>
      <x:c r="W286" s="24">
        <x:f>MAX(0,MAX(0,($C286+$F286)-$M286)-$S286)-MIN(MAX(0,$D$3-(MAX(0,$F286-MAX(0,($M286+$S286)-$C286)))),MAX(0,MAX(0,($C286+$F286)-$M286)-$S286))</x:f>
      </x:c>
      <x:c r="X286" s="24">
        <x:f>IF(Inputs!$C$39=1,$W286,0)</x:f>
      </x:c>
      <x:c r="Y286" s="24">
        <x:f>IF(Inputs!$C$39=0,$W286,0)+MAX(0,MAX(0,($D286+$X286)-$N286)-$T286)</x:f>
      </x:c>
    </x:row>
    <x:row r="287">
      <x:c r="B287" s="22" t="n">
        <x:v>282</x:v>
      </x:c>
      <x:c r="C287" s="29">
        <x:f>IF($B287&lt;=Inputs!$C$6+Inputs!$C$11,Cashflow_Asset!$E285-Cashflow_Asset!$K285,0)</x:f>
      </x:c>
      <x:c r="D287" s="29">
        <x:f>IF($B287&lt;=Inputs!$C$6+Inputs!$C$11,Cashflow_Asset!$F285+Cashflow_Asset!$G285+Cashflow_Asset!$I285,0)</x:f>
      </x:c>
      <x:c r="E287" s="29">
        <x:f>IF($B287&lt;=Inputs!$C$6+Inputs!$C$11,Cashflow_Asset!$J285,0)</x:f>
      </x:c>
      <x:c r="F287" s="23">
        <x:f>$G286</x:f>
      </x:c>
      <x:c r="G287" s="24">
        <x:f>(MAX(0,$F287-MAX(0,($M287+$S287)-$C287)))+MIN(MAX(0,$D$3-(MAX(0,$F287-MAX(0,($M287+$S287)-$C287)))),MAX(0,MAX(0,($C287+$F287)-$M287)-$S287))</x:f>
      </x:c>
      <x:c r="H287" s="23">
        <x:f>$J286</x:f>
      </x:c>
      <x:c r="I287" s="24">
        <x:f>MIN($E287,$H287)</x:f>
      </x:c>
      <x:c r="J287" s="24">
        <x:f>$H287-$I287</x:f>
      </x:c>
      <x:c r="K287" s="23">
        <x:f>$P286</x:f>
      </x:c>
      <x:c r="L287" s="24">
        <x:f>$K287*Inputs!$C$18/12</x:f>
      </x:c>
      <x:c r="M287" s="24">
        <x:f>MIN(($C287+$F287),$L287)</x:f>
      </x:c>
      <x:c r="N287" s="24">
        <x:f>MIN(($D287+$X287),MAX(0,$K287-$O287))</x:f>
      </x:c>
      <x:c r="O287" s="24">
        <x:f>MIN(MAX(0,MAX(0,$E287-$I287)-$U287),$K287)</x:f>
      </x:c>
      <x:c r="P287" s="24">
        <x:f>MAX(0,$K287-$O287)-$N287</x:f>
      </x:c>
      <x:c r="Q287" s="23">
        <x:f>$V286</x:f>
      </x:c>
      <x:c r="R287" s="24">
        <x:f>$Q287*Inputs!$C$19/12</x:f>
      </x:c>
      <x:c r="S287" s="24">
        <x:f>MIN(MAX(0,($C287+$F287)-$M287),$R287)</x:f>
      </x:c>
      <x:c r="T287" s="24">
        <x:f>MIN(MAX(0,($D287+$X287)-$N287),MAX(0,$Q287-$U287))</x:f>
      </x:c>
      <x:c r="U287" s="24">
        <x:f>MIN(MAX(0,$E287-$I287),$Q287)</x:f>
      </x:c>
      <x:c r="V287" s="24">
        <x:f>MAX(0,$Q287-$U287)-$T287</x:f>
      </x:c>
      <x:c r="W287" s="24">
        <x:f>MAX(0,MAX(0,($C287+$F287)-$M287)-$S287)-MIN(MAX(0,$D$3-(MAX(0,$F287-MAX(0,($M287+$S287)-$C287)))),MAX(0,MAX(0,($C287+$F287)-$M287)-$S287))</x:f>
      </x:c>
      <x:c r="X287" s="24">
        <x:f>IF(Inputs!$C$39=1,$W287,0)</x:f>
      </x:c>
      <x:c r="Y287" s="24">
        <x:f>IF(Inputs!$C$39=0,$W287,0)+MAX(0,MAX(0,($D287+$X287)-$N287)-$T287)</x:f>
      </x:c>
    </x:row>
    <x:row r="288">
      <x:c r="B288" s="22" t="n">
        <x:v>283</x:v>
      </x:c>
      <x:c r="C288" s="29">
        <x:f>IF($B288&lt;=Inputs!$C$6+Inputs!$C$11,Cashflow_Asset!$E286-Cashflow_Asset!$K286,0)</x:f>
      </x:c>
      <x:c r="D288" s="29">
        <x:f>IF($B288&lt;=Inputs!$C$6+Inputs!$C$11,Cashflow_Asset!$F286+Cashflow_Asset!$G286+Cashflow_Asset!$I286,0)</x:f>
      </x:c>
      <x:c r="E288" s="29">
        <x:f>IF($B288&lt;=Inputs!$C$6+Inputs!$C$11,Cashflow_Asset!$J286,0)</x:f>
      </x:c>
      <x:c r="F288" s="23">
        <x:f>$G287</x:f>
      </x:c>
      <x:c r="G288" s="24">
        <x:f>(MAX(0,$F288-MAX(0,($M288+$S288)-$C288)))+MIN(MAX(0,$D$3-(MAX(0,$F288-MAX(0,($M288+$S288)-$C288)))),MAX(0,MAX(0,($C288+$F288)-$M288)-$S288))</x:f>
      </x:c>
      <x:c r="H288" s="23">
        <x:f>$J287</x:f>
      </x:c>
      <x:c r="I288" s="24">
        <x:f>MIN($E288,$H288)</x:f>
      </x:c>
      <x:c r="J288" s="24">
        <x:f>$H288-$I288</x:f>
      </x:c>
      <x:c r="K288" s="23">
        <x:f>$P287</x:f>
      </x:c>
      <x:c r="L288" s="24">
        <x:f>$K288*Inputs!$C$18/12</x:f>
      </x:c>
      <x:c r="M288" s="24">
        <x:f>MIN(($C288+$F288),$L288)</x:f>
      </x:c>
      <x:c r="N288" s="24">
        <x:f>MIN(($D288+$X288),MAX(0,$K288-$O288))</x:f>
      </x:c>
      <x:c r="O288" s="24">
        <x:f>MIN(MAX(0,MAX(0,$E288-$I288)-$U288),$K288)</x:f>
      </x:c>
      <x:c r="P288" s="24">
        <x:f>MAX(0,$K288-$O288)-$N288</x:f>
      </x:c>
      <x:c r="Q288" s="23">
        <x:f>$V287</x:f>
      </x:c>
      <x:c r="R288" s="24">
        <x:f>$Q288*Inputs!$C$19/12</x:f>
      </x:c>
      <x:c r="S288" s="24">
        <x:f>MIN(MAX(0,($C288+$F288)-$M288),$R288)</x:f>
      </x:c>
      <x:c r="T288" s="24">
        <x:f>MIN(MAX(0,($D288+$X288)-$N288),MAX(0,$Q288-$U288))</x:f>
      </x:c>
      <x:c r="U288" s="24">
        <x:f>MIN(MAX(0,$E288-$I288),$Q288)</x:f>
      </x:c>
      <x:c r="V288" s="24">
        <x:f>MAX(0,$Q288-$U288)-$T288</x:f>
      </x:c>
      <x:c r="W288" s="24">
        <x:f>MAX(0,MAX(0,($C288+$F288)-$M288)-$S288)-MIN(MAX(0,$D$3-(MAX(0,$F288-MAX(0,($M288+$S288)-$C288)))),MAX(0,MAX(0,($C288+$F288)-$M288)-$S288))</x:f>
      </x:c>
      <x:c r="X288" s="24">
        <x:f>IF(Inputs!$C$39=1,$W288,0)</x:f>
      </x:c>
      <x:c r="Y288" s="24">
        <x:f>IF(Inputs!$C$39=0,$W288,0)+MAX(0,MAX(0,($D288+$X288)-$N288)-$T288)</x:f>
      </x:c>
    </x:row>
    <x:row r="289">
      <x:c r="B289" s="22" t="n">
        <x:v>284</x:v>
      </x:c>
      <x:c r="C289" s="29">
        <x:f>IF($B289&lt;=Inputs!$C$6+Inputs!$C$11,Cashflow_Asset!$E287-Cashflow_Asset!$K287,0)</x:f>
      </x:c>
      <x:c r="D289" s="29">
        <x:f>IF($B289&lt;=Inputs!$C$6+Inputs!$C$11,Cashflow_Asset!$F287+Cashflow_Asset!$G287+Cashflow_Asset!$I287,0)</x:f>
      </x:c>
      <x:c r="E289" s="29">
        <x:f>IF($B289&lt;=Inputs!$C$6+Inputs!$C$11,Cashflow_Asset!$J287,0)</x:f>
      </x:c>
      <x:c r="F289" s="23">
        <x:f>$G288</x:f>
      </x:c>
      <x:c r="G289" s="24">
        <x:f>(MAX(0,$F289-MAX(0,($M289+$S289)-$C289)))+MIN(MAX(0,$D$3-(MAX(0,$F289-MAX(0,($M289+$S289)-$C289)))),MAX(0,MAX(0,($C289+$F289)-$M289)-$S289))</x:f>
      </x:c>
      <x:c r="H289" s="23">
        <x:f>$J288</x:f>
      </x:c>
      <x:c r="I289" s="24">
        <x:f>MIN($E289,$H289)</x:f>
      </x:c>
      <x:c r="J289" s="24">
        <x:f>$H289-$I289</x:f>
      </x:c>
      <x:c r="K289" s="23">
        <x:f>$P288</x:f>
      </x:c>
      <x:c r="L289" s="24">
        <x:f>$K289*Inputs!$C$18/12</x:f>
      </x:c>
      <x:c r="M289" s="24">
        <x:f>MIN(($C289+$F289),$L289)</x:f>
      </x:c>
      <x:c r="N289" s="24">
        <x:f>MIN(($D289+$X289),MAX(0,$K289-$O289))</x:f>
      </x:c>
      <x:c r="O289" s="24">
        <x:f>MIN(MAX(0,MAX(0,$E289-$I289)-$U289),$K289)</x:f>
      </x:c>
      <x:c r="P289" s="24">
        <x:f>MAX(0,$K289-$O289)-$N289</x:f>
      </x:c>
      <x:c r="Q289" s="23">
        <x:f>$V288</x:f>
      </x:c>
      <x:c r="R289" s="24">
        <x:f>$Q289*Inputs!$C$19/12</x:f>
      </x:c>
      <x:c r="S289" s="24">
        <x:f>MIN(MAX(0,($C289+$F289)-$M289),$R289)</x:f>
      </x:c>
      <x:c r="T289" s="24">
        <x:f>MIN(MAX(0,($D289+$X289)-$N289),MAX(0,$Q289-$U289))</x:f>
      </x:c>
      <x:c r="U289" s="24">
        <x:f>MIN(MAX(0,$E289-$I289),$Q289)</x:f>
      </x:c>
      <x:c r="V289" s="24">
        <x:f>MAX(0,$Q289-$U289)-$T289</x:f>
      </x:c>
      <x:c r="W289" s="24">
        <x:f>MAX(0,MAX(0,($C289+$F289)-$M289)-$S289)-MIN(MAX(0,$D$3-(MAX(0,$F289-MAX(0,($M289+$S289)-$C289)))),MAX(0,MAX(0,($C289+$F289)-$M289)-$S289))</x:f>
      </x:c>
      <x:c r="X289" s="24">
        <x:f>IF(Inputs!$C$39=1,$W289,0)</x:f>
      </x:c>
      <x:c r="Y289" s="24">
        <x:f>IF(Inputs!$C$39=0,$W289,0)+MAX(0,MAX(0,($D289+$X289)-$N289)-$T289)</x:f>
      </x:c>
    </x:row>
    <x:row r="290">
      <x:c r="B290" s="22" t="n">
        <x:v>285</x:v>
      </x:c>
      <x:c r="C290" s="29">
        <x:f>IF($B290&lt;=Inputs!$C$6+Inputs!$C$11,Cashflow_Asset!$E288-Cashflow_Asset!$K288,0)</x:f>
      </x:c>
      <x:c r="D290" s="29">
        <x:f>IF($B290&lt;=Inputs!$C$6+Inputs!$C$11,Cashflow_Asset!$F288+Cashflow_Asset!$G288+Cashflow_Asset!$I288,0)</x:f>
      </x:c>
      <x:c r="E290" s="29">
        <x:f>IF($B290&lt;=Inputs!$C$6+Inputs!$C$11,Cashflow_Asset!$J288,0)</x:f>
      </x:c>
      <x:c r="F290" s="23">
        <x:f>$G289</x:f>
      </x:c>
      <x:c r="G290" s="24">
        <x:f>(MAX(0,$F290-MAX(0,($M290+$S290)-$C290)))+MIN(MAX(0,$D$3-(MAX(0,$F290-MAX(0,($M290+$S290)-$C290)))),MAX(0,MAX(0,($C290+$F290)-$M290)-$S290))</x:f>
      </x:c>
      <x:c r="H290" s="23">
        <x:f>$J289</x:f>
      </x:c>
      <x:c r="I290" s="24">
        <x:f>MIN($E290,$H290)</x:f>
      </x:c>
      <x:c r="J290" s="24">
        <x:f>$H290-$I290</x:f>
      </x:c>
      <x:c r="K290" s="23">
        <x:f>$P289</x:f>
      </x:c>
      <x:c r="L290" s="24">
        <x:f>$K290*Inputs!$C$18/12</x:f>
      </x:c>
      <x:c r="M290" s="24">
        <x:f>MIN(($C290+$F290),$L290)</x:f>
      </x:c>
      <x:c r="N290" s="24">
        <x:f>MIN(($D290+$X290),MAX(0,$K290-$O290))</x:f>
      </x:c>
      <x:c r="O290" s="24">
        <x:f>MIN(MAX(0,MAX(0,$E290-$I290)-$U290),$K290)</x:f>
      </x:c>
      <x:c r="P290" s="24">
        <x:f>MAX(0,$K290-$O290)-$N290</x:f>
      </x:c>
      <x:c r="Q290" s="23">
        <x:f>$V289</x:f>
      </x:c>
      <x:c r="R290" s="24">
        <x:f>$Q290*Inputs!$C$19/12</x:f>
      </x:c>
      <x:c r="S290" s="24">
        <x:f>MIN(MAX(0,($C290+$F290)-$M290),$R290)</x:f>
      </x:c>
      <x:c r="T290" s="24">
        <x:f>MIN(MAX(0,($D290+$X290)-$N290),MAX(0,$Q290-$U290))</x:f>
      </x:c>
      <x:c r="U290" s="24">
        <x:f>MIN(MAX(0,$E290-$I290),$Q290)</x:f>
      </x:c>
      <x:c r="V290" s="24">
        <x:f>MAX(0,$Q290-$U290)-$T290</x:f>
      </x:c>
      <x:c r="W290" s="24">
        <x:f>MAX(0,MAX(0,($C290+$F290)-$M290)-$S290)-MIN(MAX(0,$D$3-(MAX(0,$F290-MAX(0,($M290+$S290)-$C290)))),MAX(0,MAX(0,($C290+$F290)-$M290)-$S290))</x:f>
      </x:c>
      <x:c r="X290" s="24">
        <x:f>IF(Inputs!$C$39=1,$W290,0)</x:f>
      </x:c>
      <x:c r="Y290" s="24">
        <x:f>IF(Inputs!$C$39=0,$W290,0)+MAX(0,MAX(0,($D290+$X290)-$N290)-$T290)</x:f>
      </x:c>
    </x:row>
    <x:row r="291">
      <x:c r="B291" s="22" t="n">
        <x:v>286</x:v>
      </x:c>
      <x:c r="C291" s="29">
        <x:f>IF($B291&lt;=Inputs!$C$6+Inputs!$C$11,Cashflow_Asset!$E289-Cashflow_Asset!$K289,0)</x:f>
      </x:c>
      <x:c r="D291" s="29">
        <x:f>IF($B291&lt;=Inputs!$C$6+Inputs!$C$11,Cashflow_Asset!$F289+Cashflow_Asset!$G289+Cashflow_Asset!$I289,0)</x:f>
      </x:c>
      <x:c r="E291" s="29">
        <x:f>IF($B291&lt;=Inputs!$C$6+Inputs!$C$11,Cashflow_Asset!$J289,0)</x:f>
      </x:c>
      <x:c r="F291" s="23">
        <x:f>$G290</x:f>
      </x:c>
      <x:c r="G291" s="24">
        <x:f>(MAX(0,$F291-MAX(0,($M291+$S291)-$C291)))+MIN(MAX(0,$D$3-(MAX(0,$F291-MAX(0,($M291+$S291)-$C291)))),MAX(0,MAX(0,($C291+$F291)-$M291)-$S291))</x:f>
      </x:c>
      <x:c r="H291" s="23">
        <x:f>$J290</x:f>
      </x:c>
      <x:c r="I291" s="24">
        <x:f>MIN($E291,$H291)</x:f>
      </x:c>
      <x:c r="J291" s="24">
        <x:f>$H291-$I291</x:f>
      </x:c>
      <x:c r="K291" s="23">
        <x:f>$P290</x:f>
      </x:c>
      <x:c r="L291" s="24">
        <x:f>$K291*Inputs!$C$18/12</x:f>
      </x:c>
      <x:c r="M291" s="24">
        <x:f>MIN(($C291+$F291),$L291)</x:f>
      </x:c>
      <x:c r="N291" s="24">
        <x:f>MIN(($D291+$X291),MAX(0,$K291-$O291))</x:f>
      </x:c>
      <x:c r="O291" s="24">
        <x:f>MIN(MAX(0,MAX(0,$E291-$I291)-$U291),$K291)</x:f>
      </x:c>
      <x:c r="P291" s="24">
        <x:f>MAX(0,$K291-$O291)-$N291</x:f>
      </x:c>
      <x:c r="Q291" s="23">
        <x:f>$V290</x:f>
      </x:c>
      <x:c r="R291" s="24">
        <x:f>$Q291*Inputs!$C$19/12</x:f>
      </x:c>
      <x:c r="S291" s="24">
        <x:f>MIN(MAX(0,($C291+$F291)-$M291),$R291)</x:f>
      </x:c>
      <x:c r="T291" s="24">
        <x:f>MIN(MAX(0,($D291+$X291)-$N291),MAX(0,$Q291-$U291))</x:f>
      </x:c>
      <x:c r="U291" s="24">
        <x:f>MIN(MAX(0,$E291-$I291),$Q291)</x:f>
      </x:c>
      <x:c r="V291" s="24">
        <x:f>MAX(0,$Q291-$U291)-$T291</x:f>
      </x:c>
      <x:c r="W291" s="24">
        <x:f>MAX(0,MAX(0,($C291+$F291)-$M291)-$S291)-MIN(MAX(0,$D$3-(MAX(0,$F291-MAX(0,($M291+$S291)-$C291)))),MAX(0,MAX(0,($C291+$F291)-$M291)-$S291))</x:f>
      </x:c>
      <x:c r="X291" s="24">
        <x:f>IF(Inputs!$C$39=1,$W291,0)</x:f>
      </x:c>
      <x:c r="Y291" s="24">
        <x:f>IF(Inputs!$C$39=0,$W291,0)+MAX(0,MAX(0,($D291+$X291)-$N291)-$T291)</x:f>
      </x:c>
    </x:row>
    <x:row r="292">
      <x:c r="B292" s="22" t="n">
        <x:v>287</x:v>
      </x:c>
      <x:c r="C292" s="29">
        <x:f>IF($B292&lt;=Inputs!$C$6+Inputs!$C$11,Cashflow_Asset!$E290-Cashflow_Asset!$K290,0)</x:f>
      </x:c>
      <x:c r="D292" s="29">
        <x:f>IF($B292&lt;=Inputs!$C$6+Inputs!$C$11,Cashflow_Asset!$F290+Cashflow_Asset!$G290+Cashflow_Asset!$I290,0)</x:f>
      </x:c>
      <x:c r="E292" s="29">
        <x:f>IF($B292&lt;=Inputs!$C$6+Inputs!$C$11,Cashflow_Asset!$J290,0)</x:f>
      </x:c>
      <x:c r="F292" s="23">
        <x:f>$G291</x:f>
      </x:c>
      <x:c r="G292" s="24">
        <x:f>(MAX(0,$F292-MAX(0,($M292+$S292)-$C292)))+MIN(MAX(0,$D$3-(MAX(0,$F292-MAX(0,($M292+$S292)-$C292)))),MAX(0,MAX(0,($C292+$F292)-$M292)-$S292))</x:f>
      </x:c>
      <x:c r="H292" s="23">
        <x:f>$J291</x:f>
      </x:c>
      <x:c r="I292" s="24">
        <x:f>MIN($E292,$H292)</x:f>
      </x:c>
      <x:c r="J292" s="24">
        <x:f>$H292-$I292</x:f>
      </x:c>
      <x:c r="K292" s="23">
        <x:f>$P291</x:f>
      </x:c>
      <x:c r="L292" s="24">
        <x:f>$K292*Inputs!$C$18/12</x:f>
      </x:c>
      <x:c r="M292" s="24">
        <x:f>MIN(($C292+$F292),$L292)</x:f>
      </x:c>
      <x:c r="N292" s="24">
        <x:f>MIN(($D292+$X292),MAX(0,$K292-$O292))</x:f>
      </x:c>
      <x:c r="O292" s="24">
        <x:f>MIN(MAX(0,MAX(0,$E292-$I292)-$U292),$K292)</x:f>
      </x:c>
      <x:c r="P292" s="24">
        <x:f>MAX(0,$K292-$O292)-$N292</x:f>
      </x:c>
      <x:c r="Q292" s="23">
        <x:f>$V291</x:f>
      </x:c>
      <x:c r="R292" s="24">
        <x:f>$Q292*Inputs!$C$19/12</x:f>
      </x:c>
      <x:c r="S292" s="24">
        <x:f>MIN(MAX(0,($C292+$F292)-$M292),$R292)</x:f>
      </x:c>
      <x:c r="T292" s="24">
        <x:f>MIN(MAX(0,($D292+$X292)-$N292),MAX(0,$Q292-$U292))</x:f>
      </x:c>
      <x:c r="U292" s="24">
        <x:f>MIN(MAX(0,$E292-$I292),$Q292)</x:f>
      </x:c>
      <x:c r="V292" s="24">
        <x:f>MAX(0,$Q292-$U292)-$T292</x:f>
      </x:c>
      <x:c r="W292" s="24">
        <x:f>MAX(0,MAX(0,($C292+$F292)-$M292)-$S292)-MIN(MAX(0,$D$3-(MAX(0,$F292-MAX(0,($M292+$S292)-$C292)))),MAX(0,MAX(0,($C292+$F292)-$M292)-$S292))</x:f>
      </x:c>
      <x:c r="X292" s="24">
        <x:f>IF(Inputs!$C$39=1,$W292,0)</x:f>
      </x:c>
      <x:c r="Y292" s="24">
        <x:f>IF(Inputs!$C$39=0,$W292,0)+MAX(0,MAX(0,($D292+$X292)-$N292)-$T292)</x:f>
      </x:c>
    </x:row>
    <x:row r="293">
      <x:c r="B293" s="22" t="n">
        <x:v>288</x:v>
      </x:c>
      <x:c r="C293" s="29">
        <x:f>IF($B293&lt;=Inputs!$C$6+Inputs!$C$11,Cashflow_Asset!$E291-Cashflow_Asset!$K291,0)</x:f>
      </x:c>
      <x:c r="D293" s="29">
        <x:f>IF($B293&lt;=Inputs!$C$6+Inputs!$C$11,Cashflow_Asset!$F291+Cashflow_Asset!$G291+Cashflow_Asset!$I291,0)</x:f>
      </x:c>
      <x:c r="E293" s="29">
        <x:f>IF($B293&lt;=Inputs!$C$6+Inputs!$C$11,Cashflow_Asset!$J291,0)</x:f>
      </x:c>
      <x:c r="F293" s="23">
        <x:f>$G292</x:f>
      </x:c>
      <x:c r="G293" s="24">
        <x:f>(MAX(0,$F293-MAX(0,($M293+$S293)-$C293)))+MIN(MAX(0,$D$3-(MAX(0,$F293-MAX(0,($M293+$S293)-$C293)))),MAX(0,MAX(0,($C293+$F293)-$M293)-$S293))</x:f>
      </x:c>
      <x:c r="H293" s="23">
        <x:f>$J292</x:f>
      </x:c>
      <x:c r="I293" s="24">
        <x:f>MIN($E293,$H293)</x:f>
      </x:c>
      <x:c r="J293" s="24">
        <x:f>$H293-$I293</x:f>
      </x:c>
      <x:c r="K293" s="23">
        <x:f>$P292</x:f>
      </x:c>
      <x:c r="L293" s="24">
        <x:f>$K293*Inputs!$C$18/12</x:f>
      </x:c>
      <x:c r="M293" s="24">
        <x:f>MIN(($C293+$F293),$L293)</x:f>
      </x:c>
      <x:c r="N293" s="24">
        <x:f>MIN(($D293+$X293),MAX(0,$K293-$O293))</x:f>
      </x:c>
      <x:c r="O293" s="24">
        <x:f>MIN(MAX(0,MAX(0,$E293-$I293)-$U293),$K293)</x:f>
      </x:c>
      <x:c r="P293" s="24">
        <x:f>MAX(0,$K293-$O293)-$N293</x:f>
      </x:c>
      <x:c r="Q293" s="23">
        <x:f>$V292</x:f>
      </x:c>
      <x:c r="R293" s="24">
        <x:f>$Q293*Inputs!$C$19/12</x:f>
      </x:c>
      <x:c r="S293" s="24">
        <x:f>MIN(MAX(0,($C293+$F293)-$M293),$R293)</x:f>
      </x:c>
      <x:c r="T293" s="24">
        <x:f>MIN(MAX(0,($D293+$X293)-$N293),MAX(0,$Q293-$U293))</x:f>
      </x:c>
      <x:c r="U293" s="24">
        <x:f>MIN(MAX(0,$E293-$I293),$Q293)</x:f>
      </x:c>
      <x:c r="V293" s="24">
        <x:f>MAX(0,$Q293-$U293)-$T293</x:f>
      </x:c>
      <x:c r="W293" s="24">
        <x:f>MAX(0,MAX(0,($C293+$F293)-$M293)-$S293)-MIN(MAX(0,$D$3-(MAX(0,$F293-MAX(0,($M293+$S293)-$C293)))),MAX(0,MAX(0,($C293+$F293)-$M293)-$S293))</x:f>
      </x:c>
      <x:c r="X293" s="24">
        <x:f>IF(Inputs!$C$39=1,$W293,0)</x:f>
      </x:c>
      <x:c r="Y293" s="24">
        <x:f>IF(Inputs!$C$39=0,$W293,0)+MAX(0,MAX(0,($D293+$X293)-$N293)-$T293)</x:f>
      </x:c>
    </x:row>
    <x:row r="294">
      <x:c r="B294" s="22" t="n">
        <x:v>289</x:v>
      </x:c>
      <x:c r="C294" s="29">
        <x:f>IF($B294&lt;=Inputs!$C$6+Inputs!$C$11,Cashflow_Asset!$E292-Cashflow_Asset!$K292,0)</x:f>
      </x:c>
      <x:c r="D294" s="29">
        <x:f>IF($B294&lt;=Inputs!$C$6+Inputs!$C$11,Cashflow_Asset!$F292+Cashflow_Asset!$G292+Cashflow_Asset!$I292,0)</x:f>
      </x:c>
      <x:c r="E294" s="29">
        <x:f>IF($B294&lt;=Inputs!$C$6+Inputs!$C$11,Cashflow_Asset!$J292,0)</x:f>
      </x:c>
      <x:c r="F294" s="23">
        <x:f>$G293</x:f>
      </x:c>
      <x:c r="G294" s="24">
        <x:f>(MAX(0,$F294-MAX(0,($M294+$S294)-$C294)))+MIN(MAX(0,$D$3-(MAX(0,$F294-MAX(0,($M294+$S294)-$C294)))),MAX(0,MAX(0,($C294+$F294)-$M294)-$S294))</x:f>
      </x:c>
      <x:c r="H294" s="23">
        <x:f>$J293</x:f>
      </x:c>
      <x:c r="I294" s="24">
        <x:f>MIN($E294,$H294)</x:f>
      </x:c>
      <x:c r="J294" s="24">
        <x:f>$H294-$I294</x:f>
      </x:c>
      <x:c r="K294" s="23">
        <x:f>$P293</x:f>
      </x:c>
      <x:c r="L294" s="24">
        <x:f>$K294*Inputs!$C$18/12</x:f>
      </x:c>
      <x:c r="M294" s="24">
        <x:f>MIN(($C294+$F294),$L294)</x:f>
      </x:c>
      <x:c r="N294" s="24">
        <x:f>MIN(($D294+$X294),MAX(0,$K294-$O294))</x:f>
      </x:c>
      <x:c r="O294" s="24">
        <x:f>MIN(MAX(0,MAX(0,$E294-$I294)-$U294),$K294)</x:f>
      </x:c>
      <x:c r="P294" s="24">
        <x:f>MAX(0,$K294-$O294)-$N294</x:f>
      </x:c>
      <x:c r="Q294" s="23">
        <x:f>$V293</x:f>
      </x:c>
      <x:c r="R294" s="24">
        <x:f>$Q294*Inputs!$C$19/12</x:f>
      </x:c>
      <x:c r="S294" s="24">
        <x:f>MIN(MAX(0,($C294+$F294)-$M294),$R294)</x:f>
      </x:c>
      <x:c r="T294" s="24">
        <x:f>MIN(MAX(0,($D294+$X294)-$N294),MAX(0,$Q294-$U294))</x:f>
      </x:c>
      <x:c r="U294" s="24">
        <x:f>MIN(MAX(0,$E294-$I294),$Q294)</x:f>
      </x:c>
      <x:c r="V294" s="24">
        <x:f>MAX(0,$Q294-$U294)-$T294</x:f>
      </x:c>
      <x:c r="W294" s="24">
        <x:f>MAX(0,MAX(0,($C294+$F294)-$M294)-$S294)-MIN(MAX(0,$D$3-(MAX(0,$F294-MAX(0,($M294+$S294)-$C294)))),MAX(0,MAX(0,($C294+$F294)-$M294)-$S294))</x:f>
      </x:c>
      <x:c r="X294" s="24">
        <x:f>IF(Inputs!$C$39=1,$W294,0)</x:f>
      </x:c>
      <x:c r="Y294" s="24">
        <x:f>IF(Inputs!$C$39=0,$W294,0)+MAX(0,MAX(0,($D294+$X294)-$N294)-$T294)</x:f>
      </x:c>
    </x:row>
    <x:row r="295">
      <x:c r="B295" s="22" t="n">
        <x:v>290</x:v>
      </x:c>
      <x:c r="C295" s="29">
        <x:f>IF($B295&lt;=Inputs!$C$6+Inputs!$C$11,Cashflow_Asset!$E293-Cashflow_Asset!$K293,0)</x:f>
      </x:c>
      <x:c r="D295" s="29">
        <x:f>IF($B295&lt;=Inputs!$C$6+Inputs!$C$11,Cashflow_Asset!$F293+Cashflow_Asset!$G293+Cashflow_Asset!$I293,0)</x:f>
      </x:c>
      <x:c r="E295" s="29">
        <x:f>IF($B295&lt;=Inputs!$C$6+Inputs!$C$11,Cashflow_Asset!$J293,0)</x:f>
      </x:c>
      <x:c r="F295" s="23">
        <x:f>$G294</x:f>
      </x:c>
      <x:c r="G295" s="24">
        <x:f>(MAX(0,$F295-MAX(0,($M295+$S295)-$C295)))+MIN(MAX(0,$D$3-(MAX(0,$F295-MAX(0,($M295+$S295)-$C295)))),MAX(0,MAX(0,($C295+$F295)-$M295)-$S295))</x:f>
      </x:c>
      <x:c r="H295" s="23">
        <x:f>$J294</x:f>
      </x:c>
      <x:c r="I295" s="24">
        <x:f>MIN($E295,$H295)</x:f>
      </x:c>
      <x:c r="J295" s="24">
        <x:f>$H295-$I295</x:f>
      </x:c>
      <x:c r="K295" s="23">
        <x:f>$P294</x:f>
      </x:c>
      <x:c r="L295" s="24">
        <x:f>$K295*Inputs!$C$18/12</x:f>
      </x:c>
      <x:c r="M295" s="24">
        <x:f>MIN(($C295+$F295),$L295)</x:f>
      </x:c>
      <x:c r="N295" s="24">
        <x:f>MIN(($D295+$X295),MAX(0,$K295-$O295))</x:f>
      </x:c>
      <x:c r="O295" s="24">
        <x:f>MIN(MAX(0,MAX(0,$E295-$I295)-$U295),$K295)</x:f>
      </x:c>
      <x:c r="P295" s="24">
        <x:f>MAX(0,$K295-$O295)-$N295</x:f>
      </x:c>
      <x:c r="Q295" s="23">
        <x:f>$V294</x:f>
      </x:c>
      <x:c r="R295" s="24">
        <x:f>$Q295*Inputs!$C$19/12</x:f>
      </x:c>
      <x:c r="S295" s="24">
        <x:f>MIN(MAX(0,($C295+$F295)-$M295),$R295)</x:f>
      </x:c>
      <x:c r="T295" s="24">
        <x:f>MIN(MAX(0,($D295+$X295)-$N295),MAX(0,$Q295-$U295))</x:f>
      </x:c>
      <x:c r="U295" s="24">
        <x:f>MIN(MAX(0,$E295-$I295),$Q295)</x:f>
      </x:c>
      <x:c r="V295" s="24">
        <x:f>MAX(0,$Q295-$U295)-$T295</x:f>
      </x:c>
      <x:c r="W295" s="24">
        <x:f>MAX(0,MAX(0,($C295+$F295)-$M295)-$S295)-MIN(MAX(0,$D$3-(MAX(0,$F295-MAX(0,($M295+$S295)-$C295)))),MAX(0,MAX(0,($C295+$F295)-$M295)-$S295))</x:f>
      </x:c>
      <x:c r="X295" s="24">
        <x:f>IF(Inputs!$C$39=1,$W295,0)</x:f>
      </x:c>
      <x:c r="Y295" s="24">
        <x:f>IF(Inputs!$C$39=0,$W295,0)+MAX(0,MAX(0,($D295+$X295)-$N295)-$T295)</x:f>
      </x:c>
    </x:row>
    <x:row r="296">
      <x:c r="B296" s="22" t="n">
        <x:v>291</x:v>
      </x:c>
      <x:c r="C296" s="29">
        <x:f>IF($B296&lt;=Inputs!$C$6+Inputs!$C$11,Cashflow_Asset!$E294-Cashflow_Asset!$K294,0)</x:f>
      </x:c>
      <x:c r="D296" s="29">
        <x:f>IF($B296&lt;=Inputs!$C$6+Inputs!$C$11,Cashflow_Asset!$F294+Cashflow_Asset!$G294+Cashflow_Asset!$I294,0)</x:f>
      </x:c>
      <x:c r="E296" s="29">
        <x:f>IF($B296&lt;=Inputs!$C$6+Inputs!$C$11,Cashflow_Asset!$J294,0)</x:f>
      </x:c>
      <x:c r="F296" s="23">
        <x:f>$G295</x:f>
      </x:c>
      <x:c r="G296" s="24">
        <x:f>(MAX(0,$F296-MAX(0,($M296+$S296)-$C296)))+MIN(MAX(0,$D$3-(MAX(0,$F296-MAX(0,($M296+$S296)-$C296)))),MAX(0,MAX(0,($C296+$F296)-$M296)-$S296))</x:f>
      </x:c>
      <x:c r="H296" s="23">
        <x:f>$J295</x:f>
      </x:c>
      <x:c r="I296" s="24">
        <x:f>MIN($E296,$H296)</x:f>
      </x:c>
      <x:c r="J296" s="24">
        <x:f>$H296-$I296</x:f>
      </x:c>
      <x:c r="K296" s="23">
        <x:f>$P295</x:f>
      </x:c>
      <x:c r="L296" s="24">
        <x:f>$K296*Inputs!$C$18/12</x:f>
      </x:c>
      <x:c r="M296" s="24">
        <x:f>MIN(($C296+$F296),$L296)</x:f>
      </x:c>
      <x:c r="N296" s="24">
        <x:f>MIN(($D296+$X296),MAX(0,$K296-$O296))</x:f>
      </x:c>
      <x:c r="O296" s="24">
        <x:f>MIN(MAX(0,MAX(0,$E296-$I296)-$U296),$K296)</x:f>
      </x:c>
      <x:c r="P296" s="24">
        <x:f>MAX(0,$K296-$O296)-$N296</x:f>
      </x:c>
      <x:c r="Q296" s="23">
        <x:f>$V295</x:f>
      </x:c>
      <x:c r="R296" s="24">
        <x:f>$Q296*Inputs!$C$19/12</x:f>
      </x:c>
      <x:c r="S296" s="24">
        <x:f>MIN(MAX(0,($C296+$F296)-$M296),$R296)</x:f>
      </x:c>
      <x:c r="T296" s="24">
        <x:f>MIN(MAX(0,($D296+$X296)-$N296),MAX(0,$Q296-$U296))</x:f>
      </x:c>
      <x:c r="U296" s="24">
        <x:f>MIN(MAX(0,$E296-$I296),$Q296)</x:f>
      </x:c>
      <x:c r="V296" s="24">
        <x:f>MAX(0,$Q296-$U296)-$T296</x:f>
      </x:c>
      <x:c r="W296" s="24">
        <x:f>MAX(0,MAX(0,($C296+$F296)-$M296)-$S296)-MIN(MAX(0,$D$3-(MAX(0,$F296-MAX(0,($M296+$S296)-$C296)))),MAX(0,MAX(0,($C296+$F296)-$M296)-$S296))</x:f>
      </x:c>
      <x:c r="X296" s="24">
        <x:f>IF(Inputs!$C$39=1,$W296,0)</x:f>
      </x:c>
      <x:c r="Y296" s="24">
        <x:f>IF(Inputs!$C$39=0,$W296,0)+MAX(0,MAX(0,($D296+$X296)-$N296)-$T296)</x:f>
      </x:c>
    </x:row>
    <x:row r="297">
      <x:c r="B297" s="22" t="n">
        <x:v>292</x:v>
      </x:c>
      <x:c r="C297" s="29">
        <x:f>IF($B297&lt;=Inputs!$C$6+Inputs!$C$11,Cashflow_Asset!$E295-Cashflow_Asset!$K295,0)</x:f>
      </x:c>
      <x:c r="D297" s="29">
        <x:f>IF($B297&lt;=Inputs!$C$6+Inputs!$C$11,Cashflow_Asset!$F295+Cashflow_Asset!$G295+Cashflow_Asset!$I295,0)</x:f>
      </x:c>
      <x:c r="E297" s="29">
        <x:f>IF($B297&lt;=Inputs!$C$6+Inputs!$C$11,Cashflow_Asset!$J295,0)</x:f>
      </x:c>
      <x:c r="F297" s="23">
        <x:f>$G296</x:f>
      </x:c>
      <x:c r="G297" s="24">
        <x:f>(MAX(0,$F297-MAX(0,($M297+$S297)-$C297)))+MIN(MAX(0,$D$3-(MAX(0,$F297-MAX(0,($M297+$S297)-$C297)))),MAX(0,MAX(0,($C297+$F297)-$M297)-$S297))</x:f>
      </x:c>
      <x:c r="H297" s="23">
        <x:f>$J296</x:f>
      </x:c>
      <x:c r="I297" s="24">
        <x:f>MIN($E297,$H297)</x:f>
      </x:c>
      <x:c r="J297" s="24">
        <x:f>$H297-$I297</x:f>
      </x:c>
      <x:c r="K297" s="23">
        <x:f>$P296</x:f>
      </x:c>
      <x:c r="L297" s="24">
        <x:f>$K297*Inputs!$C$18/12</x:f>
      </x:c>
      <x:c r="M297" s="24">
        <x:f>MIN(($C297+$F297),$L297)</x:f>
      </x:c>
      <x:c r="N297" s="24">
        <x:f>MIN(($D297+$X297),MAX(0,$K297-$O297))</x:f>
      </x:c>
      <x:c r="O297" s="24">
        <x:f>MIN(MAX(0,MAX(0,$E297-$I297)-$U297),$K297)</x:f>
      </x:c>
      <x:c r="P297" s="24">
        <x:f>MAX(0,$K297-$O297)-$N297</x:f>
      </x:c>
      <x:c r="Q297" s="23">
        <x:f>$V296</x:f>
      </x:c>
      <x:c r="R297" s="24">
        <x:f>$Q297*Inputs!$C$19/12</x:f>
      </x:c>
      <x:c r="S297" s="24">
        <x:f>MIN(MAX(0,($C297+$F297)-$M297),$R297)</x:f>
      </x:c>
      <x:c r="T297" s="24">
        <x:f>MIN(MAX(0,($D297+$X297)-$N297),MAX(0,$Q297-$U297))</x:f>
      </x:c>
      <x:c r="U297" s="24">
        <x:f>MIN(MAX(0,$E297-$I297),$Q297)</x:f>
      </x:c>
      <x:c r="V297" s="24">
        <x:f>MAX(0,$Q297-$U297)-$T297</x:f>
      </x:c>
      <x:c r="W297" s="24">
        <x:f>MAX(0,MAX(0,($C297+$F297)-$M297)-$S297)-MIN(MAX(0,$D$3-(MAX(0,$F297-MAX(0,($M297+$S297)-$C297)))),MAX(0,MAX(0,($C297+$F297)-$M297)-$S297))</x:f>
      </x:c>
      <x:c r="X297" s="24">
        <x:f>IF(Inputs!$C$39=1,$W297,0)</x:f>
      </x:c>
      <x:c r="Y297" s="24">
        <x:f>IF(Inputs!$C$39=0,$W297,0)+MAX(0,MAX(0,($D297+$X297)-$N297)-$T297)</x:f>
      </x:c>
    </x:row>
    <x:row r="298">
      <x:c r="B298" s="22" t="n">
        <x:v>293</x:v>
      </x:c>
      <x:c r="C298" s="29">
        <x:f>IF($B298&lt;=Inputs!$C$6+Inputs!$C$11,Cashflow_Asset!$E296-Cashflow_Asset!$K296,0)</x:f>
      </x:c>
      <x:c r="D298" s="29">
        <x:f>IF($B298&lt;=Inputs!$C$6+Inputs!$C$11,Cashflow_Asset!$F296+Cashflow_Asset!$G296+Cashflow_Asset!$I296,0)</x:f>
      </x:c>
      <x:c r="E298" s="29">
        <x:f>IF($B298&lt;=Inputs!$C$6+Inputs!$C$11,Cashflow_Asset!$J296,0)</x:f>
      </x:c>
      <x:c r="F298" s="23">
        <x:f>$G297</x:f>
      </x:c>
      <x:c r="G298" s="24">
        <x:f>(MAX(0,$F298-MAX(0,($M298+$S298)-$C298)))+MIN(MAX(0,$D$3-(MAX(0,$F298-MAX(0,($M298+$S298)-$C298)))),MAX(0,MAX(0,($C298+$F298)-$M298)-$S298))</x:f>
      </x:c>
      <x:c r="H298" s="23">
        <x:f>$J297</x:f>
      </x:c>
      <x:c r="I298" s="24">
        <x:f>MIN($E298,$H298)</x:f>
      </x:c>
      <x:c r="J298" s="24">
        <x:f>$H298-$I298</x:f>
      </x:c>
      <x:c r="K298" s="23">
        <x:f>$P297</x:f>
      </x:c>
      <x:c r="L298" s="24">
        <x:f>$K298*Inputs!$C$18/12</x:f>
      </x:c>
      <x:c r="M298" s="24">
        <x:f>MIN(($C298+$F298),$L298)</x:f>
      </x:c>
      <x:c r="N298" s="24">
        <x:f>MIN(($D298+$X298),MAX(0,$K298-$O298))</x:f>
      </x:c>
      <x:c r="O298" s="24">
        <x:f>MIN(MAX(0,MAX(0,$E298-$I298)-$U298),$K298)</x:f>
      </x:c>
      <x:c r="P298" s="24">
        <x:f>MAX(0,$K298-$O298)-$N298</x:f>
      </x:c>
      <x:c r="Q298" s="23">
        <x:f>$V297</x:f>
      </x:c>
      <x:c r="R298" s="24">
        <x:f>$Q298*Inputs!$C$19/12</x:f>
      </x:c>
      <x:c r="S298" s="24">
        <x:f>MIN(MAX(0,($C298+$F298)-$M298),$R298)</x:f>
      </x:c>
      <x:c r="T298" s="24">
        <x:f>MIN(MAX(0,($D298+$X298)-$N298),MAX(0,$Q298-$U298))</x:f>
      </x:c>
      <x:c r="U298" s="24">
        <x:f>MIN(MAX(0,$E298-$I298),$Q298)</x:f>
      </x:c>
      <x:c r="V298" s="24">
        <x:f>MAX(0,$Q298-$U298)-$T298</x:f>
      </x:c>
      <x:c r="W298" s="24">
        <x:f>MAX(0,MAX(0,($C298+$F298)-$M298)-$S298)-MIN(MAX(0,$D$3-(MAX(0,$F298-MAX(0,($M298+$S298)-$C298)))),MAX(0,MAX(0,($C298+$F298)-$M298)-$S298))</x:f>
      </x:c>
      <x:c r="X298" s="24">
        <x:f>IF(Inputs!$C$39=1,$W298,0)</x:f>
      </x:c>
      <x:c r="Y298" s="24">
        <x:f>IF(Inputs!$C$39=0,$W298,0)+MAX(0,MAX(0,($D298+$X298)-$N298)-$T298)</x:f>
      </x:c>
    </x:row>
    <x:row r="299">
      <x:c r="B299" s="22" t="n">
        <x:v>294</x:v>
      </x:c>
      <x:c r="C299" s="29">
        <x:f>IF($B299&lt;=Inputs!$C$6+Inputs!$C$11,Cashflow_Asset!$E297-Cashflow_Asset!$K297,0)</x:f>
      </x:c>
      <x:c r="D299" s="29">
        <x:f>IF($B299&lt;=Inputs!$C$6+Inputs!$C$11,Cashflow_Asset!$F297+Cashflow_Asset!$G297+Cashflow_Asset!$I297,0)</x:f>
      </x:c>
      <x:c r="E299" s="29">
        <x:f>IF($B299&lt;=Inputs!$C$6+Inputs!$C$11,Cashflow_Asset!$J297,0)</x:f>
      </x:c>
      <x:c r="F299" s="23">
        <x:f>$G298</x:f>
      </x:c>
      <x:c r="G299" s="24">
        <x:f>(MAX(0,$F299-MAX(0,($M299+$S299)-$C299)))+MIN(MAX(0,$D$3-(MAX(0,$F299-MAX(0,($M299+$S299)-$C299)))),MAX(0,MAX(0,($C299+$F299)-$M299)-$S299))</x:f>
      </x:c>
      <x:c r="H299" s="23">
        <x:f>$J298</x:f>
      </x:c>
      <x:c r="I299" s="24">
        <x:f>MIN($E299,$H299)</x:f>
      </x:c>
      <x:c r="J299" s="24">
        <x:f>$H299-$I299</x:f>
      </x:c>
      <x:c r="K299" s="23">
        <x:f>$P298</x:f>
      </x:c>
      <x:c r="L299" s="24">
        <x:f>$K299*Inputs!$C$18/12</x:f>
      </x:c>
      <x:c r="M299" s="24">
        <x:f>MIN(($C299+$F299),$L299)</x:f>
      </x:c>
      <x:c r="N299" s="24">
        <x:f>MIN(($D299+$X299),MAX(0,$K299-$O299))</x:f>
      </x:c>
      <x:c r="O299" s="24">
        <x:f>MIN(MAX(0,MAX(0,$E299-$I299)-$U299),$K299)</x:f>
      </x:c>
      <x:c r="P299" s="24">
        <x:f>MAX(0,$K299-$O299)-$N299</x:f>
      </x:c>
      <x:c r="Q299" s="23">
        <x:f>$V298</x:f>
      </x:c>
      <x:c r="R299" s="24">
        <x:f>$Q299*Inputs!$C$19/12</x:f>
      </x:c>
      <x:c r="S299" s="24">
        <x:f>MIN(MAX(0,($C299+$F299)-$M299),$R299)</x:f>
      </x:c>
      <x:c r="T299" s="24">
        <x:f>MIN(MAX(0,($D299+$X299)-$N299),MAX(0,$Q299-$U299))</x:f>
      </x:c>
      <x:c r="U299" s="24">
        <x:f>MIN(MAX(0,$E299-$I299),$Q299)</x:f>
      </x:c>
      <x:c r="V299" s="24">
        <x:f>MAX(0,$Q299-$U299)-$T299</x:f>
      </x:c>
      <x:c r="W299" s="24">
        <x:f>MAX(0,MAX(0,($C299+$F299)-$M299)-$S299)-MIN(MAX(0,$D$3-(MAX(0,$F299-MAX(0,($M299+$S299)-$C299)))),MAX(0,MAX(0,($C299+$F299)-$M299)-$S299))</x:f>
      </x:c>
      <x:c r="X299" s="24">
        <x:f>IF(Inputs!$C$39=1,$W299,0)</x:f>
      </x:c>
      <x:c r="Y299" s="24">
        <x:f>IF(Inputs!$C$39=0,$W299,0)+MAX(0,MAX(0,($D299+$X299)-$N299)-$T299)</x:f>
      </x:c>
    </x:row>
    <x:row r="300">
      <x:c r="B300" s="22" t="n">
        <x:v>295</x:v>
      </x:c>
      <x:c r="C300" s="29">
        <x:f>IF($B300&lt;=Inputs!$C$6+Inputs!$C$11,Cashflow_Asset!$E298-Cashflow_Asset!$K298,0)</x:f>
      </x:c>
      <x:c r="D300" s="29">
        <x:f>IF($B300&lt;=Inputs!$C$6+Inputs!$C$11,Cashflow_Asset!$F298+Cashflow_Asset!$G298+Cashflow_Asset!$I298,0)</x:f>
      </x:c>
      <x:c r="E300" s="29">
        <x:f>IF($B300&lt;=Inputs!$C$6+Inputs!$C$11,Cashflow_Asset!$J298,0)</x:f>
      </x:c>
      <x:c r="F300" s="23">
        <x:f>$G299</x:f>
      </x:c>
      <x:c r="G300" s="24">
        <x:f>(MAX(0,$F300-MAX(0,($M300+$S300)-$C300)))+MIN(MAX(0,$D$3-(MAX(0,$F300-MAX(0,($M300+$S300)-$C300)))),MAX(0,MAX(0,($C300+$F300)-$M300)-$S300))</x:f>
      </x:c>
      <x:c r="H300" s="23">
        <x:f>$J299</x:f>
      </x:c>
      <x:c r="I300" s="24">
        <x:f>MIN($E300,$H300)</x:f>
      </x:c>
      <x:c r="J300" s="24">
        <x:f>$H300-$I300</x:f>
      </x:c>
      <x:c r="K300" s="23">
        <x:f>$P299</x:f>
      </x:c>
      <x:c r="L300" s="24">
        <x:f>$K300*Inputs!$C$18/12</x:f>
      </x:c>
      <x:c r="M300" s="24">
        <x:f>MIN(($C300+$F300),$L300)</x:f>
      </x:c>
      <x:c r="N300" s="24">
        <x:f>MIN(($D300+$X300),MAX(0,$K300-$O300))</x:f>
      </x:c>
      <x:c r="O300" s="24">
        <x:f>MIN(MAX(0,MAX(0,$E300-$I300)-$U300),$K300)</x:f>
      </x:c>
      <x:c r="P300" s="24">
        <x:f>MAX(0,$K300-$O300)-$N300</x:f>
      </x:c>
      <x:c r="Q300" s="23">
        <x:f>$V299</x:f>
      </x:c>
      <x:c r="R300" s="24">
        <x:f>$Q300*Inputs!$C$19/12</x:f>
      </x:c>
      <x:c r="S300" s="24">
        <x:f>MIN(MAX(0,($C300+$F300)-$M300),$R300)</x:f>
      </x:c>
      <x:c r="T300" s="24">
        <x:f>MIN(MAX(0,($D300+$X300)-$N300),MAX(0,$Q300-$U300))</x:f>
      </x:c>
      <x:c r="U300" s="24">
        <x:f>MIN(MAX(0,$E300-$I300),$Q300)</x:f>
      </x:c>
      <x:c r="V300" s="24">
        <x:f>MAX(0,$Q300-$U300)-$T300</x:f>
      </x:c>
      <x:c r="W300" s="24">
        <x:f>MAX(0,MAX(0,($C300+$F300)-$M300)-$S300)-MIN(MAX(0,$D$3-(MAX(0,$F300-MAX(0,($M300+$S300)-$C300)))),MAX(0,MAX(0,($C300+$F300)-$M300)-$S300))</x:f>
      </x:c>
      <x:c r="X300" s="24">
        <x:f>IF(Inputs!$C$39=1,$W300,0)</x:f>
      </x:c>
      <x:c r="Y300" s="24">
        <x:f>IF(Inputs!$C$39=0,$W300,0)+MAX(0,MAX(0,($D300+$X300)-$N300)-$T300)</x:f>
      </x:c>
    </x:row>
    <x:row r="301">
      <x:c r="B301" s="22" t="n">
        <x:v>296</x:v>
      </x:c>
      <x:c r="C301" s="29">
        <x:f>IF($B301&lt;=Inputs!$C$6+Inputs!$C$11,Cashflow_Asset!$E299-Cashflow_Asset!$K299,0)</x:f>
      </x:c>
      <x:c r="D301" s="29">
        <x:f>IF($B301&lt;=Inputs!$C$6+Inputs!$C$11,Cashflow_Asset!$F299+Cashflow_Asset!$G299+Cashflow_Asset!$I299,0)</x:f>
      </x:c>
      <x:c r="E301" s="29">
        <x:f>IF($B301&lt;=Inputs!$C$6+Inputs!$C$11,Cashflow_Asset!$J299,0)</x:f>
      </x:c>
      <x:c r="F301" s="23">
        <x:f>$G300</x:f>
      </x:c>
      <x:c r="G301" s="24">
        <x:f>(MAX(0,$F301-MAX(0,($M301+$S301)-$C301)))+MIN(MAX(0,$D$3-(MAX(0,$F301-MAX(0,($M301+$S301)-$C301)))),MAX(0,MAX(0,($C301+$F301)-$M301)-$S301))</x:f>
      </x:c>
      <x:c r="H301" s="23">
        <x:f>$J300</x:f>
      </x:c>
      <x:c r="I301" s="24">
        <x:f>MIN($E301,$H301)</x:f>
      </x:c>
      <x:c r="J301" s="24">
        <x:f>$H301-$I301</x:f>
      </x:c>
      <x:c r="K301" s="23">
        <x:f>$P300</x:f>
      </x:c>
      <x:c r="L301" s="24">
        <x:f>$K301*Inputs!$C$18/12</x:f>
      </x:c>
      <x:c r="M301" s="24">
        <x:f>MIN(($C301+$F301),$L301)</x:f>
      </x:c>
      <x:c r="N301" s="24">
        <x:f>MIN(($D301+$X301),MAX(0,$K301-$O301))</x:f>
      </x:c>
      <x:c r="O301" s="24">
        <x:f>MIN(MAX(0,MAX(0,$E301-$I301)-$U301),$K301)</x:f>
      </x:c>
      <x:c r="P301" s="24">
        <x:f>MAX(0,$K301-$O301)-$N301</x:f>
      </x:c>
      <x:c r="Q301" s="23">
        <x:f>$V300</x:f>
      </x:c>
      <x:c r="R301" s="24">
        <x:f>$Q301*Inputs!$C$19/12</x:f>
      </x:c>
      <x:c r="S301" s="24">
        <x:f>MIN(MAX(0,($C301+$F301)-$M301),$R301)</x:f>
      </x:c>
      <x:c r="T301" s="24">
        <x:f>MIN(MAX(0,($D301+$X301)-$N301),MAX(0,$Q301-$U301))</x:f>
      </x:c>
      <x:c r="U301" s="24">
        <x:f>MIN(MAX(0,$E301-$I301),$Q301)</x:f>
      </x:c>
      <x:c r="V301" s="24">
        <x:f>MAX(0,$Q301-$U301)-$T301</x:f>
      </x:c>
      <x:c r="W301" s="24">
        <x:f>MAX(0,MAX(0,($C301+$F301)-$M301)-$S301)-MIN(MAX(0,$D$3-(MAX(0,$F301-MAX(0,($M301+$S301)-$C301)))),MAX(0,MAX(0,($C301+$F301)-$M301)-$S301))</x:f>
      </x:c>
      <x:c r="X301" s="24">
        <x:f>IF(Inputs!$C$39=1,$W301,0)</x:f>
      </x:c>
      <x:c r="Y301" s="24">
        <x:f>IF(Inputs!$C$39=0,$W301,0)+MAX(0,MAX(0,($D301+$X301)-$N301)-$T301)</x:f>
      </x:c>
    </x:row>
    <x:row r="302">
      <x:c r="B302" s="22" t="n">
        <x:v>297</x:v>
      </x:c>
      <x:c r="C302" s="29">
        <x:f>IF($B302&lt;=Inputs!$C$6+Inputs!$C$11,Cashflow_Asset!$E300-Cashflow_Asset!$K300,0)</x:f>
      </x:c>
      <x:c r="D302" s="29">
        <x:f>IF($B302&lt;=Inputs!$C$6+Inputs!$C$11,Cashflow_Asset!$F300+Cashflow_Asset!$G300+Cashflow_Asset!$I300,0)</x:f>
      </x:c>
      <x:c r="E302" s="29">
        <x:f>IF($B302&lt;=Inputs!$C$6+Inputs!$C$11,Cashflow_Asset!$J300,0)</x:f>
      </x:c>
      <x:c r="F302" s="23">
        <x:f>$G301</x:f>
      </x:c>
      <x:c r="G302" s="24">
        <x:f>(MAX(0,$F302-MAX(0,($M302+$S302)-$C302)))+MIN(MAX(0,$D$3-(MAX(0,$F302-MAX(0,($M302+$S302)-$C302)))),MAX(0,MAX(0,($C302+$F302)-$M302)-$S302))</x:f>
      </x:c>
      <x:c r="H302" s="23">
        <x:f>$J301</x:f>
      </x:c>
      <x:c r="I302" s="24">
        <x:f>MIN($E302,$H302)</x:f>
      </x:c>
      <x:c r="J302" s="24">
        <x:f>$H302-$I302</x:f>
      </x:c>
      <x:c r="K302" s="23">
        <x:f>$P301</x:f>
      </x:c>
      <x:c r="L302" s="24">
        <x:f>$K302*Inputs!$C$18/12</x:f>
      </x:c>
      <x:c r="M302" s="24">
        <x:f>MIN(($C302+$F302),$L302)</x:f>
      </x:c>
      <x:c r="N302" s="24">
        <x:f>MIN(($D302+$X302),MAX(0,$K302-$O302))</x:f>
      </x:c>
      <x:c r="O302" s="24">
        <x:f>MIN(MAX(0,MAX(0,$E302-$I302)-$U302),$K302)</x:f>
      </x:c>
      <x:c r="P302" s="24">
        <x:f>MAX(0,$K302-$O302)-$N302</x:f>
      </x:c>
      <x:c r="Q302" s="23">
        <x:f>$V301</x:f>
      </x:c>
      <x:c r="R302" s="24">
        <x:f>$Q302*Inputs!$C$19/12</x:f>
      </x:c>
      <x:c r="S302" s="24">
        <x:f>MIN(MAX(0,($C302+$F302)-$M302),$R302)</x:f>
      </x:c>
      <x:c r="T302" s="24">
        <x:f>MIN(MAX(0,($D302+$X302)-$N302),MAX(0,$Q302-$U302))</x:f>
      </x:c>
      <x:c r="U302" s="24">
        <x:f>MIN(MAX(0,$E302-$I302),$Q302)</x:f>
      </x:c>
      <x:c r="V302" s="24">
        <x:f>MAX(0,$Q302-$U302)-$T302</x:f>
      </x:c>
      <x:c r="W302" s="24">
        <x:f>MAX(0,MAX(0,($C302+$F302)-$M302)-$S302)-MIN(MAX(0,$D$3-(MAX(0,$F302-MAX(0,($M302+$S302)-$C302)))),MAX(0,MAX(0,($C302+$F302)-$M302)-$S302))</x:f>
      </x:c>
      <x:c r="X302" s="24">
        <x:f>IF(Inputs!$C$39=1,$W302,0)</x:f>
      </x:c>
      <x:c r="Y302" s="24">
        <x:f>IF(Inputs!$C$39=0,$W302,0)+MAX(0,MAX(0,($D302+$X302)-$N302)-$T302)</x:f>
      </x:c>
    </x:row>
    <x:row r="303">
      <x:c r="B303" s="22" t="n">
        <x:v>298</x:v>
      </x:c>
      <x:c r="C303" s="29">
        <x:f>IF($B303&lt;=Inputs!$C$6+Inputs!$C$11,Cashflow_Asset!$E301-Cashflow_Asset!$K301,0)</x:f>
      </x:c>
      <x:c r="D303" s="29">
        <x:f>IF($B303&lt;=Inputs!$C$6+Inputs!$C$11,Cashflow_Asset!$F301+Cashflow_Asset!$G301+Cashflow_Asset!$I301,0)</x:f>
      </x:c>
      <x:c r="E303" s="29">
        <x:f>IF($B303&lt;=Inputs!$C$6+Inputs!$C$11,Cashflow_Asset!$J301,0)</x:f>
      </x:c>
      <x:c r="F303" s="23">
        <x:f>$G302</x:f>
      </x:c>
      <x:c r="G303" s="24">
        <x:f>(MAX(0,$F303-MAX(0,($M303+$S303)-$C303)))+MIN(MAX(0,$D$3-(MAX(0,$F303-MAX(0,($M303+$S303)-$C303)))),MAX(0,MAX(0,($C303+$F303)-$M303)-$S303))</x:f>
      </x:c>
      <x:c r="H303" s="23">
        <x:f>$J302</x:f>
      </x:c>
      <x:c r="I303" s="24">
        <x:f>MIN($E303,$H303)</x:f>
      </x:c>
      <x:c r="J303" s="24">
        <x:f>$H303-$I303</x:f>
      </x:c>
      <x:c r="K303" s="23">
        <x:f>$P302</x:f>
      </x:c>
      <x:c r="L303" s="24">
        <x:f>$K303*Inputs!$C$18/12</x:f>
      </x:c>
      <x:c r="M303" s="24">
        <x:f>MIN(($C303+$F303),$L303)</x:f>
      </x:c>
      <x:c r="N303" s="24">
        <x:f>MIN(($D303+$X303),MAX(0,$K303-$O303))</x:f>
      </x:c>
      <x:c r="O303" s="24">
        <x:f>MIN(MAX(0,MAX(0,$E303-$I303)-$U303),$K303)</x:f>
      </x:c>
      <x:c r="P303" s="24">
        <x:f>MAX(0,$K303-$O303)-$N303</x:f>
      </x:c>
      <x:c r="Q303" s="23">
        <x:f>$V302</x:f>
      </x:c>
      <x:c r="R303" s="24">
        <x:f>$Q303*Inputs!$C$19/12</x:f>
      </x:c>
      <x:c r="S303" s="24">
        <x:f>MIN(MAX(0,($C303+$F303)-$M303),$R303)</x:f>
      </x:c>
      <x:c r="T303" s="24">
        <x:f>MIN(MAX(0,($D303+$X303)-$N303),MAX(0,$Q303-$U303))</x:f>
      </x:c>
      <x:c r="U303" s="24">
        <x:f>MIN(MAX(0,$E303-$I303),$Q303)</x:f>
      </x:c>
      <x:c r="V303" s="24">
        <x:f>MAX(0,$Q303-$U303)-$T303</x:f>
      </x:c>
      <x:c r="W303" s="24">
        <x:f>MAX(0,MAX(0,($C303+$F303)-$M303)-$S303)-MIN(MAX(0,$D$3-(MAX(0,$F303-MAX(0,($M303+$S303)-$C303)))),MAX(0,MAX(0,($C303+$F303)-$M303)-$S303))</x:f>
      </x:c>
      <x:c r="X303" s="24">
        <x:f>IF(Inputs!$C$39=1,$W303,0)</x:f>
      </x:c>
      <x:c r="Y303" s="24">
        <x:f>IF(Inputs!$C$39=0,$W303,0)+MAX(0,MAX(0,($D303+$X303)-$N303)-$T303)</x:f>
      </x:c>
    </x:row>
    <x:row r="304">
      <x:c r="B304" s="22" t="n">
        <x:v>299</x:v>
      </x:c>
      <x:c r="C304" s="29">
        <x:f>IF($B304&lt;=Inputs!$C$6+Inputs!$C$11,Cashflow_Asset!$E302-Cashflow_Asset!$K302,0)</x:f>
      </x:c>
      <x:c r="D304" s="29">
        <x:f>IF($B304&lt;=Inputs!$C$6+Inputs!$C$11,Cashflow_Asset!$F302+Cashflow_Asset!$G302+Cashflow_Asset!$I302,0)</x:f>
      </x:c>
      <x:c r="E304" s="29">
        <x:f>IF($B304&lt;=Inputs!$C$6+Inputs!$C$11,Cashflow_Asset!$J302,0)</x:f>
      </x:c>
      <x:c r="F304" s="23">
        <x:f>$G303</x:f>
      </x:c>
      <x:c r="G304" s="24">
        <x:f>(MAX(0,$F304-MAX(0,($M304+$S304)-$C304)))+MIN(MAX(0,$D$3-(MAX(0,$F304-MAX(0,($M304+$S304)-$C304)))),MAX(0,MAX(0,($C304+$F304)-$M304)-$S304))</x:f>
      </x:c>
      <x:c r="H304" s="23">
        <x:f>$J303</x:f>
      </x:c>
      <x:c r="I304" s="24">
        <x:f>MIN($E304,$H304)</x:f>
      </x:c>
      <x:c r="J304" s="24">
        <x:f>$H304-$I304</x:f>
      </x:c>
      <x:c r="K304" s="23">
        <x:f>$P303</x:f>
      </x:c>
      <x:c r="L304" s="24">
        <x:f>$K304*Inputs!$C$18/12</x:f>
      </x:c>
      <x:c r="M304" s="24">
        <x:f>MIN(($C304+$F304),$L304)</x:f>
      </x:c>
      <x:c r="N304" s="24">
        <x:f>MIN(($D304+$X304),MAX(0,$K304-$O304))</x:f>
      </x:c>
      <x:c r="O304" s="24">
        <x:f>MIN(MAX(0,MAX(0,$E304-$I304)-$U304),$K304)</x:f>
      </x:c>
      <x:c r="P304" s="24">
        <x:f>MAX(0,$K304-$O304)-$N304</x:f>
      </x:c>
      <x:c r="Q304" s="23">
        <x:f>$V303</x:f>
      </x:c>
      <x:c r="R304" s="24">
        <x:f>$Q304*Inputs!$C$19/12</x:f>
      </x:c>
      <x:c r="S304" s="24">
        <x:f>MIN(MAX(0,($C304+$F304)-$M304),$R304)</x:f>
      </x:c>
      <x:c r="T304" s="24">
        <x:f>MIN(MAX(0,($D304+$X304)-$N304),MAX(0,$Q304-$U304))</x:f>
      </x:c>
      <x:c r="U304" s="24">
        <x:f>MIN(MAX(0,$E304-$I304),$Q304)</x:f>
      </x:c>
      <x:c r="V304" s="24">
        <x:f>MAX(0,$Q304-$U304)-$T304</x:f>
      </x:c>
      <x:c r="W304" s="24">
        <x:f>MAX(0,MAX(0,($C304+$F304)-$M304)-$S304)-MIN(MAX(0,$D$3-(MAX(0,$F304-MAX(0,($M304+$S304)-$C304)))),MAX(0,MAX(0,($C304+$F304)-$M304)-$S304))</x:f>
      </x:c>
      <x:c r="X304" s="24">
        <x:f>IF(Inputs!$C$39=1,$W304,0)</x:f>
      </x:c>
      <x:c r="Y304" s="24">
        <x:f>IF(Inputs!$C$39=0,$W304,0)+MAX(0,MAX(0,($D304+$X304)-$N304)-$T304)</x:f>
      </x:c>
    </x:row>
    <x:row r="305">
      <x:c r="B305" s="22" t="n">
        <x:v>300</x:v>
      </x:c>
      <x:c r="C305" s="29">
        <x:f>IF($B305&lt;=Inputs!$C$6+Inputs!$C$11,Cashflow_Asset!$E303-Cashflow_Asset!$K303,0)</x:f>
      </x:c>
      <x:c r="D305" s="29">
        <x:f>IF($B305&lt;=Inputs!$C$6+Inputs!$C$11,Cashflow_Asset!$F303+Cashflow_Asset!$G303+Cashflow_Asset!$I303,0)</x:f>
      </x:c>
      <x:c r="E305" s="29">
        <x:f>IF($B305&lt;=Inputs!$C$6+Inputs!$C$11,Cashflow_Asset!$J303,0)</x:f>
      </x:c>
      <x:c r="F305" s="23">
        <x:f>$G304</x:f>
      </x:c>
      <x:c r="G305" s="24">
        <x:f>(MAX(0,$F305-MAX(0,($M305+$S305)-$C305)))+MIN(MAX(0,$D$3-(MAX(0,$F305-MAX(0,($M305+$S305)-$C305)))),MAX(0,MAX(0,($C305+$F305)-$M305)-$S305))</x:f>
      </x:c>
      <x:c r="H305" s="23">
        <x:f>$J304</x:f>
      </x:c>
      <x:c r="I305" s="24">
        <x:f>MIN($E305,$H305)</x:f>
      </x:c>
      <x:c r="J305" s="24">
        <x:f>$H305-$I305</x:f>
      </x:c>
      <x:c r="K305" s="23">
        <x:f>$P304</x:f>
      </x:c>
      <x:c r="L305" s="24">
        <x:f>$K305*Inputs!$C$18/12</x:f>
      </x:c>
      <x:c r="M305" s="24">
        <x:f>MIN(($C305+$F305),$L305)</x:f>
      </x:c>
      <x:c r="N305" s="24">
        <x:f>MIN(($D305+$X305),MAX(0,$K305-$O305))</x:f>
      </x:c>
      <x:c r="O305" s="24">
        <x:f>MIN(MAX(0,MAX(0,$E305-$I305)-$U305),$K305)</x:f>
      </x:c>
      <x:c r="P305" s="24">
        <x:f>MAX(0,$K305-$O305)-$N305</x:f>
      </x:c>
      <x:c r="Q305" s="23">
        <x:f>$V304</x:f>
      </x:c>
      <x:c r="R305" s="24">
        <x:f>$Q305*Inputs!$C$19/12</x:f>
      </x:c>
      <x:c r="S305" s="24">
        <x:f>MIN(MAX(0,($C305+$F305)-$M305),$R305)</x:f>
      </x:c>
      <x:c r="T305" s="24">
        <x:f>MIN(MAX(0,($D305+$X305)-$N305),MAX(0,$Q305-$U305))</x:f>
      </x:c>
      <x:c r="U305" s="24">
        <x:f>MIN(MAX(0,$E305-$I305),$Q305)</x:f>
      </x:c>
      <x:c r="V305" s="24">
        <x:f>MAX(0,$Q305-$U305)-$T305</x:f>
      </x:c>
      <x:c r="W305" s="24">
        <x:f>MAX(0,MAX(0,($C305+$F305)-$M305)-$S305)-MIN(MAX(0,$D$3-(MAX(0,$F305-MAX(0,($M305+$S305)-$C305)))),MAX(0,MAX(0,($C305+$F305)-$M305)-$S305))</x:f>
      </x:c>
      <x:c r="X305" s="24">
        <x:f>IF(Inputs!$C$39=1,$W305,0)</x:f>
      </x:c>
      <x:c r="Y305" s="24">
        <x:f>IF(Inputs!$C$39=0,$W305,0)+MAX(0,MAX(0,($D305+$X305)-$N305)-$T305)</x:f>
      </x:c>
    </x:row>
    <x:row r="306">
      <x:c r="B306" s="22" t="n">
        <x:v>301</x:v>
      </x:c>
      <x:c r="C306" s="29">
        <x:f>IF($B306&lt;=Inputs!$C$6+Inputs!$C$11,Cashflow_Asset!$E304-Cashflow_Asset!$K304,0)</x:f>
      </x:c>
      <x:c r="D306" s="29">
        <x:f>IF($B306&lt;=Inputs!$C$6+Inputs!$C$11,Cashflow_Asset!$F304+Cashflow_Asset!$G304+Cashflow_Asset!$I304,0)</x:f>
      </x:c>
      <x:c r="E306" s="29">
        <x:f>IF($B306&lt;=Inputs!$C$6+Inputs!$C$11,Cashflow_Asset!$J304,0)</x:f>
      </x:c>
      <x:c r="F306" s="23">
        <x:f>$G305</x:f>
      </x:c>
      <x:c r="G306" s="24">
        <x:f>(MAX(0,$F306-MAX(0,($M306+$S306)-$C306)))+MIN(MAX(0,$D$3-(MAX(0,$F306-MAX(0,($M306+$S306)-$C306)))),MAX(0,MAX(0,($C306+$F306)-$M306)-$S306))</x:f>
      </x:c>
      <x:c r="H306" s="23">
        <x:f>$J305</x:f>
      </x:c>
      <x:c r="I306" s="24">
        <x:f>MIN($E306,$H306)</x:f>
      </x:c>
      <x:c r="J306" s="24">
        <x:f>$H306-$I306</x:f>
      </x:c>
      <x:c r="K306" s="23">
        <x:f>$P305</x:f>
      </x:c>
      <x:c r="L306" s="24">
        <x:f>$K306*Inputs!$C$18/12</x:f>
      </x:c>
      <x:c r="M306" s="24">
        <x:f>MIN(($C306+$F306),$L306)</x:f>
      </x:c>
      <x:c r="N306" s="24">
        <x:f>MIN(($D306+$X306),MAX(0,$K306-$O306))</x:f>
      </x:c>
      <x:c r="O306" s="24">
        <x:f>MIN(MAX(0,MAX(0,$E306-$I306)-$U306),$K306)</x:f>
      </x:c>
      <x:c r="P306" s="24">
        <x:f>MAX(0,$K306-$O306)-$N306</x:f>
      </x:c>
      <x:c r="Q306" s="23">
        <x:f>$V305</x:f>
      </x:c>
      <x:c r="R306" s="24">
        <x:f>$Q306*Inputs!$C$19/12</x:f>
      </x:c>
      <x:c r="S306" s="24">
        <x:f>MIN(MAX(0,($C306+$F306)-$M306),$R306)</x:f>
      </x:c>
      <x:c r="T306" s="24">
        <x:f>MIN(MAX(0,($D306+$X306)-$N306),MAX(0,$Q306-$U306))</x:f>
      </x:c>
      <x:c r="U306" s="24">
        <x:f>MIN(MAX(0,$E306-$I306),$Q306)</x:f>
      </x:c>
      <x:c r="V306" s="24">
        <x:f>MAX(0,$Q306-$U306)-$T306</x:f>
      </x:c>
      <x:c r="W306" s="24">
        <x:f>MAX(0,MAX(0,($C306+$F306)-$M306)-$S306)-MIN(MAX(0,$D$3-(MAX(0,$F306-MAX(0,($M306+$S306)-$C306)))),MAX(0,MAX(0,($C306+$F306)-$M306)-$S306))</x:f>
      </x:c>
      <x:c r="X306" s="24">
        <x:f>IF(Inputs!$C$39=1,$W306,0)</x:f>
      </x:c>
      <x:c r="Y306" s="24">
        <x:f>IF(Inputs!$C$39=0,$W306,0)+MAX(0,MAX(0,($D306+$X306)-$N306)-$T306)</x:f>
      </x:c>
    </x:row>
    <x:row r="307">
      <x:c r="B307" s="22" t="n">
        <x:v>302</x:v>
      </x:c>
      <x:c r="C307" s="29">
        <x:f>IF($B307&lt;=Inputs!$C$6+Inputs!$C$11,Cashflow_Asset!$E305-Cashflow_Asset!$K305,0)</x:f>
      </x:c>
      <x:c r="D307" s="29">
        <x:f>IF($B307&lt;=Inputs!$C$6+Inputs!$C$11,Cashflow_Asset!$F305+Cashflow_Asset!$G305+Cashflow_Asset!$I305,0)</x:f>
      </x:c>
      <x:c r="E307" s="29">
        <x:f>IF($B307&lt;=Inputs!$C$6+Inputs!$C$11,Cashflow_Asset!$J305,0)</x:f>
      </x:c>
      <x:c r="F307" s="23">
        <x:f>$G306</x:f>
      </x:c>
      <x:c r="G307" s="24">
        <x:f>(MAX(0,$F307-MAX(0,($M307+$S307)-$C307)))+MIN(MAX(0,$D$3-(MAX(0,$F307-MAX(0,($M307+$S307)-$C307)))),MAX(0,MAX(0,($C307+$F307)-$M307)-$S307))</x:f>
      </x:c>
      <x:c r="H307" s="23">
        <x:f>$J306</x:f>
      </x:c>
      <x:c r="I307" s="24">
        <x:f>MIN($E307,$H307)</x:f>
      </x:c>
      <x:c r="J307" s="24">
        <x:f>$H307-$I307</x:f>
      </x:c>
      <x:c r="K307" s="23">
        <x:f>$P306</x:f>
      </x:c>
      <x:c r="L307" s="24">
        <x:f>$K307*Inputs!$C$18/12</x:f>
      </x:c>
      <x:c r="M307" s="24">
        <x:f>MIN(($C307+$F307),$L307)</x:f>
      </x:c>
      <x:c r="N307" s="24">
        <x:f>MIN(($D307+$X307),MAX(0,$K307-$O307))</x:f>
      </x:c>
      <x:c r="O307" s="24">
        <x:f>MIN(MAX(0,MAX(0,$E307-$I307)-$U307),$K307)</x:f>
      </x:c>
      <x:c r="P307" s="24">
        <x:f>MAX(0,$K307-$O307)-$N307</x:f>
      </x:c>
      <x:c r="Q307" s="23">
        <x:f>$V306</x:f>
      </x:c>
      <x:c r="R307" s="24">
        <x:f>$Q307*Inputs!$C$19/12</x:f>
      </x:c>
      <x:c r="S307" s="24">
        <x:f>MIN(MAX(0,($C307+$F307)-$M307),$R307)</x:f>
      </x:c>
      <x:c r="T307" s="24">
        <x:f>MIN(MAX(0,($D307+$X307)-$N307),MAX(0,$Q307-$U307))</x:f>
      </x:c>
      <x:c r="U307" s="24">
        <x:f>MIN(MAX(0,$E307-$I307),$Q307)</x:f>
      </x:c>
      <x:c r="V307" s="24">
        <x:f>MAX(0,$Q307-$U307)-$T307</x:f>
      </x:c>
      <x:c r="W307" s="24">
        <x:f>MAX(0,MAX(0,($C307+$F307)-$M307)-$S307)-MIN(MAX(0,$D$3-(MAX(0,$F307-MAX(0,($M307+$S307)-$C307)))),MAX(0,MAX(0,($C307+$F307)-$M307)-$S307))</x:f>
      </x:c>
      <x:c r="X307" s="24">
        <x:f>IF(Inputs!$C$39=1,$W307,0)</x:f>
      </x:c>
      <x:c r="Y307" s="24">
        <x:f>IF(Inputs!$C$39=0,$W307,0)+MAX(0,MAX(0,($D307+$X307)-$N307)-$T307)</x:f>
      </x:c>
    </x:row>
    <x:row r="308">
      <x:c r="B308" s="22" t="n">
        <x:v>303</x:v>
      </x:c>
      <x:c r="C308" s="29">
        <x:f>IF($B308&lt;=Inputs!$C$6+Inputs!$C$11,Cashflow_Asset!$E306-Cashflow_Asset!$K306,0)</x:f>
      </x:c>
      <x:c r="D308" s="29">
        <x:f>IF($B308&lt;=Inputs!$C$6+Inputs!$C$11,Cashflow_Asset!$F306+Cashflow_Asset!$G306+Cashflow_Asset!$I306,0)</x:f>
      </x:c>
      <x:c r="E308" s="29">
        <x:f>IF($B308&lt;=Inputs!$C$6+Inputs!$C$11,Cashflow_Asset!$J306,0)</x:f>
      </x:c>
      <x:c r="F308" s="23">
        <x:f>$G307</x:f>
      </x:c>
      <x:c r="G308" s="24">
        <x:f>(MAX(0,$F308-MAX(0,($M308+$S308)-$C308)))+MIN(MAX(0,$D$3-(MAX(0,$F308-MAX(0,($M308+$S308)-$C308)))),MAX(0,MAX(0,($C308+$F308)-$M308)-$S308))</x:f>
      </x:c>
      <x:c r="H308" s="23">
        <x:f>$J307</x:f>
      </x:c>
      <x:c r="I308" s="24">
        <x:f>MIN($E308,$H308)</x:f>
      </x:c>
      <x:c r="J308" s="24">
        <x:f>$H308-$I308</x:f>
      </x:c>
      <x:c r="K308" s="23">
        <x:f>$P307</x:f>
      </x:c>
      <x:c r="L308" s="24">
        <x:f>$K308*Inputs!$C$18/12</x:f>
      </x:c>
      <x:c r="M308" s="24">
        <x:f>MIN(($C308+$F308),$L308)</x:f>
      </x:c>
      <x:c r="N308" s="24">
        <x:f>MIN(($D308+$X308),MAX(0,$K308-$O308))</x:f>
      </x:c>
      <x:c r="O308" s="24">
        <x:f>MIN(MAX(0,MAX(0,$E308-$I308)-$U308),$K308)</x:f>
      </x:c>
      <x:c r="P308" s="24">
        <x:f>MAX(0,$K308-$O308)-$N308</x:f>
      </x:c>
      <x:c r="Q308" s="23">
        <x:f>$V307</x:f>
      </x:c>
      <x:c r="R308" s="24">
        <x:f>$Q308*Inputs!$C$19/12</x:f>
      </x:c>
      <x:c r="S308" s="24">
        <x:f>MIN(MAX(0,($C308+$F308)-$M308),$R308)</x:f>
      </x:c>
      <x:c r="T308" s="24">
        <x:f>MIN(MAX(0,($D308+$X308)-$N308),MAX(0,$Q308-$U308))</x:f>
      </x:c>
      <x:c r="U308" s="24">
        <x:f>MIN(MAX(0,$E308-$I308),$Q308)</x:f>
      </x:c>
      <x:c r="V308" s="24">
        <x:f>MAX(0,$Q308-$U308)-$T308</x:f>
      </x:c>
      <x:c r="W308" s="24">
        <x:f>MAX(0,MAX(0,($C308+$F308)-$M308)-$S308)-MIN(MAX(0,$D$3-(MAX(0,$F308-MAX(0,($M308+$S308)-$C308)))),MAX(0,MAX(0,($C308+$F308)-$M308)-$S308))</x:f>
      </x:c>
      <x:c r="X308" s="24">
        <x:f>IF(Inputs!$C$39=1,$W308,0)</x:f>
      </x:c>
      <x:c r="Y308" s="24">
        <x:f>IF(Inputs!$C$39=0,$W308,0)+MAX(0,MAX(0,($D308+$X308)-$N308)-$T308)</x:f>
      </x:c>
    </x:row>
    <x:row r="309">
      <x:c r="B309" s="22" t="n">
        <x:v>304</x:v>
      </x:c>
      <x:c r="C309" s="29">
        <x:f>IF($B309&lt;=Inputs!$C$6+Inputs!$C$11,Cashflow_Asset!$E307-Cashflow_Asset!$K307,0)</x:f>
      </x:c>
      <x:c r="D309" s="29">
        <x:f>IF($B309&lt;=Inputs!$C$6+Inputs!$C$11,Cashflow_Asset!$F307+Cashflow_Asset!$G307+Cashflow_Asset!$I307,0)</x:f>
      </x:c>
      <x:c r="E309" s="29">
        <x:f>IF($B309&lt;=Inputs!$C$6+Inputs!$C$11,Cashflow_Asset!$J307,0)</x:f>
      </x:c>
      <x:c r="F309" s="23">
        <x:f>$G308</x:f>
      </x:c>
      <x:c r="G309" s="24">
        <x:f>(MAX(0,$F309-MAX(0,($M309+$S309)-$C309)))+MIN(MAX(0,$D$3-(MAX(0,$F309-MAX(0,($M309+$S309)-$C309)))),MAX(0,MAX(0,($C309+$F309)-$M309)-$S309))</x:f>
      </x:c>
      <x:c r="H309" s="23">
        <x:f>$J308</x:f>
      </x:c>
      <x:c r="I309" s="24">
        <x:f>MIN($E309,$H309)</x:f>
      </x:c>
      <x:c r="J309" s="24">
        <x:f>$H309-$I309</x:f>
      </x:c>
      <x:c r="K309" s="23">
        <x:f>$P308</x:f>
      </x:c>
      <x:c r="L309" s="24">
        <x:f>$K309*Inputs!$C$18/12</x:f>
      </x:c>
      <x:c r="M309" s="24">
        <x:f>MIN(($C309+$F309),$L309)</x:f>
      </x:c>
      <x:c r="N309" s="24">
        <x:f>MIN(($D309+$X309),MAX(0,$K309-$O309))</x:f>
      </x:c>
      <x:c r="O309" s="24">
        <x:f>MIN(MAX(0,MAX(0,$E309-$I309)-$U309),$K309)</x:f>
      </x:c>
      <x:c r="P309" s="24">
        <x:f>MAX(0,$K309-$O309)-$N309</x:f>
      </x:c>
      <x:c r="Q309" s="23">
        <x:f>$V308</x:f>
      </x:c>
      <x:c r="R309" s="24">
        <x:f>$Q309*Inputs!$C$19/12</x:f>
      </x:c>
      <x:c r="S309" s="24">
        <x:f>MIN(MAX(0,($C309+$F309)-$M309),$R309)</x:f>
      </x:c>
      <x:c r="T309" s="24">
        <x:f>MIN(MAX(0,($D309+$X309)-$N309),MAX(0,$Q309-$U309))</x:f>
      </x:c>
      <x:c r="U309" s="24">
        <x:f>MIN(MAX(0,$E309-$I309),$Q309)</x:f>
      </x:c>
      <x:c r="V309" s="24">
        <x:f>MAX(0,$Q309-$U309)-$T309</x:f>
      </x:c>
      <x:c r="W309" s="24">
        <x:f>MAX(0,MAX(0,($C309+$F309)-$M309)-$S309)-MIN(MAX(0,$D$3-(MAX(0,$F309-MAX(0,($M309+$S309)-$C309)))),MAX(0,MAX(0,($C309+$F309)-$M309)-$S309))</x:f>
      </x:c>
      <x:c r="X309" s="24">
        <x:f>IF(Inputs!$C$39=1,$W309,0)</x:f>
      </x:c>
      <x:c r="Y309" s="24">
        <x:f>IF(Inputs!$C$39=0,$W309,0)+MAX(0,MAX(0,($D309+$X309)-$N309)-$T309)</x:f>
      </x:c>
    </x:row>
    <x:row r="310">
      <x:c r="B310" s="22" t="n">
        <x:v>305</x:v>
      </x:c>
      <x:c r="C310" s="29">
        <x:f>IF($B310&lt;=Inputs!$C$6+Inputs!$C$11,Cashflow_Asset!$E308-Cashflow_Asset!$K308,0)</x:f>
      </x:c>
      <x:c r="D310" s="29">
        <x:f>IF($B310&lt;=Inputs!$C$6+Inputs!$C$11,Cashflow_Asset!$F308+Cashflow_Asset!$G308+Cashflow_Asset!$I308,0)</x:f>
      </x:c>
      <x:c r="E310" s="29">
        <x:f>IF($B310&lt;=Inputs!$C$6+Inputs!$C$11,Cashflow_Asset!$J308,0)</x:f>
      </x:c>
      <x:c r="F310" s="23">
        <x:f>$G309</x:f>
      </x:c>
      <x:c r="G310" s="24">
        <x:f>(MAX(0,$F310-MAX(0,($M310+$S310)-$C310)))+MIN(MAX(0,$D$3-(MAX(0,$F310-MAX(0,($M310+$S310)-$C310)))),MAX(0,MAX(0,($C310+$F310)-$M310)-$S310))</x:f>
      </x:c>
      <x:c r="H310" s="23">
        <x:f>$J309</x:f>
      </x:c>
      <x:c r="I310" s="24">
        <x:f>MIN($E310,$H310)</x:f>
      </x:c>
      <x:c r="J310" s="24">
        <x:f>$H310-$I310</x:f>
      </x:c>
      <x:c r="K310" s="23">
        <x:f>$P309</x:f>
      </x:c>
      <x:c r="L310" s="24">
        <x:f>$K310*Inputs!$C$18/12</x:f>
      </x:c>
      <x:c r="M310" s="24">
        <x:f>MIN(($C310+$F310),$L310)</x:f>
      </x:c>
      <x:c r="N310" s="24">
        <x:f>MIN(($D310+$X310),MAX(0,$K310-$O310))</x:f>
      </x:c>
      <x:c r="O310" s="24">
        <x:f>MIN(MAX(0,MAX(0,$E310-$I310)-$U310),$K310)</x:f>
      </x:c>
      <x:c r="P310" s="24">
        <x:f>MAX(0,$K310-$O310)-$N310</x:f>
      </x:c>
      <x:c r="Q310" s="23">
        <x:f>$V309</x:f>
      </x:c>
      <x:c r="R310" s="24">
        <x:f>$Q310*Inputs!$C$19/12</x:f>
      </x:c>
      <x:c r="S310" s="24">
        <x:f>MIN(MAX(0,($C310+$F310)-$M310),$R310)</x:f>
      </x:c>
      <x:c r="T310" s="24">
        <x:f>MIN(MAX(0,($D310+$X310)-$N310),MAX(0,$Q310-$U310))</x:f>
      </x:c>
      <x:c r="U310" s="24">
        <x:f>MIN(MAX(0,$E310-$I310),$Q310)</x:f>
      </x:c>
      <x:c r="V310" s="24">
        <x:f>MAX(0,$Q310-$U310)-$T310</x:f>
      </x:c>
      <x:c r="W310" s="24">
        <x:f>MAX(0,MAX(0,($C310+$F310)-$M310)-$S310)-MIN(MAX(0,$D$3-(MAX(0,$F310-MAX(0,($M310+$S310)-$C310)))),MAX(0,MAX(0,($C310+$F310)-$M310)-$S310))</x:f>
      </x:c>
      <x:c r="X310" s="24">
        <x:f>IF(Inputs!$C$39=1,$W310,0)</x:f>
      </x:c>
      <x:c r="Y310" s="24">
        <x:f>IF(Inputs!$C$39=0,$W310,0)+MAX(0,MAX(0,($D310+$X310)-$N310)-$T310)</x:f>
      </x:c>
    </x:row>
    <x:row r="311">
      <x:c r="B311" s="22" t="n">
        <x:v>306</x:v>
      </x:c>
      <x:c r="C311" s="29">
        <x:f>IF($B311&lt;=Inputs!$C$6+Inputs!$C$11,Cashflow_Asset!$E309-Cashflow_Asset!$K309,0)</x:f>
      </x:c>
      <x:c r="D311" s="29">
        <x:f>IF($B311&lt;=Inputs!$C$6+Inputs!$C$11,Cashflow_Asset!$F309+Cashflow_Asset!$G309+Cashflow_Asset!$I309,0)</x:f>
      </x:c>
      <x:c r="E311" s="29">
        <x:f>IF($B311&lt;=Inputs!$C$6+Inputs!$C$11,Cashflow_Asset!$J309,0)</x:f>
      </x:c>
      <x:c r="F311" s="23">
        <x:f>$G310</x:f>
      </x:c>
      <x:c r="G311" s="24">
        <x:f>(MAX(0,$F311-MAX(0,($M311+$S311)-$C311)))+MIN(MAX(0,$D$3-(MAX(0,$F311-MAX(0,($M311+$S311)-$C311)))),MAX(0,MAX(0,($C311+$F311)-$M311)-$S311))</x:f>
      </x:c>
      <x:c r="H311" s="23">
        <x:f>$J310</x:f>
      </x:c>
      <x:c r="I311" s="24">
        <x:f>MIN($E311,$H311)</x:f>
      </x:c>
      <x:c r="J311" s="24">
        <x:f>$H311-$I311</x:f>
      </x:c>
      <x:c r="K311" s="23">
        <x:f>$P310</x:f>
      </x:c>
      <x:c r="L311" s="24">
        <x:f>$K311*Inputs!$C$18/12</x:f>
      </x:c>
      <x:c r="M311" s="24">
        <x:f>MIN(($C311+$F311),$L311)</x:f>
      </x:c>
      <x:c r="N311" s="24">
        <x:f>MIN(($D311+$X311),MAX(0,$K311-$O311))</x:f>
      </x:c>
      <x:c r="O311" s="24">
        <x:f>MIN(MAX(0,MAX(0,$E311-$I311)-$U311),$K311)</x:f>
      </x:c>
      <x:c r="P311" s="24">
        <x:f>MAX(0,$K311-$O311)-$N311</x:f>
      </x:c>
      <x:c r="Q311" s="23">
        <x:f>$V310</x:f>
      </x:c>
      <x:c r="R311" s="24">
        <x:f>$Q311*Inputs!$C$19/12</x:f>
      </x:c>
      <x:c r="S311" s="24">
        <x:f>MIN(MAX(0,($C311+$F311)-$M311),$R311)</x:f>
      </x:c>
      <x:c r="T311" s="24">
        <x:f>MIN(MAX(0,($D311+$X311)-$N311),MAX(0,$Q311-$U311))</x:f>
      </x:c>
      <x:c r="U311" s="24">
        <x:f>MIN(MAX(0,$E311-$I311),$Q311)</x:f>
      </x:c>
      <x:c r="V311" s="24">
        <x:f>MAX(0,$Q311-$U311)-$T311</x:f>
      </x:c>
      <x:c r="W311" s="24">
        <x:f>MAX(0,MAX(0,($C311+$F311)-$M311)-$S311)-MIN(MAX(0,$D$3-(MAX(0,$F311-MAX(0,($M311+$S311)-$C311)))),MAX(0,MAX(0,($C311+$F311)-$M311)-$S311))</x:f>
      </x:c>
      <x:c r="X311" s="24">
        <x:f>IF(Inputs!$C$39=1,$W311,0)</x:f>
      </x:c>
      <x:c r="Y311" s="24">
        <x:f>IF(Inputs!$C$39=0,$W311,0)+MAX(0,MAX(0,($D311+$X311)-$N311)-$T311)</x:f>
      </x:c>
    </x:row>
    <x:row r="312">
      <x:c r="B312" s="22" t="n">
        <x:v>307</x:v>
      </x:c>
      <x:c r="C312" s="29">
        <x:f>IF($B312&lt;=Inputs!$C$6+Inputs!$C$11,Cashflow_Asset!$E310-Cashflow_Asset!$K310,0)</x:f>
      </x:c>
      <x:c r="D312" s="29">
        <x:f>IF($B312&lt;=Inputs!$C$6+Inputs!$C$11,Cashflow_Asset!$F310+Cashflow_Asset!$G310+Cashflow_Asset!$I310,0)</x:f>
      </x:c>
      <x:c r="E312" s="29">
        <x:f>IF($B312&lt;=Inputs!$C$6+Inputs!$C$11,Cashflow_Asset!$J310,0)</x:f>
      </x:c>
      <x:c r="F312" s="23">
        <x:f>$G311</x:f>
      </x:c>
      <x:c r="G312" s="24">
        <x:f>(MAX(0,$F312-MAX(0,($M312+$S312)-$C312)))+MIN(MAX(0,$D$3-(MAX(0,$F312-MAX(0,($M312+$S312)-$C312)))),MAX(0,MAX(0,($C312+$F312)-$M312)-$S312))</x:f>
      </x:c>
      <x:c r="H312" s="23">
        <x:f>$J311</x:f>
      </x:c>
      <x:c r="I312" s="24">
        <x:f>MIN($E312,$H312)</x:f>
      </x:c>
      <x:c r="J312" s="24">
        <x:f>$H312-$I312</x:f>
      </x:c>
      <x:c r="K312" s="23">
        <x:f>$P311</x:f>
      </x:c>
      <x:c r="L312" s="24">
        <x:f>$K312*Inputs!$C$18/12</x:f>
      </x:c>
      <x:c r="M312" s="24">
        <x:f>MIN(($C312+$F312),$L312)</x:f>
      </x:c>
      <x:c r="N312" s="24">
        <x:f>MIN(($D312+$X312),MAX(0,$K312-$O312))</x:f>
      </x:c>
      <x:c r="O312" s="24">
        <x:f>MIN(MAX(0,MAX(0,$E312-$I312)-$U312),$K312)</x:f>
      </x:c>
      <x:c r="P312" s="24">
        <x:f>MAX(0,$K312-$O312)-$N312</x:f>
      </x:c>
      <x:c r="Q312" s="23">
        <x:f>$V311</x:f>
      </x:c>
      <x:c r="R312" s="24">
        <x:f>$Q312*Inputs!$C$19/12</x:f>
      </x:c>
      <x:c r="S312" s="24">
        <x:f>MIN(MAX(0,($C312+$F312)-$M312),$R312)</x:f>
      </x:c>
      <x:c r="T312" s="24">
        <x:f>MIN(MAX(0,($D312+$X312)-$N312),MAX(0,$Q312-$U312))</x:f>
      </x:c>
      <x:c r="U312" s="24">
        <x:f>MIN(MAX(0,$E312-$I312),$Q312)</x:f>
      </x:c>
      <x:c r="V312" s="24">
        <x:f>MAX(0,$Q312-$U312)-$T312</x:f>
      </x:c>
      <x:c r="W312" s="24">
        <x:f>MAX(0,MAX(0,($C312+$F312)-$M312)-$S312)-MIN(MAX(0,$D$3-(MAX(0,$F312-MAX(0,($M312+$S312)-$C312)))),MAX(0,MAX(0,($C312+$F312)-$M312)-$S312))</x:f>
      </x:c>
      <x:c r="X312" s="24">
        <x:f>IF(Inputs!$C$39=1,$W312,0)</x:f>
      </x:c>
      <x:c r="Y312" s="24">
        <x:f>IF(Inputs!$C$39=0,$W312,0)+MAX(0,MAX(0,($D312+$X312)-$N312)-$T312)</x:f>
      </x:c>
    </x:row>
    <x:row r="313">
      <x:c r="B313" s="22" t="n">
        <x:v>308</x:v>
      </x:c>
      <x:c r="C313" s="29">
        <x:f>IF($B313&lt;=Inputs!$C$6+Inputs!$C$11,Cashflow_Asset!$E311-Cashflow_Asset!$K311,0)</x:f>
      </x:c>
      <x:c r="D313" s="29">
        <x:f>IF($B313&lt;=Inputs!$C$6+Inputs!$C$11,Cashflow_Asset!$F311+Cashflow_Asset!$G311+Cashflow_Asset!$I311,0)</x:f>
      </x:c>
      <x:c r="E313" s="29">
        <x:f>IF($B313&lt;=Inputs!$C$6+Inputs!$C$11,Cashflow_Asset!$J311,0)</x:f>
      </x:c>
      <x:c r="F313" s="23">
        <x:f>$G312</x:f>
      </x:c>
      <x:c r="G313" s="24">
        <x:f>(MAX(0,$F313-MAX(0,($M313+$S313)-$C313)))+MIN(MAX(0,$D$3-(MAX(0,$F313-MAX(0,($M313+$S313)-$C313)))),MAX(0,MAX(0,($C313+$F313)-$M313)-$S313))</x:f>
      </x:c>
      <x:c r="H313" s="23">
        <x:f>$J312</x:f>
      </x:c>
      <x:c r="I313" s="24">
        <x:f>MIN($E313,$H313)</x:f>
      </x:c>
      <x:c r="J313" s="24">
        <x:f>$H313-$I313</x:f>
      </x:c>
      <x:c r="K313" s="23">
        <x:f>$P312</x:f>
      </x:c>
      <x:c r="L313" s="24">
        <x:f>$K313*Inputs!$C$18/12</x:f>
      </x:c>
      <x:c r="M313" s="24">
        <x:f>MIN(($C313+$F313),$L313)</x:f>
      </x:c>
      <x:c r="N313" s="24">
        <x:f>MIN(($D313+$X313),MAX(0,$K313-$O313))</x:f>
      </x:c>
      <x:c r="O313" s="24">
        <x:f>MIN(MAX(0,MAX(0,$E313-$I313)-$U313),$K313)</x:f>
      </x:c>
      <x:c r="P313" s="24">
        <x:f>MAX(0,$K313-$O313)-$N313</x:f>
      </x:c>
      <x:c r="Q313" s="23">
        <x:f>$V312</x:f>
      </x:c>
      <x:c r="R313" s="24">
        <x:f>$Q313*Inputs!$C$19/12</x:f>
      </x:c>
      <x:c r="S313" s="24">
        <x:f>MIN(MAX(0,($C313+$F313)-$M313),$R313)</x:f>
      </x:c>
      <x:c r="T313" s="24">
        <x:f>MIN(MAX(0,($D313+$X313)-$N313),MAX(0,$Q313-$U313))</x:f>
      </x:c>
      <x:c r="U313" s="24">
        <x:f>MIN(MAX(0,$E313-$I313),$Q313)</x:f>
      </x:c>
      <x:c r="V313" s="24">
        <x:f>MAX(0,$Q313-$U313)-$T313</x:f>
      </x:c>
      <x:c r="W313" s="24">
        <x:f>MAX(0,MAX(0,($C313+$F313)-$M313)-$S313)-MIN(MAX(0,$D$3-(MAX(0,$F313-MAX(0,($M313+$S313)-$C313)))),MAX(0,MAX(0,($C313+$F313)-$M313)-$S313))</x:f>
      </x:c>
      <x:c r="X313" s="24">
        <x:f>IF(Inputs!$C$39=1,$W313,0)</x:f>
      </x:c>
      <x:c r="Y313" s="24">
        <x:f>IF(Inputs!$C$39=0,$W313,0)+MAX(0,MAX(0,($D313+$X313)-$N313)-$T313)</x:f>
      </x:c>
    </x:row>
    <x:row r="314">
      <x:c r="B314" s="22" t="n">
        <x:v>309</x:v>
      </x:c>
      <x:c r="C314" s="29">
        <x:f>IF($B314&lt;=Inputs!$C$6+Inputs!$C$11,Cashflow_Asset!$E312-Cashflow_Asset!$K312,0)</x:f>
      </x:c>
      <x:c r="D314" s="29">
        <x:f>IF($B314&lt;=Inputs!$C$6+Inputs!$C$11,Cashflow_Asset!$F312+Cashflow_Asset!$G312+Cashflow_Asset!$I312,0)</x:f>
      </x:c>
      <x:c r="E314" s="29">
        <x:f>IF($B314&lt;=Inputs!$C$6+Inputs!$C$11,Cashflow_Asset!$J312,0)</x:f>
      </x:c>
      <x:c r="F314" s="23">
        <x:f>$G313</x:f>
      </x:c>
      <x:c r="G314" s="24">
        <x:f>(MAX(0,$F314-MAX(0,($M314+$S314)-$C314)))+MIN(MAX(0,$D$3-(MAX(0,$F314-MAX(0,($M314+$S314)-$C314)))),MAX(0,MAX(0,($C314+$F314)-$M314)-$S314))</x:f>
      </x:c>
      <x:c r="H314" s="23">
        <x:f>$J313</x:f>
      </x:c>
      <x:c r="I314" s="24">
        <x:f>MIN($E314,$H314)</x:f>
      </x:c>
      <x:c r="J314" s="24">
        <x:f>$H314-$I314</x:f>
      </x:c>
      <x:c r="K314" s="23">
        <x:f>$P313</x:f>
      </x:c>
      <x:c r="L314" s="24">
        <x:f>$K314*Inputs!$C$18/12</x:f>
      </x:c>
      <x:c r="M314" s="24">
        <x:f>MIN(($C314+$F314),$L314)</x:f>
      </x:c>
      <x:c r="N314" s="24">
        <x:f>MIN(($D314+$X314),MAX(0,$K314-$O314))</x:f>
      </x:c>
      <x:c r="O314" s="24">
        <x:f>MIN(MAX(0,MAX(0,$E314-$I314)-$U314),$K314)</x:f>
      </x:c>
      <x:c r="P314" s="24">
        <x:f>MAX(0,$K314-$O314)-$N314</x:f>
      </x:c>
      <x:c r="Q314" s="23">
        <x:f>$V313</x:f>
      </x:c>
      <x:c r="R314" s="24">
        <x:f>$Q314*Inputs!$C$19/12</x:f>
      </x:c>
      <x:c r="S314" s="24">
        <x:f>MIN(MAX(0,($C314+$F314)-$M314),$R314)</x:f>
      </x:c>
      <x:c r="T314" s="24">
        <x:f>MIN(MAX(0,($D314+$X314)-$N314),MAX(0,$Q314-$U314))</x:f>
      </x:c>
      <x:c r="U314" s="24">
        <x:f>MIN(MAX(0,$E314-$I314),$Q314)</x:f>
      </x:c>
      <x:c r="V314" s="24">
        <x:f>MAX(0,$Q314-$U314)-$T314</x:f>
      </x:c>
      <x:c r="W314" s="24">
        <x:f>MAX(0,MAX(0,($C314+$F314)-$M314)-$S314)-MIN(MAX(0,$D$3-(MAX(0,$F314-MAX(0,($M314+$S314)-$C314)))),MAX(0,MAX(0,($C314+$F314)-$M314)-$S314))</x:f>
      </x:c>
      <x:c r="X314" s="24">
        <x:f>IF(Inputs!$C$39=1,$W314,0)</x:f>
      </x:c>
      <x:c r="Y314" s="24">
        <x:f>IF(Inputs!$C$39=0,$W314,0)+MAX(0,MAX(0,($D314+$X314)-$N314)-$T314)</x:f>
      </x:c>
    </x:row>
    <x:row r="315">
      <x:c r="B315" s="22" t="n">
        <x:v>310</x:v>
      </x:c>
      <x:c r="C315" s="29">
        <x:f>IF($B315&lt;=Inputs!$C$6+Inputs!$C$11,Cashflow_Asset!$E313-Cashflow_Asset!$K313,0)</x:f>
      </x:c>
      <x:c r="D315" s="29">
        <x:f>IF($B315&lt;=Inputs!$C$6+Inputs!$C$11,Cashflow_Asset!$F313+Cashflow_Asset!$G313+Cashflow_Asset!$I313,0)</x:f>
      </x:c>
      <x:c r="E315" s="29">
        <x:f>IF($B315&lt;=Inputs!$C$6+Inputs!$C$11,Cashflow_Asset!$J313,0)</x:f>
      </x:c>
      <x:c r="F315" s="23">
        <x:f>$G314</x:f>
      </x:c>
      <x:c r="G315" s="24">
        <x:f>(MAX(0,$F315-MAX(0,($M315+$S315)-$C315)))+MIN(MAX(0,$D$3-(MAX(0,$F315-MAX(0,($M315+$S315)-$C315)))),MAX(0,MAX(0,($C315+$F315)-$M315)-$S315))</x:f>
      </x:c>
      <x:c r="H315" s="23">
        <x:f>$J314</x:f>
      </x:c>
      <x:c r="I315" s="24">
        <x:f>MIN($E315,$H315)</x:f>
      </x:c>
      <x:c r="J315" s="24">
        <x:f>$H315-$I315</x:f>
      </x:c>
      <x:c r="K315" s="23">
        <x:f>$P314</x:f>
      </x:c>
      <x:c r="L315" s="24">
        <x:f>$K315*Inputs!$C$18/12</x:f>
      </x:c>
      <x:c r="M315" s="24">
        <x:f>MIN(($C315+$F315),$L315)</x:f>
      </x:c>
      <x:c r="N315" s="24">
        <x:f>MIN(($D315+$X315),MAX(0,$K315-$O315))</x:f>
      </x:c>
      <x:c r="O315" s="24">
        <x:f>MIN(MAX(0,MAX(0,$E315-$I315)-$U315),$K315)</x:f>
      </x:c>
      <x:c r="P315" s="24">
        <x:f>MAX(0,$K315-$O315)-$N315</x:f>
      </x:c>
      <x:c r="Q315" s="23">
        <x:f>$V314</x:f>
      </x:c>
      <x:c r="R315" s="24">
        <x:f>$Q315*Inputs!$C$19/12</x:f>
      </x:c>
      <x:c r="S315" s="24">
        <x:f>MIN(MAX(0,($C315+$F315)-$M315),$R315)</x:f>
      </x:c>
      <x:c r="T315" s="24">
        <x:f>MIN(MAX(0,($D315+$X315)-$N315),MAX(0,$Q315-$U315))</x:f>
      </x:c>
      <x:c r="U315" s="24">
        <x:f>MIN(MAX(0,$E315-$I315),$Q315)</x:f>
      </x:c>
      <x:c r="V315" s="24">
        <x:f>MAX(0,$Q315-$U315)-$T315</x:f>
      </x:c>
      <x:c r="W315" s="24">
        <x:f>MAX(0,MAX(0,($C315+$F315)-$M315)-$S315)-MIN(MAX(0,$D$3-(MAX(0,$F315-MAX(0,($M315+$S315)-$C315)))),MAX(0,MAX(0,($C315+$F315)-$M315)-$S315))</x:f>
      </x:c>
      <x:c r="X315" s="24">
        <x:f>IF(Inputs!$C$39=1,$W315,0)</x:f>
      </x:c>
      <x:c r="Y315" s="24">
        <x:f>IF(Inputs!$C$39=0,$W315,0)+MAX(0,MAX(0,($D315+$X315)-$N315)-$T315)</x:f>
      </x:c>
    </x:row>
    <x:row r="316">
      <x:c r="B316" s="22" t="n">
        <x:v>311</x:v>
      </x:c>
      <x:c r="C316" s="29">
        <x:f>IF($B316&lt;=Inputs!$C$6+Inputs!$C$11,Cashflow_Asset!$E314-Cashflow_Asset!$K314,0)</x:f>
      </x:c>
      <x:c r="D316" s="29">
        <x:f>IF($B316&lt;=Inputs!$C$6+Inputs!$C$11,Cashflow_Asset!$F314+Cashflow_Asset!$G314+Cashflow_Asset!$I314,0)</x:f>
      </x:c>
      <x:c r="E316" s="29">
        <x:f>IF($B316&lt;=Inputs!$C$6+Inputs!$C$11,Cashflow_Asset!$J314,0)</x:f>
      </x:c>
      <x:c r="F316" s="23">
        <x:f>$G315</x:f>
      </x:c>
      <x:c r="G316" s="24">
        <x:f>(MAX(0,$F316-MAX(0,($M316+$S316)-$C316)))+MIN(MAX(0,$D$3-(MAX(0,$F316-MAX(0,($M316+$S316)-$C316)))),MAX(0,MAX(0,($C316+$F316)-$M316)-$S316))</x:f>
      </x:c>
      <x:c r="H316" s="23">
        <x:f>$J315</x:f>
      </x:c>
      <x:c r="I316" s="24">
        <x:f>MIN($E316,$H316)</x:f>
      </x:c>
      <x:c r="J316" s="24">
        <x:f>$H316-$I316</x:f>
      </x:c>
      <x:c r="K316" s="23">
        <x:f>$P315</x:f>
      </x:c>
      <x:c r="L316" s="24">
        <x:f>$K316*Inputs!$C$18/12</x:f>
      </x:c>
      <x:c r="M316" s="24">
        <x:f>MIN(($C316+$F316),$L316)</x:f>
      </x:c>
      <x:c r="N316" s="24">
        <x:f>MIN(($D316+$X316),MAX(0,$K316-$O316))</x:f>
      </x:c>
      <x:c r="O316" s="24">
        <x:f>MIN(MAX(0,MAX(0,$E316-$I316)-$U316),$K316)</x:f>
      </x:c>
      <x:c r="P316" s="24">
        <x:f>MAX(0,$K316-$O316)-$N316</x:f>
      </x:c>
      <x:c r="Q316" s="23">
        <x:f>$V315</x:f>
      </x:c>
      <x:c r="R316" s="24">
        <x:f>$Q316*Inputs!$C$19/12</x:f>
      </x:c>
      <x:c r="S316" s="24">
        <x:f>MIN(MAX(0,($C316+$F316)-$M316),$R316)</x:f>
      </x:c>
      <x:c r="T316" s="24">
        <x:f>MIN(MAX(0,($D316+$X316)-$N316),MAX(0,$Q316-$U316))</x:f>
      </x:c>
      <x:c r="U316" s="24">
        <x:f>MIN(MAX(0,$E316-$I316),$Q316)</x:f>
      </x:c>
      <x:c r="V316" s="24">
        <x:f>MAX(0,$Q316-$U316)-$T316</x:f>
      </x:c>
      <x:c r="W316" s="24">
        <x:f>MAX(0,MAX(0,($C316+$F316)-$M316)-$S316)-MIN(MAX(0,$D$3-(MAX(0,$F316-MAX(0,($M316+$S316)-$C316)))),MAX(0,MAX(0,($C316+$F316)-$M316)-$S316))</x:f>
      </x:c>
      <x:c r="X316" s="24">
        <x:f>IF(Inputs!$C$39=1,$W316,0)</x:f>
      </x:c>
      <x:c r="Y316" s="24">
        <x:f>IF(Inputs!$C$39=0,$W316,0)+MAX(0,MAX(0,($D316+$X316)-$N316)-$T316)</x:f>
      </x:c>
    </x:row>
    <x:row r="317">
      <x:c r="B317" s="22" t="n">
        <x:v>312</x:v>
      </x:c>
      <x:c r="C317" s="29">
        <x:f>IF($B317&lt;=Inputs!$C$6+Inputs!$C$11,Cashflow_Asset!$E315-Cashflow_Asset!$K315,0)</x:f>
      </x:c>
      <x:c r="D317" s="29">
        <x:f>IF($B317&lt;=Inputs!$C$6+Inputs!$C$11,Cashflow_Asset!$F315+Cashflow_Asset!$G315+Cashflow_Asset!$I315,0)</x:f>
      </x:c>
      <x:c r="E317" s="29">
        <x:f>IF($B317&lt;=Inputs!$C$6+Inputs!$C$11,Cashflow_Asset!$J315,0)</x:f>
      </x:c>
      <x:c r="F317" s="23">
        <x:f>$G316</x:f>
      </x:c>
      <x:c r="G317" s="24">
        <x:f>(MAX(0,$F317-MAX(0,($M317+$S317)-$C317)))+MIN(MAX(0,$D$3-(MAX(0,$F317-MAX(0,($M317+$S317)-$C317)))),MAX(0,MAX(0,($C317+$F317)-$M317)-$S317))</x:f>
      </x:c>
      <x:c r="H317" s="23">
        <x:f>$J316</x:f>
      </x:c>
      <x:c r="I317" s="24">
        <x:f>MIN($E317,$H317)</x:f>
      </x:c>
      <x:c r="J317" s="24">
        <x:f>$H317-$I317</x:f>
      </x:c>
      <x:c r="K317" s="23">
        <x:f>$P316</x:f>
      </x:c>
      <x:c r="L317" s="24">
        <x:f>$K317*Inputs!$C$18/12</x:f>
      </x:c>
      <x:c r="M317" s="24">
        <x:f>MIN(($C317+$F317),$L317)</x:f>
      </x:c>
      <x:c r="N317" s="24">
        <x:f>MIN(($D317+$X317),MAX(0,$K317-$O317))</x:f>
      </x:c>
      <x:c r="O317" s="24">
        <x:f>MIN(MAX(0,MAX(0,$E317-$I317)-$U317),$K317)</x:f>
      </x:c>
      <x:c r="P317" s="24">
        <x:f>MAX(0,$K317-$O317)-$N317</x:f>
      </x:c>
      <x:c r="Q317" s="23">
        <x:f>$V316</x:f>
      </x:c>
      <x:c r="R317" s="24">
        <x:f>$Q317*Inputs!$C$19/12</x:f>
      </x:c>
      <x:c r="S317" s="24">
        <x:f>MIN(MAX(0,($C317+$F317)-$M317),$R317)</x:f>
      </x:c>
      <x:c r="T317" s="24">
        <x:f>MIN(MAX(0,($D317+$X317)-$N317),MAX(0,$Q317-$U317))</x:f>
      </x:c>
      <x:c r="U317" s="24">
        <x:f>MIN(MAX(0,$E317-$I317),$Q317)</x:f>
      </x:c>
      <x:c r="V317" s="24">
        <x:f>MAX(0,$Q317-$U317)-$T317</x:f>
      </x:c>
      <x:c r="W317" s="24">
        <x:f>MAX(0,MAX(0,($C317+$F317)-$M317)-$S317)-MIN(MAX(0,$D$3-(MAX(0,$F317-MAX(0,($M317+$S317)-$C317)))),MAX(0,MAX(0,($C317+$F317)-$M317)-$S317))</x:f>
      </x:c>
      <x:c r="X317" s="24">
        <x:f>IF(Inputs!$C$39=1,$W317,0)</x:f>
      </x:c>
      <x:c r="Y317" s="24">
        <x:f>IF(Inputs!$C$39=0,$W317,0)+MAX(0,MAX(0,($D317+$X317)-$N317)-$T317)</x:f>
      </x:c>
    </x:row>
    <x:row r="318">
      <x:c r="B318" s="22" t="n">
        <x:v>313</x:v>
      </x:c>
      <x:c r="C318" s="29">
        <x:f>IF($B318&lt;=Inputs!$C$6+Inputs!$C$11,Cashflow_Asset!$E316-Cashflow_Asset!$K316,0)</x:f>
      </x:c>
      <x:c r="D318" s="29">
        <x:f>IF($B318&lt;=Inputs!$C$6+Inputs!$C$11,Cashflow_Asset!$F316+Cashflow_Asset!$G316+Cashflow_Asset!$I316,0)</x:f>
      </x:c>
      <x:c r="E318" s="29">
        <x:f>IF($B318&lt;=Inputs!$C$6+Inputs!$C$11,Cashflow_Asset!$J316,0)</x:f>
      </x:c>
      <x:c r="F318" s="23">
        <x:f>$G317</x:f>
      </x:c>
      <x:c r="G318" s="24">
        <x:f>(MAX(0,$F318-MAX(0,($M318+$S318)-$C318)))+MIN(MAX(0,$D$3-(MAX(0,$F318-MAX(0,($M318+$S318)-$C318)))),MAX(0,MAX(0,($C318+$F318)-$M318)-$S318))</x:f>
      </x:c>
      <x:c r="H318" s="23">
        <x:f>$J317</x:f>
      </x:c>
      <x:c r="I318" s="24">
        <x:f>MIN($E318,$H318)</x:f>
      </x:c>
      <x:c r="J318" s="24">
        <x:f>$H318-$I318</x:f>
      </x:c>
      <x:c r="K318" s="23">
        <x:f>$P317</x:f>
      </x:c>
      <x:c r="L318" s="24">
        <x:f>$K318*Inputs!$C$18/12</x:f>
      </x:c>
      <x:c r="M318" s="24">
        <x:f>MIN(($C318+$F318),$L318)</x:f>
      </x:c>
      <x:c r="N318" s="24">
        <x:f>MIN(($D318+$X318),MAX(0,$K318-$O318))</x:f>
      </x:c>
      <x:c r="O318" s="24">
        <x:f>MIN(MAX(0,MAX(0,$E318-$I318)-$U318),$K318)</x:f>
      </x:c>
      <x:c r="P318" s="24">
        <x:f>MAX(0,$K318-$O318)-$N318</x:f>
      </x:c>
      <x:c r="Q318" s="23">
        <x:f>$V317</x:f>
      </x:c>
      <x:c r="R318" s="24">
        <x:f>$Q318*Inputs!$C$19/12</x:f>
      </x:c>
      <x:c r="S318" s="24">
        <x:f>MIN(MAX(0,($C318+$F318)-$M318),$R318)</x:f>
      </x:c>
      <x:c r="T318" s="24">
        <x:f>MIN(MAX(0,($D318+$X318)-$N318),MAX(0,$Q318-$U318))</x:f>
      </x:c>
      <x:c r="U318" s="24">
        <x:f>MIN(MAX(0,$E318-$I318),$Q318)</x:f>
      </x:c>
      <x:c r="V318" s="24">
        <x:f>MAX(0,$Q318-$U318)-$T318</x:f>
      </x:c>
      <x:c r="W318" s="24">
        <x:f>MAX(0,MAX(0,($C318+$F318)-$M318)-$S318)-MIN(MAX(0,$D$3-(MAX(0,$F318-MAX(0,($M318+$S318)-$C318)))),MAX(0,MAX(0,($C318+$F318)-$M318)-$S318))</x:f>
      </x:c>
      <x:c r="X318" s="24">
        <x:f>IF(Inputs!$C$39=1,$W318,0)</x:f>
      </x:c>
      <x:c r="Y318" s="24">
        <x:f>IF(Inputs!$C$39=0,$W318,0)+MAX(0,MAX(0,($D318+$X318)-$N318)-$T318)</x:f>
      </x:c>
    </x:row>
    <x:row r="319">
      <x:c r="B319" s="22" t="n">
        <x:v>314</x:v>
      </x:c>
      <x:c r="C319" s="29">
        <x:f>IF($B319&lt;=Inputs!$C$6+Inputs!$C$11,Cashflow_Asset!$E317-Cashflow_Asset!$K317,0)</x:f>
      </x:c>
      <x:c r="D319" s="29">
        <x:f>IF($B319&lt;=Inputs!$C$6+Inputs!$C$11,Cashflow_Asset!$F317+Cashflow_Asset!$G317+Cashflow_Asset!$I317,0)</x:f>
      </x:c>
      <x:c r="E319" s="29">
        <x:f>IF($B319&lt;=Inputs!$C$6+Inputs!$C$11,Cashflow_Asset!$J317,0)</x:f>
      </x:c>
      <x:c r="F319" s="23">
        <x:f>$G318</x:f>
      </x:c>
      <x:c r="G319" s="24">
        <x:f>(MAX(0,$F319-MAX(0,($M319+$S319)-$C319)))+MIN(MAX(0,$D$3-(MAX(0,$F319-MAX(0,($M319+$S319)-$C319)))),MAX(0,MAX(0,($C319+$F319)-$M319)-$S319))</x:f>
      </x:c>
      <x:c r="H319" s="23">
        <x:f>$J318</x:f>
      </x:c>
      <x:c r="I319" s="24">
        <x:f>MIN($E319,$H319)</x:f>
      </x:c>
      <x:c r="J319" s="24">
        <x:f>$H319-$I319</x:f>
      </x:c>
      <x:c r="K319" s="23">
        <x:f>$P318</x:f>
      </x:c>
      <x:c r="L319" s="24">
        <x:f>$K319*Inputs!$C$18/12</x:f>
      </x:c>
      <x:c r="M319" s="24">
        <x:f>MIN(($C319+$F319),$L319)</x:f>
      </x:c>
      <x:c r="N319" s="24">
        <x:f>MIN(($D319+$X319),MAX(0,$K319-$O319))</x:f>
      </x:c>
      <x:c r="O319" s="24">
        <x:f>MIN(MAX(0,MAX(0,$E319-$I319)-$U319),$K319)</x:f>
      </x:c>
      <x:c r="P319" s="24">
        <x:f>MAX(0,$K319-$O319)-$N319</x:f>
      </x:c>
      <x:c r="Q319" s="23">
        <x:f>$V318</x:f>
      </x:c>
      <x:c r="R319" s="24">
        <x:f>$Q319*Inputs!$C$19/12</x:f>
      </x:c>
      <x:c r="S319" s="24">
        <x:f>MIN(MAX(0,($C319+$F319)-$M319),$R319)</x:f>
      </x:c>
      <x:c r="T319" s="24">
        <x:f>MIN(MAX(0,($D319+$X319)-$N319),MAX(0,$Q319-$U319))</x:f>
      </x:c>
      <x:c r="U319" s="24">
        <x:f>MIN(MAX(0,$E319-$I319),$Q319)</x:f>
      </x:c>
      <x:c r="V319" s="24">
        <x:f>MAX(0,$Q319-$U319)-$T319</x:f>
      </x:c>
      <x:c r="W319" s="24">
        <x:f>MAX(0,MAX(0,($C319+$F319)-$M319)-$S319)-MIN(MAX(0,$D$3-(MAX(0,$F319-MAX(0,($M319+$S319)-$C319)))),MAX(0,MAX(0,($C319+$F319)-$M319)-$S319))</x:f>
      </x:c>
      <x:c r="X319" s="24">
        <x:f>IF(Inputs!$C$39=1,$W319,0)</x:f>
      </x:c>
      <x:c r="Y319" s="24">
        <x:f>IF(Inputs!$C$39=0,$W319,0)+MAX(0,MAX(0,($D319+$X319)-$N319)-$T319)</x:f>
      </x:c>
    </x:row>
    <x:row r="320">
      <x:c r="B320" s="22" t="n">
        <x:v>315</x:v>
      </x:c>
      <x:c r="C320" s="29">
        <x:f>IF($B320&lt;=Inputs!$C$6+Inputs!$C$11,Cashflow_Asset!$E318-Cashflow_Asset!$K318,0)</x:f>
      </x:c>
      <x:c r="D320" s="29">
        <x:f>IF($B320&lt;=Inputs!$C$6+Inputs!$C$11,Cashflow_Asset!$F318+Cashflow_Asset!$G318+Cashflow_Asset!$I318,0)</x:f>
      </x:c>
      <x:c r="E320" s="29">
        <x:f>IF($B320&lt;=Inputs!$C$6+Inputs!$C$11,Cashflow_Asset!$J318,0)</x:f>
      </x:c>
      <x:c r="F320" s="23">
        <x:f>$G319</x:f>
      </x:c>
      <x:c r="G320" s="24">
        <x:f>(MAX(0,$F320-MAX(0,($M320+$S320)-$C320)))+MIN(MAX(0,$D$3-(MAX(0,$F320-MAX(0,($M320+$S320)-$C320)))),MAX(0,MAX(0,($C320+$F320)-$M320)-$S320))</x:f>
      </x:c>
      <x:c r="H320" s="23">
        <x:f>$J319</x:f>
      </x:c>
      <x:c r="I320" s="24">
        <x:f>MIN($E320,$H320)</x:f>
      </x:c>
      <x:c r="J320" s="24">
        <x:f>$H320-$I320</x:f>
      </x:c>
      <x:c r="K320" s="23">
        <x:f>$P319</x:f>
      </x:c>
      <x:c r="L320" s="24">
        <x:f>$K320*Inputs!$C$18/12</x:f>
      </x:c>
      <x:c r="M320" s="24">
        <x:f>MIN(($C320+$F320),$L320)</x:f>
      </x:c>
      <x:c r="N320" s="24">
        <x:f>MIN(($D320+$X320),MAX(0,$K320-$O320))</x:f>
      </x:c>
      <x:c r="O320" s="24">
        <x:f>MIN(MAX(0,MAX(0,$E320-$I320)-$U320),$K320)</x:f>
      </x:c>
      <x:c r="P320" s="24">
        <x:f>MAX(0,$K320-$O320)-$N320</x:f>
      </x:c>
      <x:c r="Q320" s="23">
        <x:f>$V319</x:f>
      </x:c>
      <x:c r="R320" s="24">
        <x:f>$Q320*Inputs!$C$19/12</x:f>
      </x:c>
      <x:c r="S320" s="24">
        <x:f>MIN(MAX(0,($C320+$F320)-$M320),$R320)</x:f>
      </x:c>
      <x:c r="T320" s="24">
        <x:f>MIN(MAX(0,($D320+$X320)-$N320),MAX(0,$Q320-$U320))</x:f>
      </x:c>
      <x:c r="U320" s="24">
        <x:f>MIN(MAX(0,$E320-$I320),$Q320)</x:f>
      </x:c>
      <x:c r="V320" s="24">
        <x:f>MAX(0,$Q320-$U320)-$T320</x:f>
      </x:c>
      <x:c r="W320" s="24">
        <x:f>MAX(0,MAX(0,($C320+$F320)-$M320)-$S320)-MIN(MAX(0,$D$3-(MAX(0,$F320-MAX(0,($M320+$S320)-$C320)))),MAX(0,MAX(0,($C320+$F320)-$M320)-$S320))</x:f>
      </x:c>
      <x:c r="X320" s="24">
        <x:f>IF(Inputs!$C$39=1,$W320,0)</x:f>
      </x:c>
      <x:c r="Y320" s="24">
        <x:f>IF(Inputs!$C$39=0,$W320,0)+MAX(0,MAX(0,($D320+$X320)-$N320)-$T320)</x:f>
      </x:c>
    </x:row>
    <x:row r="321">
      <x:c r="B321" s="22" t="n">
        <x:v>316</x:v>
      </x:c>
      <x:c r="C321" s="29">
        <x:f>IF($B321&lt;=Inputs!$C$6+Inputs!$C$11,Cashflow_Asset!$E319-Cashflow_Asset!$K319,0)</x:f>
      </x:c>
      <x:c r="D321" s="29">
        <x:f>IF($B321&lt;=Inputs!$C$6+Inputs!$C$11,Cashflow_Asset!$F319+Cashflow_Asset!$G319+Cashflow_Asset!$I319,0)</x:f>
      </x:c>
      <x:c r="E321" s="29">
        <x:f>IF($B321&lt;=Inputs!$C$6+Inputs!$C$11,Cashflow_Asset!$J319,0)</x:f>
      </x:c>
      <x:c r="F321" s="23">
        <x:f>$G320</x:f>
      </x:c>
      <x:c r="G321" s="24">
        <x:f>(MAX(0,$F321-MAX(0,($M321+$S321)-$C321)))+MIN(MAX(0,$D$3-(MAX(0,$F321-MAX(0,($M321+$S321)-$C321)))),MAX(0,MAX(0,($C321+$F321)-$M321)-$S321))</x:f>
      </x:c>
      <x:c r="H321" s="23">
        <x:f>$J320</x:f>
      </x:c>
      <x:c r="I321" s="24">
        <x:f>MIN($E321,$H321)</x:f>
      </x:c>
      <x:c r="J321" s="24">
        <x:f>$H321-$I321</x:f>
      </x:c>
      <x:c r="K321" s="23">
        <x:f>$P320</x:f>
      </x:c>
      <x:c r="L321" s="24">
        <x:f>$K321*Inputs!$C$18/12</x:f>
      </x:c>
      <x:c r="M321" s="24">
        <x:f>MIN(($C321+$F321),$L321)</x:f>
      </x:c>
      <x:c r="N321" s="24">
        <x:f>MIN(($D321+$X321),MAX(0,$K321-$O321))</x:f>
      </x:c>
      <x:c r="O321" s="24">
        <x:f>MIN(MAX(0,MAX(0,$E321-$I321)-$U321),$K321)</x:f>
      </x:c>
      <x:c r="P321" s="24">
        <x:f>MAX(0,$K321-$O321)-$N321</x:f>
      </x:c>
      <x:c r="Q321" s="23">
        <x:f>$V320</x:f>
      </x:c>
      <x:c r="R321" s="24">
        <x:f>$Q321*Inputs!$C$19/12</x:f>
      </x:c>
      <x:c r="S321" s="24">
        <x:f>MIN(MAX(0,($C321+$F321)-$M321),$R321)</x:f>
      </x:c>
      <x:c r="T321" s="24">
        <x:f>MIN(MAX(0,($D321+$X321)-$N321),MAX(0,$Q321-$U321))</x:f>
      </x:c>
      <x:c r="U321" s="24">
        <x:f>MIN(MAX(0,$E321-$I321),$Q321)</x:f>
      </x:c>
      <x:c r="V321" s="24">
        <x:f>MAX(0,$Q321-$U321)-$T321</x:f>
      </x:c>
      <x:c r="W321" s="24">
        <x:f>MAX(0,MAX(0,($C321+$F321)-$M321)-$S321)-MIN(MAX(0,$D$3-(MAX(0,$F321-MAX(0,($M321+$S321)-$C321)))),MAX(0,MAX(0,($C321+$F321)-$M321)-$S321))</x:f>
      </x:c>
      <x:c r="X321" s="24">
        <x:f>IF(Inputs!$C$39=1,$W321,0)</x:f>
      </x:c>
      <x:c r="Y321" s="24">
        <x:f>IF(Inputs!$C$39=0,$W321,0)+MAX(0,MAX(0,($D321+$X321)-$N321)-$T321)</x:f>
      </x:c>
    </x:row>
    <x:row r="322">
      <x:c r="B322" s="22" t="n">
        <x:v>317</x:v>
      </x:c>
      <x:c r="C322" s="29">
        <x:f>IF($B322&lt;=Inputs!$C$6+Inputs!$C$11,Cashflow_Asset!$E320-Cashflow_Asset!$K320,0)</x:f>
      </x:c>
      <x:c r="D322" s="29">
        <x:f>IF($B322&lt;=Inputs!$C$6+Inputs!$C$11,Cashflow_Asset!$F320+Cashflow_Asset!$G320+Cashflow_Asset!$I320,0)</x:f>
      </x:c>
      <x:c r="E322" s="29">
        <x:f>IF($B322&lt;=Inputs!$C$6+Inputs!$C$11,Cashflow_Asset!$J320,0)</x:f>
      </x:c>
      <x:c r="F322" s="23">
        <x:f>$G321</x:f>
      </x:c>
      <x:c r="G322" s="24">
        <x:f>(MAX(0,$F322-MAX(0,($M322+$S322)-$C322)))+MIN(MAX(0,$D$3-(MAX(0,$F322-MAX(0,($M322+$S322)-$C322)))),MAX(0,MAX(0,($C322+$F322)-$M322)-$S322))</x:f>
      </x:c>
      <x:c r="H322" s="23">
        <x:f>$J321</x:f>
      </x:c>
      <x:c r="I322" s="24">
        <x:f>MIN($E322,$H322)</x:f>
      </x:c>
      <x:c r="J322" s="24">
        <x:f>$H322-$I322</x:f>
      </x:c>
      <x:c r="K322" s="23">
        <x:f>$P321</x:f>
      </x:c>
      <x:c r="L322" s="24">
        <x:f>$K322*Inputs!$C$18/12</x:f>
      </x:c>
      <x:c r="M322" s="24">
        <x:f>MIN(($C322+$F322),$L322)</x:f>
      </x:c>
      <x:c r="N322" s="24">
        <x:f>MIN(($D322+$X322),MAX(0,$K322-$O322))</x:f>
      </x:c>
      <x:c r="O322" s="24">
        <x:f>MIN(MAX(0,MAX(0,$E322-$I322)-$U322),$K322)</x:f>
      </x:c>
      <x:c r="P322" s="24">
        <x:f>MAX(0,$K322-$O322)-$N322</x:f>
      </x:c>
      <x:c r="Q322" s="23">
        <x:f>$V321</x:f>
      </x:c>
      <x:c r="R322" s="24">
        <x:f>$Q322*Inputs!$C$19/12</x:f>
      </x:c>
      <x:c r="S322" s="24">
        <x:f>MIN(MAX(0,($C322+$F322)-$M322),$R322)</x:f>
      </x:c>
      <x:c r="T322" s="24">
        <x:f>MIN(MAX(0,($D322+$X322)-$N322),MAX(0,$Q322-$U322))</x:f>
      </x:c>
      <x:c r="U322" s="24">
        <x:f>MIN(MAX(0,$E322-$I322),$Q322)</x:f>
      </x:c>
      <x:c r="V322" s="24">
        <x:f>MAX(0,$Q322-$U322)-$T322</x:f>
      </x:c>
      <x:c r="W322" s="24">
        <x:f>MAX(0,MAX(0,($C322+$F322)-$M322)-$S322)-MIN(MAX(0,$D$3-(MAX(0,$F322-MAX(0,($M322+$S322)-$C322)))),MAX(0,MAX(0,($C322+$F322)-$M322)-$S322))</x:f>
      </x:c>
      <x:c r="X322" s="24">
        <x:f>IF(Inputs!$C$39=1,$W322,0)</x:f>
      </x:c>
      <x:c r="Y322" s="24">
        <x:f>IF(Inputs!$C$39=0,$W322,0)+MAX(0,MAX(0,($D322+$X322)-$N322)-$T322)</x:f>
      </x:c>
    </x:row>
    <x:row r="323">
      <x:c r="B323" s="22" t="n">
        <x:v>318</x:v>
      </x:c>
      <x:c r="C323" s="29">
        <x:f>IF($B323&lt;=Inputs!$C$6+Inputs!$C$11,Cashflow_Asset!$E321-Cashflow_Asset!$K321,0)</x:f>
      </x:c>
      <x:c r="D323" s="29">
        <x:f>IF($B323&lt;=Inputs!$C$6+Inputs!$C$11,Cashflow_Asset!$F321+Cashflow_Asset!$G321+Cashflow_Asset!$I321,0)</x:f>
      </x:c>
      <x:c r="E323" s="29">
        <x:f>IF($B323&lt;=Inputs!$C$6+Inputs!$C$11,Cashflow_Asset!$J321,0)</x:f>
      </x:c>
      <x:c r="F323" s="23">
        <x:f>$G322</x:f>
      </x:c>
      <x:c r="G323" s="24">
        <x:f>(MAX(0,$F323-MAX(0,($M323+$S323)-$C323)))+MIN(MAX(0,$D$3-(MAX(0,$F323-MAX(0,($M323+$S323)-$C323)))),MAX(0,MAX(0,($C323+$F323)-$M323)-$S323))</x:f>
      </x:c>
      <x:c r="H323" s="23">
        <x:f>$J322</x:f>
      </x:c>
      <x:c r="I323" s="24">
        <x:f>MIN($E323,$H323)</x:f>
      </x:c>
      <x:c r="J323" s="24">
        <x:f>$H323-$I323</x:f>
      </x:c>
      <x:c r="K323" s="23">
        <x:f>$P322</x:f>
      </x:c>
      <x:c r="L323" s="24">
        <x:f>$K323*Inputs!$C$18/12</x:f>
      </x:c>
      <x:c r="M323" s="24">
        <x:f>MIN(($C323+$F323),$L323)</x:f>
      </x:c>
      <x:c r="N323" s="24">
        <x:f>MIN(($D323+$X323),MAX(0,$K323-$O323))</x:f>
      </x:c>
      <x:c r="O323" s="24">
        <x:f>MIN(MAX(0,MAX(0,$E323-$I323)-$U323),$K323)</x:f>
      </x:c>
      <x:c r="P323" s="24">
        <x:f>MAX(0,$K323-$O323)-$N323</x:f>
      </x:c>
      <x:c r="Q323" s="23">
        <x:f>$V322</x:f>
      </x:c>
      <x:c r="R323" s="24">
        <x:f>$Q323*Inputs!$C$19/12</x:f>
      </x:c>
      <x:c r="S323" s="24">
        <x:f>MIN(MAX(0,($C323+$F323)-$M323),$R323)</x:f>
      </x:c>
      <x:c r="T323" s="24">
        <x:f>MIN(MAX(0,($D323+$X323)-$N323),MAX(0,$Q323-$U323))</x:f>
      </x:c>
      <x:c r="U323" s="24">
        <x:f>MIN(MAX(0,$E323-$I323),$Q323)</x:f>
      </x:c>
      <x:c r="V323" s="24">
        <x:f>MAX(0,$Q323-$U323)-$T323</x:f>
      </x:c>
      <x:c r="W323" s="24">
        <x:f>MAX(0,MAX(0,($C323+$F323)-$M323)-$S323)-MIN(MAX(0,$D$3-(MAX(0,$F323-MAX(0,($M323+$S323)-$C323)))),MAX(0,MAX(0,($C323+$F323)-$M323)-$S323))</x:f>
      </x:c>
      <x:c r="X323" s="24">
        <x:f>IF(Inputs!$C$39=1,$W323,0)</x:f>
      </x:c>
      <x:c r="Y323" s="24">
        <x:f>IF(Inputs!$C$39=0,$W323,0)+MAX(0,MAX(0,($D323+$X323)-$N323)-$T323)</x:f>
      </x:c>
    </x:row>
    <x:row r="324">
      <x:c r="B324" s="22" t="n">
        <x:v>319</x:v>
      </x:c>
      <x:c r="C324" s="29">
        <x:f>IF($B324&lt;=Inputs!$C$6+Inputs!$C$11,Cashflow_Asset!$E322-Cashflow_Asset!$K322,0)</x:f>
      </x:c>
      <x:c r="D324" s="29">
        <x:f>IF($B324&lt;=Inputs!$C$6+Inputs!$C$11,Cashflow_Asset!$F322+Cashflow_Asset!$G322+Cashflow_Asset!$I322,0)</x:f>
      </x:c>
      <x:c r="E324" s="29">
        <x:f>IF($B324&lt;=Inputs!$C$6+Inputs!$C$11,Cashflow_Asset!$J322,0)</x:f>
      </x:c>
      <x:c r="F324" s="23">
        <x:f>$G323</x:f>
      </x:c>
      <x:c r="G324" s="24">
        <x:f>(MAX(0,$F324-MAX(0,($M324+$S324)-$C324)))+MIN(MAX(0,$D$3-(MAX(0,$F324-MAX(0,($M324+$S324)-$C324)))),MAX(0,MAX(0,($C324+$F324)-$M324)-$S324))</x:f>
      </x:c>
      <x:c r="H324" s="23">
        <x:f>$J323</x:f>
      </x:c>
      <x:c r="I324" s="24">
        <x:f>MIN($E324,$H324)</x:f>
      </x:c>
      <x:c r="J324" s="24">
        <x:f>$H324-$I324</x:f>
      </x:c>
      <x:c r="K324" s="23">
        <x:f>$P323</x:f>
      </x:c>
      <x:c r="L324" s="24">
        <x:f>$K324*Inputs!$C$18/12</x:f>
      </x:c>
      <x:c r="M324" s="24">
        <x:f>MIN(($C324+$F324),$L324)</x:f>
      </x:c>
      <x:c r="N324" s="24">
        <x:f>MIN(($D324+$X324),MAX(0,$K324-$O324))</x:f>
      </x:c>
      <x:c r="O324" s="24">
        <x:f>MIN(MAX(0,MAX(0,$E324-$I324)-$U324),$K324)</x:f>
      </x:c>
      <x:c r="P324" s="24">
        <x:f>MAX(0,$K324-$O324)-$N324</x:f>
      </x:c>
      <x:c r="Q324" s="23">
        <x:f>$V323</x:f>
      </x:c>
      <x:c r="R324" s="24">
        <x:f>$Q324*Inputs!$C$19/12</x:f>
      </x:c>
      <x:c r="S324" s="24">
        <x:f>MIN(MAX(0,($C324+$F324)-$M324),$R324)</x:f>
      </x:c>
      <x:c r="T324" s="24">
        <x:f>MIN(MAX(0,($D324+$X324)-$N324),MAX(0,$Q324-$U324))</x:f>
      </x:c>
      <x:c r="U324" s="24">
        <x:f>MIN(MAX(0,$E324-$I324),$Q324)</x:f>
      </x:c>
      <x:c r="V324" s="24">
        <x:f>MAX(0,$Q324-$U324)-$T324</x:f>
      </x:c>
      <x:c r="W324" s="24">
        <x:f>MAX(0,MAX(0,($C324+$F324)-$M324)-$S324)-MIN(MAX(0,$D$3-(MAX(0,$F324-MAX(0,($M324+$S324)-$C324)))),MAX(0,MAX(0,($C324+$F324)-$M324)-$S324))</x:f>
      </x:c>
      <x:c r="X324" s="24">
        <x:f>IF(Inputs!$C$39=1,$W324,0)</x:f>
      </x:c>
      <x:c r="Y324" s="24">
        <x:f>IF(Inputs!$C$39=0,$W324,0)+MAX(0,MAX(0,($D324+$X324)-$N324)-$T324)</x:f>
      </x:c>
    </x:row>
    <x:row r="325">
      <x:c r="B325" s="22" t="n">
        <x:v>320</x:v>
      </x:c>
      <x:c r="C325" s="29">
        <x:f>IF($B325&lt;=Inputs!$C$6+Inputs!$C$11,Cashflow_Asset!$E323-Cashflow_Asset!$K323,0)</x:f>
      </x:c>
      <x:c r="D325" s="29">
        <x:f>IF($B325&lt;=Inputs!$C$6+Inputs!$C$11,Cashflow_Asset!$F323+Cashflow_Asset!$G323+Cashflow_Asset!$I323,0)</x:f>
      </x:c>
      <x:c r="E325" s="29">
        <x:f>IF($B325&lt;=Inputs!$C$6+Inputs!$C$11,Cashflow_Asset!$J323,0)</x:f>
      </x:c>
      <x:c r="F325" s="23">
        <x:f>$G324</x:f>
      </x:c>
      <x:c r="G325" s="24">
        <x:f>(MAX(0,$F325-MAX(0,($M325+$S325)-$C325)))+MIN(MAX(0,$D$3-(MAX(0,$F325-MAX(0,($M325+$S325)-$C325)))),MAX(0,MAX(0,($C325+$F325)-$M325)-$S325))</x:f>
      </x:c>
      <x:c r="H325" s="23">
        <x:f>$J324</x:f>
      </x:c>
      <x:c r="I325" s="24">
        <x:f>MIN($E325,$H325)</x:f>
      </x:c>
      <x:c r="J325" s="24">
        <x:f>$H325-$I325</x:f>
      </x:c>
      <x:c r="K325" s="23">
        <x:f>$P324</x:f>
      </x:c>
      <x:c r="L325" s="24">
        <x:f>$K325*Inputs!$C$18/12</x:f>
      </x:c>
      <x:c r="M325" s="24">
        <x:f>MIN(($C325+$F325),$L325)</x:f>
      </x:c>
      <x:c r="N325" s="24">
        <x:f>MIN(($D325+$X325),MAX(0,$K325-$O325))</x:f>
      </x:c>
      <x:c r="O325" s="24">
        <x:f>MIN(MAX(0,MAX(0,$E325-$I325)-$U325),$K325)</x:f>
      </x:c>
      <x:c r="P325" s="24">
        <x:f>MAX(0,$K325-$O325)-$N325</x:f>
      </x:c>
      <x:c r="Q325" s="23">
        <x:f>$V324</x:f>
      </x:c>
      <x:c r="R325" s="24">
        <x:f>$Q325*Inputs!$C$19/12</x:f>
      </x:c>
      <x:c r="S325" s="24">
        <x:f>MIN(MAX(0,($C325+$F325)-$M325),$R325)</x:f>
      </x:c>
      <x:c r="T325" s="24">
        <x:f>MIN(MAX(0,($D325+$X325)-$N325),MAX(0,$Q325-$U325))</x:f>
      </x:c>
      <x:c r="U325" s="24">
        <x:f>MIN(MAX(0,$E325-$I325),$Q325)</x:f>
      </x:c>
      <x:c r="V325" s="24">
        <x:f>MAX(0,$Q325-$U325)-$T325</x:f>
      </x:c>
      <x:c r="W325" s="24">
        <x:f>MAX(0,MAX(0,($C325+$F325)-$M325)-$S325)-MIN(MAX(0,$D$3-(MAX(0,$F325-MAX(0,($M325+$S325)-$C325)))),MAX(0,MAX(0,($C325+$F325)-$M325)-$S325))</x:f>
      </x:c>
      <x:c r="X325" s="24">
        <x:f>IF(Inputs!$C$39=1,$W325,0)</x:f>
      </x:c>
      <x:c r="Y325" s="24">
        <x:f>IF(Inputs!$C$39=0,$W325,0)+MAX(0,MAX(0,($D325+$X325)-$N325)-$T325)</x:f>
      </x:c>
    </x:row>
    <x:row r="326">
      <x:c r="B326" s="22" t="n">
        <x:v>321</x:v>
      </x:c>
      <x:c r="C326" s="29">
        <x:f>IF($B326&lt;=Inputs!$C$6+Inputs!$C$11,Cashflow_Asset!$E324-Cashflow_Asset!$K324,0)</x:f>
      </x:c>
      <x:c r="D326" s="29">
        <x:f>IF($B326&lt;=Inputs!$C$6+Inputs!$C$11,Cashflow_Asset!$F324+Cashflow_Asset!$G324+Cashflow_Asset!$I324,0)</x:f>
      </x:c>
      <x:c r="E326" s="29">
        <x:f>IF($B326&lt;=Inputs!$C$6+Inputs!$C$11,Cashflow_Asset!$J324,0)</x:f>
      </x:c>
      <x:c r="F326" s="23">
        <x:f>$G325</x:f>
      </x:c>
      <x:c r="G326" s="24">
        <x:f>(MAX(0,$F326-MAX(0,($M326+$S326)-$C326)))+MIN(MAX(0,$D$3-(MAX(0,$F326-MAX(0,($M326+$S326)-$C326)))),MAX(0,MAX(0,($C326+$F326)-$M326)-$S326))</x:f>
      </x:c>
      <x:c r="H326" s="23">
        <x:f>$J325</x:f>
      </x:c>
      <x:c r="I326" s="24">
        <x:f>MIN($E326,$H326)</x:f>
      </x:c>
      <x:c r="J326" s="24">
        <x:f>$H326-$I326</x:f>
      </x:c>
      <x:c r="K326" s="23">
        <x:f>$P325</x:f>
      </x:c>
      <x:c r="L326" s="24">
        <x:f>$K326*Inputs!$C$18/12</x:f>
      </x:c>
      <x:c r="M326" s="24">
        <x:f>MIN(($C326+$F326),$L326)</x:f>
      </x:c>
      <x:c r="N326" s="24">
        <x:f>MIN(($D326+$X326),MAX(0,$K326-$O326))</x:f>
      </x:c>
      <x:c r="O326" s="24">
        <x:f>MIN(MAX(0,MAX(0,$E326-$I326)-$U326),$K326)</x:f>
      </x:c>
      <x:c r="P326" s="24">
        <x:f>MAX(0,$K326-$O326)-$N326</x:f>
      </x:c>
      <x:c r="Q326" s="23">
        <x:f>$V325</x:f>
      </x:c>
      <x:c r="R326" s="24">
        <x:f>$Q326*Inputs!$C$19/12</x:f>
      </x:c>
      <x:c r="S326" s="24">
        <x:f>MIN(MAX(0,($C326+$F326)-$M326),$R326)</x:f>
      </x:c>
      <x:c r="T326" s="24">
        <x:f>MIN(MAX(0,($D326+$X326)-$N326),MAX(0,$Q326-$U326))</x:f>
      </x:c>
      <x:c r="U326" s="24">
        <x:f>MIN(MAX(0,$E326-$I326),$Q326)</x:f>
      </x:c>
      <x:c r="V326" s="24">
        <x:f>MAX(0,$Q326-$U326)-$T326</x:f>
      </x:c>
      <x:c r="W326" s="24">
        <x:f>MAX(0,MAX(0,($C326+$F326)-$M326)-$S326)-MIN(MAX(0,$D$3-(MAX(0,$F326-MAX(0,($M326+$S326)-$C326)))),MAX(0,MAX(0,($C326+$F326)-$M326)-$S326))</x:f>
      </x:c>
      <x:c r="X326" s="24">
        <x:f>IF(Inputs!$C$39=1,$W326,0)</x:f>
      </x:c>
      <x:c r="Y326" s="24">
        <x:f>IF(Inputs!$C$39=0,$W326,0)+MAX(0,MAX(0,($D326+$X326)-$N326)-$T326)</x:f>
      </x:c>
    </x:row>
    <x:row r="327">
      <x:c r="B327" s="22" t="n">
        <x:v>322</x:v>
      </x:c>
      <x:c r="C327" s="29">
        <x:f>IF($B327&lt;=Inputs!$C$6+Inputs!$C$11,Cashflow_Asset!$E325-Cashflow_Asset!$K325,0)</x:f>
      </x:c>
      <x:c r="D327" s="29">
        <x:f>IF($B327&lt;=Inputs!$C$6+Inputs!$C$11,Cashflow_Asset!$F325+Cashflow_Asset!$G325+Cashflow_Asset!$I325,0)</x:f>
      </x:c>
      <x:c r="E327" s="29">
        <x:f>IF($B327&lt;=Inputs!$C$6+Inputs!$C$11,Cashflow_Asset!$J325,0)</x:f>
      </x:c>
      <x:c r="F327" s="23">
        <x:f>$G326</x:f>
      </x:c>
      <x:c r="G327" s="24">
        <x:f>(MAX(0,$F327-MAX(0,($M327+$S327)-$C327)))+MIN(MAX(0,$D$3-(MAX(0,$F327-MAX(0,($M327+$S327)-$C327)))),MAX(0,MAX(0,($C327+$F327)-$M327)-$S327))</x:f>
      </x:c>
      <x:c r="H327" s="23">
        <x:f>$J326</x:f>
      </x:c>
      <x:c r="I327" s="24">
        <x:f>MIN($E327,$H327)</x:f>
      </x:c>
      <x:c r="J327" s="24">
        <x:f>$H327-$I327</x:f>
      </x:c>
      <x:c r="K327" s="23">
        <x:f>$P326</x:f>
      </x:c>
      <x:c r="L327" s="24">
        <x:f>$K327*Inputs!$C$18/12</x:f>
      </x:c>
      <x:c r="M327" s="24">
        <x:f>MIN(($C327+$F327),$L327)</x:f>
      </x:c>
      <x:c r="N327" s="24">
        <x:f>MIN(($D327+$X327),MAX(0,$K327-$O327))</x:f>
      </x:c>
      <x:c r="O327" s="24">
        <x:f>MIN(MAX(0,MAX(0,$E327-$I327)-$U327),$K327)</x:f>
      </x:c>
      <x:c r="P327" s="24">
        <x:f>MAX(0,$K327-$O327)-$N327</x:f>
      </x:c>
      <x:c r="Q327" s="23">
        <x:f>$V326</x:f>
      </x:c>
      <x:c r="R327" s="24">
        <x:f>$Q327*Inputs!$C$19/12</x:f>
      </x:c>
      <x:c r="S327" s="24">
        <x:f>MIN(MAX(0,($C327+$F327)-$M327),$R327)</x:f>
      </x:c>
      <x:c r="T327" s="24">
        <x:f>MIN(MAX(0,($D327+$X327)-$N327),MAX(0,$Q327-$U327))</x:f>
      </x:c>
      <x:c r="U327" s="24">
        <x:f>MIN(MAX(0,$E327-$I327),$Q327)</x:f>
      </x:c>
      <x:c r="V327" s="24">
        <x:f>MAX(0,$Q327-$U327)-$T327</x:f>
      </x:c>
      <x:c r="W327" s="24">
        <x:f>MAX(0,MAX(0,($C327+$F327)-$M327)-$S327)-MIN(MAX(0,$D$3-(MAX(0,$F327-MAX(0,($M327+$S327)-$C327)))),MAX(0,MAX(0,($C327+$F327)-$M327)-$S327))</x:f>
      </x:c>
      <x:c r="X327" s="24">
        <x:f>IF(Inputs!$C$39=1,$W327,0)</x:f>
      </x:c>
      <x:c r="Y327" s="24">
        <x:f>IF(Inputs!$C$39=0,$W327,0)+MAX(0,MAX(0,($D327+$X327)-$N327)-$T327)</x:f>
      </x:c>
    </x:row>
    <x:row r="328">
      <x:c r="B328" s="22" t="n">
        <x:v>323</x:v>
      </x:c>
      <x:c r="C328" s="29">
        <x:f>IF($B328&lt;=Inputs!$C$6+Inputs!$C$11,Cashflow_Asset!$E326-Cashflow_Asset!$K326,0)</x:f>
      </x:c>
      <x:c r="D328" s="29">
        <x:f>IF($B328&lt;=Inputs!$C$6+Inputs!$C$11,Cashflow_Asset!$F326+Cashflow_Asset!$G326+Cashflow_Asset!$I326,0)</x:f>
      </x:c>
      <x:c r="E328" s="29">
        <x:f>IF($B328&lt;=Inputs!$C$6+Inputs!$C$11,Cashflow_Asset!$J326,0)</x:f>
      </x:c>
      <x:c r="F328" s="23">
        <x:f>$G327</x:f>
      </x:c>
      <x:c r="G328" s="24">
        <x:f>(MAX(0,$F328-MAX(0,($M328+$S328)-$C328)))+MIN(MAX(0,$D$3-(MAX(0,$F328-MAX(0,($M328+$S328)-$C328)))),MAX(0,MAX(0,($C328+$F328)-$M328)-$S328))</x:f>
      </x:c>
      <x:c r="H328" s="23">
        <x:f>$J327</x:f>
      </x:c>
      <x:c r="I328" s="24">
        <x:f>MIN($E328,$H328)</x:f>
      </x:c>
      <x:c r="J328" s="24">
        <x:f>$H328-$I328</x:f>
      </x:c>
      <x:c r="K328" s="23">
        <x:f>$P327</x:f>
      </x:c>
      <x:c r="L328" s="24">
        <x:f>$K328*Inputs!$C$18/12</x:f>
      </x:c>
      <x:c r="M328" s="24">
        <x:f>MIN(($C328+$F328),$L328)</x:f>
      </x:c>
      <x:c r="N328" s="24">
        <x:f>MIN(($D328+$X328),MAX(0,$K328-$O328))</x:f>
      </x:c>
      <x:c r="O328" s="24">
        <x:f>MIN(MAX(0,MAX(0,$E328-$I328)-$U328),$K328)</x:f>
      </x:c>
      <x:c r="P328" s="24">
        <x:f>MAX(0,$K328-$O328)-$N328</x:f>
      </x:c>
      <x:c r="Q328" s="23">
        <x:f>$V327</x:f>
      </x:c>
      <x:c r="R328" s="24">
        <x:f>$Q328*Inputs!$C$19/12</x:f>
      </x:c>
      <x:c r="S328" s="24">
        <x:f>MIN(MAX(0,($C328+$F328)-$M328),$R328)</x:f>
      </x:c>
      <x:c r="T328" s="24">
        <x:f>MIN(MAX(0,($D328+$X328)-$N328),MAX(0,$Q328-$U328))</x:f>
      </x:c>
      <x:c r="U328" s="24">
        <x:f>MIN(MAX(0,$E328-$I328),$Q328)</x:f>
      </x:c>
      <x:c r="V328" s="24">
        <x:f>MAX(0,$Q328-$U328)-$T328</x:f>
      </x:c>
      <x:c r="W328" s="24">
        <x:f>MAX(0,MAX(0,($C328+$F328)-$M328)-$S328)-MIN(MAX(0,$D$3-(MAX(0,$F328-MAX(0,($M328+$S328)-$C328)))),MAX(0,MAX(0,($C328+$F328)-$M328)-$S328))</x:f>
      </x:c>
      <x:c r="X328" s="24">
        <x:f>IF(Inputs!$C$39=1,$W328,0)</x:f>
      </x:c>
      <x:c r="Y328" s="24">
        <x:f>IF(Inputs!$C$39=0,$W328,0)+MAX(0,MAX(0,($D328+$X328)-$N328)-$T328)</x:f>
      </x:c>
    </x:row>
    <x:row r="329">
      <x:c r="B329" s="22" t="n">
        <x:v>324</x:v>
      </x:c>
      <x:c r="C329" s="29">
        <x:f>IF($B329&lt;=Inputs!$C$6+Inputs!$C$11,Cashflow_Asset!$E327-Cashflow_Asset!$K327,0)</x:f>
      </x:c>
      <x:c r="D329" s="29">
        <x:f>IF($B329&lt;=Inputs!$C$6+Inputs!$C$11,Cashflow_Asset!$F327+Cashflow_Asset!$G327+Cashflow_Asset!$I327,0)</x:f>
      </x:c>
      <x:c r="E329" s="29">
        <x:f>IF($B329&lt;=Inputs!$C$6+Inputs!$C$11,Cashflow_Asset!$J327,0)</x:f>
      </x:c>
      <x:c r="F329" s="23">
        <x:f>$G328</x:f>
      </x:c>
      <x:c r="G329" s="24">
        <x:f>(MAX(0,$F329-MAX(0,($M329+$S329)-$C329)))+MIN(MAX(0,$D$3-(MAX(0,$F329-MAX(0,($M329+$S329)-$C329)))),MAX(0,MAX(0,($C329+$F329)-$M329)-$S329))</x:f>
      </x:c>
      <x:c r="H329" s="23">
        <x:f>$J328</x:f>
      </x:c>
      <x:c r="I329" s="24">
        <x:f>MIN($E329,$H329)</x:f>
      </x:c>
      <x:c r="J329" s="24">
        <x:f>$H329-$I329</x:f>
      </x:c>
      <x:c r="K329" s="23">
        <x:f>$P328</x:f>
      </x:c>
      <x:c r="L329" s="24">
        <x:f>$K329*Inputs!$C$18/12</x:f>
      </x:c>
      <x:c r="M329" s="24">
        <x:f>MIN(($C329+$F329),$L329)</x:f>
      </x:c>
      <x:c r="N329" s="24">
        <x:f>MIN(($D329+$X329),MAX(0,$K329-$O329))</x:f>
      </x:c>
      <x:c r="O329" s="24">
        <x:f>MIN(MAX(0,MAX(0,$E329-$I329)-$U329),$K329)</x:f>
      </x:c>
      <x:c r="P329" s="24">
        <x:f>MAX(0,$K329-$O329)-$N329</x:f>
      </x:c>
      <x:c r="Q329" s="23">
        <x:f>$V328</x:f>
      </x:c>
      <x:c r="R329" s="24">
        <x:f>$Q329*Inputs!$C$19/12</x:f>
      </x:c>
      <x:c r="S329" s="24">
        <x:f>MIN(MAX(0,($C329+$F329)-$M329),$R329)</x:f>
      </x:c>
      <x:c r="T329" s="24">
        <x:f>MIN(MAX(0,($D329+$X329)-$N329),MAX(0,$Q329-$U329))</x:f>
      </x:c>
      <x:c r="U329" s="24">
        <x:f>MIN(MAX(0,$E329-$I329),$Q329)</x:f>
      </x:c>
      <x:c r="V329" s="24">
        <x:f>MAX(0,$Q329-$U329)-$T329</x:f>
      </x:c>
      <x:c r="W329" s="24">
        <x:f>MAX(0,MAX(0,($C329+$F329)-$M329)-$S329)-MIN(MAX(0,$D$3-(MAX(0,$F329-MAX(0,($M329+$S329)-$C329)))),MAX(0,MAX(0,($C329+$F329)-$M329)-$S329))</x:f>
      </x:c>
      <x:c r="X329" s="24">
        <x:f>IF(Inputs!$C$39=1,$W329,0)</x:f>
      </x:c>
      <x:c r="Y329" s="24">
        <x:f>IF(Inputs!$C$39=0,$W329,0)+MAX(0,MAX(0,($D329+$X329)-$N329)-$T329)</x:f>
      </x:c>
    </x:row>
    <x:row r="330">
      <x:c r="B330" s="22" t="n">
        <x:v>325</x:v>
      </x:c>
      <x:c r="C330" s="29">
        <x:f>IF($B330&lt;=Inputs!$C$6+Inputs!$C$11,Cashflow_Asset!$E328-Cashflow_Asset!$K328,0)</x:f>
      </x:c>
      <x:c r="D330" s="29">
        <x:f>IF($B330&lt;=Inputs!$C$6+Inputs!$C$11,Cashflow_Asset!$F328+Cashflow_Asset!$G328+Cashflow_Asset!$I328,0)</x:f>
      </x:c>
      <x:c r="E330" s="29">
        <x:f>IF($B330&lt;=Inputs!$C$6+Inputs!$C$11,Cashflow_Asset!$J328,0)</x:f>
      </x:c>
      <x:c r="F330" s="23">
        <x:f>$G329</x:f>
      </x:c>
      <x:c r="G330" s="24">
        <x:f>(MAX(0,$F330-MAX(0,($M330+$S330)-$C330)))+MIN(MAX(0,$D$3-(MAX(0,$F330-MAX(0,($M330+$S330)-$C330)))),MAX(0,MAX(0,($C330+$F330)-$M330)-$S330))</x:f>
      </x:c>
      <x:c r="H330" s="23">
        <x:f>$J329</x:f>
      </x:c>
      <x:c r="I330" s="24">
        <x:f>MIN($E330,$H330)</x:f>
      </x:c>
      <x:c r="J330" s="24">
        <x:f>$H330-$I330</x:f>
      </x:c>
      <x:c r="K330" s="23">
        <x:f>$P329</x:f>
      </x:c>
      <x:c r="L330" s="24">
        <x:f>$K330*Inputs!$C$18/12</x:f>
      </x:c>
      <x:c r="M330" s="24">
        <x:f>MIN(($C330+$F330),$L330)</x:f>
      </x:c>
      <x:c r="N330" s="24">
        <x:f>MIN(($D330+$X330),MAX(0,$K330-$O330))</x:f>
      </x:c>
      <x:c r="O330" s="24">
        <x:f>MIN(MAX(0,MAX(0,$E330-$I330)-$U330),$K330)</x:f>
      </x:c>
      <x:c r="P330" s="24">
        <x:f>MAX(0,$K330-$O330)-$N330</x:f>
      </x:c>
      <x:c r="Q330" s="23">
        <x:f>$V329</x:f>
      </x:c>
      <x:c r="R330" s="24">
        <x:f>$Q330*Inputs!$C$19/12</x:f>
      </x:c>
      <x:c r="S330" s="24">
        <x:f>MIN(MAX(0,($C330+$F330)-$M330),$R330)</x:f>
      </x:c>
      <x:c r="T330" s="24">
        <x:f>MIN(MAX(0,($D330+$X330)-$N330),MAX(0,$Q330-$U330))</x:f>
      </x:c>
      <x:c r="U330" s="24">
        <x:f>MIN(MAX(0,$E330-$I330),$Q330)</x:f>
      </x:c>
      <x:c r="V330" s="24">
        <x:f>MAX(0,$Q330-$U330)-$T330</x:f>
      </x:c>
      <x:c r="W330" s="24">
        <x:f>MAX(0,MAX(0,($C330+$F330)-$M330)-$S330)-MIN(MAX(0,$D$3-(MAX(0,$F330-MAX(0,($M330+$S330)-$C330)))),MAX(0,MAX(0,($C330+$F330)-$M330)-$S330))</x:f>
      </x:c>
      <x:c r="X330" s="24">
        <x:f>IF(Inputs!$C$39=1,$W330,0)</x:f>
      </x:c>
      <x:c r="Y330" s="24">
        <x:f>IF(Inputs!$C$39=0,$W330,0)+MAX(0,MAX(0,($D330+$X330)-$N330)-$T330)</x:f>
      </x:c>
    </x:row>
    <x:row r="331">
      <x:c r="B331" s="22" t="n">
        <x:v>326</x:v>
      </x:c>
      <x:c r="C331" s="29">
        <x:f>IF($B331&lt;=Inputs!$C$6+Inputs!$C$11,Cashflow_Asset!$E329-Cashflow_Asset!$K329,0)</x:f>
      </x:c>
      <x:c r="D331" s="29">
        <x:f>IF($B331&lt;=Inputs!$C$6+Inputs!$C$11,Cashflow_Asset!$F329+Cashflow_Asset!$G329+Cashflow_Asset!$I329,0)</x:f>
      </x:c>
      <x:c r="E331" s="29">
        <x:f>IF($B331&lt;=Inputs!$C$6+Inputs!$C$11,Cashflow_Asset!$J329,0)</x:f>
      </x:c>
      <x:c r="F331" s="23">
        <x:f>$G330</x:f>
      </x:c>
      <x:c r="G331" s="24">
        <x:f>(MAX(0,$F331-MAX(0,($M331+$S331)-$C331)))+MIN(MAX(0,$D$3-(MAX(0,$F331-MAX(0,($M331+$S331)-$C331)))),MAX(0,MAX(0,($C331+$F331)-$M331)-$S331))</x:f>
      </x:c>
      <x:c r="H331" s="23">
        <x:f>$J330</x:f>
      </x:c>
      <x:c r="I331" s="24">
        <x:f>MIN($E331,$H331)</x:f>
      </x:c>
      <x:c r="J331" s="24">
        <x:f>$H331-$I331</x:f>
      </x:c>
      <x:c r="K331" s="23">
        <x:f>$P330</x:f>
      </x:c>
      <x:c r="L331" s="24">
        <x:f>$K331*Inputs!$C$18/12</x:f>
      </x:c>
      <x:c r="M331" s="24">
        <x:f>MIN(($C331+$F331),$L331)</x:f>
      </x:c>
      <x:c r="N331" s="24">
        <x:f>MIN(($D331+$X331),MAX(0,$K331-$O331))</x:f>
      </x:c>
      <x:c r="O331" s="24">
        <x:f>MIN(MAX(0,MAX(0,$E331-$I331)-$U331),$K331)</x:f>
      </x:c>
      <x:c r="P331" s="24">
        <x:f>MAX(0,$K331-$O331)-$N331</x:f>
      </x:c>
      <x:c r="Q331" s="23">
        <x:f>$V330</x:f>
      </x:c>
      <x:c r="R331" s="24">
        <x:f>$Q331*Inputs!$C$19/12</x:f>
      </x:c>
      <x:c r="S331" s="24">
        <x:f>MIN(MAX(0,($C331+$F331)-$M331),$R331)</x:f>
      </x:c>
      <x:c r="T331" s="24">
        <x:f>MIN(MAX(0,($D331+$X331)-$N331),MAX(0,$Q331-$U331))</x:f>
      </x:c>
      <x:c r="U331" s="24">
        <x:f>MIN(MAX(0,$E331-$I331),$Q331)</x:f>
      </x:c>
      <x:c r="V331" s="24">
        <x:f>MAX(0,$Q331-$U331)-$T331</x:f>
      </x:c>
      <x:c r="W331" s="24">
        <x:f>MAX(0,MAX(0,($C331+$F331)-$M331)-$S331)-MIN(MAX(0,$D$3-(MAX(0,$F331-MAX(0,($M331+$S331)-$C331)))),MAX(0,MAX(0,($C331+$F331)-$M331)-$S331))</x:f>
      </x:c>
      <x:c r="X331" s="24">
        <x:f>IF(Inputs!$C$39=1,$W331,0)</x:f>
      </x:c>
      <x:c r="Y331" s="24">
        <x:f>IF(Inputs!$C$39=0,$W331,0)+MAX(0,MAX(0,($D331+$X331)-$N331)-$T331)</x:f>
      </x:c>
    </x:row>
    <x:row r="332">
      <x:c r="B332" s="22" t="n">
        <x:v>327</x:v>
      </x:c>
      <x:c r="C332" s="29">
        <x:f>IF($B332&lt;=Inputs!$C$6+Inputs!$C$11,Cashflow_Asset!$E330-Cashflow_Asset!$K330,0)</x:f>
      </x:c>
      <x:c r="D332" s="29">
        <x:f>IF($B332&lt;=Inputs!$C$6+Inputs!$C$11,Cashflow_Asset!$F330+Cashflow_Asset!$G330+Cashflow_Asset!$I330,0)</x:f>
      </x:c>
      <x:c r="E332" s="29">
        <x:f>IF($B332&lt;=Inputs!$C$6+Inputs!$C$11,Cashflow_Asset!$J330,0)</x:f>
      </x:c>
      <x:c r="F332" s="23">
        <x:f>$G331</x:f>
      </x:c>
      <x:c r="G332" s="24">
        <x:f>(MAX(0,$F332-MAX(0,($M332+$S332)-$C332)))+MIN(MAX(0,$D$3-(MAX(0,$F332-MAX(0,($M332+$S332)-$C332)))),MAX(0,MAX(0,($C332+$F332)-$M332)-$S332))</x:f>
      </x:c>
      <x:c r="H332" s="23">
        <x:f>$J331</x:f>
      </x:c>
      <x:c r="I332" s="24">
        <x:f>MIN($E332,$H332)</x:f>
      </x:c>
      <x:c r="J332" s="24">
        <x:f>$H332-$I332</x:f>
      </x:c>
      <x:c r="K332" s="23">
        <x:f>$P331</x:f>
      </x:c>
      <x:c r="L332" s="24">
        <x:f>$K332*Inputs!$C$18/12</x:f>
      </x:c>
      <x:c r="M332" s="24">
        <x:f>MIN(($C332+$F332),$L332)</x:f>
      </x:c>
      <x:c r="N332" s="24">
        <x:f>MIN(($D332+$X332),MAX(0,$K332-$O332))</x:f>
      </x:c>
      <x:c r="O332" s="24">
        <x:f>MIN(MAX(0,MAX(0,$E332-$I332)-$U332),$K332)</x:f>
      </x:c>
      <x:c r="P332" s="24">
        <x:f>MAX(0,$K332-$O332)-$N332</x:f>
      </x:c>
      <x:c r="Q332" s="23">
        <x:f>$V331</x:f>
      </x:c>
      <x:c r="R332" s="24">
        <x:f>$Q332*Inputs!$C$19/12</x:f>
      </x:c>
      <x:c r="S332" s="24">
        <x:f>MIN(MAX(0,($C332+$F332)-$M332),$R332)</x:f>
      </x:c>
      <x:c r="T332" s="24">
        <x:f>MIN(MAX(0,($D332+$X332)-$N332),MAX(0,$Q332-$U332))</x:f>
      </x:c>
      <x:c r="U332" s="24">
        <x:f>MIN(MAX(0,$E332-$I332),$Q332)</x:f>
      </x:c>
      <x:c r="V332" s="24">
        <x:f>MAX(0,$Q332-$U332)-$T332</x:f>
      </x:c>
      <x:c r="W332" s="24">
        <x:f>MAX(0,MAX(0,($C332+$F332)-$M332)-$S332)-MIN(MAX(0,$D$3-(MAX(0,$F332-MAX(0,($M332+$S332)-$C332)))),MAX(0,MAX(0,($C332+$F332)-$M332)-$S332))</x:f>
      </x:c>
      <x:c r="X332" s="24">
        <x:f>IF(Inputs!$C$39=1,$W332,0)</x:f>
      </x:c>
      <x:c r="Y332" s="24">
        <x:f>IF(Inputs!$C$39=0,$W332,0)+MAX(0,MAX(0,($D332+$X332)-$N332)-$T332)</x:f>
      </x:c>
    </x:row>
    <x:row r="333">
      <x:c r="B333" s="22" t="n">
        <x:v>328</x:v>
      </x:c>
      <x:c r="C333" s="29">
        <x:f>IF($B333&lt;=Inputs!$C$6+Inputs!$C$11,Cashflow_Asset!$E331-Cashflow_Asset!$K331,0)</x:f>
      </x:c>
      <x:c r="D333" s="29">
        <x:f>IF($B333&lt;=Inputs!$C$6+Inputs!$C$11,Cashflow_Asset!$F331+Cashflow_Asset!$G331+Cashflow_Asset!$I331,0)</x:f>
      </x:c>
      <x:c r="E333" s="29">
        <x:f>IF($B333&lt;=Inputs!$C$6+Inputs!$C$11,Cashflow_Asset!$J331,0)</x:f>
      </x:c>
      <x:c r="F333" s="23">
        <x:f>$G332</x:f>
      </x:c>
      <x:c r="G333" s="24">
        <x:f>(MAX(0,$F333-MAX(0,($M333+$S333)-$C333)))+MIN(MAX(0,$D$3-(MAX(0,$F333-MAX(0,($M333+$S333)-$C333)))),MAX(0,MAX(0,($C333+$F333)-$M333)-$S333))</x:f>
      </x:c>
      <x:c r="H333" s="23">
        <x:f>$J332</x:f>
      </x:c>
      <x:c r="I333" s="24">
        <x:f>MIN($E333,$H333)</x:f>
      </x:c>
      <x:c r="J333" s="24">
        <x:f>$H333-$I333</x:f>
      </x:c>
      <x:c r="K333" s="23">
        <x:f>$P332</x:f>
      </x:c>
      <x:c r="L333" s="24">
        <x:f>$K333*Inputs!$C$18/12</x:f>
      </x:c>
      <x:c r="M333" s="24">
        <x:f>MIN(($C333+$F333),$L333)</x:f>
      </x:c>
      <x:c r="N333" s="24">
        <x:f>MIN(($D333+$X333),MAX(0,$K333-$O333))</x:f>
      </x:c>
      <x:c r="O333" s="24">
        <x:f>MIN(MAX(0,MAX(0,$E333-$I333)-$U333),$K333)</x:f>
      </x:c>
      <x:c r="P333" s="24">
        <x:f>MAX(0,$K333-$O333)-$N333</x:f>
      </x:c>
      <x:c r="Q333" s="23">
        <x:f>$V332</x:f>
      </x:c>
      <x:c r="R333" s="24">
        <x:f>$Q333*Inputs!$C$19/12</x:f>
      </x:c>
      <x:c r="S333" s="24">
        <x:f>MIN(MAX(0,($C333+$F333)-$M333),$R333)</x:f>
      </x:c>
      <x:c r="T333" s="24">
        <x:f>MIN(MAX(0,($D333+$X333)-$N333),MAX(0,$Q333-$U333))</x:f>
      </x:c>
      <x:c r="U333" s="24">
        <x:f>MIN(MAX(0,$E333-$I333),$Q333)</x:f>
      </x:c>
      <x:c r="V333" s="24">
        <x:f>MAX(0,$Q333-$U333)-$T333</x:f>
      </x:c>
      <x:c r="W333" s="24">
        <x:f>MAX(0,MAX(0,($C333+$F333)-$M333)-$S333)-MIN(MAX(0,$D$3-(MAX(0,$F333-MAX(0,($M333+$S333)-$C333)))),MAX(0,MAX(0,($C333+$F333)-$M333)-$S333))</x:f>
      </x:c>
      <x:c r="X333" s="24">
        <x:f>IF(Inputs!$C$39=1,$W333,0)</x:f>
      </x:c>
      <x:c r="Y333" s="24">
        <x:f>IF(Inputs!$C$39=0,$W333,0)+MAX(0,MAX(0,($D333+$X333)-$N333)-$T333)</x:f>
      </x:c>
    </x:row>
    <x:row r="334">
      <x:c r="B334" s="22" t="n">
        <x:v>329</x:v>
      </x:c>
      <x:c r="C334" s="29">
        <x:f>IF($B334&lt;=Inputs!$C$6+Inputs!$C$11,Cashflow_Asset!$E332-Cashflow_Asset!$K332,0)</x:f>
      </x:c>
      <x:c r="D334" s="29">
        <x:f>IF($B334&lt;=Inputs!$C$6+Inputs!$C$11,Cashflow_Asset!$F332+Cashflow_Asset!$G332+Cashflow_Asset!$I332,0)</x:f>
      </x:c>
      <x:c r="E334" s="29">
        <x:f>IF($B334&lt;=Inputs!$C$6+Inputs!$C$11,Cashflow_Asset!$J332,0)</x:f>
      </x:c>
      <x:c r="F334" s="23">
        <x:f>$G333</x:f>
      </x:c>
      <x:c r="G334" s="24">
        <x:f>(MAX(0,$F334-MAX(0,($M334+$S334)-$C334)))+MIN(MAX(0,$D$3-(MAX(0,$F334-MAX(0,($M334+$S334)-$C334)))),MAX(0,MAX(0,($C334+$F334)-$M334)-$S334))</x:f>
      </x:c>
      <x:c r="H334" s="23">
        <x:f>$J333</x:f>
      </x:c>
      <x:c r="I334" s="24">
        <x:f>MIN($E334,$H334)</x:f>
      </x:c>
      <x:c r="J334" s="24">
        <x:f>$H334-$I334</x:f>
      </x:c>
      <x:c r="K334" s="23">
        <x:f>$P333</x:f>
      </x:c>
      <x:c r="L334" s="24">
        <x:f>$K334*Inputs!$C$18/12</x:f>
      </x:c>
      <x:c r="M334" s="24">
        <x:f>MIN(($C334+$F334),$L334)</x:f>
      </x:c>
      <x:c r="N334" s="24">
        <x:f>MIN(($D334+$X334),MAX(0,$K334-$O334))</x:f>
      </x:c>
      <x:c r="O334" s="24">
        <x:f>MIN(MAX(0,MAX(0,$E334-$I334)-$U334),$K334)</x:f>
      </x:c>
      <x:c r="P334" s="24">
        <x:f>MAX(0,$K334-$O334)-$N334</x:f>
      </x:c>
      <x:c r="Q334" s="23">
        <x:f>$V333</x:f>
      </x:c>
      <x:c r="R334" s="24">
        <x:f>$Q334*Inputs!$C$19/12</x:f>
      </x:c>
      <x:c r="S334" s="24">
        <x:f>MIN(MAX(0,($C334+$F334)-$M334),$R334)</x:f>
      </x:c>
      <x:c r="T334" s="24">
        <x:f>MIN(MAX(0,($D334+$X334)-$N334),MAX(0,$Q334-$U334))</x:f>
      </x:c>
      <x:c r="U334" s="24">
        <x:f>MIN(MAX(0,$E334-$I334),$Q334)</x:f>
      </x:c>
      <x:c r="V334" s="24">
        <x:f>MAX(0,$Q334-$U334)-$T334</x:f>
      </x:c>
      <x:c r="W334" s="24">
        <x:f>MAX(0,MAX(0,($C334+$F334)-$M334)-$S334)-MIN(MAX(0,$D$3-(MAX(0,$F334-MAX(0,($M334+$S334)-$C334)))),MAX(0,MAX(0,($C334+$F334)-$M334)-$S334))</x:f>
      </x:c>
      <x:c r="X334" s="24">
        <x:f>IF(Inputs!$C$39=1,$W334,0)</x:f>
      </x:c>
      <x:c r="Y334" s="24">
        <x:f>IF(Inputs!$C$39=0,$W334,0)+MAX(0,MAX(0,($D334+$X334)-$N334)-$T334)</x:f>
      </x:c>
    </x:row>
    <x:row r="335">
      <x:c r="B335" s="22" t="n">
        <x:v>330</x:v>
      </x:c>
      <x:c r="C335" s="29">
        <x:f>IF($B335&lt;=Inputs!$C$6+Inputs!$C$11,Cashflow_Asset!$E333-Cashflow_Asset!$K333,0)</x:f>
      </x:c>
      <x:c r="D335" s="29">
        <x:f>IF($B335&lt;=Inputs!$C$6+Inputs!$C$11,Cashflow_Asset!$F333+Cashflow_Asset!$G333+Cashflow_Asset!$I333,0)</x:f>
      </x:c>
      <x:c r="E335" s="29">
        <x:f>IF($B335&lt;=Inputs!$C$6+Inputs!$C$11,Cashflow_Asset!$J333,0)</x:f>
      </x:c>
      <x:c r="F335" s="23">
        <x:f>$G334</x:f>
      </x:c>
      <x:c r="G335" s="24">
        <x:f>(MAX(0,$F335-MAX(0,($M335+$S335)-$C335)))+MIN(MAX(0,$D$3-(MAX(0,$F335-MAX(0,($M335+$S335)-$C335)))),MAX(0,MAX(0,($C335+$F335)-$M335)-$S335))</x:f>
      </x:c>
      <x:c r="H335" s="23">
        <x:f>$J334</x:f>
      </x:c>
      <x:c r="I335" s="24">
        <x:f>MIN($E335,$H335)</x:f>
      </x:c>
      <x:c r="J335" s="24">
        <x:f>$H335-$I335</x:f>
      </x:c>
      <x:c r="K335" s="23">
        <x:f>$P334</x:f>
      </x:c>
      <x:c r="L335" s="24">
        <x:f>$K335*Inputs!$C$18/12</x:f>
      </x:c>
      <x:c r="M335" s="24">
        <x:f>MIN(($C335+$F335),$L335)</x:f>
      </x:c>
      <x:c r="N335" s="24">
        <x:f>MIN(($D335+$X335),MAX(0,$K335-$O335))</x:f>
      </x:c>
      <x:c r="O335" s="24">
        <x:f>MIN(MAX(0,MAX(0,$E335-$I335)-$U335),$K335)</x:f>
      </x:c>
      <x:c r="P335" s="24">
        <x:f>MAX(0,$K335-$O335)-$N335</x:f>
      </x:c>
      <x:c r="Q335" s="23">
        <x:f>$V334</x:f>
      </x:c>
      <x:c r="R335" s="24">
        <x:f>$Q335*Inputs!$C$19/12</x:f>
      </x:c>
      <x:c r="S335" s="24">
        <x:f>MIN(MAX(0,($C335+$F335)-$M335),$R335)</x:f>
      </x:c>
      <x:c r="T335" s="24">
        <x:f>MIN(MAX(0,($D335+$X335)-$N335),MAX(0,$Q335-$U335))</x:f>
      </x:c>
      <x:c r="U335" s="24">
        <x:f>MIN(MAX(0,$E335-$I335),$Q335)</x:f>
      </x:c>
      <x:c r="V335" s="24">
        <x:f>MAX(0,$Q335-$U335)-$T335</x:f>
      </x:c>
      <x:c r="W335" s="24">
        <x:f>MAX(0,MAX(0,($C335+$F335)-$M335)-$S335)-MIN(MAX(0,$D$3-(MAX(0,$F335-MAX(0,($M335+$S335)-$C335)))),MAX(0,MAX(0,($C335+$F335)-$M335)-$S335))</x:f>
      </x:c>
      <x:c r="X335" s="24">
        <x:f>IF(Inputs!$C$39=1,$W335,0)</x:f>
      </x:c>
      <x:c r="Y335" s="24">
        <x:f>IF(Inputs!$C$39=0,$W335,0)+MAX(0,MAX(0,($D335+$X335)-$N335)-$T335)</x:f>
      </x:c>
    </x:row>
    <x:row r="336">
      <x:c r="B336" s="22" t="n">
        <x:v>331</x:v>
      </x:c>
      <x:c r="C336" s="29">
        <x:f>IF($B336&lt;=Inputs!$C$6+Inputs!$C$11,Cashflow_Asset!$E334-Cashflow_Asset!$K334,0)</x:f>
      </x:c>
      <x:c r="D336" s="29">
        <x:f>IF($B336&lt;=Inputs!$C$6+Inputs!$C$11,Cashflow_Asset!$F334+Cashflow_Asset!$G334+Cashflow_Asset!$I334,0)</x:f>
      </x:c>
      <x:c r="E336" s="29">
        <x:f>IF($B336&lt;=Inputs!$C$6+Inputs!$C$11,Cashflow_Asset!$J334,0)</x:f>
      </x:c>
      <x:c r="F336" s="23">
        <x:f>$G335</x:f>
      </x:c>
      <x:c r="G336" s="24">
        <x:f>(MAX(0,$F336-MAX(0,($M336+$S336)-$C336)))+MIN(MAX(0,$D$3-(MAX(0,$F336-MAX(0,($M336+$S336)-$C336)))),MAX(0,MAX(0,($C336+$F336)-$M336)-$S336))</x:f>
      </x:c>
      <x:c r="H336" s="23">
        <x:f>$J335</x:f>
      </x:c>
      <x:c r="I336" s="24">
        <x:f>MIN($E336,$H336)</x:f>
      </x:c>
      <x:c r="J336" s="24">
        <x:f>$H336-$I336</x:f>
      </x:c>
      <x:c r="K336" s="23">
        <x:f>$P335</x:f>
      </x:c>
      <x:c r="L336" s="24">
        <x:f>$K336*Inputs!$C$18/12</x:f>
      </x:c>
      <x:c r="M336" s="24">
        <x:f>MIN(($C336+$F336),$L336)</x:f>
      </x:c>
      <x:c r="N336" s="24">
        <x:f>MIN(($D336+$X336),MAX(0,$K336-$O336))</x:f>
      </x:c>
      <x:c r="O336" s="24">
        <x:f>MIN(MAX(0,MAX(0,$E336-$I336)-$U336),$K336)</x:f>
      </x:c>
      <x:c r="P336" s="24">
        <x:f>MAX(0,$K336-$O336)-$N336</x:f>
      </x:c>
      <x:c r="Q336" s="23">
        <x:f>$V335</x:f>
      </x:c>
      <x:c r="R336" s="24">
        <x:f>$Q336*Inputs!$C$19/12</x:f>
      </x:c>
      <x:c r="S336" s="24">
        <x:f>MIN(MAX(0,($C336+$F336)-$M336),$R336)</x:f>
      </x:c>
      <x:c r="T336" s="24">
        <x:f>MIN(MAX(0,($D336+$X336)-$N336),MAX(0,$Q336-$U336))</x:f>
      </x:c>
      <x:c r="U336" s="24">
        <x:f>MIN(MAX(0,$E336-$I336),$Q336)</x:f>
      </x:c>
      <x:c r="V336" s="24">
        <x:f>MAX(0,$Q336-$U336)-$T336</x:f>
      </x:c>
      <x:c r="W336" s="24">
        <x:f>MAX(0,MAX(0,($C336+$F336)-$M336)-$S336)-MIN(MAX(0,$D$3-(MAX(0,$F336-MAX(0,($M336+$S336)-$C336)))),MAX(0,MAX(0,($C336+$F336)-$M336)-$S336))</x:f>
      </x:c>
      <x:c r="X336" s="24">
        <x:f>IF(Inputs!$C$39=1,$W336,0)</x:f>
      </x:c>
      <x:c r="Y336" s="24">
        <x:f>IF(Inputs!$C$39=0,$W336,0)+MAX(0,MAX(0,($D336+$X336)-$N336)-$T336)</x:f>
      </x:c>
    </x:row>
    <x:row r="337">
      <x:c r="B337" s="22" t="n">
        <x:v>332</x:v>
      </x:c>
      <x:c r="C337" s="29">
        <x:f>IF($B337&lt;=Inputs!$C$6+Inputs!$C$11,Cashflow_Asset!$E335-Cashflow_Asset!$K335,0)</x:f>
      </x:c>
      <x:c r="D337" s="29">
        <x:f>IF($B337&lt;=Inputs!$C$6+Inputs!$C$11,Cashflow_Asset!$F335+Cashflow_Asset!$G335+Cashflow_Asset!$I335,0)</x:f>
      </x:c>
      <x:c r="E337" s="29">
        <x:f>IF($B337&lt;=Inputs!$C$6+Inputs!$C$11,Cashflow_Asset!$J335,0)</x:f>
      </x:c>
      <x:c r="F337" s="23">
        <x:f>$G336</x:f>
      </x:c>
      <x:c r="G337" s="24">
        <x:f>(MAX(0,$F337-MAX(0,($M337+$S337)-$C337)))+MIN(MAX(0,$D$3-(MAX(0,$F337-MAX(0,($M337+$S337)-$C337)))),MAX(0,MAX(0,($C337+$F337)-$M337)-$S337))</x:f>
      </x:c>
      <x:c r="H337" s="23">
        <x:f>$J336</x:f>
      </x:c>
      <x:c r="I337" s="24">
        <x:f>MIN($E337,$H337)</x:f>
      </x:c>
      <x:c r="J337" s="24">
        <x:f>$H337-$I337</x:f>
      </x:c>
      <x:c r="K337" s="23">
        <x:f>$P336</x:f>
      </x:c>
      <x:c r="L337" s="24">
        <x:f>$K337*Inputs!$C$18/12</x:f>
      </x:c>
      <x:c r="M337" s="24">
        <x:f>MIN(($C337+$F337),$L337)</x:f>
      </x:c>
      <x:c r="N337" s="24">
        <x:f>MIN(($D337+$X337),MAX(0,$K337-$O337))</x:f>
      </x:c>
      <x:c r="O337" s="24">
        <x:f>MIN(MAX(0,MAX(0,$E337-$I337)-$U337),$K337)</x:f>
      </x:c>
      <x:c r="P337" s="24">
        <x:f>MAX(0,$K337-$O337)-$N337</x:f>
      </x:c>
      <x:c r="Q337" s="23">
        <x:f>$V336</x:f>
      </x:c>
      <x:c r="R337" s="24">
        <x:f>$Q337*Inputs!$C$19/12</x:f>
      </x:c>
      <x:c r="S337" s="24">
        <x:f>MIN(MAX(0,($C337+$F337)-$M337),$R337)</x:f>
      </x:c>
      <x:c r="T337" s="24">
        <x:f>MIN(MAX(0,($D337+$X337)-$N337),MAX(0,$Q337-$U337))</x:f>
      </x:c>
      <x:c r="U337" s="24">
        <x:f>MIN(MAX(0,$E337-$I337),$Q337)</x:f>
      </x:c>
      <x:c r="V337" s="24">
        <x:f>MAX(0,$Q337-$U337)-$T337</x:f>
      </x:c>
      <x:c r="W337" s="24">
        <x:f>MAX(0,MAX(0,($C337+$F337)-$M337)-$S337)-MIN(MAX(0,$D$3-(MAX(0,$F337-MAX(0,($M337+$S337)-$C337)))),MAX(0,MAX(0,($C337+$F337)-$M337)-$S337))</x:f>
      </x:c>
      <x:c r="X337" s="24">
        <x:f>IF(Inputs!$C$39=1,$W337,0)</x:f>
      </x:c>
      <x:c r="Y337" s="24">
        <x:f>IF(Inputs!$C$39=0,$W337,0)+MAX(0,MAX(0,($D337+$X337)-$N337)-$T337)</x:f>
      </x:c>
    </x:row>
    <x:row r="338">
      <x:c r="B338" s="22" t="n">
        <x:v>333</x:v>
      </x:c>
      <x:c r="C338" s="29">
        <x:f>IF($B338&lt;=Inputs!$C$6+Inputs!$C$11,Cashflow_Asset!$E336-Cashflow_Asset!$K336,0)</x:f>
      </x:c>
      <x:c r="D338" s="29">
        <x:f>IF($B338&lt;=Inputs!$C$6+Inputs!$C$11,Cashflow_Asset!$F336+Cashflow_Asset!$G336+Cashflow_Asset!$I336,0)</x:f>
      </x:c>
      <x:c r="E338" s="29">
        <x:f>IF($B338&lt;=Inputs!$C$6+Inputs!$C$11,Cashflow_Asset!$J336,0)</x:f>
      </x:c>
      <x:c r="F338" s="23">
        <x:f>$G337</x:f>
      </x:c>
      <x:c r="G338" s="24">
        <x:f>(MAX(0,$F338-MAX(0,($M338+$S338)-$C338)))+MIN(MAX(0,$D$3-(MAX(0,$F338-MAX(0,($M338+$S338)-$C338)))),MAX(0,MAX(0,($C338+$F338)-$M338)-$S338))</x:f>
      </x:c>
      <x:c r="H338" s="23">
        <x:f>$J337</x:f>
      </x:c>
      <x:c r="I338" s="24">
        <x:f>MIN($E338,$H338)</x:f>
      </x:c>
      <x:c r="J338" s="24">
        <x:f>$H338-$I338</x:f>
      </x:c>
      <x:c r="K338" s="23">
        <x:f>$P337</x:f>
      </x:c>
      <x:c r="L338" s="24">
        <x:f>$K338*Inputs!$C$18/12</x:f>
      </x:c>
      <x:c r="M338" s="24">
        <x:f>MIN(($C338+$F338),$L338)</x:f>
      </x:c>
      <x:c r="N338" s="24">
        <x:f>MIN(($D338+$X338),MAX(0,$K338-$O338))</x:f>
      </x:c>
      <x:c r="O338" s="24">
        <x:f>MIN(MAX(0,MAX(0,$E338-$I338)-$U338),$K338)</x:f>
      </x:c>
      <x:c r="P338" s="24">
        <x:f>MAX(0,$K338-$O338)-$N338</x:f>
      </x:c>
      <x:c r="Q338" s="23">
        <x:f>$V337</x:f>
      </x:c>
      <x:c r="R338" s="24">
        <x:f>$Q338*Inputs!$C$19/12</x:f>
      </x:c>
      <x:c r="S338" s="24">
        <x:f>MIN(MAX(0,($C338+$F338)-$M338),$R338)</x:f>
      </x:c>
      <x:c r="T338" s="24">
        <x:f>MIN(MAX(0,($D338+$X338)-$N338),MAX(0,$Q338-$U338))</x:f>
      </x:c>
      <x:c r="U338" s="24">
        <x:f>MIN(MAX(0,$E338-$I338),$Q338)</x:f>
      </x:c>
      <x:c r="V338" s="24">
        <x:f>MAX(0,$Q338-$U338)-$T338</x:f>
      </x:c>
      <x:c r="W338" s="24">
        <x:f>MAX(0,MAX(0,($C338+$F338)-$M338)-$S338)-MIN(MAX(0,$D$3-(MAX(0,$F338-MAX(0,($M338+$S338)-$C338)))),MAX(0,MAX(0,($C338+$F338)-$M338)-$S338))</x:f>
      </x:c>
      <x:c r="X338" s="24">
        <x:f>IF(Inputs!$C$39=1,$W338,0)</x:f>
      </x:c>
      <x:c r="Y338" s="24">
        <x:f>IF(Inputs!$C$39=0,$W338,0)+MAX(0,MAX(0,($D338+$X338)-$N338)-$T338)</x:f>
      </x:c>
    </x:row>
    <x:row r="339">
      <x:c r="B339" s="22" t="n">
        <x:v>334</x:v>
      </x:c>
      <x:c r="C339" s="29">
        <x:f>IF($B339&lt;=Inputs!$C$6+Inputs!$C$11,Cashflow_Asset!$E337-Cashflow_Asset!$K337,0)</x:f>
      </x:c>
      <x:c r="D339" s="29">
        <x:f>IF($B339&lt;=Inputs!$C$6+Inputs!$C$11,Cashflow_Asset!$F337+Cashflow_Asset!$G337+Cashflow_Asset!$I337,0)</x:f>
      </x:c>
      <x:c r="E339" s="29">
        <x:f>IF($B339&lt;=Inputs!$C$6+Inputs!$C$11,Cashflow_Asset!$J337,0)</x:f>
      </x:c>
      <x:c r="F339" s="23">
        <x:f>$G338</x:f>
      </x:c>
      <x:c r="G339" s="24">
        <x:f>(MAX(0,$F339-MAX(0,($M339+$S339)-$C339)))+MIN(MAX(0,$D$3-(MAX(0,$F339-MAX(0,($M339+$S339)-$C339)))),MAX(0,MAX(0,($C339+$F339)-$M339)-$S339))</x:f>
      </x:c>
      <x:c r="H339" s="23">
        <x:f>$J338</x:f>
      </x:c>
      <x:c r="I339" s="24">
        <x:f>MIN($E339,$H339)</x:f>
      </x:c>
      <x:c r="J339" s="24">
        <x:f>$H339-$I339</x:f>
      </x:c>
      <x:c r="K339" s="23">
        <x:f>$P338</x:f>
      </x:c>
      <x:c r="L339" s="24">
        <x:f>$K339*Inputs!$C$18/12</x:f>
      </x:c>
      <x:c r="M339" s="24">
        <x:f>MIN(($C339+$F339),$L339)</x:f>
      </x:c>
      <x:c r="N339" s="24">
        <x:f>MIN(($D339+$X339),MAX(0,$K339-$O339))</x:f>
      </x:c>
      <x:c r="O339" s="24">
        <x:f>MIN(MAX(0,MAX(0,$E339-$I339)-$U339),$K339)</x:f>
      </x:c>
      <x:c r="P339" s="24">
        <x:f>MAX(0,$K339-$O339)-$N339</x:f>
      </x:c>
      <x:c r="Q339" s="23">
        <x:f>$V338</x:f>
      </x:c>
      <x:c r="R339" s="24">
        <x:f>$Q339*Inputs!$C$19/12</x:f>
      </x:c>
      <x:c r="S339" s="24">
        <x:f>MIN(MAX(0,($C339+$F339)-$M339),$R339)</x:f>
      </x:c>
      <x:c r="T339" s="24">
        <x:f>MIN(MAX(0,($D339+$X339)-$N339),MAX(0,$Q339-$U339))</x:f>
      </x:c>
      <x:c r="U339" s="24">
        <x:f>MIN(MAX(0,$E339-$I339),$Q339)</x:f>
      </x:c>
      <x:c r="V339" s="24">
        <x:f>MAX(0,$Q339-$U339)-$T339</x:f>
      </x:c>
      <x:c r="W339" s="24">
        <x:f>MAX(0,MAX(0,($C339+$F339)-$M339)-$S339)-MIN(MAX(0,$D$3-(MAX(0,$F339-MAX(0,($M339+$S339)-$C339)))),MAX(0,MAX(0,($C339+$F339)-$M339)-$S339))</x:f>
      </x:c>
      <x:c r="X339" s="24">
        <x:f>IF(Inputs!$C$39=1,$W339,0)</x:f>
      </x:c>
      <x:c r="Y339" s="24">
        <x:f>IF(Inputs!$C$39=0,$W339,0)+MAX(0,MAX(0,($D339+$X339)-$N339)-$T339)</x:f>
      </x:c>
    </x:row>
    <x:row r="340">
      <x:c r="B340" s="22" t="n">
        <x:v>335</x:v>
      </x:c>
      <x:c r="C340" s="29">
        <x:f>IF($B340&lt;=Inputs!$C$6+Inputs!$C$11,Cashflow_Asset!$E338-Cashflow_Asset!$K338,0)</x:f>
      </x:c>
      <x:c r="D340" s="29">
        <x:f>IF($B340&lt;=Inputs!$C$6+Inputs!$C$11,Cashflow_Asset!$F338+Cashflow_Asset!$G338+Cashflow_Asset!$I338,0)</x:f>
      </x:c>
      <x:c r="E340" s="29">
        <x:f>IF($B340&lt;=Inputs!$C$6+Inputs!$C$11,Cashflow_Asset!$J338,0)</x:f>
      </x:c>
      <x:c r="F340" s="23">
        <x:f>$G339</x:f>
      </x:c>
      <x:c r="G340" s="24">
        <x:f>(MAX(0,$F340-MAX(0,($M340+$S340)-$C340)))+MIN(MAX(0,$D$3-(MAX(0,$F340-MAX(0,($M340+$S340)-$C340)))),MAX(0,MAX(0,($C340+$F340)-$M340)-$S340))</x:f>
      </x:c>
      <x:c r="H340" s="23">
        <x:f>$J339</x:f>
      </x:c>
      <x:c r="I340" s="24">
        <x:f>MIN($E340,$H340)</x:f>
      </x:c>
      <x:c r="J340" s="24">
        <x:f>$H340-$I340</x:f>
      </x:c>
      <x:c r="K340" s="23">
        <x:f>$P339</x:f>
      </x:c>
      <x:c r="L340" s="24">
        <x:f>$K340*Inputs!$C$18/12</x:f>
      </x:c>
      <x:c r="M340" s="24">
        <x:f>MIN(($C340+$F340),$L340)</x:f>
      </x:c>
      <x:c r="N340" s="24">
        <x:f>MIN(($D340+$X340),MAX(0,$K340-$O340))</x:f>
      </x:c>
      <x:c r="O340" s="24">
        <x:f>MIN(MAX(0,MAX(0,$E340-$I340)-$U340),$K340)</x:f>
      </x:c>
      <x:c r="P340" s="24">
        <x:f>MAX(0,$K340-$O340)-$N340</x:f>
      </x:c>
      <x:c r="Q340" s="23">
        <x:f>$V339</x:f>
      </x:c>
      <x:c r="R340" s="24">
        <x:f>$Q340*Inputs!$C$19/12</x:f>
      </x:c>
      <x:c r="S340" s="24">
        <x:f>MIN(MAX(0,($C340+$F340)-$M340),$R340)</x:f>
      </x:c>
      <x:c r="T340" s="24">
        <x:f>MIN(MAX(0,($D340+$X340)-$N340),MAX(0,$Q340-$U340))</x:f>
      </x:c>
      <x:c r="U340" s="24">
        <x:f>MIN(MAX(0,$E340-$I340),$Q340)</x:f>
      </x:c>
      <x:c r="V340" s="24">
        <x:f>MAX(0,$Q340-$U340)-$T340</x:f>
      </x:c>
      <x:c r="W340" s="24">
        <x:f>MAX(0,MAX(0,($C340+$F340)-$M340)-$S340)-MIN(MAX(0,$D$3-(MAX(0,$F340-MAX(0,($M340+$S340)-$C340)))),MAX(0,MAX(0,($C340+$F340)-$M340)-$S340))</x:f>
      </x:c>
      <x:c r="X340" s="24">
        <x:f>IF(Inputs!$C$39=1,$W340,0)</x:f>
      </x:c>
      <x:c r="Y340" s="24">
        <x:f>IF(Inputs!$C$39=0,$W340,0)+MAX(0,MAX(0,($D340+$X340)-$N340)-$T340)</x:f>
      </x:c>
    </x:row>
    <x:row r="341">
      <x:c r="B341" s="22" t="n">
        <x:v>336</x:v>
      </x:c>
      <x:c r="C341" s="29">
        <x:f>IF($B341&lt;=Inputs!$C$6+Inputs!$C$11,Cashflow_Asset!$E339-Cashflow_Asset!$K339,0)</x:f>
      </x:c>
      <x:c r="D341" s="29">
        <x:f>IF($B341&lt;=Inputs!$C$6+Inputs!$C$11,Cashflow_Asset!$F339+Cashflow_Asset!$G339+Cashflow_Asset!$I339,0)</x:f>
      </x:c>
      <x:c r="E341" s="29">
        <x:f>IF($B341&lt;=Inputs!$C$6+Inputs!$C$11,Cashflow_Asset!$J339,0)</x:f>
      </x:c>
      <x:c r="F341" s="23">
        <x:f>$G340</x:f>
      </x:c>
      <x:c r="G341" s="24">
        <x:f>(MAX(0,$F341-MAX(0,($M341+$S341)-$C341)))+MIN(MAX(0,$D$3-(MAX(0,$F341-MAX(0,($M341+$S341)-$C341)))),MAX(0,MAX(0,($C341+$F341)-$M341)-$S341))</x:f>
      </x:c>
      <x:c r="H341" s="23">
        <x:f>$J340</x:f>
      </x:c>
      <x:c r="I341" s="24">
        <x:f>MIN($E341,$H341)</x:f>
      </x:c>
      <x:c r="J341" s="24">
        <x:f>$H341-$I341</x:f>
      </x:c>
      <x:c r="K341" s="23">
        <x:f>$P340</x:f>
      </x:c>
      <x:c r="L341" s="24">
        <x:f>$K341*Inputs!$C$18/12</x:f>
      </x:c>
      <x:c r="M341" s="24">
        <x:f>MIN(($C341+$F341),$L341)</x:f>
      </x:c>
      <x:c r="N341" s="24">
        <x:f>MIN(($D341+$X341),MAX(0,$K341-$O341))</x:f>
      </x:c>
      <x:c r="O341" s="24">
        <x:f>MIN(MAX(0,MAX(0,$E341-$I341)-$U341),$K341)</x:f>
      </x:c>
      <x:c r="P341" s="24">
        <x:f>MAX(0,$K341-$O341)-$N341</x:f>
      </x:c>
      <x:c r="Q341" s="23">
        <x:f>$V340</x:f>
      </x:c>
      <x:c r="R341" s="24">
        <x:f>$Q341*Inputs!$C$19/12</x:f>
      </x:c>
      <x:c r="S341" s="24">
        <x:f>MIN(MAX(0,($C341+$F341)-$M341),$R341)</x:f>
      </x:c>
      <x:c r="T341" s="24">
        <x:f>MIN(MAX(0,($D341+$X341)-$N341),MAX(0,$Q341-$U341))</x:f>
      </x:c>
      <x:c r="U341" s="24">
        <x:f>MIN(MAX(0,$E341-$I341),$Q341)</x:f>
      </x:c>
      <x:c r="V341" s="24">
        <x:f>MAX(0,$Q341-$U341)-$T341</x:f>
      </x:c>
      <x:c r="W341" s="24">
        <x:f>MAX(0,MAX(0,($C341+$F341)-$M341)-$S341)-MIN(MAX(0,$D$3-(MAX(0,$F341-MAX(0,($M341+$S341)-$C341)))),MAX(0,MAX(0,($C341+$F341)-$M341)-$S341))</x:f>
      </x:c>
      <x:c r="X341" s="24">
        <x:f>IF(Inputs!$C$39=1,$W341,0)</x:f>
      </x:c>
      <x:c r="Y341" s="24">
        <x:f>IF(Inputs!$C$39=0,$W341,0)+MAX(0,MAX(0,($D341+$X341)-$N341)-$T341)</x:f>
      </x:c>
    </x:row>
    <x:row r="342">
      <x:c r="B342" s="22" t="n">
        <x:v>337</x:v>
      </x:c>
      <x:c r="C342" s="29">
        <x:f>IF($B342&lt;=Inputs!$C$6+Inputs!$C$11,Cashflow_Asset!$E340-Cashflow_Asset!$K340,0)</x:f>
      </x:c>
      <x:c r="D342" s="29">
        <x:f>IF($B342&lt;=Inputs!$C$6+Inputs!$C$11,Cashflow_Asset!$F340+Cashflow_Asset!$G340+Cashflow_Asset!$I340,0)</x:f>
      </x:c>
      <x:c r="E342" s="29">
        <x:f>IF($B342&lt;=Inputs!$C$6+Inputs!$C$11,Cashflow_Asset!$J340,0)</x:f>
      </x:c>
      <x:c r="F342" s="23">
        <x:f>$G341</x:f>
      </x:c>
      <x:c r="G342" s="24">
        <x:f>(MAX(0,$F342-MAX(0,($M342+$S342)-$C342)))+MIN(MAX(0,$D$3-(MAX(0,$F342-MAX(0,($M342+$S342)-$C342)))),MAX(0,MAX(0,($C342+$F342)-$M342)-$S342))</x:f>
      </x:c>
      <x:c r="H342" s="23">
        <x:f>$J341</x:f>
      </x:c>
      <x:c r="I342" s="24">
        <x:f>MIN($E342,$H342)</x:f>
      </x:c>
      <x:c r="J342" s="24">
        <x:f>$H342-$I342</x:f>
      </x:c>
      <x:c r="K342" s="23">
        <x:f>$P341</x:f>
      </x:c>
      <x:c r="L342" s="24">
        <x:f>$K342*Inputs!$C$18/12</x:f>
      </x:c>
      <x:c r="M342" s="24">
        <x:f>MIN(($C342+$F342),$L342)</x:f>
      </x:c>
      <x:c r="N342" s="24">
        <x:f>MIN(($D342+$X342),MAX(0,$K342-$O342))</x:f>
      </x:c>
      <x:c r="O342" s="24">
        <x:f>MIN(MAX(0,MAX(0,$E342-$I342)-$U342),$K342)</x:f>
      </x:c>
      <x:c r="P342" s="24">
        <x:f>MAX(0,$K342-$O342)-$N342</x:f>
      </x:c>
      <x:c r="Q342" s="23">
        <x:f>$V341</x:f>
      </x:c>
      <x:c r="R342" s="24">
        <x:f>$Q342*Inputs!$C$19/12</x:f>
      </x:c>
      <x:c r="S342" s="24">
        <x:f>MIN(MAX(0,($C342+$F342)-$M342),$R342)</x:f>
      </x:c>
      <x:c r="T342" s="24">
        <x:f>MIN(MAX(0,($D342+$X342)-$N342),MAX(0,$Q342-$U342))</x:f>
      </x:c>
      <x:c r="U342" s="24">
        <x:f>MIN(MAX(0,$E342-$I342),$Q342)</x:f>
      </x:c>
      <x:c r="V342" s="24">
        <x:f>MAX(0,$Q342-$U342)-$T342</x:f>
      </x:c>
      <x:c r="W342" s="24">
        <x:f>MAX(0,MAX(0,($C342+$F342)-$M342)-$S342)-MIN(MAX(0,$D$3-(MAX(0,$F342-MAX(0,($M342+$S342)-$C342)))),MAX(0,MAX(0,($C342+$F342)-$M342)-$S342))</x:f>
      </x:c>
      <x:c r="X342" s="24">
        <x:f>IF(Inputs!$C$39=1,$W342,0)</x:f>
      </x:c>
      <x:c r="Y342" s="24">
        <x:f>IF(Inputs!$C$39=0,$W342,0)+MAX(0,MAX(0,($D342+$X342)-$N342)-$T342)</x:f>
      </x:c>
    </x:row>
    <x:row r="343">
      <x:c r="B343" s="22" t="n">
        <x:v>338</x:v>
      </x:c>
      <x:c r="C343" s="29">
        <x:f>IF($B343&lt;=Inputs!$C$6+Inputs!$C$11,Cashflow_Asset!$E341-Cashflow_Asset!$K341,0)</x:f>
      </x:c>
      <x:c r="D343" s="29">
        <x:f>IF($B343&lt;=Inputs!$C$6+Inputs!$C$11,Cashflow_Asset!$F341+Cashflow_Asset!$G341+Cashflow_Asset!$I341,0)</x:f>
      </x:c>
      <x:c r="E343" s="29">
        <x:f>IF($B343&lt;=Inputs!$C$6+Inputs!$C$11,Cashflow_Asset!$J341,0)</x:f>
      </x:c>
      <x:c r="F343" s="23">
        <x:f>$G342</x:f>
      </x:c>
      <x:c r="G343" s="24">
        <x:f>(MAX(0,$F343-MAX(0,($M343+$S343)-$C343)))+MIN(MAX(0,$D$3-(MAX(0,$F343-MAX(0,($M343+$S343)-$C343)))),MAX(0,MAX(0,($C343+$F343)-$M343)-$S343))</x:f>
      </x:c>
      <x:c r="H343" s="23">
        <x:f>$J342</x:f>
      </x:c>
      <x:c r="I343" s="24">
        <x:f>MIN($E343,$H343)</x:f>
      </x:c>
      <x:c r="J343" s="24">
        <x:f>$H343-$I343</x:f>
      </x:c>
      <x:c r="K343" s="23">
        <x:f>$P342</x:f>
      </x:c>
      <x:c r="L343" s="24">
        <x:f>$K343*Inputs!$C$18/12</x:f>
      </x:c>
      <x:c r="M343" s="24">
        <x:f>MIN(($C343+$F343),$L343)</x:f>
      </x:c>
      <x:c r="N343" s="24">
        <x:f>MIN(($D343+$X343),MAX(0,$K343-$O343))</x:f>
      </x:c>
      <x:c r="O343" s="24">
        <x:f>MIN(MAX(0,MAX(0,$E343-$I343)-$U343),$K343)</x:f>
      </x:c>
      <x:c r="P343" s="24">
        <x:f>MAX(0,$K343-$O343)-$N343</x:f>
      </x:c>
      <x:c r="Q343" s="23">
        <x:f>$V342</x:f>
      </x:c>
      <x:c r="R343" s="24">
        <x:f>$Q343*Inputs!$C$19/12</x:f>
      </x:c>
      <x:c r="S343" s="24">
        <x:f>MIN(MAX(0,($C343+$F343)-$M343),$R343)</x:f>
      </x:c>
      <x:c r="T343" s="24">
        <x:f>MIN(MAX(0,($D343+$X343)-$N343),MAX(0,$Q343-$U343))</x:f>
      </x:c>
      <x:c r="U343" s="24">
        <x:f>MIN(MAX(0,$E343-$I343),$Q343)</x:f>
      </x:c>
      <x:c r="V343" s="24">
        <x:f>MAX(0,$Q343-$U343)-$T343</x:f>
      </x:c>
      <x:c r="W343" s="24">
        <x:f>MAX(0,MAX(0,($C343+$F343)-$M343)-$S343)-MIN(MAX(0,$D$3-(MAX(0,$F343-MAX(0,($M343+$S343)-$C343)))),MAX(0,MAX(0,($C343+$F343)-$M343)-$S343))</x:f>
      </x:c>
      <x:c r="X343" s="24">
        <x:f>IF(Inputs!$C$39=1,$W343,0)</x:f>
      </x:c>
      <x:c r="Y343" s="24">
        <x:f>IF(Inputs!$C$39=0,$W343,0)+MAX(0,MAX(0,($D343+$X343)-$N343)-$T343)</x:f>
      </x:c>
    </x:row>
    <x:row r="344">
      <x:c r="B344" s="22" t="n">
        <x:v>339</x:v>
      </x:c>
      <x:c r="C344" s="29">
        <x:f>IF($B344&lt;=Inputs!$C$6+Inputs!$C$11,Cashflow_Asset!$E342-Cashflow_Asset!$K342,0)</x:f>
      </x:c>
      <x:c r="D344" s="29">
        <x:f>IF($B344&lt;=Inputs!$C$6+Inputs!$C$11,Cashflow_Asset!$F342+Cashflow_Asset!$G342+Cashflow_Asset!$I342,0)</x:f>
      </x:c>
      <x:c r="E344" s="29">
        <x:f>IF($B344&lt;=Inputs!$C$6+Inputs!$C$11,Cashflow_Asset!$J342,0)</x:f>
      </x:c>
      <x:c r="F344" s="23">
        <x:f>$G343</x:f>
      </x:c>
      <x:c r="G344" s="24">
        <x:f>(MAX(0,$F344-MAX(0,($M344+$S344)-$C344)))+MIN(MAX(0,$D$3-(MAX(0,$F344-MAX(0,($M344+$S344)-$C344)))),MAX(0,MAX(0,($C344+$F344)-$M344)-$S344))</x:f>
      </x:c>
      <x:c r="H344" s="23">
        <x:f>$J343</x:f>
      </x:c>
      <x:c r="I344" s="24">
        <x:f>MIN($E344,$H344)</x:f>
      </x:c>
      <x:c r="J344" s="24">
        <x:f>$H344-$I344</x:f>
      </x:c>
      <x:c r="K344" s="23">
        <x:f>$P343</x:f>
      </x:c>
      <x:c r="L344" s="24">
        <x:f>$K344*Inputs!$C$18/12</x:f>
      </x:c>
      <x:c r="M344" s="24">
        <x:f>MIN(($C344+$F344),$L344)</x:f>
      </x:c>
      <x:c r="N344" s="24">
        <x:f>MIN(($D344+$X344),MAX(0,$K344-$O344))</x:f>
      </x:c>
      <x:c r="O344" s="24">
        <x:f>MIN(MAX(0,MAX(0,$E344-$I344)-$U344),$K344)</x:f>
      </x:c>
      <x:c r="P344" s="24">
        <x:f>MAX(0,$K344-$O344)-$N344</x:f>
      </x:c>
      <x:c r="Q344" s="23">
        <x:f>$V343</x:f>
      </x:c>
      <x:c r="R344" s="24">
        <x:f>$Q344*Inputs!$C$19/12</x:f>
      </x:c>
      <x:c r="S344" s="24">
        <x:f>MIN(MAX(0,($C344+$F344)-$M344),$R344)</x:f>
      </x:c>
      <x:c r="T344" s="24">
        <x:f>MIN(MAX(0,($D344+$X344)-$N344),MAX(0,$Q344-$U344))</x:f>
      </x:c>
      <x:c r="U344" s="24">
        <x:f>MIN(MAX(0,$E344-$I344),$Q344)</x:f>
      </x:c>
      <x:c r="V344" s="24">
        <x:f>MAX(0,$Q344-$U344)-$T344</x:f>
      </x:c>
      <x:c r="W344" s="24">
        <x:f>MAX(0,MAX(0,($C344+$F344)-$M344)-$S344)-MIN(MAX(0,$D$3-(MAX(0,$F344-MAX(0,($M344+$S344)-$C344)))),MAX(0,MAX(0,($C344+$F344)-$M344)-$S344))</x:f>
      </x:c>
      <x:c r="X344" s="24">
        <x:f>IF(Inputs!$C$39=1,$W344,0)</x:f>
      </x:c>
      <x:c r="Y344" s="24">
        <x:f>IF(Inputs!$C$39=0,$W344,0)+MAX(0,MAX(0,($D344+$X344)-$N344)-$T344)</x:f>
      </x:c>
    </x:row>
    <x:row r="345">
      <x:c r="B345" s="22" t="n">
        <x:v>340</x:v>
      </x:c>
      <x:c r="C345" s="29">
        <x:f>IF($B345&lt;=Inputs!$C$6+Inputs!$C$11,Cashflow_Asset!$E343-Cashflow_Asset!$K343,0)</x:f>
      </x:c>
      <x:c r="D345" s="29">
        <x:f>IF($B345&lt;=Inputs!$C$6+Inputs!$C$11,Cashflow_Asset!$F343+Cashflow_Asset!$G343+Cashflow_Asset!$I343,0)</x:f>
      </x:c>
      <x:c r="E345" s="29">
        <x:f>IF($B345&lt;=Inputs!$C$6+Inputs!$C$11,Cashflow_Asset!$J343,0)</x:f>
      </x:c>
      <x:c r="F345" s="23">
        <x:f>$G344</x:f>
      </x:c>
      <x:c r="G345" s="24">
        <x:f>(MAX(0,$F345-MAX(0,($M345+$S345)-$C345)))+MIN(MAX(0,$D$3-(MAX(0,$F345-MAX(0,($M345+$S345)-$C345)))),MAX(0,MAX(0,($C345+$F345)-$M345)-$S345))</x:f>
      </x:c>
      <x:c r="H345" s="23">
        <x:f>$J344</x:f>
      </x:c>
      <x:c r="I345" s="24">
        <x:f>MIN($E345,$H345)</x:f>
      </x:c>
      <x:c r="J345" s="24">
        <x:f>$H345-$I345</x:f>
      </x:c>
      <x:c r="K345" s="23">
        <x:f>$P344</x:f>
      </x:c>
      <x:c r="L345" s="24">
        <x:f>$K345*Inputs!$C$18/12</x:f>
      </x:c>
      <x:c r="M345" s="24">
        <x:f>MIN(($C345+$F345),$L345)</x:f>
      </x:c>
      <x:c r="N345" s="24">
        <x:f>MIN(($D345+$X345),MAX(0,$K345-$O345))</x:f>
      </x:c>
      <x:c r="O345" s="24">
        <x:f>MIN(MAX(0,MAX(0,$E345-$I345)-$U345),$K345)</x:f>
      </x:c>
      <x:c r="P345" s="24">
        <x:f>MAX(0,$K345-$O345)-$N345</x:f>
      </x:c>
      <x:c r="Q345" s="23">
        <x:f>$V344</x:f>
      </x:c>
      <x:c r="R345" s="24">
        <x:f>$Q345*Inputs!$C$19/12</x:f>
      </x:c>
      <x:c r="S345" s="24">
        <x:f>MIN(MAX(0,($C345+$F345)-$M345),$R345)</x:f>
      </x:c>
      <x:c r="T345" s="24">
        <x:f>MIN(MAX(0,($D345+$X345)-$N345),MAX(0,$Q345-$U345))</x:f>
      </x:c>
      <x:c r="U345" s="24">
        <x:f>MIN(MAX(0,$E345-$I345),$Q345)</x:f>
      </x:c>
      <x:c r="V345" s="24">
        <x:f>MAX(0,$Q345-$U345)-$T345</x:f>
      </x:c>
      <x:c r="W345" s="24">
        <x:f>MAX(0,MAX(0,($C345+$F345)-$M345)-$S345)-MIN(MAX(0,$D$3-(MAX(0,$F345-MAX(0,($M345+$S345)-$C345)))),MAX(0,MAX(0,($C345+$F345)-$M345)-$S345))</x:f>
      </x:c>
      <x:c r="X345" s="24">
        <x:f>IF(Inputs!$C$39=1,$W345,0)</x:f>
      </x:c>
      <x:c r="Y345" s="24">
        <x:f>IF(Inputs!$C$39=0,$W345,0)+MAX(0,MAX(0,($D345+$X345)-$N345)-$T345)</x:f>
      </x:c>
    </x:row>
    <x:row r="346">
      <x:c r="B346" s="22" t="n">
        <x:v>341</x:v>
      </x:c>
      <x:c r="C346" s="29">
        <x:f>IF($B346&lt;=Inputs!$C$6+Inputs!$C$11,Cashflow_Asset!$E344-Cashflow_Asset!$K344,0)</x:f>
      </x:c>
      <x:c r="D346" s="29">
        <x:f>IF($B346&lt;=Inputs!$C$6+Inputs!$C$11,Cashflow_Asset!$F344+Cashflow_Asset!$G344+Cashflow_Asset!$I344,0)</x:f>
      </x:c>
      <x:c r="E346" s="29">
        <x:f>IF($B346&lt;=Inputs!$C$6+Inputs!$C$11,Cashflow_Asset!$J344,0)</x:f>
      </x:c>
      <x:c r="F346" s="23">
        <x:f>$G345</x:f>
      </x:c>
      <x:c r="G346" s="24">
        <x:f>(MAX(0,$F346-MAX(0,($M346+$S346)-$C346)))+MIN(MAX(0,$D$3-(MAX(0,$F346-MAX(0,($M346+$S346)-$C346)))),MAX(0,MAX(0,($C346+$F346)-$M346)-$S346))</x:f>
      </x:c>
      <x:c r="H346" s="23">
        <x:f>$J345</x:f>
      </x:c>
      <x:c r="I346" s="24">
        <x:f>MIN($E346,$H346)</x:f>
      </x:c>
      <x:c r="J346" s="24">
        <x:f>$H346-$I346</x:f>
      </x:c>
      <x:c r="K346" s="23">
        <x:f>$P345</x:f>
      </x:c>
      <x:c r="L346" s="24">
        <x:f>$K346*Inputs!$C$18/12</x:f>
      </x:c>
      <x:c r="M346" s="24">
        <x:f>MIN(($C346+$F346),$L346)</x:f>
      </x:c>
      <x:c r="N346" s="24">
        <x:f>MIN(($D346+$X346),MAX(0,$K346-$O346))</x:f>
      </x:c>
      <x:c r="O346" s="24">
        <x:f>MIN(MAX(0,MAX(0,$E346-$I346)-$U346),$K346)</x:f>
      </x:c>
      <x:c r="P346" s="24">
        <x:f>MAX(0,$K346-$O346)-$N346</x:f>
      </x:c>
      <x:c r="Q346" s="23">
        <x:f>$V345</x:f>
      </x:c>
      <x:c r="R346" s="24">
        <x:f>$Q346*Inputs!$C$19/12</x:f>
      </x:c>
      <x:c r="S346" s="24">
        <x:f>MIN(MAX(0,($C346+$F346)-$M346),$R346)</x:f>
      </x:c>
      <x:c r="T346" s="24">
        <x:f>MIN(MAX(0,($D346+$X346)-$N346),MAX(0,$Q346-$U346))</x:f>
      </x:c>
      <x:c r="U346" s="24">
        <x:f>MIN(MAX(0,$E346-$I346),$Q346)</x:f>
      </x:c>
      <x:c r="V346" s="24">
        <x:f>MAX(0,$Q346-$U346)-$T346</x:f>
      </x:c>
      <x:c r="W346" s="24">
        <x:f>MAX(0,MAX(0,($C346+$F346)-$M346)-$S346)-MIN(MAX(0,$D$3-(MAX(0,$F346-MAX(0,($M346+$S346)-$C346)))),MAX(0,MAX(0,($C346+$F346)-$M346)-$S346))</x:f>
      </x:c>
      <x:c r="X346" s="24">
        <x:f>IF(Inputs!$C$39=1,$W346,0)</x:f>
      </x:c>
      <x:c r="Y346" s="24">
        <x:f>IF(Inputs!$C$39=0,$W346,0)+MAX(0,MAX(0,($D346+$X346)-$N346)-$T346)</x:f>
      </x:c>
    </x:row>
    <x:row r="347">
      <x:c r="B347" s="22" t="n">
        <x:v>342</x:v>
      </x:c>
      <x:c r="C347" s="29">
        <x:f>IF($B347&lt;=Inputs!$C$6+Inputs!$C$11,Cashflow_Asset!$E345-Cashflow_Asset!$K345,0)</x:f>
      </x:c>
      <x:c r="D347" s="29">
        <x:f>IF($B347&lt;=Inputs!$C$6+Inputs!$C$11,Cashflow_Asset!$F345+Cashflow_Asset!$G345+Cashflow_Asset!$I345,0)</x:f>
      </x:c>
      <x:c r="E347" s="29">
        <x:f>IF($B347&lt;=Inputs!$C$6+Inputs!$C$11,Cashflow_Asset!$J345,0)</x:f>
      </x:c>
      <x:c r="F347" s="23">
        <x:f>$G346</x:f>
      </x:c>
      <x:c r="G347" s="24">
        <x:f>(MAX(0,$F347-MAX(0,($M347+$S347)-$C347)))+MIN(MAX(0,$D$3-(MAX(0,$F347-MAX(0,($M347+$S347)-$C347)))),MAX(0,MAX(0,($C347+$F347)-$M347)-$S347))</x:f>
      </x:c>
      <x:c r="H347" s="23">
        <x:f>$J346</x:f>
      </x:c>
      <x:c r="I347" s="24">
        <x:f>MIN($E347,$H347)</x:f>
      </x:c>
      <x:c r="J347" s="24">
        <x:f>$H347-$I347</x:f>
      </x:c>
      <x:c r="K347" s="23">
        <x:f>$P346</x:f>
      </x:c>
      <x:c r="L347" s="24">
        <x:f>$K347*Inputs!$C$18/12</x:f>
      </x:c>
      <x:c r="M347" s="24">
        <x:f>MIN(($C347+$F347),$L347)</x:f>
      </x:c>
      <x:c r="N347" s="24">
        <x:f>MIN(($D347+$X347),MAX(0,$K347-$O347))</x:f>
      </x:c>
      <x:c r="O347" s="24">
        <x:f>MIN(MAX(0,MAX(0,$E347-$I347)-$U347),$K347)</x:f>
      </x:c>
      <x:c r="P347" s="24">
        <x:f>MAX(0,$K347-$O347)-$N347</x:f>
      </x:c>
      <x:c r="Q347" s="23">
        <x:f>$V346</x:f>
      </x:c>
      <x:c r="R347" s="24">
        <x:f>$Q347*Inputs!$C$19/12</x:f>
      </x:c>
      <x:c r="S347" s="24">
        <x:f>MIN(MAX(0,($C347+$F347)-$M347),$R347)</x:f>
      </x:c>
      <x:c r="T347" s="24">
        <x:f>MIN(MAX(0,($D347+$X347)-$N347),MAX(0,$Q347-$U347))</x:f>
      </x:c>
      <x:c r="U347" s="24">
        <x:f>MIN(MAX(0,$E347-$I347),$Q347)</x:f>
      </x:c>
      <x:c r="V347" s="24">
        <x:f>MAX(0,$Q347-$U347)-$T347</x:f>
      </x:c>
      <x:c r="W347" s="24">
        <x:f>MAX(0,MAX(0,($C347+$F347)-$M347)-$S347)-MIN(MAX(0,$D$3-(MAX(0,$F347-MAX(0,($M347+$S347)-$C347)))),MAX(0,MAX(0,($C347+$F347)-$M347)-$S347))</x:f>
      </x:c>
      <x:c r="X347" s="24">
        <x:f>IF(Inputs!$C$39=1,$W347,0)</x:f>
      </x:c>
      <x:c r="Y347" s="24">
        <x:f>IF(Inputs!$C$39=0,$W347,0)+MAX(0,MAX(0,($D347+$X347)-$N347)-$T347)</x:f>
      </x:c>
    </x:row>
    <x:row r="348">
      <x:c r="B348" s="22" t="n">
        <x:v>343</x:v>
      </x:c>
      <x:c r="C348" s="29">
        <x:f>IF($B348&lt;=Inputs!$C$6+Inputs!$C$11,Cashflow_Asset!$E346-Cashflow_Asset!$K346,0)</x:f>
      </x:c>
      <x:c r="D348" s="29">
        <x:f>IF($B348&lt;=Inputs!$C$6+Inputs!$C$11,Cashflow_Asset!$F346+Cashflow_Asset!$G346+Cashflow_Asset!$I346,0)</x:f>
      </x:c>
      <x:c r="E348" s="29">
        <x:f>IF($B348&lt;=Inputs!$C$6+Inputs!$C$11,Cashflow_Asset!$J346,0)</x:f>
      </x:c>
      <x:c r="F348" s="23">
        <x:f>$G347</x:f>
      </x:c>
      <x:c r="G348" s="24">
        <x:f>(MAX(0,$F348-MAX(0,($M348+$S348)-$C348)))+MIN(MAX(0,$D$3-(MAX(0,$F348-MAX(0,($M348+$S348)-$C348)))),MAX(0,MAX(0,($C348+$F348)-$M348)-$S348))</x:f>
      </x:c>
      <x:c r="H348" s="23">
        <x:f>$J347</x:f>
      </x:c>
      <x:c r="I348" s="24">
        <x:f>MIN($E348,$H348)</x:f>
      </x:c>
      <x:c r="J348" s="24">
        <x:f>$H348-$I348</x:f>
      </x:c>
      <x:c r="K348" s="23">
        <x:f>$P347</x:f>
      </x:c>
      <x:c r="L348" s="24">
        <x:f>$K348*Inputs!$C$18/12</x:f>
      </x:c>
      <x:c r="M348" s="24">
        <x:f>MIN(($C348+$F348),$L348)</x:f>
      </x:c>
      <x:c r="N348" s="24">
        <x:f>MIN(($D348+$X348),MAX(0,$K348-$O348))</x:f>
      </x:c>
      <x:c r="O348" s="24">
        <x:f>MIN(MAX(0,MAX(0,$E348-$I348)-$U348),$K348)</x:f>
      </x:c>
      <x:c r="P348" s="24">
        <x:f>MAX(0,$K348-$O348)-$N348</x:f>
      </x:c>
      <x:c r="Q348" s="23">
        <x:f>$V347</x:f>
      </x:c>
      <x:c r="R348" s="24">
        <x:f>$Q348*Inputs!$C$19/12</x:f>
      </x:c>
      <x:c r="S348" s="24">
        <x:f>MIN(MAX(0,($C348+$F348)-$M348),$R348)</x:f>
      </x:c>
      <x:c r="T348" s="24">
        <x:f>MIN(MAX(0,($D348+$X348)-$N348),MAX(0,$Q348-$U348))</x:f>
      </x:c>
      <x:c r="U348" s="24">
        <x:f>MIN(MAX(0,$E348-$I348),$Q348)</x:f>
      </x:c>
      <x:c r="V348" s="24">
        <x:f>MAX(0,$Q348-$U348)-$T348</x:f>
      </x:c>
      <x:c r="W348" s="24">
        <x:f>MAX(0,MAX(0,($C348+$F348)-$M348)-$S348)-MIN(MAX(0,$D$3-(MAX(0,$F348-MAX(0,($M348+$S348)-$C348)))),MAX(0,MAX(0,($C348+$F348)-$M348)-$S348))</x:f>
      </x:c>
      <x:c r="X348" s="24">
        <x:f>IF(Inputs!$C$39=1,$W348,0)</x:f>
      </x:c>
      <x:c r="Y348" s="24">
        <x:f>IF(Inputs!$C$39=0,$W348,0)+MAX(0,MAX(0,($D348+$X348)-$N348)-$T348)</x:f>
      </x:c>
    </x:row>
    <x:row r="349">
      <x:c r="B349" s="22" t="n">
        <x:v>344</x:v>
      </x:c>
      <x:c r="C349" s="29">
        <x:f>IF($B349&lt;=Inputs!$C$6+Inputs!$C$11,Cashflow_Asset!$E347-Cashflow_Asset!$K347,0)</x:f>
      </x:c>
      <x:c r="D349" s="29">
        <x:f>IF($B349&lt;=Inputs!$C$6+Inputs!$C$11,Cashflow_Asset!$F347+Cashflow_Asset!$G347+Cashflow_Asset!$I347,0)</x:f>
      </x:c>
      <x:c r="E349" s="29">
        <x:f>IF($B349&lt;=Inputs!$C$6+Inputs!$C$11,Cashflow_Asset!$J347,0)</x:f>
      </x:c>
      <x:c r="F349" s="23">
        <x:f>$G348</x:f>
      </x:c>
      <x:c r="G349" s="24">
        <x:f>(MAX(0,$F349-MAX(0,($M349+$S349)-$C349)))+MIN(MAX(0,$D$3-(MAX(0,$F349-MAX(0,($M349+$S349)-$C349)))),MAX(0,MAX(0,($C349+$F349)-$M349)-$S349))</x:f>
      </x:c>
      <x:c r="H349" s="23">
        <x:f>$J348</x:f>
      </x:c>
      <x:c r="I349" s="24">
        <x:f>MIN($E349,$H349)</x:f>
      </x:c>
      <x:c r="J349" s="24">
        <x:f>$H349-$I349</x:f>
      </x:c>
      <x:c r="K349" s="23">
        <x:f>$P348</x:f>
      </x:c>
      <x:c r="L349" s="24">
        <x:f>$K349*Inputs!$C$18/12</x:f>
      </x:c>
      <x:c r="M349" s="24">
        <x:f>MIN(($C349+$F349),$L349)</x:f>
      </x:c>
      <x:c r="N349" s="24">
        <x:f>MIN(($D349+$X349),MAX(0,$K349-$O349))</x:f>
      </x:c>
      <x:c r="O349" s="24">
        <x:f>MIN(MAX(0,MAX(0,$E349-$I349)-$U349),$K349)</x:f>
      </x:c>
      <x:c r="P349" s="24">
        <x:f>MAX(0,$K349-$O349)-$N349</x:f>
      </x:c>
      <x:c r="Q349" s="23">
        <x:f>$V348</x:f>
      </x:c>
      <x:c r="R349" s="24">
        <x:f>$Q349*Inputs!$C$19/12</x:f>
      </x:c>
      <x:c r="S349" s="24">
        <x:f>MIN(MAX(0,($C349+$F349)-$M349),$R349)</x:f>
      </x:c>
      <x:c r="T349" s="24">
        <x:f>MIN(MAX(0,($D349+$X349)-$N349),MAX(0,$Q349-$U349))</x:f>
      </x:c>
      <x:c r="U349" s="24">
        <x:f>MIN(MAX(0,$E349-$I349),$Q349)</x:f>
      </x:c>
      <x:c r="V349" s="24">
        <x:f>MAX(0,$Q349-$U349)-$T349</x:f>
      </x:c>
      <x:c r="W349" s="24">
        <x:f>MAX(0,MAX(0,($C349+$F349)-$M349)-$S349)-MIN(MAX(0,$D$3-(MAX(0,$F349-MAX(0,($M349+$S349)-$C349)))),MAX(0,MAX(0,($C349+$F349)-$M349)-$S349))</x:f>
      </x:c>
      <x:c r="X349" s="24">
        <x:f>IF(Inputs!$C$39=1,$W349,0)</x:f>
      </x:c>
      <x:c r="Y349" s="24">
        <x:f>IF(Inputs!$C$39=0,$W349,0)+MAX(0,MAX(0,($D349+$X349)-$N349)-$T349)</x:f>
      </x:c>
    </x:row>
    <x:row r="350">
      <x:c r="B350" s="22" t="n">
        <x:v>345</x:v>
      </x:c>
      <x:c r="C350" s="29">
        <x:f>IF($B350&lt;=Inputs!$C$6+Inputs!$C$11,Cashflow_Asset!$E348-Cashflow_Asset!$K348,0)</x:f>
      </x:c>
      <x:c r="D350" s="29">
        <x:f>IF($B350&lt;=Inputs!$C$6+Inputs!$C$11,Cashflow_Asset!$F348+Cashflow_Asset!$G348+Cashflow_Asset!$I348,0)</x:f>
      </x:c>
      <x:c r="E350" s="29">
        <x:f>IF($B350&lt;=Inputs!$C$6+Inputs!$C$11,Cashflow_Asset!$J348,0)</x:f>
      </x:c>
      <x:c r="F350" s="23">
        <x:f>$G349</x:f>
      </x:c>
      <x:c r="G350" s="24">
        <x:f>(MAX(0,$F350-MAX(0,($M350+$S350)-$C350)))+MIN(MAX(0,$D$3-(MAX(0,$F350-MAX(0,($M350+$S350)-$C350)))),MAX(0,MAX(0,($C350+$F350)-$M350)-$S350))</x:f>
      </x:c>
      <x:c r="H350" s="23">
        <x:f>$J349</x:f>
      </x:c>
      <x:c r="I350" s="24">
        <x:f>MIN($E350,$H350)</x:f>
      </x:c>
      <x:c r="J350" s="24">
        <x:f>$H350-$I350</x:f>
      </x:c>
      <x:c r="K350" s="23">
        <x:f>$P349</x:f>
      </x:c>
      <x:c r="L350" s="24">
        <x:f>$K350*Inputs!$C$18/12</x:f>
      </x:c>
      <x:c r="M350" s="24">
        <x:f>MIN(($C350+$F350),$L350)</x:f>
      </x:c>
      <x:c r="N350" s="24">
        <x:f>MIN(($D350+$X350),MAX(0,$K350-$O350))</x:f>
      </x:c>
      <x:c r="O350" s="24">
        <x:f>MIN(MAX(0,MAX(0,$E350-$I350)-$U350),$K350)</x:f>
      </x:c>
      <x:c r="P350" s="24">
        <x:f>MAX(0,$K350-$O350)-$N350</x:f>
      </x:c>
      <x:c r="Q350" s="23">
        <x:f>$V349</x:f>
      </x:c>
      <x:c r="R350" s="24">
        <x:f>$Q350*Inputs!$C$19/12</x:f>
      </x:c>
      <x:c r="S350" s="24">
        <x:f>MIN(MAX(0,($C350+$F350)-$M350),$R350)</x:f>
      </x:c>
      <x:c r="T350" s="24">
        <x:f>MIN(MAX(0,($D350+$X350)-$N350),MAX(0,$Q350-$U350))</x:f>
      </x:c>
      <x:c r="U350" s="24">
        <x:f>MIN(MAX(0,$E350-$I350),$Q350)</x:f>
      </x:c>
      <x:c r="V350" s="24">
        <x:f>MAX(0,$Q350-$U350)-$T350</x:f>
      </x:c>
      <x:c r="W350" s="24">
        <x:f>MAX(0,MAX(0,($C350+$F350)-$M350)-$S350)-MIN(MAX(0,$D$3-(MAX(0,$F350-MAX(0,($M350+$S350)-$C350)))),MAX(0,MAX(0,($C350+$F350)-$M350)-$S350))</x:f>
      </x:c>
      <x:c r="X350" s="24">
        <x:f>IF(Inputs!$C$39=1,$W350,0)</x:f>
      </x:c>
      <x:c r="Y350" s="24">
        <x:f>IF(Inputs!$C$39=0,$W350,0)+MAX(0,MAX(0,($D350+$X350)-$N350)-$T350)</x:f>
      </x:c>
    </x:row>
    <x:row r="351">
      <x:c r="B351" s="22" t="n">
        <x:v>346</x:v>
      </x:c>
      <x:c r="C351" s="29">
        <x:f>IF($B351&lt;=Inputs!$C$6+Inputs!$C$11,Cashflow_Asset!$E349-Cashflow_Asset!$K349,0)</x:f>
      </x:c>
      <x:c r="D351" s="29">
        <x:f>IF($B351&lt;=Inputs!$C$6+Inputs!$C$11,Cashflow_Asset!$F349+Cashflow_Asset!$G349+Cashflow_Asset!$I349,0)</x:f>
      </x:c>
      <x:c r="E351" s="29">
        <x:f>IF($B351&lt;=Inputs!$C$6+Inputs!$C$11,Cashflow_Asset!$J349,0)</x:f>
      </x:c>
      <x:c r="F351" s="23">
        <x:f>$G350</x:f>
      </x:c>
      <x:c r="G351" s="24">
        <x:f>(MAX(0,$F351-MAX(0,($M351+$S351)-$C351)))+MIN(MAX(0,$D$3-(MAX(0,$F351-MAX(0,($M351+$S351)-$C351)))),MAX(0,MAX(0,($C351+$F351)-$M351)-$S351))</x:f>
      </x:c>
      <x:c r="H351" s="23">
        <x:f>$J350</x:f>
      </x:c>
      <x:c r="I351" s="24">
        <x:f>MIN($E351,$H351)</x:f>
      </x:c>
      <x:c r="J351" s="24">
        <x:f>$H351-$I351</x:f>
      </x:c>
      <x:c r="K351" s="23">
        <x:f>$P350</x:f>
      </x:c>
      <x:c r="L351" s="24">
        <x:f>$K351*Inputs!$C$18/12</x:f>
      </x:c>
      <x:c r="M351" s="24">
        <x:f>MIN(($C351+$F351),$L351)</x:f>
      </x:c>
      <x:c r="N351" s="24">
        <x:f>MIN(($D351+$X351),MAX(0,$K351-$O351))</x:f>
      </x:c>
      <x:c r="O351" s="24">
        <x:f>MIN(MAX(0,MAX(0,$E351-$I351)-$U351),$K351)</x:f>
      </x:c>
      <x:c r="P351" s="24">
        <x:f>MAX(0,$K351-$O351)-$N351</x:f>
      </x:c>
      <x:c r="Q351" s="23">
        <x:f>$V350</x:f>
      </x:c>
      <x:c r="R351" s="24">
        <x:f>$Q351*Inputs!$C$19/12</x:f>
      </x:c>
      <x:c r="S351" s="24">
        <x:f>MIN(MAX(0,($C351+$F351)-$M351),$R351)</x:f>
      </x:c>
      <x:c r="T351" s="24">
        <x:f>MIN(MAX(0,($D351+$X351)-$N351),MAX(0,$Q351-$U351))</x:f>
      </x:c>
      <x:c r="U351" s="24">
        <x:f>MIN(MAX(0,$E351-$I351),$Q351)</x:f>
      </x:c>
      <x:c r="V351" s="24">
        <x:f>MAX(0,$Q351-$U351)-$T351</x:f>
      </x:c>
      <x:c r="W351" s="24">
        <x:f>MAX(0,MAX(0,($C351+$F351)-$M351)-$S351)-MIN(MAX(0,$D$3-(MAX(0,$F351-MAX(0,($M351+$S351)-$C351)))),MAX(0,MAX(0,($C351+$F351)-$M351)-$S351))</x:f>
      </x:c>
      <x:c r="X351" s="24">
        <x:f>IF(Inputs!$C$39=1,$W351,0)</x:f>
      </x:c>
      <x:c r="Y351" s="24">
        <x:f>IF(Inputs!$C$39=0,$W351,0)+MAX(0,MAX(0,($D351+$X351)-$N351)-$T351)</x:f>
      </x:c>
    </x:row>
    <x:row r="352">
      <x:c r="B352" s="22" t="n">
        <x:v>347</x:v>
      </x:c>
      <x:c r="C352" s="29">
        <x:f>IF($B352&lt;=Inputs!$C$6+Inputs!$C$11,Cashflow_Asset!$E350-Cashflow_Asset!$K350,0)</x:f>
      </x:c>
      <x:c r="D352" s="29">
        <x:f>IF($B352&lt;=Inputs!$C$6+Inputs!$C$11,Cashflow_Asset!$F350+Cashflow_Asset!$G350+Cashflow_Asset!$I350,0)</x:f>
      </x:c>
      <x:c r="E352" s="29">
        <x:f>IF($B352&lt;=Inputs!$C$6+Inputs!$C$11,Cashflow_Asset!$J350,0)</x:f>
      </x:c>
      <x:c r="F352" s="23">
        <x:f>$G351</x:f>
      </x:c>
      <x:c r="G352" s="24">
        <x:f>(MAX(0,$F352-MAX(0,($M352+$S352)-$C352)))+MIN(MAX(0,$D$3-(MAX(0,$F352-MAX(0,($M352+$S352)-$C352)))),MAX(0,MAX(0,($C352+$F352)-$M352)-$S352))</x:f>
      </x:c>
      <x:c r="H352" s="23">
        <x:f>$J351</x:f>
      </x:c>
      <x:c r="I352" s="24">
        <x:f>MIN($E352,$H352)</x:f>
      </x:c>
      <x:c r="J352" s="24">
        <x:f>$H352-$I352</x:f>
      </x:c>
      <x:c r="K352" s="23">
        <x:f>$P351</x:f>
      </x:c>
      <x:c r="L352" s="24">
        <x:f>$K352*Inputs!$C$18/12</x:f>
      </x:c>
      <x:c r="M352" s="24">
        <x:f>MIN(($C352+$F352),$L352)</x:f>
      </x:c>
      <x:c r="N352" s="24">
        <x:f>MIN(($D352+$X352),MAX(0,$K352-$O352))</x:f>
      </x:c>
      <x:c r="O352" s="24">
        <x:f>MIN(MAX(0,MAX(0,$E352-$I352)-$U352),$K352)</x:f>
      </x:c>
      <x:c r="P352" s="24">
        <x:f>MAX(0,$K352-$O352)-$N352</x:f>
      </x:c>
      <x:c r="Q352" s="23">
        <x:f>$V351</x:f>
      </x:c>
      <x:c r="R352" s="24">
        <x:f>$Q352*Inputs!$C$19/12</x:f>
      </x:c>
      <x:c r="S352" s="24">
        <x:f>MIN(MAX(0,($C352+$F352)-$M352),$R352)</x:f>
      </x:c>
      <x:c r="T352" s="24">
        <x:f>MIN(MAX(0,($D352+$X352)-$N352),MAX(0,$Q352-$U352))</x:f>
      </x:c>
      <x:c r="U352" s="24">
        <x:f>MIN(MAX(0,$E352-$I352),$Q352)</x:f>
      </x:c>
      <x:c r="V352" s="24">
        <x:f>MAX(0,$Q352-$U352)-$T352</x:f>
      </x:c>
      <x:c r="W352" s="24">
        <x:f>MAX(0,MAX(0,($C352+$F352)-$M352)-$S352)-MIN(MAX(0,$D$3-(MAX(0,$F352-MAX(0,($M352+$S352)-$C352)))),MAX(0,MAX(0,($C352+$F352)-$M352)-$S352))</x:f>
      </x:c>
      <x:c r="X352" s="24">
        <x:f>IF(Inputs!$C$39=1,$W352,0)</x:f>
      </x:c>
      <x:c r="Y352" s="24">
        <x:f>IF(Inputs!$C$39=0,$W352,0)+MAX(0,MAX(0,($D352+$X352)-$N352)-$T352)</x:f>
      </x:c>
    </x:row>
    <x:row r="353">
      <x:c r="B353" s="22" t="n">
        <x:v>348</x:v>
      </x:c>
      <x:c r="C353" s="29">
        <x:f>IF($B353&lt;=Inputs!$C$6+Inputs!$C$11,Cashflow_Asset!$E351-Cashflow_Asset!$K351,0)</x:f>
      </x:c>
      <x:c r="D353" s="29">
        <x:f>IF($B353&lt;=Inputs!$C$6+Inputs!$C$11,Cashflow_Asset!$F351+Cashflow_Asset!$G351+Cashflow_Asset!$I351,0)</x:f>
      </x:c>
      <x:c r="E353" s="29">
        <x:f>IF($B353&lt;=Inputs!$C$6+Inputs!$C$11,Cashflow_Asset!$J351,0)</x:f>
      </x:c>
      <x:c r="F353" s="23">
        <x:f>$G352</x:f>
      </x:c>
      <x:c r="G353" s="24">
        <x:f>(MAX(0,$F353-MAX(0,($M353+$S353)-$C353)))+MIN(MAX(0,$D$3-(MAX(0,$F353-MAX(0,($M353+$S353)-$C353)))),MAX(0,MAX(0,($C353+$F353)-$M353)-$S353))</x:f>
      </x:c>
      <x:c r="H353" s="23">
        <x:f>$J352</x:f>
      </x:c>
      <x:c r="I353" s="24">
        <x:f>MIN($E353,$H353)</x:f>
      </x:c>
      <x:c r="J353" s="24">
        <x:f>$H353-$I353</x:f>
      </x:c>
      <x:c r="K353" s="23">
        <x:f>$P352</x:f>
      </x:c>
      <x:c r="L353" s="24">
        <x:f>$K353*Inputs!$C$18/12</x:f>
      </x:c>
      <x:c r="M353" s="24">
        <x:f>MIN(($C353+$F353),$L353)</x:f>
      </x:c>
      <x:c r="N353" s="24">
        <x:f>MIN(($D353+$X353),MAX(0,$K353-$O353))</x:f>
      </x:c>
      <x:c r="O353" s="24">
        <x:f>MIN(MAX(0,MAX(0,$E353-$I353)-$U353),$K353)</x:f>
      </x:c>
      <x:c r="P353" s="24">
        <x:f>MAX(0,$K353-$O353)-$N353</x:f>
      </x:c>
      <x:c r="Q353" s="23">
        <x:f>$V352</x:f>
      </x:c>
      <x:c r="R353" s="24">
        <x:f>$Q353*Inputs!$C$19/12</x:f>
      </x:c>
      <x:c r="S353" s="24">
        <x:f>MIN(MAX(0,($C353+$F353)-$M353),$R353)</x:f>
      </x:c>
      <x:c r="T353" s="24">
        <x:f>MIN(MAX(0,($D353+$X353)-$N353),MAX(0,$Q353-$U353))</x:f>
      </x:c>
      <x:c r="U353" s="24">
        <x:f>MIN(MAX(0,$E353-$I353),$Q353)</x:f>
      </x:c>
      <x:c r="V353" s="24">
        <x:f>MAX(0,$Q353-$U353)-$T353</x:f>
      </x:c>
      <x:c r="W353" s="24">
        <x:f>MAX(0,MAX(0,($C353+$F353)-$M353)-$S353)-MIN(MAX(0,$D$3-(MAX(0,$F353-MAX(0,($M353+$S353)-$C353)))),MAX(0,MAX(0,($C353+$F353)-$M353)-$S353))</x:f>
      </x:c>
      <x:c r="X353" s="24">
        <x:f>IF(Inputs!$C$39=1,$W353,0)</x:f>
      </x:c>
      <x:c r="Y353" s="24">
        <x:f>IF(Inputs!$C$39=0,$W353,0)+MAX(0,MAX(0,($D353+$X353)-$N353)-$T353)</x:f>
      </x:c>
    </x:row>
    <x:row r="354">
      <x:c r="B354" s="22" t="n">
        <x:v>349</x:v>
      </x:c>
      <x:c r="C354" s="29">
        <x:f>IF($B354&lt;=Inputs!$C$6+Inputs!$C$11,Cashflow_Asset!$E352-Cashflow_Asset!$K352,0)</x:f>
      </x:c>
      <x:c r="D354" s="29">
        <x:f>IF($B354&lt;=Inputs!$C$6+Inputs!$C$11,Cashflow_Asset!$F352+Cashflow_Asset!$G352+Cashflow_Asset!$I352,0)</x:f>
      </x:c>
      <x:c r="E354" s="29">
        <x:f>IF($B354&lt;=Inputs!$C$6+Inputs!$C$11,Cashflow_Asset!$J352,0)</x:f>
      </x:c>
      <x:c r="F354" s="23">
        <x:f>$G353</x:f>
      </x:c>
      <x:c r="G354" s="24">
        <x:f>(MAX(0,$F354-MAX(0,($M354+$S354)-$C354)))+MIN(MAX(0,$D$3-(MAX(0,$F354-MAX(0,($M354+$S354)-$C354)))),MAX(0,MAX(0,($C354+$F354)-$M354)-$S354))</x:f>
      </x:c>
      <x:c r="H354" s="23">
        <x:f>$J353</x:f>
      </x:c>
      <x:c r="I354" s="24">
        <x:f>MIN($E354,$H354)</x:f>
      </x:c>
      <x:c r="J354" s="24">
        <x:f>$H354-$I354</x:f>
      </x:c>
      <x:c r="K354" s="23">
        <x:f>$P353</x:f>
      </x:c>
      <x:c r="L354" s="24">
        <x:f>$K354*Inputs!$C$18/12</x:f>
      </x:c>
      <x:c r="M354" s="24">
        <x:f>MIN(($C354+$F354),$L354)</x:f>
      </x:c>
      <x:c r="N354" s="24">
        <x:f>MIN(($D354+$X354),MAX(0,$K354-$O354))</x:f>
      </x:c>
      <x:c r="O354" s="24">
        <x:f>MIN(MAX(0,MAX(0,$E354-$I354)-$U354),$K354)</x:f>
      </x:c>
      <x:c r="P354" s="24">
        <x:f>MAX(0,$K354-$O354)-$N354</x:f>
      </x:c>
      <x:c r="Q354" s="23">
        <x:f>$V353</x:f>
      </x:c>
      <x:c r="R354" s="24">
        <x:f>$Q354*Inputs!$C$19/12</x:f>
      </x:c>
      <x:c r="S354" s="24">
        <x:f>MIN(MAX(0,($C354+$F354)-$M354),$R354)</x:f>
      </x:c>
      <x:c r="T354" s="24">
        <x:f>MIN(MAX(0,($D354+$X354)-$N354),MAX(0,$Q354-$U354))</x:f>
      </x:c>
      <x:c r="U354" s="24">
        <x:f>MIN(MAX(0,$E354-$I354),$Q354)</x:f>
      </x:c>
      <x:c r="V354" s="24">
        <x:f>MAX(0,$Q354-$U354)-$T354</x:f>
      </x:c>
      <x:c r="W354" s="24">
        <x:f>MAX(0,MAX(0,($C354+$F354)-$M354)-$S354)-MIN(MAX(0,$D$3-(MAX(0,$F354-MAX(0,($M354+$S354)-$C354)))),MAX(0,MAX(0,($C354+$F354)-$M354)-$S354))</x:f>
      </x:c>
      <x:c r="X354" s="24">
        <x:f>IF(Inputs!$C$39=1,$W354,0)</x:f>
      </x:c>
      <x:c r="Y354" s="24">
        <x:f>IF(Inputs!$C$39=0,$W354,0)+MAX(0,MAX(0,($D354+$X354)-$N354)-$T354)</x:f>
      </x:c>
    </x:row>
    <x:row r="355">
      <x:c r="B355" s="22" t="n">
        <x:v>350</x:v>
      </x:c>
      <x:c r="C355" s="29">
        <x:f>IF($B355&lt;=Inputs!$C$6+Inputs!$C$11,Cashflow_Asset!$E353-Cashflow_Asset!$K353,0)</x:f>
      </x:c>
      <x:c r="D355" s="29">
        <x:f>IF($B355&lt;=Inputs!$C$6+Inputs!$C$11,Cashflow_Asset!$F353+Cashflow_Asset!$G353+Cashflow_Asset!$I353,0)</x:f>
      </x:c>
      <x:c r="E355" s="29">
        <x:f>IF($B355&lt;=Inputs!$C$6+Inputs!$C$11,Cashflow_Asset!$J353,0)</x:f>
      </x:c>
      <x:c r="F355" s="23">
        <x:f>$G354</x:f>
      </x:c>
      <x:c r="G355" s="24">
        <x:f>(MAX(0,$F355-MAX(0,($M355+$S355)-$C355)))+MIN(MAX(0,$D$3-(MAX(0,$F355-MAX(0,($M355+$S355)-$C355)))),MAX(0,MAX(0,($C355+$F355)-$M355)-$S355))</x:f>
      </x:c>
      <x:c r="H355" s="23">
        <x:f>$J354</x:f>
      </x:c>
      <x:c r="I355" s="24">
        <x:f>MIN($E355,$H355)</x:f>
      </x:c>
      <x:c r="J355" s="24">
        <x:f>$H355-$I355</x:f>
      </x:c>
      <x:c r="K355" s="23">
        <x:f>$P354</x:f>
      </x:c>
      <x:c r="L355" s="24">
        <x:f>$K355*Inputs!$C$18/12</x:f>
      </x:c>
      <x:c r="M355" s="24">
        <x:f>MIN(($C355+$F355),$L355)</x:f>
      </x:c>
      <x:c r="N355" s="24">
        <x:f>MIN(($D355+$X355),MAX(0,$K355-$O355))</x:f>
      </x:c>
      <x:c r="O355" s="24">
        <x:f>MIN(MAX(0,MAX(0,$E355-$I355)-$U355),$K355)</x:f>
      </x:c>
      <x:c r="P355" s="24">
        <x:f>MAX(0,$K355-$O355)-$N355</x:f>
      </x:c>
      <x:c r="Q355" s="23">
        <x:f>$V354</x:f>
      </x:c>
      <x:c r="R355" s="24">
        <x:f>$Q355*Inputs!$C$19/12</x:f>
      </x:c>
      <x:c r="S355" s="24">
        <x:f>MIN(MAX(0,($C355+$F355)-$M355),$R355)</x:f>
      </x:c>
      <x:c r="T355" s="24">
        <x:f>MIN(MAX(0,($D355+$X355)-$N355),MAX(0,$Q355-$U355))</x:f>
      </x:c>
      <x:c r="U355" s="24">
        <x:f>MIN(MAX(0,$E355-$I355),$Q355)</x:f>
      </x:c>
      <x:c r="V355" s="24">
        <x:f>MAX(0,$Q355-$U355)-$T355</x:f>
      </x:c>
      <x:c r="W355" s="24">
        <x:f>MAX(0,MAX(0,($C355+$F355)-$M355)-$S355)-MIN(MAX(0,$D$3-(MAX(0,$F355-MAX(0,($M355+$S355)-$C355)))),MAX(0,MAX(0,($C355+$F355)-$M355)-$S355))</x:f>
      </x:c>
      <x:c r="X355" s="24">
        <x:f>IF(Inputs!$C$39=1,$W355,0)</x:f>
      </x:c>
      <x:c r="Y355" s="24">
        <x:f>IF(Inputs!$C$39=0,$W355,0)+MAX(0,MAX(0,($D355+$X355)-$N355)-$T355)</x:f>
      </x:c>
    </x:row>
    <x:row r="356">
      <x:c r="B356" s="22" t="n">
        <x:v>351</x:v>
      </x:c>
      <x:c r="C356" s="29">
        <x:f>IF($B356&lt;=Inputs!$C$6+Inputs!$C$11,Cashflow_Asset!$E354-Cashflow_Asset!$K354,0)</x:f>
      </x:c>
      <x:c r="D356" s="29">
        <x:f>IF($B356&lt;=Inputs!$C$6+Inputs!$C$11,Cashflow_Asset!$F354+Cashflow_Asset!$G354+Cashflow_Asset!$I354,0)</x:f>
      </x:c>
      <x:c r="E356" s="29">
        <x:f>IF($B356&lt;=Inputs!$C$6+Inputs!$C$11,Cashflow_Asset!$J354,0)</x:f>
      </x:c>
      <x:c r="F356" s="23">
        <x:f>$G355</x:f>
      </x:c>
      <x:c r="G356" s="24">
        <x:f>(MAX(0,$F356-MAX(0,($M356+$S356)-$C356)))+MIN(MAX(0,$D$3-(MAX(0,$F356-MAX(0,($M356+$S356)-$C356)))),MAX(0,MAX(0,($C356+$F356)-$M356)-$S356))</x:f>
      </x:c>
      <x:c r="H356" s="23">
        <x:f>$J355</x:f>
      </x:c>
      <x:c r="I356" s="24">
        <x:f>MIN($E356,$H356)</x:f>
      </x:c>
      <x:c r="J356" s="24">
        <x:f>$H356-$I356</x:f>
      </x:c>
      <x:c r="K356" s="23">
        <x:f>$P355</x:f>
      </x:c>
      <x:c r="L356" s="24">
        <x:f>$K356*Inputs!$C$18/12</x:f>
      </x:c>
      <x:c r="M356" s="24">
        <x:f>MIN(($C356+$F356),$L356)</x:f>
      </x:c>
      <x:c r="N356" s="24">
        <x:f>MIN(($D356+$X356),MAX(0,$K356-$O356))</x:f>
      </x:c>
      <x:c r="O356" s="24">
        <x:f>MIN(MAX(0,MAX(0,$E356-$I356)-$U356),$K356)</x:f>
      </x:c>
      <x:c r="P356" s="24">
        <x:f>MAX(0,$K356-$O356)-$N356</x:f>
      </x:c>
      <x:c r="Q356" s="23">
        <x:f>$V355</x:f>
      </x:c>
      <x:c r="R356" s="24">
        <x:f>$Q356*Inputs!$C$19/12</x:f>
      </x:c>
      <x:c r="S356" s="24">
        <x:f>MIN(MAX(0,($C356+$F356)-$M356),$R356)</x:f>
      </x:c>
      <x:c r="T356" s="24">
        <x:f>MIN(MAX(0,($D356+$X356)-$N356),MAX(0,$Q356-$U356))</x:f>
      </x:c>
      <x:c r="U356" s="24">
        <x:f>MIN(MAX(0,$E356-$I356),$Q356)</x:f>
      </x:c>
      <x:c r="V356" s="24">
        <x:f>MAX(0,$Q356-$U356)-$T356</x:f>
      </x:c>
      <x:c r="W356" s="24">
        <x:f>MAX(0,MAX(0,($C356+$F356)-$M356)-$S356)-MIN(MAX(0,$D$3-(MAX(0,$F356-MAX(0,($M356+$S356)-$C356)))),MAX(0,MAX(0,($C356+$F356)-$M356)-$S356))</x:f>
      </x:c>
      <x:c r="X356" s="24">
        <x:f>IF(Inputs!$C$39=1,$W356,0)</x:f>
      </x:c>
      <x:c r="Y356" s="24">
        <x:f>IF(Inputs!$C$39=0,$W356,0)+MAX(0,MAX(0,($D356+$X356)-$N356)-$T356)</x:f>
      </x:c>
    </x:row>
    <x:row r="357">
      <x:c r="B357" s="22" t="n">
        <x:v>352</x:v>
      </x:c>
      <x:c r="C357" s="29">
        <x:f>IF($B357&lt;=Inputs!$C$6+Inputs!$C$11,Cashflow_Asset!$E355-Cashflow_Asset!$K355,0)</x:f>
      </x:c>
      <x:c r="D357" s="29">
        <x:f>IF($B357&lt;=Inputs!$C$6+Inputs!$C$11,Cashflow_Asset!$F355+Cashflow_Asset!$G355+Cashflow_Asset!$I355,0)</x:f>
      </x:c>
      <x:c r="E357" s="29">
        <x:f>IF($B357&lt;=Inputs!$C$6+Inputs!$C$11,Cashflow_Asset!$J355,0)</x:f>
      </x:c>
      <x:c r="F357" s="23">
        <x:f>$G356</x:f>
      </x:c>
      <x:c r="G357" s="24">
        <x:f>(MAX(0,$F357-MAX(0,($M357+$S357)-$C357)))+MIN(MAX(0,$D$3-(MAX(0,$F357-MAX(0,($M357+$S357)-$C357)))),MAX(0,MAX(0,($C357+$F357)-$M357)-$S357))</x:f>
      </x:c>
      <x:c r="H357" s="23">
        <x:f>$J356</x:f>
      </x:c>
      <x:c r="I357" s="24">
        <x:f>MIN($E357,$H357)</x:f>
      </x:c>
      <x:c r="J357" s="24">
        <x:f>$H357-$I357</x:f>
      </x:c>
      <x:c r="K357" s="23">
        <x:f>$P356</x:f>
      </x:c>
      <x:c r="L357" s="24">
        <x:f>$K357*Inputs!$C$18/12</x:f>
      </x:c>
      <x:c r="M357" s="24">
        <x:f>MIN(($C357+$F357),$L357)</x:f>
      </x:c>
      <x:c r="N357" s="24">
        <x:f>MIN(($D357+$X357),MAX(0,$K357-$O357))</x:f>
      </x:c>
      <x:c r="O357" s="24">
        <x:f>MIN(MAX(0,MAX(0,$E357-$I357)-$U357),$K357)</x:f>
      </x:c>
      <x:c r="P357" s="24">
        <x:f>MAX(0,$K357-$O357)-$N357</x:f>
      </x:c>
      <x:c r="Q357" s="23">
        <x:f>$V356</x:f>
      </x:c>
      <x:c r="R357" s="24">
        <x:f>$Q357*Inputs!$C$19/12</x:f>
      </x:c>
      <x:c r="S357" s="24">
        <x:f>MIN(MAX(0,($C357+$F357)-$M357),$R357)</x:f>
      </x:c>
      <x:c r="T357" s="24">
        <x:f>MIN(MAX(0,($D357+$X357)-$N357),MAX(0,$Q357-$U357))</x:f>
      </x:c>
      <x:c r="U357" s="24">
        <x:f>MIN(MAX(0,$E357-$I357),$Q357)</x:f>
      </x:c>
      <x:c r="V357" s="24">
        <x:f>MAX(0,$Q357-$U357)-$T357</x:f>
      </x:c>
      <x:c r="W357" s="24">
        <x:f>MAX(0,MAX(0,($C357+$F357)-$M357)-$S357)-MIN(MAX(0,$D$3-(MAX(0,$F357-MAX(0,($M357+$S357)-$C357)))),MAX(0,MAX(0,($C357+$F357)-$M357)-$S357))</x:f>
      </x:c>
      <x:c r="X357" s="24">
        <x:f>IF(Inputs!$C$39=1,$W357,0)</x:f>
      </x:c>
      <x:c r="Y357" s="24">
        <x:f>IF(Inputs!$C$39=0,$W357,0)+MAX(0,MAX(0,($D357+$X357)-$N357)-$T357)</x:f>
      </x:c>
    </x:row>
    <x:row r="358">
      <x:c r="B358" s="22" t="n">
        <x:v>353</x:v>
      </x:c>
      <x:c r="C358" s="29">
        <x:f>IF($B358&lt;=Inputs!$C$6+Inputs!$C$11,Cashflow_Asset!$E356-Cashflow_Asset!$K356,0)</x:f>
      </x:c>
      <x:c r="D358" s="29">
        <x:f>IF($B358&lt;=Inputs!$C$6+Inputs!$C$11,Cashflow_Asset!$F356+Cashflow_Asset!$G356+Cashflow_Asset!$I356,0)</x:f>
      </x:c>
      <x:c r="E358" s="29">
        <x:f>IF($B358&lt;=Inputs!$C$6+Inputs!$C$11,Cashflow_Asset!$J356,0)</x:f>
      </x:c>
      <x:c r="F358" s="23">
        <x:f>$G357</x:f>
      </x:c>
      <x:c r="G358" s="24">
        <x:f>(MAX(0,$F358-MAX(0,($M358+$S358)-$C358)))+MIN(MAX(0,$D$3-(MAX(0,$F358-MAX(0,($M358+$S358)-$C358)))),MAX(0,MAX(0,($C358+$F358)-$M358)-$S358))</x:f>
      </x:c>
      <x:c r="H358" s="23">
        <x:f>$J357</x:f>
      </x:c>
      <x:c r="I358" s="24">
        <x:f>MIN($E358,$H358)</x:f>
      </x:c>
      <x:c r="J358" s="24">
        <x:f>$H358-$I358</x:f>
      </x:c>
      <x:c r="K358" s="23">
        <x:f>$P357</x:f>
      </x:c>
      <x:c r="L358" s="24">
        <x:f>$K358*Inputs!$C$18/12</x:f>
      </x:c>
      <x:c r="M358" s="24">
        <x:f>MIN(($C358+$F358),$L358)</x:f>
      </x:c>
      <x:c r="N358" s="24">
        <x:f>MIN(($D358+$X358),MAX(0,$K358-$O358))</x:f>
      </x:c>
      <x:c r="O358" s="24">
        <x:f>MIN(MAX(0,MAX(0,$E358-$I358)-$U358),$K358)</x:f>
      </x:c>
      <x:c r="P358" s="24">
        <x:f>MAX(0,$K358-$O358)-$N358</x:f>
      </x:c>
      <x:c r="Q358" s="23">
        <x:f>$V357</x:f>
      </x:c>
      <x:c r="R358" s="24">
        <x:f>$Q358*Inputs!$C$19/12</x:f>
      </x:c>
      <x:c r="S358" s="24">
        <x:f>MIN(MAX(0,($C358+$F358)-$M358),$R358)</x:f>
      </x:c>
      <x:c r="T358" s="24">
        <x:f>MIN(MAX(0,($D358+$X358)-$N358),MAX(0,$Q358-$U358))</x:f>
      </x:c>
      <x:c r="U358" s="24">
        <x:f>MIN(MAX(0,$E358-$I358),$Q358)</x:f>
      </x:c>
      <x:c r="V358" s="24">
        <x:f>MAX(0,$Q358-$U358)-$T358</x:f>
      </x:c>
      <x:c r="W358" s="24">
        <x:f>MAX(0,MAX(0,($C358+$F358)-$M358)-$S358)-MIN(MAX(0,$D$3-(MAX(0,$F358-MAX(0,($M358+$S358)-$C358)))),MAX(0,MAX(0,($C358+$F358)-$M358)-$S358))</x:f>
      </x:c>
      <x:c r="X358" s="24">
        <x:f>IF(Inputs!$C$39=1,$W358,0)</x:f>
      </x:c>
      <x:c r="Y358" s="24">
        <x:f>IF(Inputs!$C$39=0,$W358,0)+MAX(0,MAX(0,($D358+$X358)-$N358)-$T358)</x:f>
      </x:c>
    </x:row>
    <x:row r="359">
      <x:c r="B359" s="22" t="n">
        <x:v>354</x:v>
      </x:c>
      <x:c r="C359" s="29">
        <x:f>IF($B359&lt;=Inputs!$C$6+Inputs!$C$11,Cashflow_Asset!$E357-Cashflow_Asset!$K357,0)</x:f>
      </x:c>
      <x:c r="D359" s="29">
        <x:f>IF($B359&lt;=Inputs!$C$6+Inputs!$C$11,Cashflow_Asset!$F357+Cashflow_Asset!$G357+Cashflow_Asset!$I357,0)</x:f>
      </x:c>
      <x:c r="E359" s="29">
        <x:f>IF($B359&lt;=Inputs!$C$6+Inputs!$C$11,Cashflow_Asset!$J357,0)</x:f>
      </x:c>
      <x:c r="F359" s="23">
        <x:f>$G358</x:f>
      </x:c>
      <x:c r="G359" s="24">
        <x:f>(MAX(0,$F359-MAX(0,($M359+$S359)-$C359)))+MIN(MAX(0,$D$3-(MAX(0,$F359-MAX(0,($M359+$S359)-$C359)))),MAX(0,MAX(0,($C359+$F359)-$M359)-$S359))</x:f>
      </x:c>
      <x:c r="H359" s="23">
        <x:f>$J358</x:f>
      </x:c>
      <x:c r="I359" s="24">
        <x:f>MIN($E359,$H359)</x:f>
      </x:c>
      <x:c r="J359" s="24">
        <x:f>$H359-$I359</x:f>
      </x:c>
      <x:c r="K359" s="23">
        <x:f>$P358</x:f>
      </x:c>
      <x:c r="L359" s="24">
        <x:f>$K359*Inputs!$C$18/12</x:f>
      </x:c>
      <x:c r="M359" s="24">
        <x:f>MIN(($C359+$F359),$L359)</x:f>
      </x:c>
      <x:c r="N359" s="24">
        <x:f>MIN(($D359+$X359),MAX(0,$K359-$O359))</x:f>
      </x:c>
      <x:c r="O359" s="24">
        <x:f>MIN(MAX(0,MAX(0,$E359-$I359)-$U359),$K359)</x:f>
      </x:c>
      <x:c r="P359" s="24">
        <x:f>MAX(0,$K359-$O359)-$N359</x:f>
      </x:c>
      <x:c r="Q359" s="23">
        <x:f>$V358</x:f>
      </x:c>
      <x:c r="R359" s="24">
        <x:f>$Q359*Inputs!$C$19/12</x:f>
      </x:c>
      <x:c r="S359" s="24">
        <x:f>MIN(MAX(0,($C359+$F359)-$M359),$R359)</x:f>
      </x:c>
      <x:c r="T359" s="24">
        <x:f>MIN(MAX(0,($D359+$X359)-$N359),MAX(0,$Q359-$U359))</x:f>
      </x:c>
      <x:c r="U359" s="24">
        <x:f>MIN(MAX(0,$E359-$I359),$Q359)</x:f>
      </x:c>
      <x:c r="V359" s="24">
        <x:f>MAX(0,$Q359-$U359)-$T359</x:f>
      </x:c>
      <x:c r="W359" s="24">
        <x:f>MAX(0,MAX(0,($C359+$F359)-$M359)-$S359)-MIN(MAX(0,$D$3-(MAX(0,$F359-MAX(0,($M359+$S359)-$C359)))),MAX(0,MAX(0,($C359+$F359)-$M359)-$S359))</x:f>
      </x:c>
      <x:c r="X359" s="24">
        <x:f>IF(Inputs!$C$39=1,$W359,0)</x:f>
      </x:c>
      <x:c r="Y359" s="24">
        <x:f>IF(Inputs!$C$39=0,$W359,0)+MAX(0,MAX(0,($D359+$X359)-$N359)-$T359)</x:f>
      </x:c>
    </x:row>
    <x:row r="360">
      <x:c r="B360" s="22" t="n">
        <x:v>355</x:v>
      </x:c>
      <x:c r="C360" s="29">
        <x:f>IF($B360&lt;=Inputs!$C$6+Inputs!$C$11,Cashflow_Asset!$E358-Cashflow_Asset!$K358,0)</x:f>
      </x:c>
      <x:c r="D360" s="29">
        <x:f>IF($B360&lt;=Inputs!$C$6+Inputs!$C$11,Cashflow_Asset!$F358+Cashflow_Asset!$G358+Cashflow_Asset!$I358,0)</x:f>
      </x:c>
      <x:c r="E360" s="29">
        <x:f>IF($B360&lt;=Inputs!$C$6+Inputs!$C$11,Cashflow_Asset!$J358,0)</x:f>
      </x:c>
      <x:c r="F360" s="23">
        <x:f>$G359</x:f>
      </x:c>
      <x:c r="G360" s="24">
        <x:f>(MAX(0,$F360-MAX(0,($M360+$S360)-$C360)))+MIN(MAX(0,$D$3-(MAX(0,$F360-MAX(0,($M360+$S360)-$C360)))),MAX(0,MAX(0,($C360+$F360)-$M360)-$S360))</x:f>
      </x:c>
      <x:c r="H360" s="23">
        <x:f>$J359</x:f>
      </x:c>
      <x:c r="I360" s="24">
        <x:f>MIN($E360,$H360)</x:f>
      </x:c>
      <x:c r="J360" s="24">
        <x:f>$H360-$I360</x:f>
      </x:c>
      <x:c r="K360" s="23">
        <x:f>$P359</x:f>
      </x:c>
      <x:c r="L360" s="24">
        <x:f>$K360*Inputs!$C$18/12</x:f>
      </x:c>
      <x:c r="M360" s="24">
        <x:f>MIN(($C360+$F360),$L360)</x:f>
      </x:c>
      <x:c r="N360" s="24">
        <x:f>MIN(($D360+$X360),MAX(0,$K360-$O360))</x:f>
      </x:c>
      <x:c r="O360" s="24">
        <x:f>MIN(MAX(0,MAX(0,$E360-$I360)-$U360),$K360)</x:f>
      </x:c>
      <x:c r="P360" s="24">
        <x:f>MAX(0,$K360-$O360)-$N360</x:f>
      </x:c>
      <x:c r="Q360" s="23">
        <x:f>$V359</x:f>
      </x:c>
      <x:c r="R360" s="24">
        <x:f>$Q360*Inputs!$C$19/12</x:f>
      </x:c>
      <x:c r="S360" s="24">
        <x:f>MIN(MAX(0,($C360+$F360)-$M360),$R360)</x:f>
      </x:c>
      <x:c r="T360" s="24">
        <x:f>MIN(MAX(0,($D360+$X360)-$N360),MAX(0,$Q360-$U360))</x:f>
      </x:c>
      <x:c r="U360" s="24">
        <x:f>MIN(MAX(0,$E360-$I360),$Q360)</x:f>
      </x:c>
      <x:c r="V360" s="24">
        <x:f>MAX(0,$Q360-$U360)-$T360</x:f>
      </x:c>
      <x:c r="W360" s="24">
        <x:f>MAX(0,MAX(0,($C360+$F360)-$M360)-$S360)-MIN(MAX(0,$D$3-(MAX(0,$F360-MAX(0,($M360+$S360)-$C360)))),MAX(0,MAX(0,($C360+$F360)-$M360)-$S360))</x:f>
      </x:c>
      <x:c r="X360" s="24">
        <x:f>IF(Inputs!$C$39=1,$W360,0)</x:f>
      </x:c>
      <x:c r="Y360" s="24">
        <x:f>IF(Inputs!$C$39=0,$W360,0)+MAX(0,MAX(0,($D360+$X360)-$N360)-$T360)</x:f>
      </x:c>
    </x:row>
    <x:row r="361">
      <x:c r="B361" s="22" t="n">
        <x:v>356</x:v>
      </x:c>
      <x:c r="C361" s="29">
        <x:f>IF($B361&lt;=Inputs!$C$6+Inputs!$C$11,Cashflow_Asset!$E359-Cashflow_Asset!$K359,0)</x:f>
      </x:c>
      <x:c r="D361" s="29">
        <x:f>IF($B361&lt;=Inputs!$C$6+Inputs!$C$11,Cashflow_Asset!$F359+Cashflow_Asset!$G359+Cashflow_Asset!$I359,0)</x:f>
      </x:c>
      <x:c r="E361" s="29">
        <x:f>IF($B361&lt;=Inputs!$C$6+Inputs!$C$11,Cashflow_Asset!$J359,0)</x:f>
      </x:c>
      <x:c r="F361" s="23">
        <x:f>$G360</x:f>
      </x:c>
      <x:c r="G361" s="24">
        <x:f>(MAX(0,$F361-MAX(0,($M361+$S361)-$C361)))+MIN(MAX(0,$D$3-(MAX(0,$F361-MAX(0,($M361+$S361)-$C361)))),MAX(0,MAX(0,($C361+$F361)-$M361)-$S361))</x:f>
      </x:c>
      <x:c r="H361" s="23">
        <x:f>$J360</x:f>
      </x:c>
      <x:c r="I361" s="24">
        <x:f>MIN($E361,$H361)</x:f>
      </x:c>
      <x:c r="J361" s="24">
        <x:f>$H361-$I361</x:f>
      </x:c>
      <x:c r="K361" s="23">
        <x:f>$P360</x:f>
      </x:c>
      <x:c r="L361" s="24">
        <x:f>$K361*Inputs!$C$18/12</x:f>
      </x:c>
      <x:c r="M361" s="24">
        <x:f>MIN(($C361+$F361),$L361)</x:f>
      </x:c>
      <x:c r="N361" s="24">
        <x:f>MIN(($D361+$X361),MAX(0,$K361-$O361))</x:f>
      </x:c>
      <x:c r="O361" s="24">
        <x:f>MIN(MAX(0,MAX(0,$E361-$I361)-$U361),$K361)</x:f>
      </x:c>
      <x:c r="P361" s="24">
        <x:f>MAX(0,$K361-$O361)-$N361</x:f>
      </x:c>
      <x:c r="Q361" s="23">
        <x:f>$V360</x:f>
      </x:c>
      <x:c r="R361" s="24">
        <x:f>$Q361*Inputs!$C$19/12</x:f>
      </x:c>
      <x:c r="S361" s="24">
        <x:f>MIN(MAX(0,($C361+$F361)-$M361),$R361)</x:f>
      </x:c>
      <x:c r="T361" s="24">
        <x:f>MIN(MAX(0,($D361+$X361)-$N361),MAX(0,$Q361-$U361))</x:f>
      </x:c>
      <x:c r="U361" s="24">
        <x:f>MIN(MAX(0,$E361-$I361),$Q361)</x:f>
      </x:c>
      <x:c r="V361" s="24">
        <x:f>MAX(0,$Q361-$U361)-$T361</x:f>
      </x:c>
      <x:c r="W361" s="24">
        <x:f>MAX(0,MAX(0,($C361+$F361)-$M361)-$S361)-MIN(MAX(0,$D$3-(MAX(0,$F361-MAX(0,($M361+$S361)-$C361)))),MAX(0,MAX(0,($C361+$F361)-$M361)-$S361))</x:f>
      </x:c>
      <x:c r="X361" s="24">
        <x:f>IF(Inputs!$C$39=1,$W361,0)</x:f>
      </x:c>
      <x:c r="Y361" s="24">
        <x:f>IF(Inputs!$C$39=0,$W361,0)+MAX(0,MAX(0,($D361+$X361)-$N361)-$T361)</x:f>
      </x:c>
    </x:row>
    <x:row r="362">
      <x:c r="B362" s="22" t="n">
        <x:v>357</x:v>
      </x:c>
      <x:c r="C362" s="29">
        <x:f>IF($B362&lt;=Inputs!$C$6+Inputs!$C$11,Cashflow_Asset!$E360-Cashflow_Asset!$K360,0)</x:f>
      </x:c>
      <x:c r="D362" s="29">
        <x:f>IF($B362&lt;=Inputs!$C$6+Inputs!$C$11,Cashflow_Asset!$F360+Cashflow_Asset!$G360+Cashflow_Asset!$I360,0)</x:f>
      </x:c>
      <x:c r="E362" s="29">
        <x:f>IF($B362&lt;=Inputs!$C$6+Inputs!$C$11,Cashflow_Asset!$J360,0)</x:f>
      </x:c>
      <x:c r="F362" s="23">
        <x:f>$G361</x:f>
      </x:c>
      <x:c r="G362" s="24">
        <x:f>(MAX(0,$F362-MAX(0,($M362+$S362)-$C362)))+MIN(MAX(0,$D$3-(MAX(0,$F362-MAX(0,($M362+$S362)-$C362)))),MAX(0,MAX(0,($C362+$F362)-$M362)-$S362))</x:f>
      </x:c>
      <x:c r="H362" s="23">
        <x:f>$J361</x:f>
      </x:c>
      <x:c r="I362" s="24">
        <x:f>MIN($E362,$H362)</x:f>
      </x:c>
      <x:c r="J362" s="24">
        <x:f>$H362-$I362</x:f>
      </x:c>
      <x:c r="K362" s="23">
        <x:f>$P361</x:f>
      </x:c>
      <x:c r="L362" s="24">
        <x:f>$K362*Inputs!$C$18/12</x:f>
      </x:c>
      <x:c r="M362" s="24">
        <x:f>MIN(($C362+$F362),$L362)</x:f>
      </x:c>
      <x:c r="N362" s="24">
        <x:f>MIN(($D362+$X362),MAX(0,$K362-$O362))</x:f>
      </x:c>
      <x:c r="O362" s="24">
        <x:f>MIN(MAX(0,MAX(0,$E362-$I362)-$U362),$K362)</x:f>
      </x:c>
      <x:c r="P362" s="24">
        <x:f>MAX(0,$K362-$O362)-$N362</x:f>
      </x:c>
      <x:c r="Q362" s="23">
        <x:f>$V361</x:f>
      </x:c>
      <x:c r="R362" s="24">
        <x:f>$Q362*Inputs!$C$19/12</x:f>
      </x:c>
      <x:c r="S362" s="24">
        <x:f>MIN(MAX(0,($C362+$F362)-$M362),$R362)</x:f>
      </x:c>
      <x:c r="T362" s="24">
        <x:f>MIN(MAX(0,($D362+$X362)-$N362),MAX(0,$Q362-$U362))</x:f>
      </x:c>
      <x:c r="U362" s="24">
        <x:f>MIN(MAX(0,$E362-$I362),$Q362)</x:f>
      </x:c>
      <x:c r="V362" s="24">
        <x:f>MAX(0,$Q362-$U362)-$T362</x:f>
      </x:c>
      <x:c r="W362" s="24">
        <x:f>MAX(0,MAX(0,($C362+$F362)-$M362)-$S362)-MIN(MAX(0,$D$3-(MAX(0,$F362-MAX(0,($M362+$S362)-$C362)))),MAX(0,MAX(0,($C362+$F362)-$M362)-$S362))</x:f>
      </x:c>
      <x:c r="X362" s="24">
        <x:f>IF(Inputs!$C$39=1,$W362,0)</x:f>
      </x:c>
      <x:c r="Y362" s="24">
        <x:f>IF(Inputs!$C$39=0,$W362,0)+MAX(0,MAX(0,($D362+$X362)-$N362)-$T362)</x:f>
      </x:c>
    </x:row>
    <x:row r="363">
      <x:c r="B363" s="22" t="n">
        <x:v>358</x:v>
      </x:c>
      <x:c r="C363" s="29">
        <x:f>IF($B363&lt;=Inputs!$C$6+Inputs!$C$11,Cashflow_Asset!$E361-Cashflow_Asset!$K361,0)</x:f>
      </x:c>
      <x:c r="D363" s="29">
        <x:f>IF($B363&lt;=Inputs!$C$6+Inputs!$C$11,Cashflow_Asset!$F361+Cashflow_Asset!$G361+Cashflow_Asset!$I361,0)</x:f>
      </x:c>
      <x:c r="E363" s="29">
        <x:f>IF($B363&lt;=Inputs!$C$6+Inputs!$C$11,Cashflow_Asset!$J361,0)</x:f>
      </x:c>
      <x:c r="F363" s="23">
        <x:f>$G362</x:f>
      </x:c>
      <x:c r="G363" s="24">
        <x:f>(MAX(0,$F363-MAX(0,($M363+$S363)-$C363)))+MIN(MAX(0,$D$3-(MAX(0,$F363-MAX(0,($M363+$S363)-$C363)))),MAX(0,MAX(0,($C363+$F363)-$M363)-$S363))</x:f>
      </x:c>
      <x:c r="H363" s="23">
        <x:f>$J362</x:f>
      </x:c>
      <x:c r="I363" s="24">
        <x:f>MIN($E363,$H363)</x:f>
      </x:c>
      <x:c r="J363" s="24">
        <x:f>$H363-$I363</x:f>
      </x:c>
      <x:c r="K363" s="23">
        <x:f>$P362</x:f>
      </x:c>
      <x:c r="L363" s="24">
        <x:f>$K363*Inputs!$C$18/12</x:f>
      </x:c>
      <x:c r="M363" s="24">
        <x:f>MIN(($C363+$F363),$L363)</x:f>
      </x:c>
      <x:c r="N363" s="24">
        <x:f>MIN(($D363+$X363),MAX(0,$K363-$O363))</x:f>
      </x:c>
      <x:c r="O363" s="24">
        <x:f>MIN(MAX(0,MAX(0,$E363-$I363)-$U363),$K363)</x:f>
      </x:c>
      <x:c r="P363" s="24">
        <x:f>MAX(0,$K363-$O363)-$N363</x:f>
      </x:c>
      <x:c r="Q363" s="23">
        <x:f>$V362</x:f>
      </x:c>
      <x:c r="R363" s="24">
        <x:f>$Q363*Inputs!$C$19/12</x:f>
      </x:c>
      <x:c r="S363" s="24">
        <x:f>MIN(MAX(0,($C363+$F363)-$M363),$R363)</x:f>
      </x:c>
      <x:c r="T363" s="24">
        <x:f>MIN(MAX(0,($D363+$X363)-$N363),MAX(0,$Q363-$U363))</x:f>
      </x:c>
      <x:c r="U363" s="24">
        <x:f>MIN(MAX(0,$E363-$I363),$Q363)</x:f>
      </x:c>
      <x:c r="V363" s="24">
        <x:f>MAX(0,$Q363-$U363)-$T363</x:f>
      </x:c>
      <x:c r="W363" s="24">
        <x:f>MAX(0,MAX(0,($C363+$F363)-$M363)-$S363)-MIN(MAX(0,$D$3-(MAX(0,$F363-MAX(0,($M363+$S363)-$C363)))),MAX(0,MAX(0,($C363+$F363)-$M363)-$S363))</x:f>
      </x:c>
      <x:c r="X363" s="24">
        <x:f>IF(Inputs!$C$39=1,$W363,0)</x:f>
      </x:c>
      <x:c r="Y363" s="24">
        <x:f>IF(Inputs!$C$39=0,$W363,0)+MAX(0,MAX(0,($D363+$X363)-$N363)-$T363)</x:f>
      </x:c>
    </x:row>
    <x:row r="364">
      <x:c r="B364" s="22" t="n">
        <x:v>359</x:v>
      </x:c>
      <x:c r="C364" s="29">
        <x:f>IF($B364&lt;=Inputs!$C$6+Inputs!$C$11,Cashflow_Asset!$E362-Cashflow_Asset!$K362,0)</x:f>
      </x:c>
      <x:c r="D364" s="29">
        <x:f>IF($B364&lt;=Inputs!$C$6+Inputs!$C$11,Cashflow_Asset!$F362+Cashflow_Asset!$G362+Cashflow_Asset!$I362,0)</x:f>
      </x:c>
      <x:c r="E364" s="29">
        <x:f>IF($B364&lt;=Inputs!$C$6+Inputs!$C$11,Cashflow_Asset!$J362,0)</x:f>
      </x:c>
      <x:c r="F364" s="23">
        <x:f>$G363</x:f>
      </x:c>
      <x:c r="G364" s="24">
        <x:f>(MAX(0,$F364-MAX(0,($M364+$S364)-$C364)))+MIN(MAX(0,$D$3-(MAX(0,$F364-MAX(0,($M364+$S364)-$C364)))),MAX(0,MAX(0,($C364+$F364)-$M364)-$S364))</x:f>
      </x:c>
      <x:c r="H364" s="23">
        <x:f>$J363</x:f>
      </x:c>
      <x:c r="I364" s="24">
        <x:f>MIN($E364,$H364)</x:f>
      </x:c>
      <x:c r="J364" s="24">
        <x:f>$H364-$I364</x:f>
      </x:c>
      <x:c r="K364" s="23">
        <x:f>$P363</x:f>
      </x:c>
      <x:c r="L364" s="24">
        <x:f>$K364*Inputs!$C$18/12</x:f>
      </x:c>
      <x:c r="M364" s="24">
        <x:f>MIN(($C364+$F364),$L364)</x:f>
      </x:c>
      <x:c r="N364" s="24">
        <x:f>MIN(($D364+$X364),MAX(0,$K364-$O364))</x:f>
      </x:c>
      <x:c r="O364" s="24">
        <x:f>MIN(MAX(0,MAX(0,$E364-$I364)-$U364),$K364)</x:f>
      </x:c>
      <x:c r="P364" s="24">
        <x:f>MAX(0,$K364-$O364)-$N364</x:f>
      </x:c>
      <x:c r="Q364" s="23">
        <x:f>$V363</x:f>
      </x:c>
      <x:c r="R364" s="24">
        <x:f>$Q364*Inputs!$C$19/12</x:f>
      </x:c>
      <x:c r="S364" s="24">
        <x:f>MIN(MAX(0,($C364+$F364)-$M364),$R364)</x:f>
      </x:c>
      <x:c r="T364" s="24">
        <x:f>MIN(MAX(0,($D364+$X364)-$N364),MAX(0,$Q364-$U364))</x:f>
      </x:c>
      <x:c r="U364" s="24">
        <x:f>MIN(MAX(0,$E364-$I364),$Q364)</x:f>
      </x:c>
      <x:c r="V364" s="24">
        <x:f>MAX(0,$Q364-$U364)-$T364</x:f>
      </x:c>
      <x:c r="W364" s="24">
        <x:f>MAX(0,MAX(0,($C364+$F364)-$M364)-$S364)-MIN(MAX(0,$D$3-(MAX(0,$F364-MAX(0,($M364+$S364)-$C364)))),MAX(0,MAX(0,($C364+$F364)-$M364)-$S364))</x:f>
      </x:c>
      <x:c r="X364" s="24">
        <x:f>IF(Inputs!$C$39=1,$W364,0)</x:f>
      </x:c>
      <x:c r="Y364" s="24">
        <x:f>IF(Inputs!$C$39=0,$W364,0)+MAX(0,MAX(0,($D364+$X364)-$N364)-$T364)</x:f>
      </x:c>
    </x:row>
    <x:row r="365">
      <x:c r="B365" s="22" t="n">
        <x:v>360</x:v>
      </x:c>
      <x:c r="C365" s="29">
        <x:f>IF($B365&lt;=Inputs!$C$6+Inputs!$C$11,Cashflow_Asset!$E363-Cashflow_Asset!$K363,0)</x:f>
      </x:c>
      <x:c r="D365" s="29">
        <x:f>IF($B365&lt;=Inputs!$C$6+Inputs!$C$11,Cashflow_Asset!$F363+Cashflow_Asset!$G363+Cashflow_Asset!$I363,0)</x:f>
      </x:c>
      <x:c r="E365" s="29">
        <x:f>IF($B365&lt;=Inputs!$C$6+Inputs!$C$11,Cashflow_Asset!$J363,0)</x:f>
      </x:c>
      <x:c r="F365" s="23">
        <x:f>$G364</x:f>
      </x:c>
      <x:c r="G365" s="24">
        <x:f>(MAX(0,$F365-MAX(0,($M365+$S365)-$C365)))+MIN(MAX(0,$D$3-(MAX(0,$F365-MAX(0,($M365+$S365)-$C365)))),MAX(0,MAX(0,($C365+$F365)-$M365)-$S365))</x:f>
      </x:c>
      <x:c r="H365" s="23">
        <x:f>$J364</x:f>
      </x:c>
      <x:c r="I365" s="24">
        <x:f>MIN($E365,$H365)</x:f>
      </x:c>
      <x:c r="J365" s="24">
        <x:f>$H365-$I365</x:f>
      </x:c>
      <x:c r="K365" s="23">
        <x:f>$P364</x:f>
      </x:c>
      <x:c r="L365" s="24">
        <x:f>$K365*Inputs!$C$18/12</x:f>
      </x:c>
      <x:c r="M365" s="24">
        <x:f>MIN(($C365+$F365),$L365)</x:f>
      </x:c>
      <x:c r="N365" s="24">
        <x:f>MIN(($D365+$X365),MAX(0,$K365-$O365))</x:f>
      </x:c>
      <x:c r="O365" s="24">
        <x:f>MIN(MAX(0,MAX(0,$E365-$I365)-$U365),$K365)</x:f>
      </x:c>
      <x:c r="P365" s="24">
        <x:f>MAX(0,$K365-$O365)-$N365</x:f>
      </x:c>
      <x:c r="Q365" s="23">
        <x:f>$V364</x:f>
      </x:c>
      <x:c r="R365" s="24">
        <x:f>$Q365*Inputs!$C$19/12</x:f>
      </x:c>
      <x:c r="S365" s="24">
        <x:f>MIN(MAX(0,($C365+$F365)-$M365),$R365)</x:f>
      </x:c>
      <x:c r="T365" s="24">
        <x:f>MIN(MAX(0,($D365+$X365)-$N365),MAX(0,$Q365-$U365))</x:f>
      </x:c>
      <x:c r="U365" s="24">
        <x:f>MIN(MAX(0,$E365-$I365),$Q365)</x:f>
      </x:c>
      <x:c r="V365" s="24">
        <x:f>MAX(0,$Q365-$U365)-$T365</x:f>
      </x:c>
      <x:c r="W365" s="24">
        <x:f>MAX(0,MAX(0,($C365+$F365)-$M365)-$S365)-MIN(MAX(0,$D$3-(MAX(0,$F365-MAX(0,($M365+$S365)-$C365)))),MAX(0,MAX(0,($C365+$F365)-$M365)-$S365))</x:f>
      </x:c>
      <x:c r="X365" s="24">
        <x:f>IF(Inputs!$C$39=1,$W365,0)</x:f>
      </x:c>
      <x:c r="Y365" s="24">
        <x:f>IF(Inputs!$C$39=0,$W365,0)+MAX(0,MAX(0,($D365+$X365)-$N365)-$T365)</x:f>
      </x:c>
    </x:row>
  </x:sheetData>
  <x:mergeCells>
    <x:mergeCell ref="B1:Z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customWidth="1"/>
    <x:col min="2" max="2" width="16" customWidth="1"/>
    <x:col min="3" max="3" width="18" customWidth="1"/>
    <x:col min="4" max="4" width="14" customWidth="1"/>
    <x:col min="5" max="5" width="18" customWidth="1"/>
    <x:col min="6" max="6" width="14" customWidth="1"/>
    <x:col min="7" max="7" width="16" customWidth="1"/>
    <x:col min="8" max="8" width="10" customWidth="1"/>
    <x:col min="9" max="9" width="10" customWidth="1"/>
    <x:col min="10" max="10" width="16" customWidth="1"/>
    <x:col min="11" max="11" width="14" customWidth="1"/>
    <x:col min="12" max="12" width="14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4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4" customWidth="1"/>
    <x:col min="24" max="24" width="10" customWidth="1"/>
    <x:col min="25" max="25" width="10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0" customWidth="1"/>
    <x:col min="32" max="32" width="10" customWidth="1"/>
    <x:col min="33" max="33" width="10" customWidth="1"/>
    <x:col min="34" max="34" width="10" customWidth="1"/>
    <x:col min="35" max="35" width="16" customWidth="1"/>
    <x:col min="36" max="36" width="14" customWidth="1"/>
  </x:cols>
  <x:sheetData>
    <x:row r="1">
      <x:c r="A1" s="39" t="inlineStr">
        <x:is>
          <x:t xml:space="preserve">Liability-side cashflow (split interest/principal; shows CC(t) and F0(t)=CC(t)+Rb(t))</x:t>
        </x:is>
      </x:c>
    </x:row>
    <x:row r="3">
      <x:c r="A3" s="6" t="inlineStr">
        <x:is>
          <x:t xml:space="preserve">Setup (linked to Inputs)</x:t>
        </x:is>
      </x:c>
    </x:row>
    <x:row r="4">
      <x:c r="A4" s="56" t="inlineStr">
        <x:is>
          <x:t xml:space="preserve">Collateral pool balance V0</x:t>
        </x:is>
      </x:c>
      <x:c r="B4" s="43">
        <x:f>Inputs!$C$4</x:f>
        <x:v>100000000</x:v>
      </x:c>
    </x:row>
    <x:row r="5">
      <x:c r="A5" s="56" t="inlineStr">
        <x:is>
          <x:t xml:space="preserve">Reserve % (init) of V0</x:t>
        </x:is>
      </x:c>
      <x:c r="B5" s="42">
        <x:f>Inputs!$C$20</x:f>
        <x:v>0.01</x:v>
      </x:c>
    </x:row>
    <x:row r="6">
      <x:c r="A6" s="56" t="inlineStr">
        <x:is>
          <x:t xml:space="preserve">OC % (init) of V0</x:t>
        </x:is>
      </x:c>
      <x:c r="B6" s="42">
        <x:f>Inputs!$C$21</x:f>
        <x:v>0</x:v>
      </x:c>
    </x:row>
    <x:row r="7">
      <x:c r="A7" s="56" t="inlineStr">
        <x:is>
          <x:t xml:space="preserve">Reserve cash R0</x:t>
        </x:is>
      </x:c>
      <x:c r="B7" s="43">
        <x:f>Inputs!$C$4*Inputs!$C$20</x:f>
        <x:v>1000000</x:v>
      </x:c>
    </x:row>
    <x:row r="8">
      <x:c r="A8" s="56" t="inlineStr">
        <x:is>
          <x:t xml:space="preserve">Total notes (NoteBase) = V0*(1-OC%)</x:t>
        </x:is>
      </x:c>
      <x:c r="B8" s="43">
        <x:f>Inputs!$C$4*(1-Inputs!$C$21)</x:f>
        <x:v>100000000</x:v>
      </x:c>
    </x:row>
    <x:row r="9">
      <x:c r="A9" s="56" t="inlineStr">
        <x:is>
          <x:t xml:space="preserve">Class A % of notes</x:t>
        </x:is>
      </x:c>
      <x:c r="B9" s="42">
        <x:f>Inputs!$C$15</x:f>
        <x:v>0.8</x:v>
      </x:c>
    </x:row>
    <x:row r="10">
      <x:c r="A10" s="56" t="inlineStr">
        <x:is>
          <x:t xml:space="preserve">Class B % of notes</x:t>
        </x:is>
      </x:c>
      <x:c r="B10" s="42">
        <x:f>Inputs!$C$16</x:f>
        <x:v>0.15</x:v>
      </x:c>
    </x:row>
    <x:row r="11">
      <x:c r="A11" s="56" t="inlineStr">
        <x:is>
          <x:t xml:space="preserve">Residual % of notes</x:t>
        </x:is>
      </x:c>
      <x:c r="B11" s="42">
        <x:f>Inputs!$C$17</x:f>
        <x:v>0.04999999999999996</x:v>
      </x:c>
    </x:row>
    <x:row r="12">
      <x:c r="A12" s="56" t="inlineStr">
        <x:is>
          <x:t xml:space="preserve">Class A init balance</x:t>
        </x:is>
      </x:c>
      <x:c r="B12" s="43">
        <x:f>$B$8*Inputs!$C$15</x:f>
        <x:v>80000000</x:v>
      </x:c>
    </x:row>
    <x:row r="13">
      <x:c r="A13" s="56" t="inlineStr">
        <x:is>
          <x:t xml:space="preserve">Class B init balance</x:t>
        </x:is>
      </x:c>
      <x:c r="B13" s="43">
        <x:f>$B$8*Inputs!$C$16</x:f>
        <x:v>15000000</x:v>
      </x:c>
    </x:row>
    <x:row r="14">
      <x:c r="A14" s="56" t="inlineStr">
        <x:is>
          <x:t xml:space="preserve">Equity cushion init (OC + reserve + residual slice)</x:t>
        </x:is>
      </x:c>
      <x:c r="B14" s="43">
        <x:f>Inputs!$C$4*Inputs!$C$21 + $B$7 + $B$8*(1-Inputs!$C$15-Inputs!$C$16)</x:f>
        <x:v>5999999.999999996</x:v>
      </x:c>
    </x:row>
    <x:row r="15">
      <x:c r="A15" s="56" t="inlineStr">
        <x:is>
          <x:t xml:space="preserve">A coupon (annual)</x:t>
        </x:is>
      </x:c>
      <x:c r="B15" s="42">
        <x:f>Inputs!$C$18</x:f>
        <x:v>0.055</x:v>
      </x:c>
    </x:row>
    <x:row r="16">
      <x:c r="A16" s="56" t="inlineStr">
        <x:is>
          <x:t xml:space="preserve">B coupon (annual)</x:t>
        </x:is>
      </x:c>
      <x:c r="B16" s="42">
        <x:f>Inputs!$C$19</x:f>
        <x:v>0.095</x:v>
      </x:c>
    </x:row>
    <x:row r="17">
      <x:c r="A17" s="56" t="inlineStr">
        <x:is>
          <x:t xml:space="preserve">Reserve target</x:t>
        </x:is>
      </x:c>
      <x:c r="B17" s="43">
        <x:f>$B$7</x:f>
        <x:v>1000000</x:v>
      </x:c>
    </x:row>
    <x:row r="18">
      <x:c r="A18" s="56" t="inlineStr">
        <x:is>
          <x:t xml:space="preserve">Turbo toggle (1/0)</x:t>
        </x:is>
      </x:c>
      <x:c r="B18" s="27">
        <x:f>Inputs!$C$22</x:f>
        <x:v>1</x:v>
      </x:c>
    </x:row>
    <x:row r="19">
      <x:c r="A19" s="44" t="inlineStr">
        <x:is>
          <x:t xml:space="preserve">Source: https://global.oup.com/academic/product/elements-of-structured-finance-9780195179989 (Ch.20 defines CC(t) and Available Funds F0(t)=CC(t)+Rb(t); Ch.7 discusses reserve accounts within the waterfall).</x:t>
        </x:is>
      </x:c>
    </x:row>
    <x:row r="20">
      <x:c r="A20" s="45" t="inlineStr">
        <x:is>
          <x:t xml:space="preserve">Month</x:t>
        </x:is>
      </x:c>
      <x:c r="B20" s="45" t="inlineStr">
        <x:is>
          <x:t xml:space="preserve">Interest collections I(t)</x:t>
        </x:is>
      </x:c>
      <x:c r="C20" s="45" t="inlineStr">
        <x:is>
          <x:t xml:space="preserve">Principal collections P(t)</x:t>
        </x:is>
      </x:c>
      <x:c r="D20" s="45" t="inlineStr">
        <x:is>
          <x:t xml:space="preserve">Recoveries Rc(t)</x:t>
        </x:is>
      </x:c>
      <x:c r="E20" s="45" t="inlineStr">
        <x:is>
          <x:t xml:space="preserve">Current Collections CC(t)</x:t>
        </x:is>
      </x:c>
      <x:c r="F20" s="45" t="inlineStr">
        <x:is>
          <x:t xml:space="preserve">Reserve Beg Rb(t)</x:t>
        </x:is>
      </x:c>
      <x:c r="G20" s="45" t="inlineStr">
        <x:is>
          <x:t xml:space="preserve">Available Funds F0(t)</x:t>
        </x:is>
      </x:c>
      <x:c r="H20" s="45" t="inlineStr">
        <x:is>
          <x:t xml:space="preserve">Fees due</x:t>
        </x:is>
      </x:c>
      <x:c r="I20" s="45" t="inlineStr">
        <x:is>
          <x:t xml:space="preserve">Fees paid</x:t>
        </x:is>
      </x:c>
      <x:c r="J20" s="45" t="inlineStr">
        <x:is>
          <x:t xml:space="preserve">Interest funds after fees</x:t>
        </x:is>
      </x:c>
      <x:c r="K20" s="45" t="inlineStr">
        <x:is>
          <x:t xml:space="preserve">Reserve after fees</x:t>
        </x:is>
      </x:c>
      <x:c r="L20" s="45" t="inlineStr">
        <x:is>
          <x:t xml:space="preserve">Loss write-off (Severity*Defaults)</x:t>
        </x:is>
      </x:c>
      <x:c r="M20" s="45" t="inlineStr">
        <x:is>
          <x:t xml:space="preserve">Eq Beg</x:t>
        </x:is>
      </x:c>
      <x:c r="N20" s="45" t="inlineStr">
        <x:is>
          <x:t xml:space="preserve">Eq Loss</x:t>
        </x:is>
      </x:c>
      <x:c r="O20" s="45" t="inlineStr">
        <x:is>
          <x:t xml:space="preserve">Eq End</x:t>
        </x:is>
      </x:c>
      <x:c r="P20" s="45" t="inlineStr">
        <x:is>
          <x:t xml:space="preserve">A Beg</x:t>
        </x:is>
      </x:c>
      <x:c r="Q20" s="45" t="inlineStr">
        <x:is>
          <x:t xml:space="preserve">A Loss</x:t>
        </x:is>
      </x:c>
      <x:c r="R20" s="45" t="inlineStr">
        <x:is>
          <x:t xml:space="preserve">A Bal (post loss)</x:t>
        </x:is>
      </x:c>
      <x:c r="S20" s="45" t="inlineStr">
        <x:is>
          <x:t xml:space="preserve">A Int Due</x:t>
        </x:is>
      </x:c>
      <x:c r="T20" s="45" t="inlineStr">
        <x:is>
          <x:t xml:space="preserve">A Int Paid</x:t>
        </x:is>
      </x:c>
      <x:c r="U20" s="45" t="inlineStr">
        <x:is>
          <x:t xml:space="preserve">B Beg</x:t>
        </x:is>
      </x:c>
      <x:c r="V20" s="45" t="inlineStr">
        <x:is>
          <x:t xml:space="preserve">B Loss</x:t>
        </x:is>
      </x:c>
      <x:c r="W20" s="45" t="inlineStr">
        <x:is>
          <x:t xml:space="preserve">B Bal (post loss)</x:t>
        </x:is>
      </x:c>
      <x:c r="X20" s="45" t="inlineStr">
        <x:is>
          <x:t xml:space="preserve">B Int Due</x:t>
        </x:is>
      </x:c>
      <x:c r="Y20" s="45" t="inlineStr">
        <x:is>
          <x:t xml:space="preserve">B Int Paid</x:t>
        </x:is>
      </x:c>
      <x:c r="Z20" s="45" t="inlineStr">
        <x:is>
          <x:t xml:space="preserve">Reserve top-up</x:t>
        </x:is>
      </x:c>
      <x:c r="AA20" s="45" t="inlineStr">
        <x:is>
          <x:t xml:space="preserve">Reserve End</x:t>
        </x:is>
      </x:c>
      <x:c r="AB20" s="45" t="inlineStr">
        <x:is>
          <x:t xml:space="preserve">Excess interest</x:t>
        </x:is>
      </x:c>
      <x:c r="AC20" s="45" t="inlineStr">
        <x:is>
          <x:t xml:space="preserve">Turbo principal</x:t>
        </x:is>
      </x:c>
      <x:c r="AD20" s="45" t="inlineStr">
        <x:is>
          <x:t xml:space="preserve">Principal funds</x:t>
        </x:is>
      </x:c>
      <x:c r="AE20" s="45" t="inlineStr">
        <x:is>
          <x:t xml:space="preserve">A Prin Paid</x:t>
        </x:is>
      </x:c>
      <x:c r="AF20" s="45" t="inlineStr">
        <x:is>
          <x:t xml:space="preserve">A End</x:t>
        </x:is>
      </x:c>
      <x:c r="AG20" s="45" t="inlineStr">
        <x:is>
          <x:t xml:space="preserve">B Prin Paid</x:t>
        </x:is>
      </x:c>
      <x:c r="AH20" s="45" t="inlineStr">
        <x:is>
          <x:t xml:space="preserve">B End</x:t>
        </x:is>
      </x:c>
      <x:c r="AI20" s="45" t="inlineStr">
        <x:is>
          <x:t xml:space="preserve">Equity cash (interest+principal residual)</x:t>
        </x:is>
      </x:c>
      <x:c r="AJ20" s="45" t="inlineStr">
        <x:is>
          <x:t xml:space="preserve">Check (should be 0)</x:t>
        </x:is>
      </x:c>
    </x:row>
    <x:row r="21">
      <x:c r="A21" s="46" t="n">
        <x:v>1</x:v>
      </x:c>
      <x:c r="B21" s="47">
        <x:f>IF($A21&lt;=Inputs!$C$6+Inputs!$C$11,Cashflow_Asset!$E4,0)</x:f>
        <x:v>1000000</x:v>
      </x:c>
      <x:c r="C21" s="47">
        <x:f>IF($A21&lt;=Inputs!$C$6,Cashflow_Asset!$F4+Cashflow_Asset!$G4,0)</x:f>
        <x:v>1732448.7165162673</x:v>
      </x:c>
      <x:c r="D21" s="47">
        <x:f>IF($A21&lt;=Inputs!$C$6+Inputs!$C$11,Cashflow_Asset!$I4,0)</x:f>
        <x:v>0</x:v>
      </x:c>
      <x:c r="E21" s="47">
        <x:f>$B21+$C21+$D21</x:f>
        <x:v>2732448.7165162675</x:v>
      </x:c>
      <x:c r="F21" s="47">
        <x:f>$B$7</x:f>
        <x:v>1000000</x:v>
      </x:c>
      <x:c r="G21" s="47">
        <x:f>$E21+$F21</x:f>
        <x:v>3732448.7165162675</x:v>
      </x:c>
      <x:c r="H21" s="47">
        <x:f>IF($A21&lt;=Inputs!$C$6+Inputs!$C$11,Cashflow_Asset!$K4,0)</x:f>
        <x:v>83333.33333333334</x:v>
      </x:c>
      <x:c r="I21" s="47">
        <x:f>MIN($H21,$B21+$F21)</x:f>
        <x:v>83333.33333333334</x:v>
      </x:c>
      <x:c r="J21" s="47">
        <x:f>MAX(0,$B21-$I21)</x:f>
        <x:v>916666.6666666666</x:v>
      </x:c>
      <x:c r="K21" s="47">
        <x:f>MAX(0,$F21-MAX(0,$I21-$B21))</x:f>
        <x:v>1000000</x:v>
      </x:c>
      <x:c r="L21" s="47">
        <x:f>IF($A21&lt;=Inputs!$C$6,Cashflow_Asset!$H4*Inputs!$C$10,0)</x:f>
        <x:v>149467.81179979263</x:v>
      </x:c>
      <x:c r="M21" s="47">
        <x:f>$B$14</x:f>
        <x:v>5999999.999999996</x:v>
      </x:c>
      <x:c r="N21" s="47">
        <x:f>MIN($L21,$M21)</x:f>
        <x:v>149467.81179979263</x:v>
      </x:c>
      <x:c r="O21" s="47">
        <x:f>$M21-$N21</x:f>
        <x:v>5850532.188200204</x:v>
      </x:c>
      <x:c r="P21" s="47">
        <x:f>$B$12</x:f>
        <x:v>80000000</x:v>
      </x:c>
      <x:c r="Q21" s="47">
        <x:f>MIN(MAX(0,$L21-$N21-$V21),$P21)</x:f>
        <x:v>0</x:v>
      </x:c>
      <x:c r="R21" s="47">
        <x:f>$P21-$Q21</x:f>
        <x:v>80000000</x:v>
      </x:c>
      <x:c r="S21" s="47">
        <x:f>$R21*Inputs!$C$18/12</x:f>
        <x:v>366666.6666666667</x:v>
      </x:c>
      <x:c r="T21" s="47">
        <x:f>MIN($S21,$J21+$K21)</x:f>
        <x:v>366666.6666666667</x:v>
      </x:c>
      <x:c r="U21" s="47">
        <x:f>$B$13</x:f>
        <x:v>15000000</x:v>
      </x:c>
      <x:c r="V21" s="47">
        <x:f>MIN(MAX(0,$L21-$N21),$U21)</x:f>
        <x:v>0</x:v>
      </x:c>
      <x:c r="W21" s="47">
        <x:f>$U21-$V21</x:f>
        <x:v>15000000</x:v>
      </x:c>
      <x:c r="X21" s="47">
        <x:f>$W21*Inputs!$C$19/12</x:f>
        <x:v>118750.00000000001</x:v>
      </x:c>
      <x:c r="Y21" s="47">
        <x:f>MIN($X21,MAX(0,$J21-$T21) + ($K21-MAX(0,$T21-$J21)))</x:f>
        <x:v>118750.00000000001</x:v>
      </x:c>
      <x:c r="Z21" s="47">
        <x:f>MIN(MAX(0,$B$17 - (($K21-MAX(0,$T21-$J21)) - MAX(0,$Y21-MAX(0,$J21-$T21)))), MAX(0, MAX(0,$J21-$T21) - $Y21))</x:f>
        <x:v>0</x:v>
      </x:c>
      <x:c r="AA21" s="47">
        <x:f>(($K21-MAX(0,$T21-$J21)) - MAX(0,$Y21-MAX(0,$J21-$T21))) + $Z21</x:f>
        <x:v>1000000</x:v>
      </x:c>
      <x:c r="AB21" s="47">
        <x:f>MAX(0,MAX(0,$J21-$T21)-$Y21)-$Z21</x:f>
        <x:v>431250</x:v>
      </x:c>
      <x:c r="AC21" s="47">
        <x:f>IF($B$18=1,$AB21,0)</x:f>
        <x:v>431250</x:v>
      </x:c>
      <x:c r="AD21" s="47">
        <x:f>$C21+$D21+$AC21</x:f>
        <x:v>2163698.7165162675</x:v>
      </x:c>
      <x:c r="AE21" s="47">
        <x:f>MIN($AD21,$R21)</x:f>
        <x:v>2163698.7165162675</x:v>
      </x:c>
      <x:c r="AF21" s="47">
        <x:f>$R21-$AE21</x:f>
        <x:v>77836301.28348373</x:v>
      </x:c>
      <x:c r="AG21" s="47">
        <x:f>MIN(MAX(0,$AD21-$AE21),$W21)</x:f>
        <x:v>0</x:v>
      </x:c>
      <x:c r="AH21" s="47">
        <x:f>$W21-$AG21</x:f>
        <x:v>15000000</x:v>
      </x:c>
      <x:c r="AI21" s="47">
        <x:f>IF($B$18=1,0,$AB21) + MAX(0,$AD21-$AE21-$AG21)</x:f>
        <x:v>0</x:v>
      </x:c>
      <x:c r="AJ21" s="47">
        <x:f>($E21+$F21)-($I21+$T21+$Y21+$AE21+$AG21+$AI21+$AA21)</x:f>
        <x:v>0</x:v>
      </x:c>
    </x:row>
    <x:row r="22">
      <x:c r="A22" s="46" t="n">
        <x:v>2</x:v>
      </x:c>
      <x:c r="B22" s="47">
        <x:f>IF($A22&lt;=Inputs!$C$6+Inputs!$C$11,Cashflow_Asset!$E5,0)</x:f>
        <x:v>980184.3826381741</x:v>
      </x:c>
      <x:c r="C22" s="47">
        <x:f>IF($A22&lt;=Inputs!$C$6,Cashflow_Asset!$F5+Cashflow_Asset!$G5,0)</x:f>
        <x:v>1741971.2244674945</x:v>
      </x:c>
      <x:c r="D22" s="47">
        <x:f>IF($A22&lt;=Inputs!$C$6+Inputs!$C$11,Cashflow_Asset!$I5,0)</x:f>
        <x:v>0</x:v>
      </x:c>
      <x:c r="E22" s="47">
        <x:f>$B22+$C22+$D22</x:f>
        <x:v>2722155.6071056686</x:v>
      </x:c>
      <x:c r="F22" s="47">
        <x:f>$AA21</x:f>
        <x:v>1000000</x:v>
      </x:c>
      <x:c r="G22" s="47">
        <x:f>$E22+$F22</x:f>
        <x:v>3722155.6071056686</x:v>
      </x:c>
      <x:c r="H22" s="47">
        <x:f>IF($A22&lt;=Inputs!$C$6+Inputs!$C$11,Cashflow_Asset!$K5,0)</x:f>
        <x:v>81682.03188651452</x:v>
      </x:c>
      <x:c r="I22" s="47">
        <x:f>MIN($H22,$B22+$F22)</x:f>
        <x:v>81682.03188651452</x:v>
      </x:c>
      <x:c r="J22" s="47">
        <x:f>MAX(0,$B22-$I22)</x:f>
        <x:v>898502.3507516596</x:v>
      </x:c>
      <x:c r="K22" s="47">
        <x:f>MAX(0,$F22-MAX(0,$I22-$B22))</x:f>
        <x:v>1000000</x:v>
      </x:c>
      <x:c r="L22" s="47">
        <x:f>IF($A22&lt;=Inputs!$C$6,Cashflow_Asset!$H5*Inputs!$C$10,0)</x:f>
        <x:v>146439.31458791852</x:v>
      </x:c>
      <x:c r="M22" s="47">
        <x:f>$O21</x:f>
        <x:v>5850532.188200204</x:v>
      </x:c>
      <x:c r="N22" s="47">
        <x:f>MIN($L22,$M22)</x:f>
        <x:v>146439.31458791852</x:v>
      </x:c>
      <x:c r="O22" s="47">
        <x:f>$M22-$N22</x:f>
        <x:v>5704092.873612286</x:v>
      </x:c>
      <x:c r="P22" s="47">
        <x:f>$AF21</x:f>
        <x:v>77836301.28348373</x:v>
      </x:c>
      <x:c r="Q22" s="47">
        <x:f>MIN(MAX(0,$L22-$N22-$V22),$P22)</x:f>
        <x:v>0</x:v>
      </x:c>
      <x:c r="R22" s="47">
        <x:f>$P22-$Q22</x:f>
        <x:v>77836301.28348373</x:v>
      </x:c>
      <x:c r="S22" s="47">
        <x:f>$R22*Inputs!$C$18/12</x:f>
        <x:v>356749.7142159671</x:v>
      </x:c>
      <x:c r="T22" s="47">
        <x:f>MIN($S22,$J22+$K22)</x:f>
        <x:v>356749.7142159671</x:v>
      </x:c>
      <x:c r="U22" s="47">
        <x:f>$AH21</x:f>
        <x:v>15000000</x:v>
      </x:c>
      <x:c r="V22" s="47">
        <x:f>MIN(MAX(0,$L22-$N22),$U22)</x:f>
        <x:v>0</x:v>
      </x:c>
      <x:c r="W22" s="47">
        <x:f>$U22-$V22</x:f>
        <x:v>15000000</x:v>
      </x:c>
      <x:c r="X22" s="47">
        <x:f>$W22*Inputs!$C$19/12</x:f>
        <x:v>118750.00000000001</x:v>
      </x:c>
      <x:c r="Y22" s="47">
        <x:f>MIN($X22,MAX(0,$J22-$T22) + ($K22-MAX(0,$T22-$J22)))</x:f>
        <x:v>118750.00000000001</x:v>
      </x:c>
      <x:c r="Z22" s="47">
        <x:f>MIN(MAX(0,$B$17 - (($K22-MAX(0,$T22-$J22)) - MAX(0,$Y22-MAX(0,$J22-$T22)))), MAX(0, MAX(0,$J22-$T22) - $Y22))</x:f>
        <x:v>0</x:v>
      </x:c>
      <x:c r="AA22" s="47">
        <x:f>(($K22-MAX(0,$T22-$J22)) - MAX(0,$Y22-MAX(0,$J22-$T22))) + $Z22</x:f>
        <x:v>1000000</x:v>
      </x:c>
      <x:c r="AB22" s="47">
        <x:f>MAX(0,MAX(0,$J22-$T22)-$Y22)-$Z22</x:f>
        <x:v>423002.6365356925</x:v>
      </x:c>
      <x:c r="AC22" s="47">
        <x:f>IF($B$18=1,$AB22,0)</x:f>
        <x:v>423002.6365356925</x:v>
      </x:c>
      <x:c r="AD22" s="47">
        <x:f>$C22+$D22+$AC22</x:f>
        <x:v>2164973.861003187</x:v>
      </x:c>
      <x:c r="AE22" s="47">
        <x:f>MIN($AD22,$R22)</x:f>
        <x:v>2164973.861003187</x:v>
      </x:c>
      <x:c r="AF22" s="47">
        <x:f>$R22-$AE22</x:f>
        <x:v>75671327.42248054</x:v>
      </x:c>
      <x:c r="AG22" s="47">
        <x:f>MIN(MAX(0,$AD22-$AE22),$W22)</x:f>
        <x:v>0</x:v>
      </x:c>
      <x:c r="AH22" s="47">
        <x:f>$W22-$AG22</x:f>
        <x:v>15000000</x:v>
      </x:c>
      <x:c r="AI22" s="47">
        <x:f>IF($B$18=1,0,$AB22) + MAX(0,$AD22-$AE22-$AG22)</x:f>
        <x:v>0</x:v>
      </x:c>
      <x:c r="AJ22" s="47">
        <x:f>($E22+$F22)-($I22+$T22+$Y22+$AE22+$AG22+$AI22+$AA22)</x:f>
        <x:v>0</x:v>
      </x:c>
    </x:row>
    <x:row r="23">
      <x:c r="A23" s="46" t="n">
        <x:v>3</x:v>
      </x:c>
      <x:c r="B23" s="47">
        <x:f>IF($A23&lt;=Inputs!$C$6+Inputs!$C$11,Cashflow_Asset!$E6,0)</x:f>
        <x:v>960324.0151503672</x:v>
      </x:c>
      <x:c r="C23" s="47">
        <x:f>IF($A23&lt;=Inputs!$C$6,Cashflow_Asset!$F6+Cashflow_Asset!$G6,0)</x:f>
        <x:v>1751515.2373470156</x:v>
      </x:c>
      <x:c r="D23" s="47">
        <x:f>IF($A23&lt;=Inputs!$C$6+Inputs!$C$11,Cashflow_Asset!$I6,0)</x:f>
        <x:v>0</x:v>
      </x:c>
      <x:c r="E23" s="47">
        <x:f>$B23+$C23+$D23</x:f>
        <x:v>2711839.252497383</x:v>
      </x:c>
      <x:c r="F23" s="47">
        <x:f>$AA22</x:f>
        <x:v>1000000</x:v>
      </x:c>
      <x:c r="G23" s="47">
        <x:f>$E23+$F23</x:f>
        <x:v>3711839.252497383</x:v>
      </x:c>
      <x:c r="H23" s="47">
        <x:f>IF($A23&lt;=Inputs!$C$6+Inputs!$C$11,Cashflow_Asset!$K6,0)</x:f>
        <x:v>80027.0012625306</x:v>
      </x:c>
      <x:c r="I23" s="47">
        <x:f>MIN($H23,$B23+$F23)</x:f>
        <x:v>80027.0012625306</x:v>
      </x:c>
      <x:c r="J23" s="47">
        <x:f>MAX(0,$B23-$I23)</x:f>
        <x:v>880297.0138878366</x:v>
      </x:c>
      <x:c r="K23" s="47">
        <x:f>MAX(0,$F23-MAX(0,$I23-$B23))</x:f>
        <x:v>1000000</x:v>
      </x:c>
      <x:c r="L23" s="47">
        <x:f>IF($A23&lt;=Inputs!$C$6,Cashflow_Asset!$H6*Inputs!$C$10,0)</x:f>
        <x:v>143403.978041731</x:v>
      </x:c>
      <x:c r="M23" s="47">
        <x:f>$O22</x:f>
        <x:v>5704092.873612286</x:v>
      </x:c>
      <x:c r="N23" s="47">
        <x:f>MIN($L23,$M23)</x:f>
        <x:v>143403.978041731</x:v>
      </x:c>
      <x:c r="O23" s="47">
        <x:f>$M23-$N23</x:f>
        <x:v>5560688.895570555</x:v>
      </x:c>
      <x:c r="P23" s="47">
        <x:f>$AF22</x:f>
        <x:v>75671327.42248054</x:v>
      </x:c>
      <x:c r="Q23" s="47">
        <x:f>MIN(MAX(0,$L23-$N23-$V23),$P23)</x:f>
        <x:v>0</x:v>
      </x:c>
      <x:c r="R23" s="47">
        <x:f>$P23-$Q23</x:f>
        <x:v>75671327.42248054</x:v>
      </x:c>
      <x:c r="S23" s="47">
        <x:f>$R23*Inputs!$C$18/12</x:f>
        <x:v>346826.9173530358</x:v>
      </x:c>
      <x:c r="T23" s="47">
        <x:f>MIN($S23,$J23+$K23)</x:f>
        <x:v>346826.9173530358</x:v>
      </x:c>
      <x:c r="U23" s="47">
        <x:f>$AH22</x:f>
        <x:v>15000000</x:v>
      </x:c>
      <x:c r="V23" s="47">
        <x:f>MIN(MAX(0,$L23-$N23),$U23)</x:f>
        <x:v>0</x:v>
      </x:c>
      <x:c r="W23" s="47">
        <x:f>$U23-$V23</x:f>
        <x:v>15000000</x:v>
      </x:c>
      <x:c r="X23" s="47">
        <x:f>$W23*Inputs!$C$19/12</x:f>
        <x:v>118750.00000000001</x:v>
      </x:c>
      <x:c r="Y23" s="47">
        <x:f>MIN($X23,MAX(0,$J23-$T23) + ($K23-MAX(0,$T23-$J23)))</x:f>
        <x:v>118750.00000000001</x:v>
      </x:c>
      <x:c r="Z23" s="47">
        <x:f>MIN(MAX(0,$B$17 - (($K23-MAX(0,$T23-$J23)) - MAX(0,$Y23-MAX(0,$J23-$T23)))), MAX(0, MAX(0,$J23-$T23) - $Y23))</x:f>
        <x:v>0</x:v>
      </x:c>
      <x:c r="AA23" s="47">
        <x:f>(($K23-MAX(0,$T23-$J23)) - MAX(0,$Y23-MAX(0,$J23-$T23))) + $Z23</x:f>
        <x:v>1000000</x:v>
      </x:c>
      <x:c r="AB23" s="47">
        <x:f>MAX(0,MAX(0,$J23-$T23)-$Y23)-$Z23</x:f>
        <x:v>414720.0965348007</x:v>
      </x:c>
      <x:c r="AC23" s="47">
        <x:f>IF($B$18=1,$AB23,0)</x:f>
        <x:v>414720.0965348007</x:v>
      </x:c>
      <x:c r="AD23" s="47">
        <x:f>$C23+$D23+$AC23</x:f>
        <x:v>2166235.3338818164</x:v>
      </x:c>
      <x:c r="AE23" s="47">
        <x:f>MIN($AD23,$R23)</x:f>
        <x:v>2166235.3338818164</x:v>
      </x:c>
      <x:c r="AF23" s="47">
        <x:f>$R23-$AE23</x:f>
        <x:v>73505092.08859873</x:v>
      </x:c>
      <x:c r="AG23" s="47">
        <x:f>MIN(MAX(0,$AD23-$AE23),$W23)</x:f>
        <x:v>0</x:v>
      </x:c>
      <x:c r="AH23" s="47">
        <x:f>$W23-$AG23</x:f>
        <x:v>15000000</x:v>
      </x:c>
      <x:c r="AI23" s="47">
        <x:f>IF($B$18=1,0,$AB23) + MAX(0,$AD23-$AE23-$AG23)</x:f>
        <x:v>0</x:v>
      </x:c>
      <x:c r="AJ23" s="47">
        <x:f>($E23+$F23)-($I23+$T23+$Y23+$AE23+$AG23+$AI23+$AA23)</x:f>
        <x:v>0</x:v>
      </x:c>
    </x:row>
    <x:row r="24">
      <x:c r="A24" s="46" t="n">
        <x:v>4</x:v>
      </x:c>
      <x:c r="B24" s="47">
        <x:f>IF($A24&lt;=Inputs!$C$6+Inputs!$C$11,Cashflow_Asset!$E7,0)</x:f>
        <x:v>940418.7964762014</x:v>
      </x:c>
      <x:c r="C24" s="47">
        <x:f>IF($A24&lt;=Inputs!$C$6,Cashflow_Asset!$F7+Cashflow_Asset!$G7,0)</x:f>
        <x:v>1761080.8037199725</x:v>
      </x:c>
      <x:c r="D24" s="47">
        <x:f>IF($A24&lt;=Inputs!$C$6+Inputs!$C$11,Cashflow_Asset!$I7,0)</x:f>
        <x:v>0</x:v>
      </x:c>
      <x:c r="E24" s="47">
        <x:f>$B24+$C24+$D24</x:f>
        <x:v>2701499.600196174</x:v>
      </x:c>
      <x:c r="F24" s="47">
        <x:f>$AA23</x:f>
        <x:v>1000000</x:v>
      </x:c>
      <x:c r="G24" s="47">
        <x:f>$E24+$F24</x:f>
        <x:v>3701499.600196174</x:v>
      </x:c>
      <x:c r="H24" s="47">
        <x:f>IF($A24&lt;=Inputs!$C$6+Inputs!$C$11,Cashflow_Asset!$K7,0)</x:f>
        <x:v>78368.23303968346</x:v>
      </x:c>
      <x:c r="I24" s="47">
        <x:f>MIN($H24,$B24+$F24)</x:f>
        <x:v>78368.23303968346</x:v>
      </x:c>
      <x:c r="J24" s="47">
        <x:f>MAX(0,$B24-$I24)</x:f>
        <x:v>862050.563436518</x:v>
      </x:c>
      <x:c r="K24" s="47">
        <x:f>MAX(0,$F24-MAX(0,$I24-$B24))</x:f>
        <x:v>1000000</x:v>
      </x:c>
      <x:c r="L24" s="47">
        <x:f>IF($A24&lt;=Inputs!$C$6,Cashflow_Asset!$H7*Inputs!$C$10,0)</x:f>
        <x:v>140361.7867157828</x:v>
      </x:c>
      <x:c r="M24" s="47">
        <x:f>$O23</x:f>
        <x:v>5560688.895570555</x:v>
      </x:c>
      <x:c r="N24" s="47">
        <x:f>MIN($L24,$M24)</x:f>
        <x:v>140361.7867157828</x:v>
      </x:c>
      <x:c r="O24" s="47">
        <x:f>$M24-$N24</x:f>
        <x:v>5420327.108854772</x:v>
      </x:c>
      <x:c r="P24" s="47">
        <x:f>$AF23</x:f>
        <x:v>73505092.08859873</x:v>
      </x:c>
      <x:c r="Q24" s="47">
        <x:f>MIN(MAX(0,$L24-$N24-$V24),$P24)</x:f>
        <x:v>0</x:v>
      </x:c>
      <x:c r="R24" s="47">
        <x:f>$P24-$Q24</x:f>
        <x:v>73505092.08859873</x:v>
      </x:c>
      <x:c r="S24" s="47">
        <x:f>$R24*Inputs!$C$18/12</x:f>
        <x:v>336898.33873941086</x:v>
      </x:c>
      <x:c r="T24" s="47">
        <x:f>MIN($S24,$J24+$K24)</x:f>
        <x:v>336898.33873941086</x:v>
      </x:c>
      <x:c r="U24" s="47">
        <x:f>$AH23</x:f>
        <x:v>15000000</x:v>
      </x:c>
      <x:c r="V24" s="47">
        <x:f>MIN(MAX(0,$L24-$N24),$U24)</x:f>
        <x:v>0</x:v>
      </x:c>
      <x:c r="W24" s="47">
        <x:f>$U24-$V24</x:f>
        <x:v>15000000</x:v>
      </x:c>
      <x:c r="X24" s="47">
        <x:f>$W24*Inputs!$C$19/12</x:f>
        <x:v>118750.00000000001</x:v>
      </x:c>
      <x:c r="Y24" s="47">
        <x:f>MIN($X24,MAX(0,$J24-$T24) + ($K24-MAX(0,$T24-$J24)))</x:f>
        <x:v>118750.00000000001</x:v>
      </x:c>
      <x:c r="Z24" s="47">
        <x:f>MIN(MAX(0,$B$17 - (($K24-MAX(0,$T24-$J24)) - MAX(0,$Y24-MAX(0,$J24-$T24)))), MAX(0, MAX(0,$J24-$T24) - $Y24))</x:f>
        <x:v>0</x:v>
      </x:c>
      <x:c r="AA24" s="47">
        <x:f>(($K24-MAX(0,$T24-$J24)) - MAX(0,$Y24-MAX(0,$J24-$T24))) + $Z24</x:f>
        <x:v>1000000</x:v>
      </x:c>
      <x:c r="AB24" s="47">
        <x:f>MAX(0,MAX(0,$J24-$T24)-$Y24)-$Z24</x:f>
        <x:v>406402.2246971071</x:v>
      </x:c>
      <x:c r="AC24" s="47">
        <x:f>IF($B$18=1,$AB24,0)</x:f>
        <x:v>406402.2246971071</x:v>
      </x:c>
      <x:c r="AD24" s="47">
        <x:f>$C24+$D24+$AC24</x:f>
        <x:v>2167483.0284170797</x:v>
      </x:c>
      <x:c r="AE24" s="47">
        <x:f>MIN($AD24,$R24)</x:f>
        <x:v>2167483.0284170797</x:v>
      </x:c>
      <x:c r="AF24" s="47">
        <x:f>$R24-$AE24</x:f>
        <x:v>71337609.06018165</x:v>
      </x:c>
      <x:c r="AG24" s="47">
        <x:f>MIN(MAX(0,$AD24-$AE24),$W24)</x:f>
        <x:v>0</x:v>
      </x:c>
      <x:c r="AH24" s="47">
        <x:f>$W24-$AG24</x:f>
        <x:v>15000000</x:v>
      </x:c>
      <x:c r="AI24" s="47">
        <x:f>IF($B$18=1,0,$AB24) + MAX(0,$AD24-$AE24-$AG24)</x:f>
        <x:v>0</x:v>
      </x:c>
      <x:c r="AJ24" s="47">
        <x:f>($E24+$F24)-($I24+$T24+$Y24+$AE24+$AG24+$AI24+$AA24)</x:f>
        <x:v>0</x:v>
      </x:c>
    </x:row>
    <x:row r="25">
      <x:c r="A25" s="46" t="n">
        <x:v>5</x:v>
      </x:c>
      <x:c r="B25" s="47">
        <x:f>IF($A25&lt;=Inputs!$C$6+Inputs!$C$11,Cashflow_Asset!$E8,0)</x:f>
        <x:v>920468.6253270719</x:v>
      </x:c>
      <x:c r="C25" s="47">
        <x:f>IF($A25&lt;=Inputs!$C$6,Cashflow_Asset!$F8+Cashflow_Asset!$G8,0)</x:f>
        <x:v>1770667.9722611813</x:v>
      </x:c>
      <x:c r="D25" s="47">
        <x:f>IF($A25&lt;=Inputs!$C$6+Inputs!$C$11,Cashflow_Asset!$I8,0)</x:f>
        <x:v>0</x:v>
      </x:c>
      <x:c r="E25" s="47">
        <x:f>$B25+$C25+$D25</x:f>
        <x:v>2691136.597588253</x:v>
      </x:c>
      <x:c r="F25" s="47">
        <x:f>$AA24</x:f>
        <x:v>1000000</x:v>
      </x:c>
      <x:c r="G25" s="47">
        <x:f>$E25+$F25</x:f>
        <x:v>3691136.597588253</x:v>
      </x:c>
      <x:c r="H25" s="47">
        <x:f>IF($A25&lt;=Inputs!$C$6+Inputs!$C$11,Cashflow_Asset!$K8,0)</x:f>
        <x:v>76705.718777256</x:v>
      </x:c>
      <x:c r="I25" s="47">
        <x:f>MIN($H25,$B25+$F25)</x:f>
        <x:v>76705.718777256</x:v>
      </x:c>
      <x:c r="J25" s="47">
        <x:f>MAX(0,$B25-$I25)</x:f>
        <x:v>843762.9065498159</x:v>
      </x:c>
      <x:c r="K25" s="47">
        <x:f>MAX(0,$F25-MAX(0,$I25-$B25))</x:f>
        <x:v>1000000</x:v>
      </x:c>
      <x:c r="L25" s="47">
        <x:f>IF($A25&lt;=Inputs!$C$6,Cashflow_Asset!$H8*Inputs!$C$10,0)</x:f>
        <x:v>137312.72512974587</x:v>
      </x:c>
      <x:c r="M25" s="47">
        <x:f>$O24</x:f>
        <x:v>5420327.108854772</x:v>
      </x:c>
      <x:c r="N25" s="47">
        <x:f>MIN($L25,$M25)</x:f>
        <x:v>137312.72512974587</x:v>
      </x:c>
      <x:c r="O25" s="47">
        <x:f>$M25-$N25</x:f>
        <x:v>5283014.383725026</x:v>
      </x:c>
      <x:c r="P25" s="47">
        <x:f>$AF24</x:f>
        <x:v>71337609.06018165</x:v>
      </x:c>
      <x:c r="Q25" s="47">
        <x:f>MIN(MAX(0,$L25-$N25-$V25),$P25)</x:f>
        <x:v>0</x:v>
      </x:c>
      <x:c r="R25" s="47">
        <x:f>$P25-$Q25</x:f>
        <x:v>71337609.06018165</x:v>
      </x:c>
      <x:c r="S25" s="47">
        <x:f>$R25*Inputs!$C$18/12</x:f>
        <x:v>326964.04152583255</x:v>
      </x:c>
      <x:c r="T25" s="47">
        <x:f>MIN($S25,$J25+$K25)</x:f>
        <x:v>326964.04152583255</x:v>
      </x:c>
      <x:c r="U25" s="47">
        <x:f>$AH24</x:f>
        <x:v>15000000</x:v>
      </x:c>
      <x:c r="V25" s="47">
        <x:f>MIN(MAX(0,$L25-$N25),$U25)</x:f>
        <x:v>0</x:v>
      </x:c>
      <x:c r="W25" s="47">
        <x:f>$U25-$V25</x:f>
        <x:v>15000000</x:v>
      </x:c>
      <x:c r="X25" s="47">
        <x:f>$W25*Inputs!$C$19/12</x:f>
        <x:v>118750.00000000001</x:v>
      </x:c>
      <x:c r="Y25" s="47">
        <x:f>MIN($X25,MAX(0,$J25-$T25) + ($K25-MAX(0,$T25-$J25)))</x:f>
        <x:v>118750.00000000001</x:v>
      </x:c>
      <x:c r="Z25" s="47">
        <x:f>MIN(MAX(0,$B$17 - (($K25-MAX(0,$T25-$J25)) - MAX(0,$Y25-MAX(0,$J25-$T25)))), MAX(0, MAX(0,$J25-$T25) - $Y25))</x:f>
        <x:v>0</x:v>
      </x:c>
      <x:c r="AA25" s="47">
        <x:f>(($K25-MAX(0,$T25-$J25)) - MAX(0,$Y25-MAX(0,$J25-$T25))) + $Z25</x:f>
        <x:v>1000000</x:v>
      </x:c>
      <x:c r="AB25" s="47">
        <x:f>MAX(0,MAX(0,$J25-$T25)-$Y25)-$Z25</x:f>
        <x:v>398048.86502398335</x:v>
      </x:c>
      <x:c r="AC25" s="47">
        <x:f>IF($B$18=1,$AB25,0)</x:f>
        <x:v>398048.86502398335</x:v>
      </x:c>
      <x:c r="AD25" s="47">
        <x:f>$C25+$D25+$AC25</x:f>
        <x:v>2168716.8372851647</x:v>
      </x:c>
      <x:c r="AE25" s="47">
        <x:f>MIN($AD25,$R25)</x:f>
        <x:v>2168716.8372851647</x:v>
      </x:c>
      <x:c r="AF25" s="47">
        <x:f>$R25-$AE25</x:f>
        <x:v>69168892.22289649</x:v>
      </x:c>
      <x:c r="AG25" s="47">
        <x:f>MIN(MAX(0,$AD25-$AE25),$W25)</x:f>
        <x:v>0</x:v>
      </x:c>
      <x:c r="AH25" s="47">
        <x:f>$W25-$AG25</x:f>
        <x:v>15000000</x:v>
      </x:c>
      <x:c r="AI25" s="47">
        <x:f>IF($B$18=1,0,$AB25) + MAX(0,$AD25-$AE25-$AG25)</x:f>
        <x:v>0</x:v>
      </x:c>
      <x:c r="AJ25" s="47">
        <x:f>($E25+$F25)-($I25+$T25+$Y25+$AE25+$AG25+$AI25+$AA25)</x:f>
        <x:v>0</x:v>
      </x:c>
    </x:row>
    <x:row r="26">
      <x:c r="A26" s="46" t="n">
        <x:v>6</x:v>
      </x:c>
      <x:c r="B26" s="47">
        <x:f>IF($A26&lt;=Inputs!$C$6+Inputs!$C$11,Cashflow_Asset!$E9,0)</x:f>
        <x:v>900473.4001856311</x:v>
      </x:c>
      <x:c r="C26" s="47">
        <x:f>IF($A26&lt;=Inputs!$C$6,Cashflow_Asset!$F9+Cashflow_Asset!$G9,0)</x:f>
        <x:v>1780276.7917553824</x:v>
      </x:c>
      <x:c r="D26" s="47">
        <x:f>IF($A26&lt;=Inputs!$C$6+Inputs!$C$11,Cashflow_Asset!$I9,0)</x:f>
        <x:v>0</x:v>
      </x:c>
      <x:c r="E26" s="47">
        <x:f>$B26+$C26+$D26</x:f>
        <x:v>2680750.1919410136</x:v>
      </x:c>
      <x:c r="F26" s="47">
        <x:f>$AA25</x:f>
        <x:v>1000000</x:v>
      </x:c>
      <x:c r="G26" s="47">
        <x:f>$E26+$F26</x:f>
        <x:v>3680750.1919410136</x:v>
      </x:c>
      <x:c r="H26" s="47">
        <x:f>IF($A26&lt;=Inputs!$C$6+Inputs!$C$11,Cashflow_Asset!$K9,0)</x:f>
        <x:v>75039.45001546927</x:v>
      </x:c>
      <x:c r="I26" s="47">
        <x:f>MIN($H26,$B26+$F26)</x:f>
        <x:v>75039.45001546927</x:v>
      </x:c>
      <x:c r="J26" s="47">
        <x:f>MAX(0,$B26-$I26)</x:f>
        <x:v>825433.9501701619</x:v>
      </x:c>
      <x:c r="K26" s="47">
        <x:f>MAX(0,$F26-MAX(0,$I26-$B26))</x:f>
        <x:v>1000000</x:v>
      </x:c>
      <x:c r="L26" s="47">
        <x:f>IF($A26&lt;=Inputs!$C$6,Cashflow_Asset!$H9*Inputs!$C$10,0)</x:f>
        <x:v>134256.7777683325</x:v>
      </x:c>
      <x:c r="M26" s="47">
        <x:f>$O25</x:f>
        <x:v>5283014.383725026</x:v>
      </x:c>
      <x:c r="N26" s="47">
        <x:f>MIN($L26,$M26)</x:f>
        <x:v>134256.7777683325</x:v>
      </x:c>
      <x:c r="O26" s="47">
        <x:f>$M26-$N26</x:f>
        <x:v>5148757.605956693</x:v>
      </x:c>
      <x:c r="P26" s="47">
        <x:f>$AF25</x:f>
        <x:v>69168892.22289649</x:v>
      </x:c>
      <x:c r="Q26" s="47">
        <x:f>MIN(MAX(0,$L26-$N26-$V26),$P26)</x:f>
        <x:v>0</x:v>
      </x:c>
      <x:c r="R26" s="47">
        <x:f>$P26-$Q26</x:f>
        <x:v>69168892.22289649</x:v>
      </x:c>
      <x:c r="S26" s="47">
        <x:f>$R26*Inputs!$C$18/12</x:f>
        <x:v>317024.0893549422</x:v>
      </x:c>
      <x:c r="T26" s="47">
        <x:f>MIN($S26,$J26+$K26)</x:f>
        <x:v>317024.0893549422</x:v>
      </x:c>
      <x:c r="U26" s="47">
        <x:f>$AH25</x:f>
        <x:v>15000000</x:v>
      </x:c>
      <x:c r="V26" s="47">
        <x:f>MIN(MAX(0,$L26-$N26),$U26)</x:f>
        <x:v>0</x:v>
      </x:c>
      <x:c r="W26" s="47">
        <x:f>$U26-$V26</x:f>
        <x:v>15000000</x:v>
      </x:c>
      <x:c r="X26" s="47">
        <x:f>$W26*Inputs!$C$19/12</x:f>
        <x:v>118750.00000000001</x:v>
      </x:c>
      <x:c r="Y26" s="47">
        <x:f>MIN($X26,MAX(0,$J26-$T26) + ($K26-MAX(0,$T26-$J26)))</x:f>
        <x:v>118750.00000000001</x:v>
      </x:c>
      <x:c r="Z26" s="47">
        <x:f>MIN(MAX(0,$B$17 - (($K26-MAX(0,$T26-$J26)) - MAX(0,$Y26-MAX(0,$J26-$T26)))), MAX(0, MAX(0,$J26-$T26) - $Y26))</x:f>
        <x:v>0</x:v>
      </x:c>
      <x:c r="AA26" s="47">
        <x:f>(($K26-MAX(0,$T26-$J26)) - MAX(0,$Y26-MAX(0,$J26-$T26))) + $Z26</x:f>
        <x:v>1000000</x:v>
      </x:c>
      <x:c r="AB26" s="47">
        <x:f>MAX(0,MAX(0,$J26-$T26)-$Y26)-$Z26</x:f>
        <x:v>389659.8608152197</x:v>
      </x:c>
      <x:c r="AC26" s="47">
        <x:f>IF($B$18=1,$AB26,0)</x:f>
        <x:v>389659.8608152197</x:v>
      </x:c>
      <x:c r="AD26" s="47">
        <x:f>$C26+$D26+$AC26</x:f>
        <x:v>2169936.652570602</x:v>
      </x:c>
      <x:c r="AE26" s="47">
        <x:f>MIN($AD26,$R26)</x:f>
        <x:v>2169936.652570602</x:v>
      </x:c>
      <x:c r="AF26" s="47">
        <x:f>$R26-$AE26</x:f>
        <x:v>66998955.57032588</x:v>
      </x:c>
      <x:c r="AG26" s="47">
        <x:f>MIN(MAX(0,$AD26-$AE26),$W26)</x:f>
        <x:v>0</x:v>
      </x:c>
      <x:c r="AH26" s="47">
        <x:f>$W26-$AG26</x:f>
        <x:v>15000000</x:v>
      </x:c>
      <x:c r="AI26" s="47">
        <x:f>IF($B$18=1,0,$AB26) + MAX(0,$AD26-$AE26-$AG26)</x:f>
        <x:v>0</x:v>
      </x:c>
      <x:c r="AJ26" s="47">
        <x:f>($E26+$F26)-($I26+$T26+$Y26+$AE26+$AG26+$AI26+$AA26)</x:f>
        <x:v>0</x:v>
      </x:c>
    </x:row>
    <x:row r="27">
      <x:c r="A27" s="46" t="n">
        <x:v>7</x:v>
      </x:c>
      <x:c r="B27" s="47">
        <x:f>IF($A27&lt;=Inputs!$C$6+Inputs!$C$11,Cashflow_Asset!$E10,0)</x:f>
        <x:v>880433.0193052717</x:v>
      </x:c>
      <x:c r="C27" s="47">
        <x:f>IF($A27&lt;=Inputs!$C$6,Cashflow_Asset!$F10+Cashflow_Asset!$G10,0)</x:f>
        <x:v>1789907.311097489</x:v>
      </x:c>
      <x:c r="D27" s="47">
        <x:f>IF($A27&lt;=Inputs!$C$6+Inputs!$C$11,Cashflow_Asset!$I10,0)</x:f>
        <x:v>99645.20786652844</x:v>
      </x:c>
      <x:c r="E27" s="47">
        <x:f>$B27+$C27+$D27</x:f>
        <x:v>2769985.5382692893</x:v>
      </x:c>
      <x:c r="F27" s="47">
        <x:f>$AA26</x:f>
        <x:v>1000000</x:v>
      </x:c>
      <x:c r="G27" s="47">
        <x:f>$E27+$F27</x:f>
        <x:v>3769985.5382692893</x:v>
      </x:c>
      <x:c r="H27" s="47">
        <x:f>IF($A27&lt;=Inputs!$C$6+Inputs!$C$11,Cashflow_Asset!$K10,0)</x:f>
        <x:v>73369.41827543931</x:v>
      </x:c>
      <x:c r="I27" s="47">
        <x:f>MIN($H27,$B27+$F27)</x:f>
        <x:v>73369.41827543931</x:v>
      </x:c>
      <x:c r="J27" s="47">
        <x:f>MAX(0,$B27-$I27)</x:f>
        <x:v>807063.6010298324</x:v>
      </x:c>
      <x:c r="K27" s="47">
        <x:f>MAX(0,$F27-MAX(0,$I27-$B27))</x:f>
        <x:v>1000000</x:v>
      </x:c>
      <x:c r="L27" s="47">
        <x:f>IF($A27&lt;=Inputs!$C$6,Cashflow_Asset!$H10*Inputs!$C$10,0)</x:f>
        <x:v>131193.92908121643</x:v>
      </x:c>
      <x:c r="M27" s="47">
        <x:f>$O26</x:f>
        <x:v>5148757.605956693</x:v>
      </x:c>
      <x:c r="N27" s="47">
        <x:f>MIN($L27,$M27)</x:f>
        <x:v>131193.92908121643</x:v>
      </x:c>
      <x:c r="O27" s="47">
        <x:f>$M27-$N27</x:f>
        <x:v>5017563.676875477</x:v>
      </x:c>
      <x:c r="P27" s="47">
        <x:f>$AF26</x:f>
        <x:v>66998955.57032588</x:v>
      </x:c>
      <x:c r="Q27" s="47">
        <x:f>MIN(MAX(0,$L27-$N27-$V27),$P27)</x:f>
        <x:v>0</x:v>
      </x:c>
      <x:c r="R27" s="47">
        <x:f>$P27-$Q27</x:f>
        <x:v>66998955.57032588</x:v>
      </x:c>
      <x:c r="S27" s="47">
        <x:f>$R27*Inputs!$C$18/12</x:f>
        <x:v>307078.5463639936</x:v>
      </x:c>
      <x:c r="T27" s="47">
        <x:f>MIN($S27,$J27+$K27)</x:f>
        <x:v>307078.5463639936</x:v>
      </x:c>
      <x:c r="U27" s="47">
        <x:f>$AH26</x:f>
        <x:v>15000000</x:v>
      </x:c>
      <x:c r="V27" s="47">
        <x:f>MIN(MAX(0,$L27-$N27),$U27)</x:f>
        <x:v>0</x:v>
      </x:c>
      <x:c r="W27" s="47">
        <x:f>$U27-$V27</x:f>
        <x:v>15000000</x:v>
      </x:c>
      <x:c r="X27" s="47">
        <x:f>$W27*Inputs!$C$19/12</x:f>
        <x:v>118750.00000000001</x:v>
      </x:c>
      <x:c r="Y27" s="47">
        <x:f>MIN($X27,MAX(0,$J27-$T27) + ($K27-MAX(0,$T27-$J27)))</x:f>
        <x:v>118750.00000000001</x:v>
      </x:c>
      <x:c r="Z27" s="47">
        <x:f>MIN(MAX(0,$B$17 - (($K27-MAX(0,$T27-$J27)) - MAX(0,$Y27-MAX(0,$J27-$T27)))), MAX(0, MAX(0,$J27-$T27) - $Y27))</x:f>
        <x:v>0</x:v>
      </x:c>
      <x:c r="AA27" s="47">
        <x:f>(($K27-MAX(0,$T27-$J27)) - MAX(0,$Y27-MAX(0,$J27-$T27))) + $Z27</x:f>
        <x:v>1000000</x:v>
      </x:c>
      <x:c r="AB27" s="47">
        <x:f>MAX(0,MAX(0,$J27-$T27)-$Y27)-$Z27</x:f>
        <x:v>381235.0546658388</x:v>
      </x:c>
      <x:c r="AC27" s="47">
        <x:f>IF($B$18=1,$AB27,0)</x:f>
        <x:v>381235.0546658388</x:v>
      </x:c>
      <x:c r="AD27" s="47">
        <x:f>$C27+$D27+$AC27</x:f>
        <x:v>2270787.573629856</x:v>
      </x:c>
      <x:c r="AE27" s="47">
        <x:f>MIN($AD27,$R27)</x:f>
        <x:v>2270787.573629856</x:v>
      </x:c>
      <x:c r="AF27" s="47">
        <x:f>$R27-$AE27</x:f>
        <x:v>64728167.996696025</x:v>
      </x:c>
      <x:c r="AG27" s="47">
        <x:f>MIN(MAX(0,$AD27-$AE27),$W27)</x:f>
        <x:v>0</x:v>
      </x:c>
      <x:c r="AH27" s="47">
        <x:f>$W27-$AG27</x:f>
        <x:v>15000000</x:v>
      </x:c>
      <x:c r="AI27" s="47">
        <x:f>IF($B$18=1,0,$AB27) + MAX(0,$AD27-$AE27-$AG27)</x:f>
        <x:v>0</x:v>
      </x:c>
      <x:c r="AJ27" s="47">
        <x:f>($E27+$F27)-($I27+$T27+$Y27+$AE27+$AG27+$AI27+$AA27)</x:f>
        <x:v>4.656612873077393e-10</x:v>
      </x:c>
    </x:row>
    <x:row r="28">
      <x:c r="A28" s="46" t="n">
        <x:v>8</x:v>
      </x:c>
      <x:c r="B28" s="47">
        <x:f>IF($A28&lt;=Inputs!$C$6+Inputs!$C$11,Cashflow_Asset!$E11,0)</x:f>
        <x:v>860347.3807096098</x:v>
      </x:c>
      <x:c r="C28" s="47">
        <x:f>IF($A28&lt;=Inputs!$C$6,Cashflow_Asset!$F11+Cashflow_Asset!$G11,0)</x:f>
        <x:v>1799559.579292833</x:v>
      </x:c>
      <x:c r="D28" s="47">
        <x:f>IF($A28&lt;=Inputs!$C$6+Inputs!$C$11,Cashflow_Asset!$I11,0)</x:f>
        <x:v>97626.20972527903</x:v>
      </x:c>
      <x:c r="E28" s="47">
        <x:f>$B28+$C28+$D28</x:f>
        <x:v>2757533.1697277217</x:v>
      </x:c>
      <x:c r="F28" s="47">
        <x:f>$AA27</x:f>
        <x:v>1000000</x:v>
      </x:c>
      <x:c r="G28" s="47">
        <x:f>$E28+$F28</x:f>
        <x:v>3757533.1697277217</x:v>
      </x:c>
      <x:c r="H28" s="47">
        <x:f>IF($A28&lt;=Inputs!$C$6+Inputs!$C$11,Cashflow_Asset!$K11,0)</x:f>
        <x:v>71695.61505913416</x:v>
      </x:c>
      <x:c r="I28" s="47">
        <x:f>MIN($H28,$B28+$F28)</x:f>
        <x:v>71695.61505913416</x:v>
      </x:c>
      <x:c r="J28" s="47">
        <x:f>MAX(0,$B28-$I28)</x:f>
        <x:v>788651.7656504756</x:v>
      </x:c>
      <x:c r="K28" s="47">
        <x:f>MAX(0,$F28-MAX(0,$I28-$B28))</x:f>
        <x:v>1000000</x:v>
      </x:c>
      <x:c r="L28" s="47">
        <x:f>IF($A28&lt;=Inputs!$C$6,Cashflow_Asset!$H11*Inputs!$C$10,0)</x:f>
        <x:v>128124.16348295359</x:v>
      </x:c>
      <x:c r="M28" s="47">
        <x:f>$O27</x:f>
        <x:v>5017563.676875477</x:v>
      </x:c>
      <x:c r="N28" s="47">
        <x:f>MIN($L28,$M28)</x:f>
        <x:v>128124.16348295359</x:v>
      </x:c>
      <x:c r="O28" s="47">
        <x:f>$M28-$N28</x:f>
        <x:v>4889439.513392523</x:v>
      </x:c>
      <x:c r="P28" s="47">
        <x:f>$AF27</x:f>
        <x:v>64728167.996696025</x:v>
      </x:c>
      <x:c r="Q28" s="47">
        <x:f>MIN(MAX(0,$L28-$N28-$V28),$P28)</x:f>
        <x:v>0</x:v>
      </x:c>
      <x:c r="R28" s="47">
        <x:f>$P28-$Q28</x:f>
        <x:v>64728167.996696025</x:v>
      </x:c>
      <x:c r="S28" s="47">
        <x:f>$R28*Inputs!$C$18/12</x:f>
        <x:v>296670.7699848568</x:v>
      </x:c>
      <x:c r="T28" s="47">
        <x:f>MIN($S28,$J28+$K28)</x:f>
        <x:v>296670.7699848568</x:v>
      </x:c>
      <x:c r="U28" s="47">
        <x:f>$AH27</x:f>
        <x:v>15000000</x:v>
      </x:c>
      <x:c r="V28" s="47">
        <x:f>MIN(MAX(0,$L28-$N28),$U28)</x:f>
        <x:v>0</x:v>
      </x:c>
      <x:c r="W28" s="47">
        <x:f>$U28-$V28</x:f>
        <x:v>15000000</x:v>
      </x:c>
      <x:c r="X28" s="47">
        <x:f>$W28*Inputs!$C$19/12</x:f>
        <x:v>118750.00000000001</x:v>
      </x:c>
      <x:c r="Y28" s="47">
        <x:f>MIN($X28,MAX(0,$J28-$T28) + ($K28-MAX(0,$T28-$J28)))</x:f>
        <x:v>118750.00000000001</x:v>
      </x:c>
      <x:c r="Z28" s="47">
        <x:f>MIN(MAX(0,$B$17 - (($K28-MAX(0,$T28-$J28)) - MAX(0,$Y28-MAX(0,$J28-$T28)))), MAX(0, MAX(0,$J28-$T28) - $Y28))</x:f>
        <x:v>0</x:v>
      </x:c>
      <x:c r="AA28" s="47">
        <x:f>(($K28-MAX(0,$T28-$J28)) - MAX(0,$Y28-MAX(0,$J28-$T28))) + $Z28</x:f>
        <x:v>1000000</x:v>
      </x:c>
      <x:c r="AB28" s="47">
        <x:f>MAX(0,MAX(0,$J28-$T28)-$Y28)-$Z28</x:f>
        <x:v>373230.99566561886</x:v>
      </x:c>
      <x:c r="AC28" s="47">
        <x:f>IF($B$18=1,$AB28,0)</x:f>
        <x:v>373230.99566561886</x:v>
      </x:c>
      <x:c r="AD28" s="47">
        <x:f>$C28+$D28+$AC28</x:f>
        <x:v>2270416.784683731</x:v>
      </x:c>
      <x:c r="AE28" s="47">
        <x:f>MIN($AD28,$R28)</x:f>
        <x:v>2270416.784683731</x:v>
      </x:c>
      <x:c r="AF28" s="47">
        <x:f>$R28-$AE28</x:f>
        <x:v>62457751.21201229</x:v>
      </x:c>
      <x:c r="AG28" s="47">
        <x:f>MIN(MAX(0,$AD28-$AE28),$W28)</x:f>
        <x:v>0</x:v>
      </x:c>
      <x:c r="AH28" s="47">
        <x:f>$W28-$AG28</x:f>
        <x:v>15000000</x:v>
      </x:c>
      <x:c r="AI28" s="47">
        <x:f>IF($B$18=1,0,$AB28) + MAX(0,$AD28-$AE28-$AG28)</x:f>
        <x:v>0</x:v>
      </x:c>
      <x:c r="AJ28" s="47">
        <x:f>($E28+$F28)-($I28+$T28+$Y28+$AE28+$AG28+$AI28+$AA28)</x:f>
        <x:v>0</x:v>
      </x:c>
    </x:row>
    <x:row r="29">
      <x:c r="A29" s="46" t="n">
        <x:v>9</x:v>
      </x:c>
      <x:c r="B29" s="47">
        <x:f>IF($A29&lt;=Inputs!$C$6+Inputs!$C$11,Cashflow_Asset!$E12,0)</x:f>
        <x:v>840216.3821919656</x:v>
      </x:c>
      <x:c r="C29" s="47">
        <x:f>IF($A29&lt;=Inputs!$C$6,Cashflow_Asset!$F12+Cashflow_Asset!$G12,0)</x:f>
        <x:v>1809233.6454574186</x:v>
      </x:c>
      <x:c r="D29" s="47">
        <x:f>IF($A29&lt;=Inputs!$C$6+Inputs!$C$11,Cashflow_Asset!$I12,0)</x:f>
        <x:v>95602.65202782067</x:v>
      </x:c>
      <x:c r="E29" s="47">
        <x:f>$B29+$C29+$D29</x:f>
        <x:v>2745052.6796772047</x:v>
      </x:c>
      <x:c r="F29" s="47">
        <x:f>$AA28</x:f>
        <x:v>1000000</x:v>
      </x:c>
      <x:c r="G29" s="47">
        <x:f>$E29+$F29</x:f>
        <x:v>3745052.6796772047</x:v>
      </x:c>
      <x:c r="H29" s="47">
        <x:f>IF($A29&lt;=Inputs!$C$6+Inputs!$C$11,Cashflow_Asset!$K12,0)</x:f>
        <x:v>70018.03184933047</x:v>
      </x:c>
      <x:c r="I29" s="47">
        <x:f>MIN($H29,$B29+$F29)</x:f>
        <x:v>70018.03184933047</x:v>
      </x:c>
      <x:c r="J29" s="47">
        <x:f>MAX(0,$B29-$I29)</x:f>
        <x:v>770198.3503426351</x:v>
      </x:c>
      <x:c r="K29" s="47">
        <x:f>MAX(0,$F29-MAX(0,$I29-$B29))</x:f>
        <x:v>1000000</x:v>
      </x:c>
      <x:c r="L29" s="47">
        <x:f>IF($A29&lt;=Inputs!$C$6,Cashflow_Asset!$H12*Inputs!$C$10,0)</x:f>
        <x:v>125047.46535290303</x:v>
      </x:c>
      <x:c r="M29" s="47">
        <x:f>$O28</x:f>
        <x:v>4889439.513392523</x:v>
      </x:c>
      <x:c r="N29" s="47">
        <x:f>MIN($L29,$M29)</x:f>
        <x:v>125047.46535290303</x:v>
      </x:c>
      <x:c r="O29" s="47">
        <x:f>$M29-$N29</x:f>
        <x:v>4764392.04803962</x:v>
      </x:c>
      <x:c r="P29" s="47">
        <x:f>$AF28</x:f>
        <x:v>62457751.21201229</x:v>
      </x:c>
      <x:c r="Q29" s="47">
        <x:f>MIN(MAX(0,$L29-$N29-$V29),$P29)</x:f>
        <x:v>0</x:v>
      </x:c>
      <x:c r="R29" s="47">
        <x:f>$P29-$Q29</x:f>
        <x:v>62457751.21201229</x:v>
      </x:c>
      <x:c r="S29" s="47">
        <x:f>$R29*Inputs!$C$18/12</x:f>
        <x:v>286264.6930550563</x:v>
      </x:c>
      <x:c r="T29" s="47">
        <x:f>MIN($S29,$J29+$K29)</x:f>
        <x:v>286264.6930550563</x:v>
      </x:c>
      <x:c r="U29" s="47">
        <x:f>$AH28</x:f>
        <x:v>15000000</x:v>
      </x:c>
      <x:c r="V29" s="47">
        <x:f>MIN(MAX(0,$L29-$N29),$U29)</x:f>
        <x:v>0</x:v>
      </x:c>
      <x:c r="W29" s="47">
        <x:f>$U29-$V29</x:f>
        <x:v>15000000</x:v>
      </x:c>
      <x:c r="X29" s="47">
        <x:f>$W29*Inputs!$C$19/12</x:f>
        <x:v>118750.00000000001</x:v>
      </x:c>
      <x:c r="Y29" s="47">
        <x:f>MIN($X29,MAX(0,$J29-$T29) + ($K29-MAX(0,$T29-$J29)))</x:f>
        <x:v>118750.00000000001</x:v>
      </x:c>
      <x:c r="Z29" s="47">
        <x:f>MIN(MAX(0,$B$17 - (($K29-MAX(0,$T29-$J29)) - MAX(0,$Y29-MAX(0,$J29-$T29)))), MAX(0, MAX(0,$J29-$T29) - $Y29))</x:f>
        <x:v>0</x:v>
      </x:c>
      <x:c r="AA29" s="47">
        <x:f>(($K29-MAX(0,$T29-$J29)) - MAX(0,$Y29-MAX(0,$J29-$T29))) + $Z29</x:f>
        <x:v>1000000</x:v>
      </x:c>
      <x:c r="AB29" s="47">
        <x:f>MAX(0,MAX(0,$J29-$T29)-$Y29)-$Z29</x:f>
        <x:v>365183.65728757874</x:v>
      </x:c>
      <x:c r="AC29" s="47">
        <x:f>IF($B$18=1,$AB29,0)</x:f>
        <x:v>365183.65728757874</x:v>
      </x:c>
      <x:c r="AD29" s="47">
        <x:f>$C29+$D29+$AC29</x:f>
        <x:v>2270019.954772818</x:v>
      </x:c>
      <x:c r="AE29" s="47">
        <x:f>MIN($AD29,$R29)</x:f>
        <x:v>2270019.954772818</x:v>
      </x:c>
      <x:c r="AF29" s="47">
        <x:f>$R29-$AE29</x:f>
        <x:v>60187731.257239476</x:v>
      </x:c>
      <x:c r="AG29" s="47">
        <x:f>MIN(MAX(0,$AD29-$AE29),$W29)</x:f>
        <x:v>0</x:v>
      </x:c>
      <x:c r="AH29" s="47">
        <x:f>$W29-$AG29</x:f>
        <x:v>15000000</x:v>
      </x:c>
      <x:c r="AI29" s="47">
        <x:f>IF($B$18=1,0,$AB29) + MAX(0,$AD29-$AE29-$AG29)</x:f>
        <x:v>0</x:v>
      </x:c>
      <x:c r="AJ29" s="47">
        <x:f>($E29+$F29)-($I29+$T29+$Y29+$AE29+$AG29+$AI29+$AA29)</x:f>
        <x:v>0</x:v>
      </x:c>
    </x:row>
    <x:row r="30">
      <x:c r="A30" s="46" t="n">
        <x:v>10</x:v>
      </x:c>
      <x:c r="B30" s="47">
        <x:f>IF($A30&lt;=Inputs!$C$6+Inputs!$C$11,Cashflow_Asset!$E13,0)</x:f>
        <x:v>820039.921314843</x:v>
      </x:c>
      <x:c r="C30" s="47">
        <x:f>IF($A30&lt;=Inputs!$C$6,Cashflow_Asset!$F13+Cashflow_Asset!$G13,0)</x:f>
        <x:v>1818929.5588181678</x:v>
      </x:c>
      <x:c r="D30" s="47">
        <x:f>IF($A30&lt;=Inputs!$C$6+Inputs!$C$11,Cashflow_Asset!$I13,0)</x:f>
        <x:v>93574.52447718853</x:v>
      </x:c>
      <x:c r="E30" s="47">
        <x:f>$B30+$C30+$D30</x:f>
        <x:v>2732544.0046101995</x:v>
      </x:c>
      <x:c r="F30" s="47">
        <x:f>$AA29</x:f>
        <x:v>1000000</x:v>
      </x:c>
      <x:c r="G30" s="47">
        <x:f>$E30+$F30</x:f>
        <x:v>3732544.0046101995</x:v>
      </x:c>
      <x:c r="H30" s="47">
        <x:f>IF($A30&lt;=Inputs!$C$6+Inputs!$C$11,Cashflow_Asset!$K13,0)</x:f>
        <x:v>68336.66010957025</x:v>
      </x:c>
      <x:c r="I30" s="47">
        <x:f>MIN($H30,$B30+$F30)</x:f>
        <x:v>68336.66010957025</x:v>
      </x:c>
      <x:c r="J30" s="47">
        <x:f>MAX(0,$B30-$I30)</x:f>
        <x:v>751703.2612052727</x:v>
      </x:c>
      <x:c r="K30" s="47">
        <x:f>MAX(0,$F30-MAX(0,$I30-$B30))</x:f>
        <x:v>1000000</x:v>
      </x:c>
      <x:c r="L30" s="47">
        <x:f>IF($A30&lt;=Inputs!$C$6,Cashflow_Asset!$H13*Inputs!$C$10,0)</x:f>
        <x:v>121963.81903514723</x:v>
      </x:c>
      <x:c r="M30" s="47">
        <x:f>$O29</x:f>
        <x:v>4764392.04803962</x:v>
      </x:c>
      <x:c r="N30" s="47">
        <x:f>MIN($L30,$M30)</x:f>
        <x:v>121963.81903514723</x:v>
      </x:c>
      <x:c r="O30" s="47">
        <x:f>$M30-$N30</x:f>
        <x:v>4642428.2290044725</x:v>
      </x:c>
      <x:c r="P30" s="47">
        <x:f>$AF29</x:f>
        <x:v>60187731.257239476</x:v>
      </x:c>
      <x:c r="Q30" s="47">
        <x:f>MIN(MAX(0,$L30-$N30-$V30),$P30)</x:f>
        <x:v>0</x:v>
      </x:c>
      <x:c r="R30" s="47">
        <x:f>$P30-$Q30</x:f>
        <x:v>60187731.257239476</x:v>
      </x:c>
      <x:c r="S30" s="47">
        <x:f>$R30*Inputs!$C$18/12</x:f>
        <x:v>275860.43492901424</x:v>
      </x:c>
      <x:c r="T30" s="47">
        <x:f>MIN($S30,$J30+$K30)</x:f>
        <x:v>275860.43492901424</x:v>
      </x:c>
      <x:c r="U30" s="47">
        <x:f>$AH29</x:f>
        <x:v>15000000</x:v>
      </x:c>
      <x:c r="V30" s="47">
        <x:f>MIN(MAX(0,$L30-$N30),$U30)</x:f>
        <x:v>0</x:v>
      </x:c>
      <x:c r="W30" s="47">
        <x:f>$U30-$V30</x:f>
        <x:v>15000000</x:v>
      </x:c>
      <x:c r="X30" s="47">
        <x:f>$W30*Inputs!$C$19/12</x:f>
        <x:v>118750.00000000001</x:v>
      </x:c>
      <x:c r="Y30" s="47">
        <x:f>MIN($X30,MAX(0,$J30-$T30) + ($K30-MAX(0,$T30-$J30)))</x:f>
        <x:v>118750.00000000001</x:v>
      </x:c>
      <x:c r="Z30" s="47">
        <x:f>MIN(MAX(0,$B$17 - (($K30-MAX(0,$T30-$J30)) - MAX(0,$Y30-MAX(0,$J30-$T30)))), MAX(0, MAX(0,$J30-$T30) - $Y30))</x:f>
        <x:v>0</x:v>
      </x:c>
      <x:c r="AA30" s="47">
        <x:f>(($K30-MAX(0,$T30-$J30)) - MAX(0,$Y30-MAX(0,$J30-$T30))) + $Z30</x:f>
        <x:v>1000000</x:v>
      </x:c>
      <x:c r="AB30" s="47">
        <x:f>MAX(0,MAX(0,$J30-$T30)-$Y30)-$Z30</x:f>
        <x:v>357092.8262762585</x:v>
      </x:c>
      <x:c r="AC30" s="47">
        <x:f>IF($B$18=1,$AB30,0)</x:f>
        <x:v>357092.8262762585</x:v>
      </x:c>
      <x:c r="AD30" s="47">
        <x:f>$C30+$D30+$AC30</x:f>
        <x:v>2269596.9095716146</x:v>
      </x:c>
      <x:c r="AE30" s="47">
        <x:f>MIN($AD30,$R30)</x:f>
        <x:v>2269596.9095716146</x:v>
      </x:c>
      <x:c r="AF30" s="47">
        <x:f>$R30-$AE30</x:f>
        <x:v>57918134.34766786</x:v>
      </x:c>
      <x:c r="AG30" s="47">
        <x:f>MIN(MAX(0,$AD30-$AE30),$W30)</x:f>
        <x:v>0</x:v>
      </x:c>
      <x:c r="AH30" s="47">
        <x:f>$W30-$AG30</x:f>
        <x:v>15000000</x:v>
      </x:c>
      <x:c r="AI30" s="47">
        <x:f>IF($B$18=1,0,$AB30) + MAX(0,$AD30-$AE30-$AG30)</x:f>
        <x:v>0</x:v>
      </x:c>
      <x:c r="AJ30" s="47">
        <x:f>($E30+$F30)-($I30+$T30+$Y30+$AE30+$AG30+$AI30+$AA30)</x:f>
        <x:v>4.656612873077393e-10</x:v>
      </x:c>
    </x:row>
    <x:row r="31">
      <x:c r="A31" s="46" t="n">
        <x:v>11</x:v>
      </x:c>
      <x:c r="B31" s="47">
        <x:f>IF($A31&lt;=Inputs!$C$6+Inputs!$C$11,Cashflow_Asset!$E14,0)</x:f>
        <x:v>799817.895409409</x:v>
      </x:c>
      <x:c r="C31" s="47">
        <x:f>IF($A31&lt;=Inputs!$C$6,Cashflow_Asset!$F14+Cashflow_Asset!$G14,0)</x:f>
        <x:v>1828647.3687131745</x:v>
      </x:c>
      <x:c r="D31" s="47">
        <x:f>IF($A31&lt;=Inputs!$C$6+Inputs!$C$11,Cashflow_Asset!$I14,0)</x:f>
        <x:v>91541.81675316393</x:v>
      </x:c>
      <x:c r="E31" s="47">
        <x:f>$B31+$C31+$D31</x:f>
        <x:v>2720007.0808757474</x:v>
      </x:c>
      <x:c r="F31" s="47">
        <x:f>$AA30</x:f>
        <x:v>1000000</x:v>
      </x:c>
      <x:c r="G31" s="47">
        <x:f>$E31+$F31</x:f>
        <x:v>3720007.0808757474</x:v>
      </x:c>
      <x:c r="H31" s="47">
        <x:f>IF($A31&lt;=Inputs!$C$6+Inputs!$C$11,Cashflow_Asset!$K14,0)</x:f>
        <x:v>66651.49128411742</x:v>
      </x:c>
      <x:c r="I31" s="47">
        <x:f>MIN($H31,$B31+$F31)</x:f>
        <x:v>66651.49128411742</x:v>
      </x:c>
      <x:c r="J31" s="47">
        <x:f>MAX(0,$B31-$I31)</x:f>
        <x:v>733166.4041252915</x:v>
      </x:c>
      <x:c r="K31" s="47">
        <x:f>MAX(0,$F31-MAX(0,$I31-$B31))</x:f>
        <x:v>1000000</x:v>
      </x:c>
      <x:c r="L31" s="47">
        <x:f>IF($A31&lt;=Inputs!$C$6,Cashflow_Asset!$H14*Inputs!$C$10,0)</x:f>
        <x:v>118873.20883841248</x:v>
      </x:c>
      <x:c r="M31" s="47">
        <x:f>$O30</x:f>
        <x:v>4642428.2290044725</x:v>
      </x:c>
      <x:c r="N31" s="47">
        <x:f>MIN($L31,$M31)</x:f>
        <x:v>118873.20883841248</x:v>
      </x:c>
      <x:c r="O31" s="47">
        <x:f>$M31-$N31</x:f>
        <x:v>4523555.02016606</x:v>
      </x:c>
      <x:c r="P31" s="47">
        <x:f>$AF30</x:f>
        <x:v>57918134.34766786</x:v>
      </x:c>
      <x:c r="Q31" s="47">
        <x:f>MIN(MAX(0,$L31-$N31-$V31),$P31)</x:f>
        <x:v>0</x:v>
      </x:c>
      <x:c r="R31" s="47">
        <x:f>$P31-$Q31</x:f>
        <x:v>57918134.34766786</x:v>
      </x:c>
      <x:c r="S31" s="47">
        <x:f>$R31*Inputs!$C$18/12</x:f>
        <x:v>265458.11576014437</x:v>
      </x:c>
      <x:c r="T31" s="47">
        <x:f>MIN($S31,$J31+$K31)</x:f>
        <x:v>265458.11576014437</x:v>
      </x:c>
      <x:c r="U31" s="47">
        <x:f>$AH30</x:f>
        <x:v>15000000</x:v>
      </x:c>
      <x:c r="V31" s="47">
        <x:f>MIN(MAX(0,$L31-$N31),$U31)</x:f>
        <x:v>0</x:v>
      </x:c>
      <x:c r="W31" s="47">
        <x:f>$U31-$V31</x:f>
        <x:v>15000000</x:v>
      </x:c>
      <x:c r="X31" s="47">
        <x:f>$W31*Inputs!$C$19/12</x:f>
        <x:v>118750.00000000001</x:v>
      </x:c>
      <x:c r="Y31" s="47">
        <x:f>MIN($X31,MAX(0,$J31-$T31) + ($K31-MAX(0,$T31-$J31)))</x:f>
        <x:v>118750.00000000001</x:v>
      </x:c>
      <x:c r="Z31" s="47">
        <x:f>MIN(MAX(0,$B$17 - (($K31-MAX(0,$T31-$J31)) - MAX(0,$Y31-MAX(0,$J31-$T31)))), MAX(0, MAX(0,$J31-$T31) - $Y31))</x:f>
        <x:v>0</x:v>
      </x:c>
      <x:c r="AA31" s="47">
        <x:f>(($K31-MAX(0,$T31-$J31)) - MAX(0,$Y31-MAX(0,$J31-$T31))) + $Z31</x:f>
        <x:v>1000000</x:v>
      </x:c>
      <x:c r="AB31" s="47">
        <x:f>MAX(0,MAX(0,$J31-$T31)-$Y31)-$Z31</x:f>
        <x:v>348958.28836514713</x:v>
      </x:c>
      <x:c r="AC31" s="47">
        <x:f>IF($B$18=1,$AB31,0)</x:f>
        <x:v>348958.28836514713</x:v>
      </x:c>
      <x:c r="AD31" s="47">
        <x:f>$C31+$D31+$AC31</x:f>
        <x:v>2269147.4738314855</x:v>
      </x:c>
      <x:c r="AE31" s="47">
        <x:f>MIN($AD31,$R31)</x:f>
        <x:v>2269147.4738314855</x:v>
      </x:c>
      <x:c r="AF31" s="47">
        <x:f>$R31-$AE31</x:f>
        <x:v>55648986.873836376</x:v>
      </x:c>
      <x:c r="AG31" s="47">
        <x:f>MIN(MAX(0,$AD31-$AE31),$W31)</x:f>
        <x:v>0</x:v>
      </x:c>
      <x:c r="AH31" s="47">
        <x:f>$W31-$AG31</x:f>
        <x:v>15000000</x:v>
      </x:c>
      <x:c r="AI31" s="47">
        <x:f>IF($B$18=1,0,$AB31) + MAX(0,$AD31-$AE31-$AG31)</x:f>
        <x:v>0</x:v>
      </x:c>
      <x:c r="AJ31" s="47">
        <x:f>($E31+$F31)-($I31+$T31+$Y31+$AE31+$AG31+$AI31+$AA31)</x:f>
        <x:v>0</x:v>
      </x:c>
    </x:row>
    <x:row r="32">
      <x:c r="A32" s="46" t="n">
        <x:v>12</x:v>
      </x:c>
      <x:c r="B32" s="47">
        <x:f>IF($A32&lt;=Inputs!$C$6+Inputs!$C$11,Cashflow_Asset!$E15,0)</x:f>
        <x:v>779550.2015749704</x:v>
      </x:c>
      <x:c r="C32" s="47">
        <x:f>IF($A32&lt;=Inputs!$C$6,Cashflow_Asset!$F15+Cashflow_Asset!$G15,0)</x:f>
        <x:v>1838387.1245919531</x:v>
      </x:c>
      <x:c r="D32" s="47">
        <x:f>IF($A32&lt;=Inputs!$C$6+Inputs!$C$11,Cashflow_Asset!$I15,0)</x:f>
        <x:v>89504.51851222168</x:v>
      </x:c>
      <x:c r="E32" s="47">
        <x:f>$B32+$C32+$D32</x:f>
        <x:v>2707441.844679145</x:v>
      </x:c>
      <x:c r="F32" s="47">
        <x:f>$AA31</x:f>
        <x:v>1000000</x:v>
      </x:c>
      <x:c r="G32" s="47">
        <x:f>$E32+$F32</x:f>
        <x:v>3707441.844679145</x:v>
      </x:c>
      <x:c r="H32" s="47">
        <x:f>IF($A32&lt;=Inputs!$C$6+Inputs!$C$11,Cashflow_Asset!$K15,0)</x:f>
        <x:v>64962.5167979142</x:v>
      </x:c>
      <x:c r="I32" s="47">
        <x:f>MIN($H32,$B32+$F32)</x:f>
        <x:v>64962.5167979142</x:v>
      </x:c>
      <x:c r="J32" s="47">
        <x:f>MAX(0,$B32-$I32)</x:f>
        <x:v>714587.6847770562</x:v>
      </x:c>
      <x:c r="K32" s="47">
        <x:f>MAX(0,$F32-MAX(0,$I32-$B32))</x:f>
        <x:v>1000000</x:v>
      </x:c>
      <x:c r="L32" s="47">
        <x:f>IF($A32&lt;=Inputs!$C$6,Cashflow_Asset!$H15*Inputs!$C$10,0)</x:f>
        <x:v>115775.61903598912</x:v>
      </x:c>
      <x:c r="M32" s="47">
        <x:f>$O31</x:f>
        <x:v>4523555.02016606</x:v>
      </x:c>
      <x:c r="N32" s="47">
        <x:f>MIN($L32,$M32)</x:f>
        <x:v>115775.61903598912</x:v>
      </x:c>
      <x:c r="O32" s="47">
        <x:f>$M32-$N32</x:f>
        <x:v>4407779.401130071</x:v>
      </x:c>
      <x:c r="P32" s="47">
        <x:f>$AF31</x:f>
        <x:v>55648986.873836376</x:v>
      </x:c>
      <x:c r="Q32" s="47">
        <x:f>MIN(MAX(0,$L32-$N32-$V32),$P32)</x:f>
        <x:v>0</x:v>
      </x:c>
      <x:c r="R32" s="47">
        <x:f>$P32-$Q32</x:f>
        <x:v>55648986.873836376</x:v>
      </x:c>
      <x:c r="S32" s="47">
        <x:f>$R32*Inputs!$C$18/12</x:f>
        <x:v>255057.8565050834</x:v>
      </x:c>
      <x:c r="T32" s="47">
        <x:f>MIN($S32,$J32+$K32)</x:f>
        <x:v>255057.8565050834</x:v>
      </x:c>
      <x:c r="U32" s="47">
        <x:f>$AH31</x:f>
        <x:v>15000000</x:v>
      </x:c>
      <x:c r="V32" s="47">
        <x:f>MIN(MAX(0,$L32-$N32),$U32)</x:f>
        <x:v>0</x:v>
      </x:c>
      <x:c r="W32" s="47">
        <x:f>$U32-$V32</x:f>
        <x:v>15000000</x:v>
      </x:c>
      <x:c r="X32" s="47">
        <x:f>$W32*Inputs!$C$19/12</x:f>
        <x:v>118750.00000000001</x:v>
      </x:c>
      <x:c r="Y32" s="47">
        <x:f>MIN($X32,MAX(0,$J32-$T32) + ($K32-MAX(0,$T32-$J32)))</x:f>
        <x:v>118750.00000000001</x:v>
      </x:c>
      <x:c r="Z32" s="47">
        <x:f>MIN(MAX(0,$B$17 - (($K32-MAX(0,$T32-$J32)) - MAX(0,$Y32-MAX(0,$J32-$T32)))), MAX(0, MAX(0,$J32-$T32) - $Y32))</x:f>
        <x:v>0</x:v>
      </x:c>
      <x:c r="AA32" s="47">
        <x:f>(($K32-MAX(0,$T32-$J32)) - MAX(0,$Y32-MAX(0,$J32-$T32))) + $Z32</x:f>
        <x:v>1000000</x:v>
      </x:c>
      <x:c r="AB32" s="47">
        <x:f>MAX(0,MAX(0,$J32-$T32)-$Y32)-$Z32</x:f>
        <x:v>340779.82827197283</x:v>
      </x:c>
      <x:c r="AC32" s="47">
        <x:f>IF($B$18=1,$AB32,0)</x:f>
        <x:v>340779.82827197283</x:v>
      </x:c>
      <x:c r="AD32" s="47">
        <x:f>$C32+$D32+$AC32</x:f>
        <x:v>2268671.4713761476</x:v>
      </x:c>
      <x:c r="AE32" s="47">
        <x:f>MIN($AD32,$R32)</x:f>
        <x:v>2268671.4713761476</x:v>
      </x:c>
      <x:c r="AF32" s="47">
        <x:f>$R32-$AE32</x:f>
        <x:v>53380315.402460225</x:v>
      </x:c>
      <x:c r="AG32" s="47">
        <x:f>MIN(MAX(0,$AD32-$AE32),$W32)</x:f>
        <x:v>0</x:v>
      </x:c>
      <x:c r="AH32" s="47">
        <x:f>$W32-$AG32</x:f>
        <x:v>15000000</x:v>
      </x:c>
      <x:c r="AI32" s="47">
        <x:f>IF($B$18=1,0,$AB32) + MAX(0,$AD32-$AE32-$AG32)</x:f>
        <x:v>0</x:v>
      </x:c>
      <x:c r="AJ32" s="47">
        <x:f>($E32+$F32)-($I32+$T32+$Y32+$AE32+$AG32+$AI32+$AA32)</x:f>
        <x:v>0</x:v>
      </x:c>
    </x:row>
    <x:row r="33">
      <x:c r="A33" s="46" t="n">
        <x:v>13</x:v>
      </x:c>
      <x:c r="B33" s="47">
        <x:f>IF($A33&lt;=Inputs!$C$6+Inputs!$C$11,Cashflow_Asset!$E16,0)</x:f>
        <x:v>759236.7366784511</x:v>
      </x:c>
      <x:c r="C33" s="47">
        <x:f>IF($A33&lt;=Inputs!$C$6,Cashflow_Asset!$F16+Cashflow_Asset!$G16,0)</x:f>
        <x:v>1848148.8760156927</x:v>
      </x:c>
      <x:c r="D33" s="47">
        <x:f>IF($A33&lt;=Inputs!$C$6+Inputs!$C$11,Cashflow_Asset!$I16,0)</x:f>
        <x:v>87462.61938747762</x:v>
      </x:c>
      <x:c r="E33" s="47">
        <x:f>$B33+$C33+$D33</x:f>
        <x:v>2694848.2320816214</x:v>
      </x:c>
      <x:c r="F33" s="47">
        <x:f>$AA32</x:f>
        <x:v>1000000</x:v>
      </x:c>
      <x:c r="G33" s="47">
        <x:f>$E33+$F33</x:f>
        <x:v>3694848.2320816214</x:v>
      </x:c>
      <x:c r="H33" s="47">
        <x:f>IF($A33&lt;=Inputs!$C$6+Inputs!$C$11,Cashflow_Asset!$K16,0)</x:f>
        <x:v>63269.728056537584</x:v>
      </x:c>
      <x:c r="I33" s="47">
        <x:f>MIN($H33,$B33+$F33)</x:f>
        <x:v>63269.728056537584</x:v>
      </x:c>
      <x:c r="J33" s="47">
        <x:f>MAX(0,$B33-$I33)</x:f>
        <x:v>695967.0086219135</x:v>
      </x:c>
      <x:c r="K33" s="47">
        <x:f>MAX(0,$F33-MAX(0,$I33-$B33))</x:f>
        <x:v>1000000</x:v>
      </x:c>
      <x:c r="L33" s="47">
        <x:f>IF($A33&lt;=Inputs!$C$6,Cashflow_Asset!$H16*Inputs!$C$10,0)</x:f>
        <x:v>112671.03386565139</x:v>
      </x:c>
      <x:c r="M33" s="47">
        <x:f>$O32</x:f>
        <x:v>4407779.401130071</x:v>
      </x:c>
      <x:c r="N33" s="47">
        <x:f>MIN($L33,$M33)</x:f>
        <x:v>112671.03386565139</x:v>
      </x:c>
      <x:c r="O33" s="47">
        <x:f>$M33-$N33</x:f>
        <x:v>4295108.36726442</x:v>
      </x:c>
      <x:c r="P33" s="47">
        <x:f>$AF32</x:f>
        <x:v>53380315.402460225</x:v>
      </x:c>
      <x:c r="Q33" s="47">
        <x:f>MIN(MAX(0,$L33-$N33-$V33),$P33)</x:f>
        <x:v>0</x:v>
      </x:c>
      <x:c r="R33" s="47">
        <x:f>$P33-$Q33</x:f>
        <x:v>53380315.402460225</x:v>
      </x:c>
      <x:c r="S33" s="47">
        <x:f>$R33*Inputs!$C$18/12</x:f>
        <x:v>244659.7789279427</x:v>
      </x:c>
      <x:c r="T33" s="47">
        <x:f>MIN($S33,$J33+$K33)</x:f>
        <x:v>244659.7789279427</x:v>
      </x:c>
      <x:c r="U33" s="47">
        <x:f>$AH32</x:f>
        <x:v>15000000</x:v>
      </x:c>
      <x:c r="V33" s="47">
        <x:f>MIN(MAX(0,$L33-$N33),$U33)</x:f>
        <x:v>0</x:v>
      </x:c>
      <x:c r="W33" s="47">
        <x:f>$U33-$V33</x:f>
        <x:v>15000000</x:v>
      </x:c>
      <x:c r="X33" s="47">
        <x:f>$W33*Inputs!$C$19/12</x:f>
        <x:v>118750.00000000001</x:v>
      </x:c>
      <x:c r="Y33" s="47">
        <x:f>MIN($X33,MAX(0,$J33-$T33) + ($K33-MAX(0,$T33-$J33)))</x:f>
        <x:v>118750.00000000001</x:v>
      </x:c>
      <x:c r="Z33" s="47">
        <x:f>MIN(MAX(0,$B$17 - (($K33-MAX(0,$T33-$J33)) - MAX(0,$Y33-MAX(0,$J33-$T33)))), MAX(0, MAX(0,$J33-$T33) - $Y33))</x:f>
        <x:v>0</x:v>
      </x:c>
      <x:c r="AA33" s="47">
        <x:f>(($K33-MAX(0,$T33-$J33)) - MAX(0,$Y33-MAX(0,$J33-$T33))) + $Z33</x:f>
        <x:v>1000000</x:v>
      </x:c>
      <x:c r="AB33" s="47">
        <x:f>MAX(0,MAX(0,$J33-$T33)-$Y33)-$Z33</x:f>
        <x:v>332557.22969397076</x:v>
      </x:c>
      <x:c r="AC33" s="47">
        <x:f>IF($B$18=1,$AB33,0)</x:f>
        <x:v>332557.22969397076</x:v>
      </x:c>
      <x:c r="AD33" s="47">
        <x:f>$C33+$D33+$AC33</x:f>
        <x:v>2268168.725097141</x:v>
      </x:c>
      <x:c r="AE33" s="47">
        <x:f>MIN($AD33,$R33)</x:f>
        <x:v>2268168.725097141</x:v>
      </x:c>
      <x:c r="AF33" s="47">
        <x:f>$R33-$AE33</x:f>
        <x:v>51112146.67736308</x:v>
      </x:c>
      <x:c r="AG33" s="47">
        <x:f>MIN(MAX(0,$AD33-$AE33),$W33)</x:f>
        <x:v>0</x:v>
      </x:c>
      <x:c r="AH33" s="47">
        <x:f>$W33-$AG33</x:f>
        <x:v>15000000</x:v>
      </x:c>
      <x:c r="AI33" s="47">
        <x:f>IF($B$18=1,0,$AB33) + MAX(0,$AD33-$AE33-$AG33)</x:f>
        <x:v>0</x:v>
      </x:c>
      <x:c r="AJ33" s="47">
        <x:f>($E33+$F33)-($I33+$T33+$Y33+$AE33+$AG33+$AI33+$AA33)</x:f>
        <x:v>0</x:v>
      </x:c>
    </x:row>
    <x:row r="34">
      <x:c r="A34" s="46" t="n">
        <x:v>14</x:v>
      </x:c>
      <x:c r="B34" s="47">
        <x:f>IF($A34&lt;=Inputs!$C$6+Inputs!$C$11,Cashflow_Asset!$E17,0)</x:f>
        <x:v>738877.3973538666</x:v>
      </x:c>
      <x:c r="C34" s="47">
        <x:f>IF($A34&lt;=Inputs!$C$6,Cashflow_Asset!$F17+Cashflow_Asset!$G17,0)</x:f>
        <x:v>1857932.6726575058</x:v>
      </x:c>
      <x:c r="D34" s="47">
        <x:f>IF($A34&lt;=Inputs!$C$6+Inputs!$C$11,Cashflow_Asset!$I17,0)</x:f>
        <x:v>85416.10898863574</x:v>
      </x:c>
      <x:c r="E34" s="47">
        <x:f>$B34+$C34+$D34</x:f>
        <x:v>2682226.1790000084</x:v>
      </x:c>
      <x:c r="F34" s="47">
        <x:f>$AA33</x:f>
        <x:v>1000000</x:v>
      </x:c>
      <x:c r="G34" s="47">
        <x:f>$E34+$F34</x:f>
        <x:v>3682226.1790000084</x:v>
      </x:c>
      <x:c r="H34" s="47">
        <x:f>IF($A34&lt;=Inputs!$C$6+Inputs!$C$11,Cashflow_Asset!$K17,0)</x:f>
        <x:v>61573.11644615555</x:v>
      </x:c>
      <x:c r="I34" s="47">
        <x:f>MIN($H34,$B34+$F34)</x:f>
        <x:v>61573.11644615555</x:v>
      </x:c>
      <x:c r="J34" s="47">
        <x:f>MAX(0,$B34-$I34)</x:f>
        <x:v>677304.280907711</x:v>
      </x:c>
      <x:c r="K34" s="47">
        <x:f>MAX(0,$F34-MAX(0,$I34-$B34))</x:f>
        <x:v>1000000</x:v>
      </x:c>
      <x:c r="L34" s="47">
        <x:f>IF($A34&lt;=Inputs!$C$6,Cashflow_Asset!$H17*Inputs!$C$10,0)</x:f>
        <x:v>109559.43752957736</x:v>
      </x:c>
      <x:c r="M34" s="47">
        <x:f>$O33</x:f>
        <x:v>4295108.36726442</x:v>
      </x:c>
      <x:c r="N34" s="47">
        <x:f>MIN($L34,$M34)</x:f>
        <x:v>109559.43752957736</x:v>
      </x:c>
      <x:c r="O34" s="47">
        <x:f>$M34-$N34</x:f>
        <x:v>4185548.9297348424</x:v>
      </x:c>
      <x:c r="P34" s="47">
        <x:f>$AF33</x:f>
        <x:v>51112146.67736308</x:v>
      </x:c>
      <x:c r="Q34" s="47">
        <x:f>MIN(MAX(0,$L34-$N34-$V34),$P34)</x:f>
        <x:v>0</x:v>
      </x:c>
      <x:c r="R34" s="47">
        <x:f>$P34-$Q34</x:f>
        <x:v>51112146.67736308</x:v>
      </x:c>
      <x:c r="S34" s="47">
        <x:f>$R34*Inputs!$C$18/12</x:f>
        <x:v>234264.0056045808</x:v>
      </x:c>
      <x:c r="T34" s="47">
        <x:f>MIN($S34,$J34+$K34)</x:f>
        <x:v>234264.0056045808</x:v>
      </x:c>
      <x:c r="U34" s="47">
        <x:f>$AH33</x:f>
        <x:v>15000000</x:v>
      </x:c>
      <x:c r="V34" s="47">
        <x:f>MIN(MAX(0,$L34-$N34),$U34)</x:f>
        <x:v>0</x:v>
      </x:c>
      <x:c r="W34" s="47">
        <x:f>$U34-$V34</x:f>
        <x:v>15000000</x:v>
      </x:c>
      <x:c r="X34" s="47">
        <x:f>$W34*Inputs!$C$19/12</x:f>
        <x:v>118750.00000000001</x:v>
      </x:c>
      <x:c r="Y34" s="47">
        <x:f>MIN($X34,MAX(0,$J34-$T34) + ($K34-MAX(0,$T34-$J34)))</x:f>
        <x:v>118750.00000000001</x:v>
      </x:c>
      <x:c r="Z34" s="47">
        <x:f>MIN(MAX(0,$B$17 - (($K34-MAX(0,$T34-$J34)) - MAX(0,$Y34-MAX(0,$J34-$T34)))), MAX(0, MAX(0,$J34-$T34) - $Y34))</x:f>
        <x:v>0</x:v>
      </x:c>
      <x:c r="AA34" s="47">
        <x:f>(($K34-MAX(0,$T34-$J34)) - MAX(0,$Y34-MAX(0,$J34-$T34))) + $Z34</x:f>
        <x:v>1000000</x:v>
      </x:c>
      <x:c r="AB34" s="47">
        <x:f>MAX(0,MAX(0,$J34-$T34)-$Y34)-$Z34</x:f>
        <x:v>324290.2753031302</x:v>
      </x:c>
      <x:c r="AC34" s="47">
        <x:f>IF($B$18=1,$AB34,0)</x:f>
        <x:v>324290.2753031302</x:v>
      </x:c>
      <x:c r="AD34" s="47">
        <x:f>$C34+$D34+$AC34</x:f>
        <x:v>2267639.056949272</x:v>
      </x:c>
      <x:c r="AE34" s="47">
        <x:f>MIN($AD34,$R34)</x:f>
        <x:v>2267639.056949272</x:v>
      </x:c>
      <x:c r="AF34" s="47">
        <x:f>$R34-$AE34</x:f>
        <x:v>48844507.62041381</x:v>
      </x:c>
      <x:c r="AG34" s="47">
        <x:f>MIN(MAX(0,$AD34-$AE34),$W34)</x:f>
        <x:v>0</x:v>
      </x:c>
      <x:c r="AH34" s="47">
        <x:f>$W34-$AG34</x:f>
        <x:v>15000000</x:v>
      </x:c>
      <x:c r="AI34" s="47">
        <x:f>IF($B$18=1,0,$AB34) + MAX(0,$AD34-$AE34-$AG34)</x:f>
        <x:v>0</x:v>
      </x:c>
      <x:c r="AJ34" s="47">
        <x:f>($E34+$F34)-($I34+$T34+$Y34+$AE34+$AG34+$AI34+$AA34)</x:f>
        <x:v>4.656612873077393e-10</x:v>
      </x:c>
    </x:row>
    <x:row r="35">
      <x:c r="A35" s="46" t="n">
        <x:v>15</x:v>
      </x:c>
      <x:c r="B35" s="47">
        <x:f>IF($A35&lt;=Inputs!$C$6+Inputs!$C$11,Cashflow_Asset!$E18,0)</x:f>
        <x:v>718472.0800017986</x:v>
      </x:c>
      <x:c r="C35" s="47">
        <x:f>IF($A35&lt;=Inputs!$C$6,Cashflow_Asset!$F18+Cashflow_Asset!$G18,0)</x:f>
        <x:v>1867738.5643026843</x:v>
      </x:c>
      <x:c r="D35" s="47">
        <x:f>IF($A35&lt;=Inputs!$C$6+Inputs!$C$11,Cashflow_Asset!$I18,0)</x:f>
        <x:v>83364.97690193536</x:v>
      </x:c>
      <x:c r="E35" s="47">
        <x:f>$B35+$C35+$D35</x:f>
        <x:v>2669575.621206418</x:v>
      </x:c>
      <x:c r="F35" s="47">
        <x:f>$AA34</x:f>
        <x:v>1000000</x:v>
      </x:c>
      <x:c r="G35" s="47">
        <x:f>$E35+$F35</x:f>
        <x:v>3669575.621206418</x:v>
      </x:c>
      <x:c r="H35" s="47">
        <x:f>IF($A35&lt;=Inputs!$C$6+Inputs!$C$11,Cashflow_Asset!$K18,0)</x:f>
        <x:v>59872.67333348322</x:v>
      </x:c>
      <x:c r="I35" s="47">
        <x:f>MIN($H35,$B35+$F35)</x:f>
        <x:v>59872.67333348322</x:v>
      </x:c>
      <x:c r="J35" s="47">
        <x:f>MAX(0,$B35-$I35)</x:f>
        <x:v>658599.4066683154</x:v>
      </x:c>
      <x:c r="K35" s="47">
        <x:f>MAX(0,$F35-MAX(0,$I35-$B35))</x:f>
        <x:v>1000000</x:v>
      </x:c>
      <x:c r="L35" s="47">
        <x:f>IF($A35&lt;=Inputs!$C$6,Cashflow_Asset!$H18*Inputs!$C$10,0)</x:f>
        <x:v>106440.81419426837</x:v>
      </x:c>
      <x:c r="M35" s="47">
        <x:f>$O34</x:f>
        <x:v>4185548.9297348424</x:v>
      </x:c>
      <x:c r="N35" s="47">
        <x:f>MIN($L35,$M35)</x:f>
        <x:v>106440.81419426837</x:v>
      </x:c>
      <x:c r="O35" s="47">
        <x:f>$M35-$N35</x:f>
        <x:v>4079108.115540574</x:v>
      </x:c>
      <x:c r="P35" s="47">
        <x:f>$AF34</x:f>
        <x:v>48844507.62041381</x:v>
      </x:c>
      <x:c r="Q35" s="47">
        <x:f>MIN(MAX(0,$L35-$N35-$V35),$P35)</x:f>
        <x:v>0</x:v>
      </x:c>
      <x:c r="R35" s="47">
        <x:f>$P35-$Q35</x:f>
        <x:v>48844507.62041381</x:v>
      </x:c>
      <x:c r="S35" s="47">
        <x:f>$R35*Inputs!$C$18/12</x:f>
        <x:v>223870.65992689662</x:v>
      </x:c>
      <x:c r="T35" s="47">
        <x:f>MIN($S35,$J35+$K35)</x:f>
        <x:v>223870.65992689662</x:v>
      </x:c>
      <x:c r="U35" s="47">
        <x:f>$AH34</x:f>
        <x:v>15000000</x:v>
      </x:c>
      <x:c r="V35" s="47">
        <x:f>MIN(MAX(0,$L35-$N35),$U35)</x:f>
        <x:v>0</x:v>
      </x:c>
      <x:c r="W35" s="47">
        <x:f>$U35-$V35</x:f>
        <x:v>15000000</x:v>
      </x:c>
      <x:c r="X35" s="47">
        <x:f>$W35*Inputs!$C$19/12</x:f>
        <x:v>118750.00000000001</x:v>
      </x:c>
      <x:c r="Y35" s="47">
        <x:f>MIN($X35,MAX(0,$J35-$T35) + ($K35-MAX(0,$T35-$J35)))</x:f>
        <x:v>118750.00000000001</x:v>
      </x:c>
      <x:c r="Z35" s="47">
        <x:f>MIN(MAX(0,$B$17 - (($K35-MAX(0,$T35-$J35)) - MAX(0,$Y35-MAX(0,$J35-$T35)))), MAX(0, MAX(0,$J35-$T35) - $Y35))</x:f>
        <x:v>0</x:v>
      </x:c>
      <x:c r="AA35" s="47">
        <x:f>(($K35-MAX(0,$T35-$J35)) - MAX(0,$Y35-MAX(0,$J35-$T35))) + $Z35</x:f>
        <x:v>1000000</x:v>
      </x:c>
      <x:c r="AB35" s="47">
        <x:f>MAX(0,MAX(0,$J35-$T35)-$Y35)-$Z35</x:f>
        <x:v>315978.7467414188</x:v>
      </x:c>
      <x:c r="AC35" s="47">
        <x:f>IF($B$18=1,$AB35,0)</x:f>
        <x:v>315978.7467414188</x:v>
      </x:c>
      <x:c r="AD35" s="47">
        <x:f>$C35+$D35+$AC35</x:f>
        <x:v>2267082.2879460384</x:v>
      </x:c>
      <x:c r="AE35" s="47">
        <x:f>MIN($AD35,$R35)</x:f>
        <x:v>2267082.2879460384</x:v>
      </x:c>
      <x:c r="AF35" s="47">
        <x:f>$R35-$AE35</x:f>
        <x:v>46577425.33246777</x:v>
      </x:c>
      <x:c r="AG35" s="47">
        <x:f>MIN(MAX(0,$AD35-$AE35),$W35)</x:f>
        <x:v>0</x:v>
      </x:c>
      <x:c r="AH35" s="47">
        <x:f>$W35-$AG35</x:f>
        <x:v>15000000</x:v>
      </x:c>
      <x:c r="AI35" s="47">
        <x:f>IF($B$18=1,0,$AB35) + MAX(0,$AD35-$AE35-$AG35)</x:f>
        <x:v>0</x:v>
      </x:c>
      <x:c r="AJ35" s="47">
        <x:f>($E35+$F35)-($I35+$T35+$Y35+$AE35+$AG35+$AI35+$AA35)</x:f>
        <x:v>0</x:v>
      </x:c>
    </x:row>
    <x:row r="36">
      <x:c r="A36" s="46" t="n">
        <x:v>16</x:v>
      </x:c>
      <x:c r="B36" s="47">
        <x:f>IF($A36&lt;=Inputs!$C$6+Inputs!$C$11,Cashflow_Asset!$E19,0)</x:f>
        <x:v>698020.6807888673</x:v>
      </x:c>
      <x:c r="C36" s="47">
        <x:f>IF($A36&lt;=Inputs!$C$6,Cashflow_Asset!$F19+Cashflow_Asset!$G19,0)</x:f>
        <x:v>1877566.600848951</x:v>
      </x:c>
      <x:c r="D36" s="47">
        <x:f>IF($A36&lt;=Inputs!$C$6+Inputs!$C$11,Cashflow_Asset!$I19,0)</x:f>
        <x:v>81309.21269009815</x:v>
      </x:c>
      <x:c r="E36" s="47">
        <x:f>$B36+$C36+$D36</x:f>
        <x:v>2656896.4943279163</x:v>
      </x:c>
      <x:c r="F36" s="47">
        <x:f>$AA35</x:f>
        <x:v>1000000</x:v>
      </x:c>
      <x:c r="G36" s="47">
        <x:f>$E36+$F36</x:f>
        <x:v>3656896.4943279163</x:v>
      </x:c>
      <x:c r="H36" s="47">
        <x:f>IF($A36&lt;=Inputs!$C$6+Inputs!$C$11,Cashflow_Asset!$K19,0)</x:f>
        <x:v>58168.390065738946</x:v>
      </x:c>
      <x:c r="I36" s="47">
        <x:f>MIN($H36,$B36+$F36)</x:f>
        <x:v>58168.390065738946</x:v>
      </x:c>
      <x:c r="J36" s="47">
        <x:f>MAX(0,$B36-$I36)</x:f>
        <x:v>639852.2907231284</x:v>
      </x:c>
      <x:c r="K36" s="47">
        <x:f>MAX(0,$F36-MAX(0,$I36-$B36))</x:f>
        <x:v>1000000</x:v>
      </x:c>
      <x:c r="L36" s="47">
        <x:f>IF($A36&lt;=Inputs!$C$6,Cashflow_Asset!$H19*Inputs!$C$10,0)</x:f>
        <x:v>103315.14799046866</x:v>
      </x:c>
      <x:c r="M36" s="47">
        <x:f>$O35</x:f>
        <x:v>4079108.115540574</x:v>
      </x:c>
      <x:c r="N36" s="47">
        <x:f>MIN($L36,$M36)</x:f>
        <x:v>103315.14799046866</x:v>
      </x:c>
      <x:c r="O36" s="47">
        <x:f>$M36-$N36</x:f>
        <x:v>3975792.9675501054</x:v>
      </x:c>
      <x:c r="P36" s="47">
        <x:f>$AF35</x:f>
        <x:v>46577425.33246777</x:v>
      </x:c>
      <x:c r="Q36" s="47">
        <x:f>MIN(MAX(0,$L36-$N36-$V36),$P36)</x:f>
        <x:v>0</x:v>
      </x:c>
      <x:c r="R36" s="47">
        <x:f>$P36-$Q36</x:f>
        <x:v>46577425.33246777</x:v>
      </x:c>
      <x:c r="S36" s="47">
        <x:f>$R36*Inputs!$C$18/12</x:f>
        <x:v>213479.86610714396</x:v>
      </x:c>
      <x:c r="T36" s="47">
        <x:f>MIN($S36,$J36+$K36)</x:f>
        <x:v>213479.86610714396</x:v>
      </x:c>
      <x:c r="U36" s="47">
        <x:f>$AH35</x:f>
        <x:v>15000000</x:v>
      </x:c>
      <x:c r="V36" s="47">
        <x:f>MIN(MAX(0,$L36-$N36),$U36)</x:f>
        <x:v>0</x:v>
      </x:c>
      <x:c r="W36" s="47">
        <x:f>$U36-$V36</x:f>
        <x:v>15000000</x:v>
      </x:c>
      <x:c r="X36" s="47">
        <x:f>$W36*Inputs!$C$19/12</x:f>
        <x:v>118750.00000000001</x:v>
      </x:c>
      <x:c r="Y36" s="47">
        <x:f>MIN($X36,MAX(0,$J36-$T36) + ($K36-MAX(0,$T36-$J36)))</x:f>
        <x:v>118750.00000000001</x:v>
      </x:c>
      <x:c r="Z36" s="47">
        <x:f>MIN(MAX(0,$B$17 - (($K36-MAX(0,$T36-$J36)) - MAX(0,$Y36-MAX(0,$J36-$T36)))), MAX(0, MAX(0,$J36-$T36) - $Y36))</x:f>
        <x:v>0</x:v>
      </x:c>
      <x:c r="AA36" s="47">
        <x:f>(($K36-MAX(0,$T36-$J36)) - MAX(0,$Y36-MAX(0,$J36-$T36))) + $Z36</x:f>
        <x:v>1000000</x:v>
      </x:c>
      <x:c r="AB36" s="47">
        <x:f>MAX(0,MAX(0,$J36-$T36)-$Y36)-$Z36</x:f>
        <x:v>307622.42461598443</x:v>
      </x:c>
      <x:c r="AC36" s="47">
        <x:f>IF($B$18=1,$AB36,0)</x:f>
        <x:v>307622.42461598443</x:v>
      </x:c>
      <x:c r="AD36" s="47">
        <x:f>$C36+$D36+$AC36</x:f>
        <x:v>2266498.2381550334</x:v>
      </x:c>
      <x:c r="AE36" s="47">
        <x:f>MIN($AD36,$R36)</x:f>
        <x:v>2266498.2381550334</x:v>
      </x:c>
      <x:c r="AF36" s="47">
        <x:f>$R36-$AE36</x:f>
        <x:v>44310927.09431274</x:v>
      </x:c>
      <x:c r="AG36" s="47">
        <x:f>MIN(MAX(0,$AD36-$AE36),$W36)</x:f>
        <x:v>0</x:v>
      </x:c>
      <x:c r="AH36" s="47">
        <x:f>$W36-$AG36</x:f>
        <x:v>15000000</x:v>
      </x:c>
      <x:c r="AI36" s="47">
        <x:f>IF($B$18=1,0,$AB36) + MAX(0,$AD36-$AE36-$AG36)</x:f>
        <x:v>0</x:v>
      </x:c>
      <x:c r="AJ36" s="47">
        <x:f>($E36+$F36)-($I36+$T36+$Y36+$AE36+$AG36+$AI36+$AA36)</x:f>
        <x:v>0</x:v>
      </x:c>
    </x:row>
    <x:row r="37">
      <x:c r="A37" s="46" t="n">
        <x:v>17</x:v>
      </x:c>
      <x:c r="B37" s="47">
        <x:f>IF($A37&lt;=Inputs!$C$6+Inputs!$C$11,Cashflow_Asset!$E20,0)</x:f>
        <x:v>677523.0956472035</x:v>
      </x:c>
      <x:c r="C37" s="47">
        <x:f>IF($A37&lt;=Inputs!$C$6,Cashflow_Asset!$F20+Cashflow_Asset!$G20,0)</x:f>
        <x:v>1887416.8323067136</x:v>
      </x:c>
      <x:c r="D37" s="47">
        <x:f>IF($A37&lt;=Inputs!$C$6+Inputs!$C$11,Cashflow_Asset!$I20,0)</x:f>
        <x:v>79248.805892275</x:v>
      </x:c>
      <x:c r="E37" s="47">
        <x:f>$B37+$C37+$D37</x:f>
        <x:v>2644188.7338461922</x:v>
      </x:c>
      <x:c r="F37" s="47">
        <x:f>$AA36</x:f>
        <x:v>1000000</x:v>
      </x:c>
      <x:c r="G37" s="47">
        <x:f>$E37+$F37</x:f>
        <x:v>3644188.7338461922</x:v>
      </x:c>
      <x:c r="H37" s="47">
        <x:f>IF($A37&lt;=Inputs!$C$6+Inputs!$C$11,Cashflow_Asset!$K20,0)</x:f>
        <x:v>56460.257970600294</x:v>
      </x:c>
      <x:c r="I37" s="47">
        <x:f>MIN($H37,$B37+$F37)</x:f>
        <x:v>56460.257970600294</x:v>
      </x:c>
      <x:c r="J37" s="47">
        <x:f>MAX(0,$B37-$I37)</x:f>
        <x:v>621062.8376766032</x:v>
      </x:c>
      <x:c r="K37" s="47">
        <x:f>MAX(0,$F37-MAX(0,$I37-$B37))</x:f>
        <x:v>1000000</x:v>
      </x:c>
      <x:c r="L37" s="47">
        <x:f>IF($A37&lt;=Inputs!$C$6,Cashflow_Asset!$H20*Inputs!$C$10,0)</x:f>
        <x:v>100182.42301308438</x:v>
      </x:c>
      <x:c r="M37" s="47">
        <x:f>$O36</x:f>
        <x:v>3975792.9675501054</x:v>
      </x:c>
      <x:c r="N37" s="47">
        <x:f>MIN($L37,$M37)</x:f>
        <x:v>100182.42301308438</x:v>
      </x:c>
      <x:c r="O37" s="47">
        <x:f>$M37-$N37</x:f>
        <x:v>3875610.544537021</x:v>
      </x:c>
      <x:c r="P37" s="47">
        <x:f>$AF36</x:f>
        <x:v>44310927.09431274</x:v>
      </x:c>
      <x:c r="Q37" s="47">
        <x:f>MIN(MAX(0,$L37-$N37-$V37),$P37)</x:f>
        <x:v>0</x:v>
      </x:c>
      <x:c r="R37" s="47">
        <x:f>$P37-$Q37</x:f>
        <x:v>44310927.09431274</x:v>
      </x:c>
      <x:c r="S37" s="47">
        <x:f>$R37*Inputs!$C$18/12</x:f>
        <x:v>203091.74918226674</x:v>
      </x:c>
      <x:c r="T37" s="47">
        <x:f>MIN($S37,$J37+$K37)</x:f>
        <x:v>203091.74918226674</x:v>
      </x:c>
      <x:c r="U37" s="47">
        <x:f>$AH36</x:f>
        <x:v>15000000</x:v>
      </x:c>
      <x:c r="V37" s="47">
        <x:f>MIN(MAX(0,$L37-$N37),$U37)</x:f>
        <x:v>0</x:v>
      </x:c>
      <x:c r="W37" s="47">
        <x:f>$U37-$V37</x:f>
        <x:v>15000000</x:v>
      </x:c>
      <x:c r="X37" s="47">
        <x:f>$W37*Inputs!$C$19/12</x:f>
        <x:v>118750.00000000001</x:v>
      </x:c>
      <x:c r="Y37" s="47">
        <x:f>MIN($X37,MAX(0,$J37-$T37) + ($K37-MAX(0,$T37-$J37)))</x:f>
        <x:v>118750.00000000001</x:v>
      </x:c>
      <x:c r="Z37" s="47">
        <x:f>MIN(MAX(0,$B$17 - (($K37-MAX(0,$T37-$J37)) - MAX(0,$Y37-MAX(0,$J37-$T37)))), MAX(0, MAX(0,$J37-$T37) - $Y37))</x:f>
        <x:v>0</x:v>
      </x:c>
      <x:c r="AA37" s="47">
        <x:f>(($K37-MAX(0,$T37-$J37)) - MAX(0,$Y37-MAX(0,$J37-$T37))) + $Z37</x:f>
        <x:v>1000000</x:v>
      </x:c>
      <x:c r="AB37" s="47">
        <x:f>MAX(0,MAX(0,$J37-$T37)-$Y37)-$Z37</x:f>
        <x:v>299221.08849433647</x:v>
      </x:c>
      <x:c r="AC37" s="47">
        <x:f>IF($B$18=1,$AB37,0)</x:f>
        <x:v>299221.08849433647</x:v>
      </x:c>
      <x:c r="AD37" s="47">
        <x:f>$C37+$D37+$AC37</x:f>
        <x:v>2265886.7266933247</x:v>
      </x:c>
      <x:c r="AE37" s="47">
        <x:f>MIN($AD37,$R37)</x:f>
        <x:v>2265886.7266933247</x:v>
      </x:c>
      <x:c r="AF37" s="47">
        <x:f>$R37-$AE37</x:f>
        <x:v>42045040.36761942</x:v>
      </x:c>
      <x:c r="AG37" s="47">
        <x:f>MIN(MAX(0,$AD37-$AE37),$W37)</x:f>
        <x:v>0</x:v>
      </x:c>
      <x:c r="AH37" s="47">
        <x:f>$W37-$AG37</x:f>
        <x:v>15000000</x:v>
      </x:c>
      <x:c r="AI37" s="47">
        <x:f>IF($B$18=1,0,$AB37) + MAX(0,$AD37-$AE37-$AG37)</x:f>
        <x:v>0</x:v>
      </x:c>
      <x:c r="AJ37" s="47">
        <x:f>($E37+$F37)-($I37+$T37+$Y37+$AE37+$AG37+$AI37+$AA37)</x:f>
        <x:v>4.656612873077393e-10</x:v>
      </x:c>
    </x:row>
    <x:row r="38">
      <x:c r="A38" s="46" t="n">
        <x:v>18</x:v>
      </x:c>
      <x:c r="B38" s="47">
        <x:f>IF($A38&lt;=Inputs!$C$6+Inputs!$C$11,Cashflow_Asset!$E21,0)</x:f>
        <x:v>656979.2202739184</x:v>
      </x:c>
      <x:c r="C38" s="47">
        <x:f>IF($A38&lt;=Inputs!$C$6,Cashflow_Asset!$F21+Cashflow_Asset!$G21,0)</x:f>
        <x:v>1897289.3087993206</x:v>
      </x:c>
      <x:c r="D38" s="47">
        <x:f>IF($A38&lt;=Inputs!$C$6+Inputs!$C$11,Cashflow_Asset!$I21,0)</x:f>
        <x:v>77183.74602399276</x:v>
      </x:c>
      <x:c r="E38" s="47">
        <x:f>$B38+$C38+$D38</x:f>
        <x:v>2631452.2750972314</x:v>
      </x:c>
      <x:c r="F38" s="47">
        <x:f>$AA37</x:f>
        <x:v>1000000</x:v>
      </x:c>
      <x:c r="G38" s="47">
        <x:f>$E38+$F38</x:f>
        <x:v>3631452.2750972314</x:v>
      </x:c>
      <x:c r="H38" s="47">
        <x:f>IF($A38&lt;=Inputs!$C$6+Inputs!$C$11,Cashflow_Asset!$K21,0)</x:f>
        <x:v>54748.26835615986</x:v>
      </x:c>
      <x:c r="I38" s="47">
        <x:f>MIN($H38,$B38+$F38)</x:f>
        <x:v>54748.26835615986</x:v>
      </x:c>
      <x:c r="J38" s="47">
        <x:f>MAX(0,$B38-$I38)</x:f>
        <x:v>602230.9519177584</x:v>
      </x:c>
      <x:c r="K38" s="47">
        <x:f>MAX(0,$F38-MAX(0,$I38-$B38))</x:f>
        <x:v>1000000</x:v>
      </x:c>
      <x:c r="L38" s="47">
        <x:f>IF($A38&lt;=Inputs!$C$6,Cashflow_Asset!$H21*Inputs!$C$10,0)</x:f>
        <x:v>97042.62332110293</x:v>
      </x:c>
      <x:c r="M38" s="47">
        <x:f>$O37</x:f>
        <x:v>3875610.544537021</x:v>
      </x:c>
      <x:c r="N38" s="47">
        <x:f>MIN($L38,$M38)</x:f>
        <x:v>97042.62332110293</x:v>
      </x:c>
      <x:c r="O38" s="47">
        <x:f>$M38-$N38</x:f>
        <x:v>3778567.921215918</x:v>
      </x:c>
      <x:c r="P38" s="47">
        <x:f>$AF37</x:f>
        <x:v>42045040.36761942</x:v>
      </x:c>
      <x:c r="Q38" s="47">
        <x:f>MIN(MAX(0,$L38-$N38-$V38),$P38)</x:f>
        <x:v>0</x:v>
      </x:c>
      <x:c r="R38" s="47">
        <x:f>$P38-$Q38</x:f>
        <x:v>42045040.36761942</x:v>
      </x:c>
      <x:c r="S38" s="47">
        <x:f>$R38*Inputs!$C$18/12</x:f>
        <x:v>192706.43501825567</x:v>
      </x:c>
      <x:c r="T38" s="47">
        <x:f>MIN($S38,$J38+$K38)</x:f>
        <x:v>192706.43501825567</x:v>
      </x:c>
      <x:c r="U38" s="47">
        <x:f>$AH37</x:f>
        <x:v>15000000</x:v>
      </x:c>
      <x:c r="V38" s="47">
        <x:f>MIN(MAX(0,$L38-$N38),$U38)</x:f>
        <x:v>0</x:v>
      </x:c>
      <x:c r="W38" s="47">
        <x:f>$U38-$V38</x:f>
        <x:v>15000000</x:v>
      </x:c>
      <x:c r="X38" s="47">
        <x:f>$W38*Inputs!$C$19/12</x:f>
        <x:v>118750.00000000001</x:v>
      </x:c>
      <x:c r="Y38" s="47">
        <x:f>MIN($X38,MAX(0,$J38-$T38) + ($K38-MAX(0,$T38-$J38)))</x:f>
        <x:v>118750.00000000001</x:v>
      </x:c>
      <x:c r="Z38" s="47">
        <x:f>MIN(MAX(0,$B$17 - (($K38-MAX(0,$T38-$J38)) - MAX(0,$Y38-MAX(0,$J38-$T38)))), MAX(0, MAX(0,$J38-$T38) - $Y38))</x:f>
        <x:v>0</x:v>
      </x:c>
      <x:c r="AA38" s="47">
        <x:f>(($K38-MAX(0,$T38-$J38)) - MAX(0,$Y38-MAX(0,$J38-$T38))) + $Z38</x:f>
        <x:v>1000000</x:v>
      </x:c>
      <x:c r="AB38" s="47">
        <x:f>MAX(0,MAX(0,$J38-$T38)-$Y38)-$Z38</x:f>
        <x:v>290774.5168995028</x:v>
      </x:c>
      <x:c r="AC38" s="47">
        <x:f>IF($B$18=1,$AB38,0)</x:f>
        <x:v>290774.5168995028</x:v>
      </x:c>
      <x:c r="AD38" s="47">
        <x:f>$C38+$D38+$AC38</x:f>
        <x:v>2265247.571722816</x:v>
      </x:c>
      <x:c r="AE38" s="47">
        <x:f>MIN($AD38,$R38)</x:f>
        <x:v>2265247.571722816</x:v>
      </x:c>
      <x:c r="AF38" s="47">
        <x:f>$R38-$AE38</x:f>
        <x:v>39779792.795896605</x:v>
      </x:c>
      <x:c r="AG38" s="47">
        <x:f>MIN(MAX(0,$AD38-$AE38),$W38)</x:f>
        <x:v>0</x:v>
      </x:c>
      <x:c r="AH38" s="47">
        <x:f>$W38-$AG38</x:f>
        <x:v>15000000</x:v>
      </x:c>
      <x:c r="AI38" s="47">
        <x:f>IF($B$18=1,0,$AB38) + MAX(0,$AD38-$AE38-$AG38)</x:f>
        <x:v>0</x:v>
      </x:c>
      <x:c r="AJ38" s="47">
        <x:f>($E38+$F38)-($I38+$T38+$Y38+$AE38+$AG38+$AI38+$AA38)</x:f>
        <x:v>-4.656612873077393e-10</x:v>
      </x:c>
    </x:row>
    <x:row r="39">
      <x:c r="A39" s="46" t="n">
        <x:v>19</x:v>
      </x:c>
      <x:c r="B39" s="47">
        <x:f>IF($A39&lt;=Inputs!$C$6+Inputs!$C$11,Cashflow_Asset!$E22,0)</x:f>
        <x:v>636388.9501305734</x:v>
      </x:c>
      <x:c r="C39" s="47">
        <x:f>IF($A39&lt;=Inputs!$C$6,Cashflow_Asset!$F22+Cashflow_Asset!$G22,0)</x:f>
        <x:v>1907184.0805633152</x:v>
      </x:c>
      <x:c r="D39" s="47">
        <x:f>IF($A39&lt;=Inputs!$C$6+Inputs!$C$11,Cashflow_Asset!$I22,0)</x:f>
        <x:v>75114.02257710094</x:v>
      </x:c>
      <x:c r="E39" s="47">
        <x:f>$B39+$C39+$D39</x:f>
        <x:v>2618687.0532709896</x:v>
      </x:c>
      <x:c r="F39" s="47">
        <x:f>$AA38</x:f>
        <x:v>1000000</x:v>
      </x:c>
      <x:c r="G39" s="47">
        <x:f>$E39+$F39</x:f>
        <x:v>3618687.0532709896</x:v>
      </x:c>
      <x:c r="H39" s="47">
        <x:f>IF($A39&lt;=Inputs!$C$6+Inputs!$C$11,Cashflow_Asset!$K22,0)</x:f>
        <x:v>53032.41251088111</x:v>
      </x:c>
      <x:c r="I39" s="47">
        <x:f>MIN($H39,$B39+$F39)</x:f>
        <x:v>53032.41251088111</x:v>
      </x:c>
      <x:c r="J39" s="47">
        <x:f>MAX(0,$B39-$I39)</x:f>
        <x:v>583356.5376196923</x:v>
      </x:c>
      <x:c r="K39" s="47">
        <x:f>MAX(0,$F39-MAX(0,$I39-$B39))</x:f>
        <x:v>1000000</x:v>
      </x:c>
      <x:c r="L39" s="47">
        <x:f>IF($A39&lt;=Inputs!$C$6,Cashflow_Asset!$H22*Inputs!$C$10,0)</x:f>
        <x:v>93895.73293751162</x:v>
      </x:c>
      <x:c r="M39" s="47">
        <x:f>$O38</x:f>
        <x:v>3778567.921215918</x:v>
      </x:c>
      <x:c r="N39" s="47">
        <x:f>MIN($L39,$M39)</x:f>
        <x:v>93895.73293751162</x:v>
      </x:c>
      <x:c r="O39" s="47">
        <x:f>$M39-$N39</x:f>
        <x:v>3684672.1882784064</x:v>
      </x:c>
      <x:c r="P39" s="47">
        <x:f>$AF38</x:f>
        <x:v>39779792.795896605</x:v>
      </x:c>
      <x:c r="Q39" s="47">
        <x:f>MIN(MAX(0,$L39-$N39-$V39),$P39)</x:f>
        <x:v>0</x:v>
      </x:c>
      <x:c r="R39" s="47">
        <x:f>$P39-$Q39</x:f>
        <x:v>39779792.795896605</x:v>
      </x:c>
      <x:c r="S39" s="47">
        <x:f>$R39*Inputs!$C$18/12</x:f>
        <x:v>182324.0503145261</x:v>
      </x:c>
      <x:c r="T39" s="47">
        <x:f>MIN($S39,$J39+$K39)</x:f>
        <x:v>182324.0503145261</x:v>
      </x:c>
      <x:c r="U39" s="47">
        <x:f>$AH38</x:f>
        <x:v>15000000</x:v>
      </x:c>
      <x:c r="V39" s="47">
        <x:f>MIN(MAX(0,$L39-$N39),$U39)</x:f>
        <x:v>0</x:v>
      </x:c>
      <x:c r="W39" s="47">
        <x:f>$U39-$V39</x:f>
        <x:v>15000000</x:v>
      </x:c>
      <x:c r="X39" s="47">
        <x:f>$W39*Inputs!$C$19/12</x:f>
        <x:v>118750.00000000001</x:v>
      </x:c>
      <x:c r="Y39" s="47">
        <x:f>MIN($X39,MAX(0,$J39-$T39) + ($K39-MAX(0,$T39-$J39)))</x:f>
        <x:v>118750.00000000001</x:v>
      </x:c>
      <x:c r="Z39" s="47">
        <x:f>MIN(MAX(0,$B$17 - (($K39-MAX(0,$T39-$J39)) - MAX(0,$Y39-MAX(0,$J39-$T39)))), MAX(0, MAX(0,$J39-$T39) - $Y39))</x:f>
        <x:v>0</x:v>
      </x:c>
      <x:c r="AA39" s="47">
        <x:f>(($K39-MAX(0,$T39-$J39)) - MAX(0,$Y39-MAX(0,$J39-$T39))) + $Z39</x:f>
        <x:v>1000000</x:v>
      </x:c>
      <x:c r="AB39" s="47">
        <x:f>MAX(0,MAX(0,$J39-$T39)-$Y39)-$Z39</x:f>
        <x:v>282282.4873051662</x:v>
      </x:c>
      <x:c r="AC39" s="47">
        <x:f>IF($B$18=1,$AB39,0)</x:f>
        <x:v>282282.4873051662</x:v>
      </x:c>
      <x:c r="AD39" s="47">
        <x:f>$C39+$D39+$AC39</x:f>
        <x:v>2264580.5904455823</x:v>
      </x:c>
      <x:c r="AE39" s="47">
        <x:f>MIN($AD39,$R39)</x:f>
        <x:v>2264580.5904455823</x:v>
      </x:c>
      <x:c r="AF39" s="47">
        <x:f>$R39-$AE39</x:f>
        <x:v>37515212.20545102</x:v>
      </x:c>
      <x:c r="AG39" s="47">
        <x:f>MIN(MAX(0,$AD39-$AE39),$W39)</x:f>
        <x:v>0</x:v>
      </x:c>
      <x:c r="AH39" s="47">
        <x:f>$W39-$AG39</x:f>
        <x:v>15000000</x:v>
      </x:c>
      <x:c r="AI39" s="47">
        <x:f>IF($B$18=1,0,$AB39) + MAX(0,$AD39-$AE39-$AG39)</x:f>
        <x:v>0</x:v>
      </x:c>
      <x:c r="AJ39" s="47">
        <x:f>($E39+$F39)-($I39+$T39+$Y39+$AE39+$AG39+$AI39+$AA39)</x:f>
        <x:v>0</x:v>
      </x:c>
    </x:row>
    <x:row r="40">
      <x:c r="A40" s="46" t="n">
        <x:v>20</x:v>
      </x:c>
      <x:c r="B40" s="47">
        <x:f>IF($A40&lt;=Inputs!$C$6+Inputs!$C$11,Cashflow_Asset!$E23,0)</x:f>
        <x:v>615752.1804426482</x:v>
      </x:c>
      <x:c r="C40" s="47">
        <x:f>IF($A40&lt;=Inputs!$C$6,Cashflow_Asset!$F23+Cashflow_Asset!$G23,0)</x:f>
        <x:v>1917101.197948691</x:v>
      </x:c>
      <x:c r="D40" s="47">
        <x:f>IF($A40&lt;=Inputs!$C$6+Inputs!$C$11,Cashflow_Asset!$I23,0)</x:f>
        <x:v>73039.62501971824</x:v>
      </x:c>
      <x:c r="E40" s="47">
        <x:f>$B40+$C40+$D40</x:f>
        <x:v>2605893.003411058</x:v>
      </x:c>
      <x:c r="F40" s="47">
        <x:f>$AA39</x:f>
        <x:v>1000000</x:v>
      </x:c>
      <x:c r="G40" s="47">
        <x:f>$E40+$F40</x:f>
        <x:v>3605893.003411058</x:v>
      </x:c>
      <x:c r="H40" s="47">
        <x:f>IF($A40&lt;=Inputs!$C$6+Inputs!$C$11,Cashflow_Asset!$K23,0)</x:f>
        <x:v>51312.68170355402</x:v>
      </x:c>
      <x:c r="I40" s="47">
        <x:f>MIN($H40,$B40+$F40)</x:f>
        <x:v>51312.68170355402</x:v>
      </x:c>
      <x:c r="J40" s="47">
        <x:f>MAX(0,$B40-$I40)</x:f>
        <x:v>564439.4987390942</x:v>
      </x:c>
      <x:c r="K40" s="47">
        <x:f>MAX(0,$F40-MAX(0,$I40-$B40))</x:f>
        <x:v>1000000</x:v>
      </x:c>
      <x:c r="L40" s="47">
        <x:f>IF($A40&lt;=Inputs!$C$6,Cashflow_Asset!$H23*Inputs!$C$10,0)</x:f>
        <x:v>90741.73584921652</x:v>
      </x:c>
      <x:c r="M40" s="47">
        <x:f>$O39</x:f>
        <x:v>3684672.1882784064</x:v>
      </x:c>
      <x:c r="N40" s="47">
        <x:f>MIN($L40,$M40)</x:f>
        <x:v>90741.73584921652</x:v>
      </x:c>
      <x:c r="O40" s="47">
        <x:f>$M40-$N40</x:f>
        <x:v>3593930.45242919</x:v>
      </x:c>
      <x:c r="P40" s="47">
        <x:f>$AF39</x:f>
        <x:v>37515212.20545102</x:v>
      </x:c>
      <x:c r="Q40" s="47">
        <x:f>MIN(MAX(0,$L40-$N40-$V40),$P40)</x:f>
        <x:v>0</x:v>
      </x:c>
      <x:c r="R40" s="47">
        <x:f>$P40-$Q40</x:f>
        <x:v>37515212.20545102</x:v>
      </x:c>
      <x:c r="S40" s="47">
        <x:f>$R40*Inputs!$C$18/12</x:f>
        <x:v>171944.72260831718</x:v>
      </x:c>
      <x:c r="T40" s="47">
        <x:f>MIN($S40,$J40+$K40)</x:f>
        <x:v>171944.72260831718</x:v>
      </x:c>
      <x:c r="U40" s="47">
        <x:f>$AH39</x:f>
        <x:v>15000000</x:v>
      </x:c>
      <x:c r="V40" s="47">
        <x:f>MIN(MAX(0,$L40-$N40),$U40)</x:f>
        <x:v>0</x:v>
      </x:c>
      <x:c r="W40" s="47">
        <x:f>$U40-$V40</x:f>
        <x:v>15000000</x:v>
      </x:c>
      <x:c r="X40" s="47">
        <x:f>$W40*Inputs!$C$19/12</x:f>
        <x:v>118750.00000000001</x:v>
      </x:c>
      <x:c r="Y40" s="47">
        <x:f>MIN($X40,MAX(0,$J40-$T40) + ($K40-MAX(0,$T40-$J40)))</x:f>
        <x:v>118750.00000000001</x:v>
      </x:c>
      <x:c r="Z40" s="47">
        <x:f>MIN(MAX(0,$B$17 - (($K40-MAX(0,$T40-$J40)) - MAX(0,$Y40-MAX(0,$J40-$T40)))), MAX(0, MAX(0,$J40-$T40) - $Y40))</x:f>
        <x:v>0</x:v>
      </x:c>
      <x:c r="AA40" s="47">
        <x:f>(($K40-MAX(0,$T40-$J40)) - MAX(0,$Y40-MAX(0,$J40-$T40))) + $Z40</x:f>
        <x:v>1000000</x:v>
      </x:c>
      <x:c r="AB40" s="47">
        <x:f>MAX(0,MAX(0,$J40-$T40)-$Y40)-$Z40</x:f>
        <x:v>273744.7761307771</x:v>
      </x:c>
      <x:c r="AC40" s="47">
        <x:f>IF($B$18=1,$AB40,0)</x:f>
        <x:v>273744.7761307771</x:v>
      </x:c>
      <x:c r="AD40" s="47">
        <x:f>$C40+$D40+$AC40</x:f>
        <x:v>2263885.5990991862</x:v>
      </x:c>
      <x:c r="AE40" s="47">
        <x:f>MIN($AD40,$R40)</x:f>
        <x:v>2263885.5990991862</x:v>
      </x:c>
      <x:c r="AF40" s="47">
        <x:f>$R40-$AE40</x:f>
        <x:v>35251326.60635183</x:v>
      </x:c>
      <x:c r="AG40" s="47">
        <x:f>MIN(MAX(0,$AD40-$AE40),$W40)</x:f>
        <x:v>0</x:v>
      </x:c>
      <x:c r="AH40" s="47">
        <x:f>$W40-$AG40</x:f>
        <x:v>15000000</x:v>
      </x:c>
      <x:c r="AI40" s="47">
        <x:f>IF($B$18=1,0,$AB40) + MAX(0,$AD40-$AE40-$AG40)</x:f>
        <x:v>0</x:v>
      </x:c>
      <x:c r="AJ40" s="47">
        <x:f>($E40+$F40)-($I40+$T40+$Y40+$AE40+$AG40+$AI40+$AA40)</x:f>
        <x:v>4.656612873077393e-10</x:v>
      </x:c>
    </x:row>
    <x:row r="41">
      <x:c r="A41" s="46" t="n">
        <x:v>21</x:v>
      </x:c>
      <x:c r="B41" s="47">
        <x:f>IF($A41&lt;=Inputs!$C$6+Inputs!$C$11,Cashflow_Asset!$E24,0)</x:f>
        <x:v>595068.8061990078</x:v>
      </x:c>
      <x:c r="C41" s="47">
        <x:f>IF($A41&lt;=Inputs!$C$6,Cashflow_Asset!$F24+Cashflow_Asset!$G24,0)</x:f>
        <x:v>1927040.711419147</x:v>
      </x:c>
      <x:c r="D41" s="47">
        <x:f>IF($A41&lt;=Inputs!$C$6+Inputs!$C$11,Cashflow_Asset!$I24,0)</x:f>
        <x:v>70960.54279617892</x:v>
      </x:c>
      <x:c r="E41" s="47">
        <x:f>$B41+$C41+$D41</x:f>
        <x:v>2593070.0604143334</x:v>
      </x:c>
      <x:c r="F41" s="47">
        <x:f>$AA40</x:f>
        <x:v>1000000</x:v>
      </x:c>
      <x:c r="G41" s="47">
        <x:f>$E41+$F41</x:f>
        <x:v>3593070.0604143334</x:v>
      </x:c>
      <x:c r="H41" s="47">
        <x:f>IF($A41&lt;=Inputs!$C$6+Inputs!$C$11,Cashflow_Asset!$K24,0)</x:f>
        <x:v>49589.06718325065</x:v>
      </x:c>
      <x:c r="I41" s="47">
        <x:f>MIN($H41,$B41+$F41)</x:f>
        <x:v>49589.06718325065</x:v>
      </x:c>
      <x:c r="J41" s="47">
        <x:f>MAX(0,$B41-$I41)</x:f>
        <x:v>545479.7390157571</x:v>
      </x:c>
      <x:c r="K41" s="47">
        <x:f>MAX(0,$F41-MAX(0,$I41-$B41))</x:f>
        <x:v>1000000</x:v>
      </x:c>
      <x:c r="L41" s="47">
        <x:f>IF($A41&lt;=Inputs!$C$6,Cashflow_Asset!$H24*Inputs!$C$10,0)</x:f>
        <x:v>87580.61600696087</x:v>
      </x:c>
      <x:c r="M41" s="47">
        <x:f>$O40</x:f>
        <x:v>3593930.45242919</x:v>
      </x:c>
      <x:c r="N41" s="47">
        <x:f>MIN($L41,$M41)</x:f>
        <x:v>87580.61600696087</x:v>
      </x:c>
      <x:c r="O41" s="47">
        <x:f>$M41-$N41</x:f>
        <x:v>3506349.8364222287</x:v>
      </x:c>
      <x:c r="P41" s="47">
        <x:f>$AF40</x:f>
        <x:v>35251326.60635183</x:v>
      </x:c>
      <x:c r="Q41" s="47">
        <x:f>MIN(MAX(0,$L41-$N41-$V41),$P41)</x:f>
        <x:v>0</x:v>
      </x:c>
      <x:c r="R41" s="47">
        <x:f>$P41-$Q41</x:f>
        <x:v>35251326.60635183</x:v>
      </x:c>
      <x:c r="S41" s="47">
        <x:f>$R41*Inputs!$C$18/12</x:f>
        <x:v>161568.58027911256</x:v>
      </x:c>
      <x:c r="T41" s="47">
        <x:f>MIN($S41,$J41+$K41)</x:f>
        <x:v>161568.58027911256</x:v>
      </x:c>
      <x:c r="U41" s="47">
        <x:f>$AH40</x:f>
        <x:v>15000000</x:v>
      </x:c>
      <x:c r="V41" s="47">
        <x:f>MIN(MAX(0,$L41-$N41),$U41)</x:f>
        <x:v>0</x:v>
      </x:c>
      <x:c r="W41" s="47">
        <x:f>$U41-$V41</x:f>
        <x:v>15000000</x:v>
      </x:c>
      <x:c r="X41" s="47">
        <x:f>$W41*Inputs!$C$19/12</x:f>
        <x:v>118750.00000000001</x:v>
      </x:c>
      <x:c r="Y41" s="47">
        <x:f>MIN($X41,MAX(0,$J41-$T41) + ($K41-MAX(0,$T41-$J41)))</x:f>
        <x:v>118750.00000000001</x:v>
      </x:c>
      <x:c r="Z41" s="47">
        <x:f>MIN(MAX(0,$B$17 - (($K41-MAX(0,$T41-$J41)) - MAX(0,$Y41-MAX(0,$J41-$T41)))), MAX(0, MAX(0,$J41-$T41) - $Y41))</x:f>
        <x:v>0</x:v>
      </x:c>
      <x:c r="AA41" s="47">
        <x:f>(($K41-MAX(0,$T41-$J41)) - MAX(0,$Y41-MAX(0,$J41-$T41))) + $Z41</x:f>
        <x:v>1000000</x:v>
      </x:c>
      <x:c r="AB41" s="47">
        <x:f>MAX(0,MAX(0,$J41-$T41)-$Y41)-$Z41</x:f>
        <x:v>265161.15873664455</x:v>
      </x:c>
      <x:c r="AC41" s="47">
        <x:f>IF($B$18=1,$AB41,0)</x:f>
        <x:v>265161.15873664455</x:v>
      </x:c>
      <x:c r="AD41" s="47">
        <x:f>$C41+$D41+$AC41</x:f>
        <x:v>2263162.4129519705</x:v>
      </x:c>
      <x:c r="AE41" s="47">
        <x:f>MIN($AD41,$R41)</x:f>
        <x:v>2263162.4129519705</x:v>
      </x:c>
      <x:c r="AF41" s="47">
        <x:f>$R41-$AE41</x:f>
        <x:v>32988164.19339986</x:v>
      </x:c>
      <x:c r="AG41" s="47">
        <x:f>MIN(MAX(0,$AD41-$AE41),$W41)</x:f>
        <x:v>0</x:v>
      </x:c>
      <x:c r="AH41" s="47">
        <x:f>$W41-$AG41</x:f>
        <x:v>15000000</x:v>
      </x:c>
      <x:c r="AI41" s="47">
        <x:f>IF($B$18=1,0,$AB41) + MAX(0,$AD41-$AE41-$AG41)</x:f>
        <x:v>0</x:v>
      </x:c>
      <x:c r="AJ41" s="47">
        <x:f>($E41+$F41)-($I41+$T41+$Y41+$AE41+$AG41+$AI41+$AA41)</x:f>
        <x:v>-4.656612873077393e-10</x:v>
      </x:c>
    </x:row>
    <x:row r="42">
      <x:c r="A42" s="46" t="n">
        <x:v>22</x:v>
      </x:c>
      <x:c r="B42" s="47">
        <x:f>IF($A42&lt;=Inputs!$C$6+Inputs!$C$11,Cashflow_Asset!$E25,0)</x:f>
        <x:v>574338.722151367</x:v>
      </x:c>
      <x:c r="C42" s="47">
        <x:f>IF($A42&lt;=Inputs!$C$6,Cashflow_Asset!$F25+Cashflow_Asset!$G25,0)</x:f>
        <x:v>1937002.6715523475</x:v>
      </x:c>
      <x:c r="D42" s="47">
        <x:f>IF($A42&lt;=Inputs!$C$6+Inputs!$C$11,Cashflow_Asset!$I25,0)</x:f>
        <x:v>68876.7653269791</x:v>
      </x:c>
      <x:c r="E42" s="47">
        <x:f>$B42+$C42+$D42</x:f>
        <x:v>2580218.1590306936</x:v>
      </x:c>
      <x:c r="F42" s="47">
        <x:f>$AA41</x:f>
        <x:v>1000000</x:v>
      </x:c>
      <x:c r="G42" s="47">
        <x:f>$E42+$F42</x:f>
        <x:v>3580218.1590306936</x:v>
      </x:c>
      <x:c r="H42" s="47">
        <x:f>IF($A42&lt;=Inputs!$C$6+Inputs!$C$11,Cashflow_Asset!$K25,0)</x:f>
        <x:v>47861.56017928058</x:v>
      </x:c>
      <x:c r="I42" s="47">
        <x:f>MIN($H42,$B42+$F42)</x:f>
        <x:v>47861.56017928058</x:v>
      </x:c>
      <x:c r="J42" s="47">
        <x:f>MAX(0,$B42-$I42)</x:f>
        <x:v>526477.1619720864</x:v>
      </x:c>
      <x:c r="K42" s="47">
        <x:f>MAX(0,$F42-MAX(0,$I42-$B42))</x:f>
        <x:v>1000000</x:v>
      </x:c>
      <x:c r="L42" s="47">
        <x:f>IF($A42&lt;=Inputs!$C$6,Cashflow_Asset!$H25*Inputs!$C$10,0)</x:f>
        <x:v>84412.3573252434</x:v>
      </x:c>
      <x:c r="M42" s="47">
        <x:f>$O41</x:f>
        <x:v>3506349.8364222287</x:v>
      </x:c>
      <x:c r="N42" s="47">
        <x:f>MIN($L42,$M42)</x:f>
        <x:v>84412.3573252434</x:v>
      </x:c>
      <x:c r="O42" s="47">
        <x:f>$M42-$N42</x:f>
        <x:v>3421937.4790969854</x:v>
      </x:c>
      <x:c r="P42" s="47">
        <x:f>$AF41</x:f>
        <x:v>32988164.19339986</x:v>
      </x:c>
      <x:c r="Q42" s="47">
        <x:f>MIN(MAX(0,$L42-$N42-$V42),$P42)</x:f>
        <x:v>0</x:v>
      </x:c>
      <x:c r="R42" s="47">
        <x:f>$P42-$Q42</x:f>
        <x:v>32988164.19339986</x:v>
      </x:c>
      <x:c r="S42" s="47">
        <x:f>$R42*Inputs!$C$18/12</x:f>
        <x:v>151195.7525530827</x:v>
      </x:c>
      <x:c r="T42" s="47">
        <x:f>MIN($S42,$J42+$K42)</x:f>
        <x:v>151195.7525530827</x:v>
      </x:c>
      <x:c r="U42" s="47">
        <x:f>$AH41</x:f>
        <x:v>15000000</x:v>
      </x:c>
      <x:c r="V42" s="47">
        <x:f>MIN(MAX(0,$L42-$N42),$U42)</x:f>
        <x:v>0</x:v>
      </x:c>
      <x:c r="W42" s="47">
        <x:f>$U42-$V42</x:f>
        <x:v>15000000</x:v>
      </x:c>
      <x:c r="X42" s="47">
        <x:f>$W42*Inputs!$C$19/12</x:f>
        <x:v>118750.00000000001</x:v>
      </x:c>
      <x:c r="Y42" s="47">
        <x:f>MIN($X42,MAX(0,$J42-$T42) + ($K42-MAX(0,$T42-$J42)))</x:f>
        <x:v>118750.00000000001</x:v>
      </x:c>
      <x:c r="Z42" s="47">
        <x:f>MIN(MAX(0,$B$17 - (($K42-MAX(0,$T42-$J42)) - MAX(0,$Y42-MAX(0,$J42-$T42)))), MAX(0, MAX(0,$J42-$T42) - $Y42))</x:f>
        <x:v>0</x:v>
      </x:c>
      <x:c r="AA42" s="47">
        <x:f>(($K42-MAX(0,$T42-$J42)) - MAX(0,$Y42-MAX(0,$J42-$T42))) + $Z42</x:f>
        <x:v>1000000</x:v>
      </x:c>
      <x:c r="AB42" s="47">
        <x:f>MAX(0,MAX(0,$J42-$T42)-$Y42)-$Z42</x:f>
        <x:v>256531.4094190037</x:v>
      </x:c>
      <x:c r="AC42" s="47">
        <x:f>IF($B$18=1,$AB42,0)</x:f>
        <x:v>256531.4094190037</x:v>
      </x:c>
      <x:c r="AD42" s="47">
        <x:f>$C42+$D42+$AC42</x:f>
        <x:v>2262410.8462983305</x:v>
      </x:c>
      <x:c r="AE42" s="47">
        <x:f>MIN($AD42,$R42)</x:f>
        <x:v>2262410.8462983305</x:v>
      </x:c>
      <x:c r="AF42" s="47">
        <x:f>$R42-$AE42</x:f>
        <x:v>30725753.347101532</x:v>
      </x:c>
      <x:c r="AG42" s="47">
        <x:f>MIN(MAX(0,$AD42-$AE42),$W42)</x:f>
        <x:v>0</x:v>
      </x:c>
      <x:c r="AH42" s="47">
        <x:f>$W42-$AG42</x:f>
        <x:v>15000000</x:v>
      </x:c>
      <x:c r="AI42" s="47">
        <x:f>IF($B$18=1,0,$AB42) + MAX(0,$AD42-$AE42-$AG42)</x:f>
        <x:v>0</x:v>
      </x:c>
      <x:c r="AJ42" s="47">
        <x:f>($E42+$F42)-($I42+$T42+$Y42+$AE42+$AG42+$AI42+$AA42)</x:f>
        <x:v>0</x:v>
      </x:c>
    </x:row>
    <x:row r="43">
      <x:c r="A43" s="46" t="n">
        <x:v>23</x:v>
      </x:c>
      <x:c r="B43" s="47">
        <x:f>IF($A43&lt;=Inputs!$C$6+Inputs!$C$11,Cashflow_Asset!$E26,0)</x:f>
        <x:v>553561.8228137561</x:v>
      </x:c>
      <x:c r="C43" s="47">
        <x:f>IF($A43&lt;=Inputs!$C$6,Cashflow_Asset!$F26+Cashflow_Asset!$G26,0)</x:f>
        <x:v>1946987.129040177</x:v>
      </x:c>
      <x:c r="D43" s="47">
        <x:f>IF($A43&lt;=Inputs!$C$6+Inputs!$C$11,Cashflow_Asset!$I26,0)</x:f>
        <x:v>66788.28200872293</x:v>
      </x:c>
      <x:c r="E43" s="47">
        <x:f>$B43+$C43+$D43</x:f>
        <x:v>2567337.2338626557</x:v>
      </x:c>
      <x:c r="F43" s="47">
        <x:f>$AA42</x:f>
        <x:v>1000000</x:v>
      </x:c>
      <x:c r="G43" s="47">
        <x:f>$E43+$F43</x:f>
        <x:v>3567337.2338626557</x:v>
      </x:c>
      <x:c r="H43" s="47">
        <x:f>IF($A43&lt;=Inputs!$C$6+Inputs!$C$11,Cashflow_Asset!$K26,0)</x:f>
        <x:v>46130.151901146346</x:v>
      </x:c>
      <x:c r="I43" s="47">
        <x:f>MIN($H43,$B43+$F43)</x:f>
        <x:v>46130.151901146346</x:v>
      </x:c>
      <x:c r="J43" s="47">
        <x:f>MAX(0,$B43-$I43)</x:f>
        <x:v>507431.6709126097</x:v>
      </x:c>
      <x:c r="K43" s="47">
        <x:f>MAX(0,$F43-MAX(0,$I43-$B43))</x:f>
        <x:v>1000000</x:v>
      </x:c>
      <x:c r="L43" s="47">
        <x:f>IF($A43&lt;=Inputs!$C$6,Cashflow_Asset!$H26*Inputs!$C$10,0)</x:f>
        <x:v>81236.94368223664</x:v>
      </x:c>
      <x:c r="M43" s="47">
        <x:f>$O42</x:f>
        <x:v>3421937.4790969854</x:v>
      </x:c>
      <x:c r="N43" s="47">
        <x:f>MIN($L43,$M43)</x:f>
        <x:v>81236.94368223664</x:v>
      </x:c>
      <x:c r="O43" s="47">
        <x:f>$M43-$N43</x:f>
        <x:v>3340700.535414749</x:v>
      </x:c>
      <x:c r="P43" s="47">
        <x:f>$AF42</x:f>
        <x:v>30725753.347101532</x:v>
      </x:c>
      <x:c r="Q43" s="47">
        <x:f>MIN(MAX(0,$L43-$N43-$V43),$P43)</x:f>
        <x:v>0</x:v>
      </x:c>
      <x:c r="R43" s="47">
        <x:f>$P43-$Q43</x:f>
        <x:v>30725753.347101532</x:v>
      </x:c>
      <x:c r="S43" s="47">
        <x:f>$R43*Inputs!$C$18/12</x:f>
        <x:v>140826.3695075487</x:v>
      </x:c>
      <x:c r="T43" s="47">
        <x:f>MIN($S43,$J43+$K43)</x:f>
        <x:v>140826.3695075487</x:v>
      </x:c>
      <x:c r="U43" s="47">
        <x:f>$AH42</x:f>
        <x:v>15000000</x:v>
      </x:c>
      <x:c r="V43" s="47">
        <x:f>MIN(MAX(0,$L43-$N43),$U43)</x:f>
        <x:v>0</x:v>
      </x:c>
      <x:c r="W43" s="47">
        <x:f>$U43-$V43</x:f>
        <x:v>15000000</x:v>
      </x:c>
      <x:c r="X43" s="47">
        <x:f>$W43*Inputs!$C$19/12</x:f>
        <x:v>118750.00000000001</x:v>
      </x:c>
      <x:c r="Y43" s="47">
        <x:f>MIN($X43,MAX(0,$J43-$T43) + ($K43-MAX(0,$T43-$J43)))</x:f>
        <x:v>118750.00000000001</x:v>
      </x:c>
      <x:c r="Z43" s="47">
        <x:f>MIN(MAX(0,$B$17 - (($K43-MAX(0,$T43-$J43)) - MAX(0,$Y43-MAX(0,$J43-$T43)))), MAX(0, MAX(0,$J43-$T43) - $Y43))</x:f>
        <x:v>0</x:v>
      </x:c>
      <x:c r="AA43" s="47">
        <x:f>(($K43-MAX(0,$T43-$J43)) - MAX(0,$Y43-MAX(0,$J43-$T43))) + $Z43</x:f>
        <x:v>1000000</x:v>
      </x:c>
      <x:c r="AB43" s="47">
        <x:f>MAX(0,MAX(0,$J43-$T43)-$Y43)-$Z43</x:f>
        <x:v>247855.30140506104</x:v>
      </x:c>
      <x:c r="AC43" s="47">
        <x:f>IF($B$18=1,$AB43,0)</x:f>
        <x:v>247855.30140506104</x:v>
      </x:c>
      <x:c r="AD43" s="47">
        <x:f>$C43+$D43+$AC43</x:f>
        <x:v>2261630.712453961</x:v>
      </x:c>
      <x:c r="AE43" s="47">
        <x:f>MIN($AD43,$R43)</x:f>
        <x:v>2261630.712453961</x:v>
      </x:c>
      <x:c r="AF43" s="47">
        <x:f>$R43-$AE43</x:f>
        <x:v>28464122.63464757</x:v>
      </x:c>
      <x:c r="AG43" s="47">
        <x:f>MIN(MAX(0,$AD43-$AE43),$W43)</x:f>
        <x:v>0</x:v>
      </x:c>
      <x:c r="AH43" s="47">
        <x:f>$W43-$AG43</x:f>
        <x:v>15000000</x:v>
      </x:c>
      <x:c r="AI43" s="47">
        <x:f>IF($B$18=1,0,$AB43) + MAX(0,$AD43-$AE43-$AG43)</x:f>
        <x:v>0</x:v>
      </x:c>
      <x:c r="AJ43" s="47">
        <x:f>($E43+$F43)-($I43+$T43+$Y43+$AE43+$AG43+$AI43+$AA43)</x:f>
        <x:v>-4.656612873077393e-10</x:v>
      </x:c>
    </x:row>
    <x:row r="44">
      <x:c r="A44" s="46" t="n">
        <x:v>24</x:v>
      </x:c>
      <x:c r="B44" s="47">
        <x:f>IF($A44&lt;=Inputs!$C$6+Inputs!$C$11,Cashflow_Asset!$E27,0)</x:f>
        <x:v>532738.0024619836</x:v>
      </x:c>
      <x:c r="C44" s="47">
        <x:f>IF($A44&lt;=Inputs!$C$6,Cashflow_Asset!$F27+Cashflow_Asset!$G27,0)</x:f>
        <x:v>1956994.1346889986</x:v>
      </x:c>
      <x:c r="D44" s="47">
        <x:f>IF($A44&lt;=Inputs!$C$6+Inputs!$C$11,Cashflow_Asset!$I27,0)</x:f>
        <x:v>64695.08221406862</x:v>
      </x:c>
      <x:c r="E44" s="47">
        <x:f>$B44+$C44+$D44</x:f>
        <x:v>2554427.219365051</x:v>
      </x:c>
      <x:c r="F44" s="47">
        <x:f>$AA43</x:f>
        <x:v>1000000</x:v>
      </x:c>
      <x:c r="G44" s="47">
        <x:f>$E44+$F44</x:f>
        <x:v>3554427.219365051</x:v>
      </x:c>
      <x:c r="H44" s="47">
        <x:f>IF($A44&lt;=Inputs!$C$6+Inputs!$C$11,Cashflow_Asset!$K27,0)</x:f>
        <x:v>44394.83353849864</x:v>
      </x:c>
      <x:c r="I44" s="47">
        <x:f>MIN($H44,$B44+$F44)</x:f>
        <x:v>44394.83353849864</x:v>
      </x:c>
      <x:c r="J44" s="47">
        <x:f>MAX(0,$B44-$I44)</x:f>
        <x:v>488343.168923485</x:v>
      </x:c>
      <x:c r="K44" s="47">
        <x:f>MAX(0,$F44-MAX(0,$I44-$B44))</x:f>
        <x:v>1000000</x:v>
      </x:c>
      <x:c r="L44" s="47">
        <x:f>IF($A44&lt;=Inputs!$C$6,Cashflow_Asset!$H27*Inputs!$C$10,0)</x:f>
        <x:v>78054.35891970473</x:v>
      </x:c>
      <x:c r="M44" s="47">
        <x:f>$O43</x:f>
        <x:v>3340700.535414749</x:v>
      </x:c>
      <x:c r="N44" s="47">
        <x:f>MIN($L44,$M44)</x:f>
        <x:v>78054.35891970473</x:v>
      </x:c>
      <x:c r="O44" s="47">
        <x:f>$M44-$N44</x:f>
        <x:v>3262646.176495044</x:v>
      </x:c>
      <x:c r="P44" s="47">
        <x:f>$AF43</x:f>
        <x:v>28464122.63464757</x:v>
      </x:c>
      <x:c r="Q44" s="47">
        <x:f>MIN(MAX(0,$L44-$N44-$V44),$P44)</x:f>
        <x:v>0</x:v>
      </x:c>
      <x:c r="R44" s="47">
        <x:f>$P44-$Q44</x:f>
        <x:v>28464122.63464757</x:v>
      </x:c>
      <x:c r="S44" s="47">
        <x:f>$R44*Inputs!$C$18/12</x:f>
        <x:v>130460.56207546803</x:v>
      </x:c>
      <x:c r="T44" s="47">
        <x:f>MIN($S44,$J44+$K44)</x:f>
        <x:v>130460.56207546803</x:v>
      </x:c>
      <x:c r="U44" s="47">
        <x:f>$AH43</x:f>
        <x:v>15000000</x:v>
      </x:c>
      <x:c r="V44" s="47">
        <x:f>MIN(MAX(0,$L44-$N44),$U44)</x:f>
        <x:v>0</x:v>
      </x:c>
      <x:c r="W44" s="47">
        <x:f>$U44-$V44</x:f>
        <x:v>15000000</x:v>
      </x:c>
      <x:c r="X44" s="47">
        <x:f>$W44*Inputs!$C$19/12</x:f>
        <x:v>118750.00000000001</x:v>
      </x:c>
      <x:c r="Y44" s="47">
        <x:f>MIN($X44,MAX(0,$J44-$T44) + ($K44-MAX(0,$T44-$J44)))</x:f>
        <x:v>118750.00000000001</x:v>
      </x:c>
      <x:c r="Z44" s="47">
        <x:f>MIN(MAX(0,$B$17 - (($K44-MAX(0,$T44-$J44)) - MAX(0,$Y44-MAX(0,$J44-$T44)))), MAX(0, MAX(0,$J44-$T44) - $Y44))</x:f>
        <x:v>0</x:v>
      </x:c>
      <x:c r="AA44" s="47">
        <x:f>(($K44-MAX(0,$T44-$J44)) - MAX(0,$Y44-MAX(0,$J44-$T44))) + $Z44</x:f>
        <x:v>1000000</x:v>
      </x:c>
      <x:c r="AB44" s="47">
        <x:f>MAX(0,MAX(0,$J44-$T44)-$Y44)-$Z44</x:f>
        <x:v>239132.60684801696</x:v>
      </x:c>
      <x:c r="AC44" s="47">
        <x:f>IF($B$18=1,$AB44,0)</x:f>
        <x:v>239132.60684801696</x:v>
      </x:c>
      <x:c r="AD44" s="47">
        <x:f>$C44+$D44+$AC44</x:f>
        <x:v>2260821.823751084</x:v>
      </x:c>
      <x:c r="AE44" s="47">
        <x:f>MIN($AD44,$R44)</x:f>
        <x:v>2260821.823751084</x:v>
      </x:c>
      <x:c r="AF44" s="47">
        <x:f>$R44-$AE44</x:f>
        <x:v>26203300.810896486</x:v>
      </x:c>
      <x:c r="AG44" s="47">
        <x:f>MIN(MAX(0,$AD44-$AE44),$W44)</x:f>
        <x:v>0</x:v>
      </x:c>
      <x:c r="AH44" s="47">
        <x:f>$W44-$AG44</x:f>
        <x:v>15000000</x:v>
      </x:c>
      <x:c r="AI44" s="47">
        <x:f>IF($B$18=1,0,$AB44) + MAX(0,$AD44-$AE44-$AG44)</x:f>
        <x:v>0</x:v>
      </x:c>
      <x:c r="AJ44" s="47">
        <x:f>($E44+$F44)-($I44+$T44+$Y44+$AE44+$AG44+$AI44+$AA44)</x:f>
        <x:v>4.656612873077393e-10</x:v>
      </x:c>
    </x:row>
    <x:row r="45">
      <x:c r="A45" s="46" t="n">
        <x:v>25</x:v>
      </x:c>
      <x:c r="B45" s="47">
        <x:f>IF($A45&lt;=Inputs!$C$6+Inputs!$C$11,Cashflow_Asset!$E28,0)</x:f>
        <x:v>511867.15513309854</x:v>
      </x:c>
      <x:c r="C45" s="47">
        <x:f>IF($A45&lt;=Inputs!$C$6,Cashflow_Asset!$F28+Cashflow_Asset!$G28,0)</x:f>
        <x:v>1967023.7394199127</x:v>
      </x:c>
      <x:c r="D45" s="47">
        <x:f>IF($A45&lt;=Inputs!$C$6+Inputs!$C$11,Cashflow_Asset!$I28,0)</x:f>
        <x:v>62597.15529167442</x:v>
      </x:c>
      <x:c r="E45" s="47">
        <x:f>$B45+$C45+$D45</x:f>
        <x:v>2541488.0498446855</x:v>
      </x:c>
      <x:c r="F45" s="47">
        <x:f>$AA44</x:f>
        <x:v>1000000</x:v>
      </x:c>
      <x:c r="G45" s="47">
        <x:f>$E45+$F45</x:f>
        <x:v>3541488.0498446855</x:v>
      </x:c>
      <x:c r="H45" s="47">
        <x:f>IF($A45&lt;=Inputs!$C$6+Inputs!$C$11,Cashflow_Asset!$K28,0)</x:f>
        <x:v>42655.596261091545</x:v>
      </x:c>
      <x:c r="I45" s="47">
        <x:f>MIN($H45,$B45+$F45)</x:f>
        <x:v>42655.596261091545</x:v>
      </x:c>
      <x:c r="J45" s="47">
        <x:f>MAX(0,$B45-$I45)</x:f>
        <x:v>469211.558872007</x:v>
      </x:c>
      <x:c r="K45" s="47">
        <x:f>MAX(0,$F45-MAX(0,$I45-$B45))</x:f>
        <x:v>1000000</x:v>
      </x:c>
      <x:c r="L45" s="47">
        <x:f>IF($A45&lt;=Inputs!$C$6,Cashflow_Asset!$H28*Inputs!$C$10,0)</x:f>
        <x:v>74864.58684292123</x:v>
      </x:c>
      <x:c r="M45" s="47">
        <x:f>$O44</x:f>
        <x:v>3262646.176495044</x:v>
      </x:c>
      <x:c r="N45" s="47">
        <x:f>MIN($L45,$M45)</x:f>
        <x:v>74864.58684292123</x:v>
      </x:c>
      <x:c r="O45" s="47">
        <x:f>$M45-$N45</x:f>
        <x:v>3187781.589652123</x:v>
      </x:c>
      <x:c r="P45" s="47">
        <x:f>$AF44</x:f>
        <x:v>26203300.810896486</x:v>
      </x:c>
      <x:c r="Q45" s="47">
        <x:f>MIN(MAX(0,$L45-$N45-$V45),$P45)</x:f>
        <x:v>0</x:v>
      </x:c>
      <x:c r="R45" s="47">
        <x:f>$P45-$Q45</x:f>
        <x:v>26203300.810896486</x:v>
      </x:c>
      <x:c r="S45" s="47">
        <x:f>$R45*Inputs!$C$18/12</x:f>
        <x:v>120098.46204994223</x:v>
      </x:c>
      <x:c r="T45" s="47">
        <x:f>MIN($S45,$J45+$K45)</x:f>
        <x:v>120098.46204994223</x:v>
      </x:c>
      <x:c r="U45" s="47">
        <x:f>$AH44</x:f>
        <x:v>15000000</x:v>
      </x:c>
      <x:c r="V45" s="47">
        <x:f>MIN(MAX(0,$L45-$N45),$U45)</x:f>
        <x:v>0</x:v>
      </x:c>
      <x:c r="W45" s="47">
        <x:f>$U45-$V45</x:f>
        <x:v>15000000</x:v>
      </x:c>
      <x:c r="X45" s="47">
        <x:f>$W45*Inputs!$C$19/12</x:f>
        <x:v>118750.00000000001</x:v>
      </x:c>
      <x:c r="Y45" s="47">
        <x:f>MIN($X45,MAX(0,$J45-$T45) + ($K45-MAX(0,$T45-$J45)))</x:f>
        <x:v>118750.00000000001</x:v>
      </x:c>
      <x:c r="Z45" s="47">
        <x:f>MIN(MAX(0,$B$17 - (($K45-MAX(0,$T45-$J45)) - MAX(0,$Y45-MAX(0,$J45-$T45)))), MAX(0, MAX(0,$J45-$T45) - $Y45))</x:f>
        <x:v>0</x:v>
      </x:c>
      <x:c r="AA45" s="47">
        <x:f>(($K45-MAX(0,$T45-$J45)) - MAX(0,$Y45-MAX(0,$J45-$T45))) + $Z45</x:f>
        <x:v>1000000</x:v>
      </x:c>
      <x:c r="AB45" s="47">
        <x:f>MAX(0,MAX(0,$J45-$T45)-$Y45)-$Z45</x:f>
        <x:v>230363.09682206478</x:v>
      </x:c>
      <x:c r="AC45" s="47">
        <x:f>IF($B$18=1,$AB45,0)</x:f>
        <x:v>230363.09682206478</x:v>
      </x:c>
      <x:c r="AD45" s="47">
        <x:f>$C45+$D45+$AC45</x:f>
        <x:v>2259983.991533652</x:v>
      </x:c>
      <x:c r="AE45" s="47">
        <x:f>MIN($AD45,$R45)</x:f>
        <x:v>2259983.991533652</x:v>
      </x:c>
      <x:c r="AF45" s="47">
        <x:f>$R45-$AE45</x:f>
        <x:v>23943316.819362834</x:v>
      </x:c>
      <x:c r="AG45" s="47">
        <x:f>MIN(MAX(0,$AD45-$AE45),$W45)</x:f>
        <x:v>0</x:v>
      </x:c>
      <x:c r="AH45" s="47">
        <x:f>$W45-$AG45</x:f>
        <x:v>15000000</x:v>
      </x:c>
      <x:c r="AI45" s="47">
        <x:f>IF($B$18=1,0,$AB45) + MAX(0,$AD45-$AE45-$AG45)</x:f>
        <x:v>0</x:v>
      </x:c>
      <x:c r="AJ45" s="47">
        <x:f>($E45+$F45)-($I45+$T45+$Y45+$AE45+$AG45+$AI45+$AA45)</x:f>
        <x:v>-4.656612873077393e-10</x:v>
      </x:c>
    </x:row>
    <x:row r="46">
      <x:c r="A46" s="46" t="n">
        <x:v>26</x:v>
      </x:c>
      <x:c r="B46" s="47">
        <x:f>IF($A46&lt;=Inputs!$C$6+Inputs!$C$11,Cashflow_Asset!$E29,0)</x:f>
        <x:v>490949.17462485074</x:v>
      </x:c>
      <x:c r="C46" s="47">
        <x:f>IF($A46&lt;=Inputs!$C$6,Cashflow_Asset!$F29+Cashflow_Asset!$G29,0)</x:f>
        <x:v>1977075.9942690167</x:v>
      </x:c>
      <x:c r="D46" s="47">
        <x:f>IF($A46&lt;=Inputs!$C$6+Inputs!$C$11,Cashflow_Asset!$I29,0)</x:f>
        <x:v>60494.49056614435</x:v>
      </x:c>
      <x:c r="E46" s="47">
        <x:f>$B46+$C46+$D46</x:f>
        <x:v>2528519.6594600114</x:v>
      </x:c>
      <x:c r="F46" s="47">
        <x:f>$AA45</x:f>
        <x:v>1000000</x:v>
      </x:c>
      <x:c r="G46" s="47">
        <x:f>$E46+$F46</x:f>
        <x:v>3528519.6594600114</x:v>
      </x:c>
      <x:c r="H46" s="47">
        <x:f>IF($A46&lt;=Inputs!$C$6+Inputs!$C$11,Cashflow_Asset!$K29,0)</x:f>
        <x:v>40912.43121873756</x:v>
      </x:c>
      <x:c r="I46" s="47">
        <x:f>MIN($H46,$B46+$F46)</x:f>
        <x:v>40912.43121873756</x:v>
      </x:c>
      <x:c r="J46" s="47">
        <x:f>MAX(0,$B46-$I46)</x:f>
        <x:v>450036.7434061132</x:v>
      </x:c>
      <x:c r="K46" s="47">
        <x:f>MAX(0,$F46-MAX(0,$I46-$B46))</x:f>
        <x:v>1000000</x:v>
      </x:c>
      <x:c r="L46" s="47">
        <x:f>IF($A46&lt;=Inputs!$C$6,Cashflow_Asset!$H29*Inputs!$C$10,0)</x:f>
        <x:v>71667.61122058675</x:v>
      </x:c>
      <x:c r="M46" s="47">
        <x:f>$O45</x:f>
        <x:v>3187781.589652123</x:v>
      </x:c>
      <x:c r="N46" s="47">
        <x:f>MIN($L46,$M46)</x:f>
        <x:v>71667.61122058675</x:v>
      </x:c>
      <x:c r="O46" s="47">
        <x:f>$M46-$N46</x:f>
        <x:v>3116113.9784315364</x:v>
      </x:c>
      <x:c r="P46" s="47">
        <x:f>$AF45</x:f>
        <x:v>23943316.819362834</x:v>
      </x:c>
      <x:c r="Q46" s="47">
        <x:f>MIN(MAX(0,$L46-$N46-$V46),$P46)</x:f>
        <x:v>0</x:v>
      </x:c>
      <x:c r="R46" s="47">
        <x:f>$P46-$Q46</x:f>
        <x:v>23943316.819362834</x:v>
      </x:c>
      <x:c r="S46" s="47">
        <x:f>$R46*Inputs!$C$18/12</x:f>
        <x:v>109740.20208874633</x:v>
      </x:c>
      <x:c r="T46" s="47">
        <x:f>MIN($S46,$J46+$K46)</x:f>
        <x:v>109740.20208874633</x:v>
      </x:c>
      <x:c r="U46" s="47">
        <x:f>$AH45</x:f>
        <x:v>15000000</x:v>
      </x:c>
      <x:c r="V46" s="47">
        <x:f>MIN(MAX(0,$L46-$N46),$U46)</x:f>
        <x:v>0</x:v>
      </x:c>
      <x:c r="W46" s="47">
        <x:f>$U46-$V46</x:f>
        <x:v>15000000</x:v>
      </x:c>
      <x:c r="X46" s="47">
        <x:f>$W46*Inputs!$C$19/12</x:f>
        <x:v>118750.00000000001</x:v>
      </x:c>
      <x:c r="Y46" s="47">
        <x:f>MIN($X46,MAX(0,$J46-$T46) + ($K46-MAX(0,$T46-$J46)))</x:f>
        <x:v>118750.00000000001</x:v>
      </x:c>
      <x:c r="Z46" s="47">
        <x:f>MIN(MAX(0,$B$17 - (($K46-MAX(0,$T46-$J46)) - MAX(0,$Y46-MAX(0,$J46-$T46)))), MAX(0, MAX(0,$J46-$T46) - $Y46))</x:f>
        <x:v>0</x:v>
      </x:c>
      <x:c r="AA46" s="47">
        <x:f>(($K46-MAX(0,$T46-$J46)) - MAX(0,$Y46-MAX(0,$J46-$T46))) + $Z46</x:f>
        <x:v>1000000</x:v>
      </x:c>
      <x:c r="AB46" s="47">
        <x:f>MAX(0,MAX(0,$J46-$T46)-$Y46)-$Z46</x:f>
        <x:v>221546.54131736688</x:v>
      </x:c>
      <x:c r="AC46" s="47">
        <x:f>IF($B$18=1,$AB46,0)</x:f>
        <x:v>221546.54131736688</x:v>
      </x:c>
      <x:c r="AD46" s="47">
        <x:f>$C46+$D46+$AC46</x:f>
        <x:v>2259117.026152528</x:v>
      </x:c>
      <x:c r="AE46" s="47">
        <x:f>MIN($AD46,$R46)</x:f>
        <x:v>2259117.026152528</x:v>
      </x:c>
      <x:c r="AF46" s="47">
        <x:f>$R46-$AE46</x:f>
        <x:v>21684199.793210305</x:v>
      </x:c>
      <x:c r="AG46" s="47">
        <x:f>MIN(MAX(0,$AD46-$AE46),$W46)</x:f>
        <x:v>0</x:v>
      </x:c>
      <x:c r="AH46" s="47">
        <x:f>$W46-$AG46</x:f>
        <x:v>15000000</x:v>
      </x:c>
      <x:c r="AI46" s="47">
        <x:f>IF($B$18=1,0,$AB46) + MAX(0,$AD46-$AE46-$AG46)</x:f>
        <x:v>0</x:v>
      </x:c>
      <x:c r="AJ46" s="47">
        <x:f>($E46+$F46)-($I46+$T46+$Y46+$AE46+$AG46+$AI46+$AA46)</x:f>
        <x:v>-4.656612873077393e-10</x:v>
      </x:c>
    </x:row>
    <x:row r="47">
      <x:c r="A47" s="46" t="n">
        <x:v>27</x:v>
      </x:c>
      <x:c r="B47" s="47">
        <x:f>IF($A47&lt;=Inputs!$C$6+Inputs!$C$11,Cashflow_Asset!$E30,0)</x:f>
        <x:v>469983.95449515077</x:v>
      </x:c>
      <x:c r="C47" s="47">
        <x:f>IF($A47&lt;=Inputs!$C$6,Cashflow_Asset!$F30+Cashflow_Asset!$G30,0)</x:f>
        <x:v>1987150.9503876637</x:v>
      </x:c>
      <x:c r="D47" s="47">
        <x:f>IF($A47&lt;=Inputs!$C$6+Inputs!$C$11,Cashflow_Asset!$I30,0)</x:f>
        <x:v>58387.07733797392</x:v>
      </x:c>
      <x:c r="E47" s="47">
        <x:f>$B47+$C47+$D47</x:f>
        <x:v>2515521.982220788</x:v>
      </x:c>
      <x:c r="F47" s="47">
        <x:f>$AA46</x:f>
        <x:v>1000000</x:v>
      </x:c>
      <x:c r="G47" s="47">
        <x:f>$E47+$F47</x:f>
        <x:v>3515521.982220788</x:v>
      </x:c>
      <x:c r="H47" s="47">
        <x:f>IF($A47&lt;=Inputs!$C$6+Inputs!$C$11,Cashflow_Asset!$K30,0)</x:f>
        <x:v>39165.32954126257</x:v>
      </x:c>
      <x:c r="I47" s="47">
        <x:f>MIN($H47,$B47+$F47)</x:f>
        <x:v>39165.32954126257</x:v>
      </x:c>
      <x:c r="J47" s="47">
        <x:f>MAX(0,$B47-$I47)</x:f>
        <x:v>430818.6249538882</x:v>
      </x:c>
      <x:c r="K47" s="47">
        <x:f>MAX(0,$F47-MAX(0,$I47-$B47))</x:f>
        <x:v>1000000</x:v>
      </x:c>
      <x:c r="L47" s="47">
        <x:f>IF($A47&lt;=Inputs!$C$6,Cashflow_Asset!$H30*Inputs!$C$10,0)</x:f>
        <x:v>68463.4157847463</x:v>
      </x:c>
      <x:c r="M47" s="47">
        <x:f>$O46</x:f>
        <x:v>3116113.9784315364</x:v>
      </x:c>
      <x:c r="N47" s="47">
        <x:f>MIN($L47,$M47)</x:f>
        <x:v>68463.4157847463</x:v>
      </x:c>
      <x:c r="O47" s="47">
        <x:f>$M47-$N47</x:f>
        <x:v>3047650.56264679</x:v>
      </x:c>
      <x:c r="P47" s="47">
        <x:f>$AF46</x:f>
        <x:v>21684199.793210305</x:v>
      </x:c>
      <x:c r="Q47" s="47">
        <x:f>MIN(MAX(0,$L47-$N47-$V47),$P47)</x:f>
        <x:v>0</x:v>
      </x:c>
      <x:c r="R47" s="47">
        <x:f>$P47-$Q47</x:f>
        <x:v>21684199.793210305</x:v>
      </x:c>
      <x:c r="S47" s="47">
        <x:f>$R47*Inputs!$C$18/12</x:f>
        <x:v>99385.91571888057</x:v>
      </x:c>
      <x:c r="T47" s="47">
        <x:f>MIN($S47,$J47+$K47)</x:f>
        <x:v>99385.91571888057</x:v>
      </x:c>
      <x:c r="U47" s="47">
        <x:f>$AH46</x:f>
        <x:v>15000000</x:v>
      </x:c>
      <x:c r="V47" s="47">
        <x:f>MIN(MAX(0,$L47-$N47),$U47)</x:f>
        <x:v>0</x:v>
      </x:c>
      <x:c r="W47" s="47">
        <x:f>$U47-$V47</x:f>
        <x:v>15000000</x:v>
      </x:c>
      <x:c r="X47" s="47">
        <x:f>$W47*Inputs!$C$19/12</x:f>
        <x:v>118750.00000000001</x:v>
      </x:c>
      <x:c r="Y47" s="47">
        <x:f>MIN($X47,MAX(0,$J47-$T47) + ($K47-MAX(0,$T47-$J47)))</x:f>
        <x:v>118750.00000000001</x:v>
      </x:c>
      <x:c r="Z47" s="47">
        <x:f>MIN(MAX(0,$B$17 - (($K47-MAX(0,$T47-$J47)) - MAX(0,$Y47-MAX(0,$J47-$T47)))), MAX(0, MAX(0,$J47-$T47) - $Y47))</x:f>
        <x:v>0</x:v>
      </x:c>
      <x:c r="AA47" s="47">
        <x:f>(($K47-MAX(0,$T47-$J47)) - MAX(0,$Y47-MAX(0,$J47-$T47))) + $Z47</x:f>
        <x:v>1000000</x:v>
      </x:c>
      <x:c r="AB47" s="47">
        <x:f>MAX(0,MAX(0,$J47-$T47)-$Y47)-$Z47</x:f>
        <x:v>212682.70923500764</x:v>
      </x:c>
      <x:c r="AC47" s="47">
        <x:f>IF($B$18=1,$AB47,0)</x:f>
        <x:v>212682.70923500764</x:v>
      </x:c>
      <x:c r="AD47" s="47">
        <x:f>$C47+$D47+$AC47</x:f>
        <x:v>2258220.7369606453</x:v>
      </x:c>
      <x:c r="AE47" s="47">
        <x:f>MIN($AD47,$R47)</x:f>
        <x:v>2258220.7369606453</x:v>
      </x:c>
      <x:c r="AF47" s="47">
        <x:f>$R47-$AE47</x:f>
        <x:v>19425979.05624966</x:v>
      </x:c>
      <x:c r="AG47" s="47">
        <x:f>MIN(MAX(0,$AD47-$AE47),$W47)</x:f>
        <x:v>0</x:v>
      </x:c>
      <x:c r="AH47" s="47">
        <x:f>$W47-$AG47</x:f>
        <x:v>15000000</x:v>
      </x:c>
      <x:c r="AI47" s="47">
        <x:f>IF($B$18=1,0,$AB47) + MAX(0,$AD47-$AE47-$AG47)</x:f>
        <x:v>0</x:v>
      </x:c>
      <x:c r="AJ47" s="47">
        <x:f>($E47+$F47)-($I47+$T47+$Y47+$AE47+$AG47+$AI47+$AA47)</x:f>
        <x:v>-4.656612873077393e-10</x:v>
      </x:c>
    </x:row>
    <x:row r="48">
      <x:c r="A48" s="46" t="n">
        <x:v>28</x:v>
      </x:c>
      <x:c r="B48" s="47">
        <x:f>IF($A48&lt;=Inputs!$C$6+Inputs!$C$11,Cashflow_Asset!$E31,0)</x:f>
        <x:v>448971.3880615284</x:v>
      </x:c>
      <x:c r="C48" s="47">
        <x:f>IF($A48&lt;=Inputs!$C$6,Cashflow_Asset!$F31+Cashflow_Asset!$G31,0)</x:f>
        <x:v>1997248.6590427232</x:v>
      </x:c>
      <x:c r="D48" s="47">
        <x:f>IF($A48&lt;=Inputs!$C$6+Inputs!$C$11,Cashflow_Asset!$I31,0)</x:f>
        <x:v>56274.904883495605</x:v>
      </x:c>
      <x:c r="E48" s="47">
        <x:f>$B48+$C48+$D48</x:f>
        <x:v>2502494.951987747</x:v>
      </x:c>
      <x:c r="F48" s="47">
        <x:f>$AA47</x:f>
        <x:v>1000000</x:v>
      </x:c>
      <x:c r="G48" s="47">
        <x:f>$E48+$F48</x:f>
        <x:v>3502494.951987747</x:v>
      </x:c>
      <x:c r="H48" s="47">
        <x:f>IF($A48&lt;=Inputs!$C$6+Inputs!$C$11,Cashflow_Asset!$K31,0)</x:f>
        <x:v>37414.282338460696</x:v>
      </x:c>
      <x:c r="I48" s="47">
        <x:f>MIN($H48,$B48+$F48)</x:f>
        <x:v>37414.282338460696</x:v>
      </x:c>
      <x:c r="J48" s="47">
        <x:f>MAX(0,$B48-$I48)</x:f>
        <x:v>411557.1057230677</x:v>
      </x:c>
      <x:c r="K48" s="47">
        <x:f>MAX(0,$F48-MAX(0,$I48-$B48))</x:f>
        <x:v>1000000</x:v>
      </x:c>
      <x:c r="L48" s="47">
        <x:f>IF($A48&lt;=Inputs!$C$6,Cashflow_Asset!$H31*Inputs!$C$10,0)</x:f>
        <x:v>65251.9842307066</x:v>
      </x:c>
      <x:c r="M48" s="47">
        <x:f>$O47</x:f>
        <x:v>3047650.56264679</x:v>
      </x:c>
      <x:c r="N48" s="47">
        <x:f>MIN($L48,$M48)</x:f>
        <x:v>65251.9842307066</x:v>
      </x:c>
      <x:c r="O48" s="47">
        <x:f>$M48-$N48</x:f>
        <x:v>2982398.5784160835</x:v>
      </x:c>
      <x:c r="P48" s="47">
        <x:f>$AF47</x:f>
        <x:v>19425979.05624966</x:v>
      </x:c>
      <x:c r="Q48" s="47">
        <x:f>MIN(MAX(0,$L48-$N48-$V48),$P48)</x:f>
        <x:v>0</x:v>
      </x:c>
      <x:c r="R48" s="47">
        <x:f>$P48-$Q48</x:f>
        <x:v>19425979.05624966</x:v>
      </x:c>
      <x:c r="S48" s="47">
        <x:f>$R48*Inputs!$C$18/12</x:f>
        <x:v>89035.73734114427</x:v>
      </x:c>
      <x:c r="T48" s="47">
        <x:f>MIN($S48,$J48+$K48)</x:f>
        <x:v>89035.73734114427</x:v>
      </x:c>
      <x:c r="U48" s="47">
        <x:f>$AH47</x:f>
        <x:v>15000000</x:v>
      </x:c>
      <x:c r="V48" s="47">
        <x:f>MIN(MAX(0,$L48-$N48),$U48)</x:f>
        <x:v>0</x:v>
      </x:c>
      <x:c r="W48" s="47">
        <x:f>$U48-$V48</x:f>
        <x:v>15000000</x:v>
      </x:c>
      <x:c r="X48" s="47">
        <x:f>$W48*Inputs!$C$19/12</x:f>
        <x:v>118750.00000000001</x:v>
      </x:c>
      <x:c r="Y48" s="47">
        <x:f>MIN($X48,MAX(0,$J48-$T48) + ($K48-MAX(0,$T48-$J48)))</x:f>
        <x:v>118750.00000000001</x:v>
      </x:c>
      <x:c r="Z48" s="47">
        <x:f>MIN(MAX(0,$B$17 - (($K48-MAX(0,$T48-$J48)) - MAX(0,$Y48-MAX(0,$J48-$T48)))), MAX(0, MAX(0,$J48-$T48) - $Y48))</x:f>
        <x:v>0</x:v>
      </x:c>
      <x:c r="AA48" s="47">
        <x:f>(($K48-MAX(0,$T48-$J48)) - MAX(0,$Y48-MAX(0,$J48-$T48))) + $Z48</x:f>
        <x:v>1000000</x:v>
      </x:c>
      <x:c r="AB48" s="47">
        <x:f>MAX(0,MAX(0,$J48-$T48)-$Y48)-$Z48</x:f>
        <x:v>203771.3683819234</x:v>
      </x:c>
      <x:c r="AC48" s="47">
        <x:f>IF($B$18=1,$AB48,0)</x:f>
        <x:v>203771.3683819234</x:v>
      </x:c>
      <x:c r="AD48" s="47">
        <x:f>$C48+$D48+$AC48</x:f>
        <x:v>2257294.932308142</x:v>
      </x:c>
      <x:c r="AE48" s="47">
        <x:f>MIN($AD48,$R48)</x:f>
        <x:v>2257294.932308142</x:v>
      </x:c>
      <x:c r="AF48" s="47">
        <x:f>$R48-$AE48</x:f>
        <x:v>17168684.12394152</x:v>
      </x:c>
      <x:c r="AG48" s="47">
        <x:f>MIN(MAX(0,$AD48-$AE48),$W48)</x:f>
        <x:v>0</x:v>
      </x:c>
      <x:c r="AH48" s="47">
        <x:f>$W48-$AG48</x:f>
        <x:v>15000000</x:v>
      </x:c>
      <x:c r="AI48" s="47">
        <x:f>IF($B$18=1,0,$AB48) + MAX(0,$AD48-$AE48-$AG48)</x:f>
        <x:v>0</x:v>
      </x:c>
      <x:c r="AJ48" s="47">
        <x:f>($E48+$F48)-($I48+$T48+$Y48+$AE48+$AG48+$AI48+$AA48)</x:f>
        <x:v>0</x:v>
      </x:c>
    </x:row>
    <x:row r="49">
      <x:c r="A49" s="46" t="n">
        <x:v>29</x:v>
      </x:c>
      <x:c r="B49" s="47">
        <x:f>IF($A49&lt;=Inputs!$C$6+Inputs!$C$11,Cashflow_Asset!$E32,0)</x:f>
        <x:v>427911.3684005894</x:v>
      </x:c>
      <x:c r="C49" s="47">
        <x:f>IF($A49&lt;=Inputs!$C$6,Cashflow_Asset!$F32+Cashflow_Asset!$G32,0)</x:f>
        <x:v>2007369.1716168423</x:v>
      </x:c>
      <x:c r="D49" s="47">
        <x:f>IF($A49&lt;=Inputs!$C$6+Inputs!$C$11,Cashflow_Asset!$I32,0)</x:f>
        <x:v>54157.96245482443</x:v>
      </x:c>
      <x:c r="E49" s="47">
        <x:f>$B49+$C49+$D49</x:f>
        <x:v>2489438.502472256</x:v>
      </x:c>
      <x:c r="F49" s="47">
        <x:f>$AA48</x:f>
        <x:v>1000000</x:v>
      </x:c>
      <x:c r="G49" s="47">
        <x:f>$E49+$F49</x:f>
        <x:v>3489438.502472256</x:v>
      </x:c>
      <x:c r="H49" s="47">
        <x:f>IF($A49&lt;=Inputs!$C$6+Inputs!$C$11,Cashflow_Asset!$K32,0)</x:f>
        <x:v>35659.280700049116</x:v>
      </x:c>
      <x:c r="I49" s="47">
        <x:f>MIN($H49,$B49+$F49)</x:f>
        <x:v>35659.280700049116</x:v>
      </x:c>
      <x:c r="J49" s="47">
        <x:f>MAX(0,$B49-$I49)</x:f>
        <x:v>392252.08770054026</x:v>
      </x:c>
      <x:c r="K49" s="47">
        <x:f>MAX(0,$F49-MAX(0,$I49-$B49))</x:f>
        <x:v>1000000</x:v>
      </x:c>
      <x:c r="L49" s="47">
        <x:f>IF($A49&lt;=Inputs!$C$6,Cashflow_Asset!$H32*Inputs!$C$10,0)</x:f>
        <x:v>62033.300216953</x:v>
      </x:c>
      <x:c r="M49" s="47">
        <x:f>$O48</x:f>
        <x:v>2982398.5784160835</x:v>
      </x:c>
      <x:c r="N49" s="47">
        <x:f>MIN($L49,$M49)</x:f>
        <x:v>62033.300216953</x:v>
      </x:c>
      <x:c r="O49" s="47">
        <x:f>$M49-$N49</x:f>
        <x:v>2920365.2781991307</x:v>
      </x:c>
      <x:c r="P49" s="47">
        <x:f>$AF48</x:f>
        <x:v>17168684.12394152</x:v>
      </x:c>
      <x:c r="Q49" s="47">
        <x:f>MIN(MAX(0,$L49-$N49-$V49),$P49)</x:f>
        <x:v>0</x:v>
      </x:c>
      <x:c r="R49" s="47">
        <x:f>$P49-$Q49</x:f>
        <x:v>17168684.12394152</x:v>
      </x:c>
      <x:c r="S49" s="47">
        <x:f>$R49*Inputs!$C$18/12</x:f>
        <x:v>78689.80223473196</x:v>
      </x:c>
      <x:c r="T49" s="47">
        <x:f>MIN($S49,$J49+$K49)</x:f>
        <x:v>78689.80223473196</x:v>
      </x:c>
      <x:c r="U49" s="47">
        <x:f>$AH48</x:f>
        <x:v>15000000</x:v>
      </x:c>
      <x:c r="V49" s="47">
        <x:f>MIN(MAX(0,$L49-$N49),$U49)</x:f>
        <x:v>0</x:v>
      </x:c>
      <x:c r="W49" s="47">
        <x:f>$U49-$V49</x:f>
        <x:v>15000000</x:v>
      </x:c>
      <x:c r="X49" s="47">
        <x:f>$W49*Inputs!$C$19/12</x:f>
        <x:v>118750.00000000001</x:v>
      </x:c>
      <x:c r="Y49" s="47">
        <x:f>MIN($X49,MAX(0,$J49-$T49) + ($K49-MAX(0,$T49-$J49)))</x:f>
        <x:v>118750.00000000001</x:v>
      </x:c>
      <x:c r="Z49" s="47">
        <x:f>MIN(MAX(0,$B$17 - (($K49-MAX(0,$T49-$J49)) - MAX(0,$Y49-MAX(0,$J49-$T49)))), MAX(0, MAX(0,$J49-$T49) - $Y49))</x:f>
        <x:v>0</x:v>
      </x:c>
      <x:c r="AA49" s="47">
        <x:f>(($K49-MAX(0,$T49-$J49)) - MAX(0,$Y49-MAX(0,$J49-$T49))) + $Z49</x:f>
        <x:v>1000000</x:v>
      </x:c>
      <x:c r="AB49" s="47">
        <x:f>MAX(0,MAX(0,$J49-$T49)-$Y49)-$Z49</x:f>
        <x:v>194812.2854658083</x:v>
      </x:c>
      <x:c r="AC49" s="47">
        <x:f>IF($B$18=1,$AB49,0)</x:f>
        <x:v>194812.2854658083</x:v>
      </x:c>
      <x:c r="AD49" s="47">
        <x:f>$C49+$D49+$AC49</x:f>
        <x:v>2256339.419537475</x:v>
      </x:c>
      <x:c r="AE49" s="47">
        <x:f>MIN($AD49,$R49)</x:f>
        <x:v>2256339.419537475</x:v>
      </x:c>
      <x:c r="AF49" s="47">
        <x:f>$R49-$AE49</x:f>
        <x:v>14912344.704404043</x:v>
      </x:c>
      <x:c r="AG49" s="47">
        <x:f>MIN(MAX(0,$AD49-$AE49),$W49)</x:f>
        <x:v>0</x:v>
      </x:c>
      <x:c r="AH49" s="47">
        <x:f>$W49-$AG49</x:f>
        <x:v>15000000</x:v>
      </x:c>
      <x:c r="AI49" s="47">
        <x:f>IF($B$18=1,0,$AB49) + MAX(0,$AD49-$AE49-$AG49)</x:f>
        <x:v>0</x:v>
      </x:c>
      <x:c r="AJ49" s="47">
        <x:f>($E49+$F49)-($I49+$T49+$Y49+$AE49+$AG49+$AI49+$AA49)</x:f>
        <x:v>0</x:v>
      </x:c>
    </x:row>
    <x:row r="50">
      <x:c r="A50" s="46" t="n">
        <x:v>30</x:v>
      </x:c>
      <x:c r="B50" s="47">
        <x:f>IF($A50&lt;=Inputs!$C$6+Inputs!$C$11,Cashflow_Asset!$E33,0)</x:f>
        <x:v>406803.7883474718</x:v>
      </x:c>
      <x:c r="C50" s="47">
        <x:f>IF($A50&lt;=Inputs!$C$6,Cashflow_Asset!$F33+Cashflow_Asset!$G33,0)</x:f>
        <x:v>2017512.5396087067</x:v>
      </x:c>
      <x:c r="D50" s="47">
        <x:f>IF($A50&lt;=Inputs!$C$6+Inputs!$C$11,Cashflow_Asset!$I33,0)</x:f>
        <x:v>52036.23927980315</x:v>
      </x:c>
      <x:c r="E50" s="47">
        <x:f>$B50+$C50+$D50</x:f>
        <x:v>2476352.567235982</x:v>
      </x:c>
      <x:c r="F50" s="47">
        <x:f>$AA49</x:f>
        <x:v>1000000</x:v>
      </x:c>
      <x:c r="G50" s="47">
        <x:f>$E50+$F50</x:f>
        <x:v>3476352.567235982</x:v>
      </x:c>
      <x:c r="H50" s="47">
        <x:f>IF($A50&lt;=Inputs!$C$6+Inputs!$C$11,Cashflow_Asset!$K33,0)</x:f>
        <x:v>33900.31569562265</x:v>
      </x:c>
      <x:c r="I50" s="47">
        <x:f>MIN($H50,$B50+$F50)</x:f>
        <x:v>33900.31569562265</x:v>
      </x:c>
      <x:c r="J50" s="47">
        <x:f>MAX(0,$B50-$I50)</x:f>
        <x:v>372903.47265184915</x:v>
      </x:c>
      <x:c r="K50" s="47">
        <x:f>MAX(0,$F50-MAX(0,$I50-$B50))</x:f>
        <x:v>1000000</x:v>
      </x:c>
      <x:c r="L50" s="47">
        <x:f>IF($A50&lt;=Inputs!$C$6,Cashflow_Asset!$H33*Inputs!$C$10,0)</x:f>
        <x:v>58807.34736506639</x:v>
      </x:c>
      <x:c r="M50" s="47">
        <x:f>$O49</x:f>
        <x:v>2920365.2781991307</x:v>
      </x:c>
      <x:c r="N50" s="47">
        <x:f>MIN($L50,$M50)</x:f>
        <x:v>58807.34736506639</x:v>
      </x:c>
      <x:c r="O50" s="47">
        <x:f>$M50-$N50</x:f>
        <x:v>2861557.9308340643</x:v>
      </x:c>
      <x:c r="P50" s="47">
        <x:f>$AF49</x:f>
        <x:v>14912344.704404043</x:v>
      </x:c>
      <x:c r="Q50" s="47">
        <x:f>MIN(MAX(0,$L50-$N50-$V50),$P50)</x:f>
        <x:v>0</x:v>
      </x:c>
      <x:c r="R50" s="47">
        <x:f>$P50-$Q50</x:f>
        <x:v>14912344.704404043</x:v>
      </x:c>
      <x:c r="S50" s="47">
        <x:f>$R50*Inputs!$C$18/12</x:f>
        <x:v>68348.24656185186</x:v>
      </x:c>
      <x:c r="T50" s="47">
        <x:f>MIN($S50,$J50+$K50)</x:f>
        <x:v>68348.24656185186</x:v>
      </x:c>
      <x:c r="U50" s="47">
        <x:f>$AH49</x:f>
        <x:v>15000000</x:v>
      </x:c>
      <x:c r="V50" s="47">
        <x:f>MIN(MAX(0,$L50-$N50),$U50)</x:f>
        <x:v>0</x:v>
      </x:c>
      <x:c r="W50" s="47">
        <x:f>$U50-$V50</x:f>
        <x:v>15000000</x:v>
      </x:c>
      <x:c r="X50" s="47">
        <x:f>$W50*Inputs!$C$19/12</x:f>
        <x:v>118750.00000000001</x:v>
      </x:c>
      <x:c r="Y50" s="47">
        <x:f>MIN($X50,MAX(0,$J50-$T50) + ($K50-MAX(0,$T50-$J50)))</x:f>
        <x:v>118750.00000000001</x:v>
      </x:c>
      <x:c r="Z50" s="47">
        <x:f>MIN(MAX(0,$B$17 - (($K50-MAX(0,$T50-$J50)) - MAX(0,$Y50-MAX(0,$J50-$T50)))), MAX(0, MAX(0,$J50-$T50) - $Y50))</x:f>
        <x:v>0</x:v>
      </x:c>
      <x:c r="AA50" s="47">
        <x:f>(($K50-MAX(0,$T50-$J50)) - MAX(0,$Y50-MAX(0,$J50-$T50))) + $Z50</x:f>
        <x:v>1000000</x:v>
      </x:c>
      <x:c r="AB50" s="47">
        <x:f>MAX(0,MAX(0,$J50-$T50)-$Y50)-$Z50</x:f>
        <x:v>185805.22608999728</x:v>
      </x:c>
      <x:c r="AC50" s="47">
        <x:f>IF($B$18=1,$AB50,0)</x:f>
        <x:v>185805.22608999728</x:v>
      </x:c>
      <x:c r="AD50" s="47">
        <x:f>$C50+$D50+$AC50</x:f>
        <x:v>2255354.0049785073</x:v>
      </x:c>
      <x:c r="AE50" s="47">
        <x:f>MIN($AD50,$R50)</x:f>
        <x:v>2255354.0049785073</x:v>
      </x:c>
      <x:c r="AF50" s="47">
        <x:f>$R50-$AE50</x:f>
        <x:v>12656990.699425535</x:v>
      </x:c>
      <x:c r="AG50" s="47">
        <x:f>MIN(MAX(0,$AD50-$AE50),$W50)</x:f>
        <x:v>0</x:v>
      </x:c>
      <x:c r="AH50" s="47">
        <x:f>$W50-$AG50</x:f>
        <x:v>15000000</x:v>
      </x:c>
      <x:c r="AI50" s="47">
        <x:f>IF($B$18=1,0,$AB50) + MAX(0,$AD50-$AE50-$AG50)</x:f>
        <x:v>0</x:v>
      </x:c>
      <x:c r="AJ50" s="47">
        <x:f>($E50+$F50)-($I50+$T50+$Y50+$AE50+$AG50+$AI50+$AA50)</x:f>
        <x:v>0</x:v>
      </x:c>
    </x:row>
    <x:row r="51">
      <x:c r="A51" s="46" t="n">
        <x:v>31</x:v>
      </x:c>
      <x:c r="B51" s="47">
        <x:f>IF($A51&lt;=Inputs!$C$6+Inputs!$C$11,Cashflow_Asset!$E34,0)</x:f>
      </x:c>
      <x:c r="C51" s="47">
        <x:f>IF($A51&lt;=Inputs!$C$6,Cashflow_Asset!$F34+Cashflow_Asset!$G34,0)</x:f>
      </x:c>
      <x:c r="D51" s="47">
        <x:f>IF($A51&lt;=Inputs!$C$6+Inputs!$C$11,Cashflow_Asset!$I34,0)</x:f>
      </x:c>
      <x:c r="E51" s="47">
        <x:f>$B51+$C51+$D51</x:f>
      </x:c>
      <x:c r="F51" s="47">
        <x:f>$AA50</x:f>
      </x:c>
      <x:c r="G51" s="47">
        <x:f>$E51+$F51</x:f>
      </x:c>
      <x:c r="H51" s="47">
        <x:f>IF($A51&lt;=Inputs!$C$6+Inputs!$C$11,Cashflow_Asset!$K34,0)</x:f>
      </x:c>
      <x:c r="I51" s="47">
        <x:f>MIN($H51,$B51+$F51)</x:f>
      </x:c>
      <x:c r="J51" s="47">
        <x:f>MAX(0,$B51-$I51)</x:f>
      </x:c>
      <x:c r="K51" s="47">
        <x:f>MAX(0,$F51-MAX(0,$I51-$B51))</x:f>
      </x:c>
      <x:c r="L51" s="47">
        <x:f>IF($A51&lt;=Inputs!$C$6,Cashflow_Asset!$H34*Inputs!$C$10,0)</x:f>
      </x:c>
      <x:c r="M51" s="47">
        <x:f>$O50</x:f>
      </x:c>
      <x:c r="N51" s="47">
        <x:f>MIN($L51,$M51)</x:f>
      </x:c>
      <x:c r="O51" s="47">
        <x:f>$M51-$N51</x:f>
      </x:c>
      <x:c r="P51" s="47">
        <x:f>$AF50</x:f>
      </x:c>
      <x:c r="Q51" s="47">
        <x:f>MIN(MAX(0,$L51-$N51-$V51),$P51)</x:f>
      </x:c>
      <x:c r="R51" s="47">
        <x:f>$P51-$Q51</x:f>
      </x:c>
      <x:c r="S51" s="47">
        <x:f>$R51*Inputs!$C$18/12</x:f>
      </x:c>
      <x:c r="T51" s="47">
        <x:f>MIN($S51,$J51+$K51)</x:f>
      </x:c>
      <x:c r="U51" s="47">
        <x:f>$AH50</x:f>
      </x:c>
      <x:c r="V51" s="47">
        <x:f>MIN(MAX(0,$L51-$N51),$U51)</x:f>
      </x:c>
      <x:c r="W51" s="47">
        <x:f>$U51-$V51</x:f>
      </x:c>
      <x:c r="X51" s="47">
        <x:f>$W51*Inputs!$C$19/12</x:f>
      </x:c>
      <x:c r="Y51" s="47">
        <x:f>MIN($X51,MAX(0,$J51-$T51) + ($K51-MAX(0,$T51-$J51)))</x:f>
      </x:c>
      <x:c r="Z51" s="47">
        <x:f>MIN(MAX(0,$B$17 - (($K51-MAX(0,$T51-$J51)) - MAX(0,$Y51-MAX(0,$J51-$T51)))), MAX(0, MAX(0,$J51-$T51) - $Y51))</x:f>
      </x:c>
      <x:c r="AA51" s="47">
        <x:f>(($K51-MAX(0,$T51-$J51)) - MAX(0,$Y51-MAX(0,$J51-$T51))) + $Z51</x:f>
      </x:c>
      <x:c r="AB51" s="47">
        <x:f>MAX(0,MAX(0,$J51-$T51)-$Y51)-$Z51</x:f>
      </x:c>
      <x:c r="AC51" s="47">
        <x:f>IF($B$18=1,$AB51,0)</x:f>
      </x:c>
      <x:c r="AD51" s="47">
        <x:f>$C51+$D51+$AC51</x:f>
      </x:c>
      <x:c r="AE51" s="47">
        <x:f>MIN($AD51,$R51)</x:f>
      </x:c>
      <x:c r="AF51" s="47">
        <x:f>$R51-$AE51</x:f>
      </x:c>
      <x:c r="AG51" s="47">
        <x:f>MIN(MAX(0,$AD51-$AE51),$W51)</x:f>
      </x:c>
      <x:c r="AH51" s="47">
        <x:f>$W51-$AG51</x:f>
      </x:c>
      <x:c r="AI51" s="47">
        <x:f>IF($B$18=1,0,$AB51) + MAX(0,$AD51-$AE51-$AG51)</x:f>
      </x:c>
      <x:c r="AJ51" s="47">
        <x:f>($E51+$F51)-($I51+$T51+$Y51+$AE51+$AG51+$AI51+$AA51)</x:f>
      </x:c>
    </x:row>
    <x:row r="52">
      <x:c r="A52" s="46" t="n">
        <x:v>32</x:v>
      </x:c>
      <x:c r="B52" s="47">
        <x:f>IF($A52&lt;=Inputs!$C$6+Inputs!$C$11,Cashflow_Asset!$E35,0)</x:f>
      </x:c>
      <x:c r="C52" s="47">
        <x:f>IF($A52&lt;=Inputs!$C$6,Cashflow_Asset!$F35+Cashflow_Asset!$G35,0)</x:f>
      </x:c>
      <x:c r="D52" s="47">
        <x:f>IF($A52&lt;=Inputs!$C$6+Inputs!$C$11,Cashflow_Asset!$I35,0)</x:f>
      </x:c>
      <x:c r="E52" s="47">
        <x:f>$B52+$C52+$D52</x:f>
      </x:c>
      <x:c r="F52" s="47">
        <x:f>$AA51</x:f>
      </x:c>
      <x:c r="G52" s="47">
        <x:f>$E52+$F52</x:f>
      </x:c>
      <x:c r="H52" s="47">
        <x:f>IF($A52&lt;=Inputs!$C$6+Inputs!$C$11,Cashflow_Asset!$K35,0)</x:f>
      </x:c>
      <x:c r="I52" s="47">
        <x:f>MIN($H52,$B52+$F52)</x:f>
      </x:c>
      <x:c r="J52" s="47">
        <x:f>MAX(0,$B52-$I52)</x:f>
      </x:c>
      <x:c r="K52" s="47">
        <x:f>MAX(0,$F52-MAX(0,$I52-$B52))</x:f>
      </x:c>
      <x:c r="L52" s="47">
        <x:f>IF($A52&lt;=Inputs!$C$6,Cashflow_Asset!$H35*Inputs!$C$10,0)</x:f>
      </x:c>
      <x:c r="M52" s="47">
        <x:f>$O51</x:f>
      </x:c>
      <x:c r="N52" s="47">
        <x:f>MIN($L52,$M52)</x:f>
      </x:c>
      <x:c r="O52" s="47">
        <x:f>$M52-$N52</x:f>
      </x:c>
      <x:c r="P52" s="47">
        <x:f>$AF51</x:f>
      </x:c>
      <x:c r="Q52" s="47">
        <x:f>MIN(MAX(0,$L52-$N52-$V52),$P52)</x:f>
      </x:c>
      <x:c r="R52" s="47">
        <x:f>$P52-$Q52</x:f>
      </x:c>
      <x:c r="S52" s="47">
        <x:f>$R52*Inputs!$C$18/12</x:f>
      </x:c>
      <x:c r="T52" s="47">
        <x:f>MIN($S52,$J52+$K52)</x:f>
      </x:c>
      <x:c r="U52" s="47">
        <x:f>$AH51</x:f>
      </x:c>
      <x:c r="V52" s="47">
        <x:f>MIN(MAX(0,$L52-$N52),$U52)</x:f>
      </x:c>
      <x:c r="W52" s="47">
        <x:f>$U52-$V52</x:f>
      </x:c>
      <x:c r="X52" s="47">
        <x:f>$W52*Inputs!$C$19/12</x:f>
      </x:c>
      <x:c r="Y52" s="47">
        <x:f>MIN($X52,MAX(0,$J52-$T52) + ($K52-MAX(0,$T52-$J52)))</x:f>
      </x:c>
      <x:c r="Z52" s="47">
        <x:f>MIN(MAX(0,$B$17 - (($K52-MAX(0,$T52-$J52)) - MAX(0,$Y52-MAX(0,$J52-$T52)))), MAX(0, MAX(0,$J52-$T52) - $Y52))</x:f>
      </x:c>
      <x:c r="AA52" s="47">
        <x:f>(($K52-MAX(0,$T52-$J52)) - MAX(0,$Y52-MAX(0,$J52-$T52))) + $Z52</x:f>
      </x:c>
      <x:c r="AB52" s="47">
        <x:f>MAX(0,MAX(0,$J52-$T52)-$Y52)-$Z52</x:f>
      </x:c>
      <x:c r="AC52" s="47">
        <x:f>IF($B$18=1,$AB52,0)</x:f>
      </x:c>
      <x:c r="AD52" s="47">
        <x:f>$C52+$D52+$AC52</x:f>
      </x:c>
      <x:c r="AE52" s="47">
        <x:f>MIN($AD52,$R52)</x:f>
      </x:c>
      <x:c r="AF52" s="47">
        <x:f>$R52-$AE52</x:f>
      </x:c>
      <x:c r="AG52" s="47">
        <x:f>MIN(MAX(0,$AD52-$AE52),$W52)</x:f>
      </x:c>
      <x:c r="AH52" s="47">
        <x:f>$W52-$AG52</x:f>
      </x:c>
      <x:c r="AI52" s="47">
        <x:f>IF($B$18=1,0,$AB52) + MAX(0,$AD52-$AE52-$AG52)</x:f>
      </x:c>
      <x:c r="AJ52" s="47">
        <x:f>($E52+$F52)-($I52+$T52+$Y52+$AE52+$AG52+$AI52+$AA52)</x:f>
      </x:c>
    </x:row>
    <x:row r="53">
      <x:c r="A53" s="46" t="n">
        <x:v>33</x:v>
      </x:c>
      <x:c r="B53" s="47">
        <x:f>IF($A53&lt;=Inputs!$C$6+Inputs!$C$11,Cashflow_Asset!$E36,0)</x:f>
      </x:c>
      <x:c r="C53" s="47">
        <x:f>IF($A53&lt;=Inputs!$C$6,Cashflow_Asset!$F36+Cashflow_Asset!$G36,0)</x:f>
      </x:c>
      <x:c r="D53" s="47">
        <x:f>IF($A53&lt;=Inputs!$C$6+Inputs!$C$11,Cashflow_Asset!$I36,0)</x:f>
      </x:c>
      <x:c r="E53" s="47">
        <x:f>$B53+$C53+$D53</x:f>
      </x:c>
      <x:c r="F53" s="47">
        <x:f>$AA52</x:f>
      </x:c>
      <x:c r="G53" s="47">
        <x:f>$E53+$F53</x:f>
      </x:c>
      <x:c r="H53" s="47">
        <x:f>IF($A53&lt;=Inputs!$C$6+Inputs!$C$11,Cashflow_Asset!$K36,0)</x:f>
      </x:c>
      <x:c r="I53" s="47">
        <x:f>MIN($H53,$B53+$F53)</x:f>
      </x:c>
      <x:c r="J53" s="47">
        <x:f>MAX(0,$B53-$I53)</x:f>
      </x:c>
      <x:c r="K53" s="47">
        <x:f>MAX(0,$F53-MAX(0,$I53-$B53))</x:f>
      </x:c>
      <x:c r="L53" s="47">
        <x:f>IF($A53&lt;=Inputs!$C$6,Cashflow_Asset!$H36*Inputs!$C$10,0)</x:f>
      </x:c>
      <x:c r="M53" s="47">
        <x:f>$O52</x:f>
      </x:c>
      <x:c r="N53" s="47">
        <x:f>MIN($L53,$M53)</x:f>
      </x:c>
      <x:c r="O53" s="47">
        <x:f>$M53-$N53</x:f>
      </x:c>
      <x:c r="P53" s="47">
        <x:f>$AF52</x:f>
      </x:c>
      <x:c r="Q53" s="47">
        <x:f>MIN(MAX(0,$L53-$N53-$V53),$P53)</x:f>
      </x:c>
      <x:c r="R53" s="47">
        <x:f>$P53-$Q53</x:f>
      </x:c>
      <x:c r="S53" s="47">
        <x:f>$R53*Inputs!$C$18/12</x:f>
      </x:c>
      <x:c r="T53" s="47">
        <x:f>MIN($S53,$J53+$K53)</x:f>
      </x:c>
      <x:c r="U53" s="47">
        <x:f>$AH52</x:f>
      </x:c>
      <x:c r="V53" s="47">
        <x:f>MIN(MAX(0,$L53-$N53),$U53)</x:f>
      </x:c>
      <x:c r="W53" s="47">
        <x:f>$U53-$V53</x:f>
      </x:c>
      <x:c r="X53" s="47">
        <x:f>$W53*Inputs!$C$19/12</x:f>
      </x:c>
      <x:c r="Y53" s="47">
        <x:f>MIN($X53,MAX(0,$J53-$T53) + ($K53-MAX(0,$T53-$J53)))</x:f>
      </x:c>
      <x:c r="Z53" s="47">
        <x:f>MIN(MAX(0,$B$17 - (($K53-MAX(0,$T53-$J53)) - MAX(0,$Y53-MAX(0,$J53-$T53)))), MAX(0, MAX(0,$J53-$T53) - $Y53))</x:f>
      </x:c>
      <x:c r="AA53" s="47">
        <x:f>(($K53-MAX(0,$T53-$J53)) - MAX(0,$Y53-MAX(0,$J53-$T53))) + $Z53</x:f>
      </x:c>
      <x:c r="AB53" s="47">
        <x:f>MAX(0,MAX(0,$J53-$T53)-$Y53)-$Z53</x:f>
      </x:c>
      <x:c r="AC53" s="47">
        <x:f>IF($B$18=1,$AB53,0)</x:f>
      </x:c>
      <x:c r="AD53" s="47">
        <x:f>$C53+$D53+$AC53</x:f>
      </x:c>
      <x:c r="AE53" s="47">
        <x:f>MIN($AD53,$R53)</x:f>
      </x:c>
      <x:c r="AF53" s="47">
        <x:f>$R53-$AE53</x:f>
      </x:c>
      <x:c r="AG53" s="47">
        <x:f>MIN(MAX(0,$AD53-$AE53),$W53)</x:f>
      </x:c>
      <x:c r="AH53" s="47">
        <x:f>$W53-$AG53</x:f>
      </x:c>
      <x:c r="AI53" s="47">
        <x:f>IF($B$18=1,0,$AB53) + MAX(0,$AD53-$AE53-$AG53)</x:f>
      </x:c>
      <x:c r="AJ53" s="47">
        <x:f>($E53+$F53)-($I53+$T53+$Y53+$AE53+$AG53+$AI53+$AA53)</x:f>
      </x:c>
    </x:row>
    <x:row r="54">
      <x:c r="A54" s="46" t="n">
        <x:v>34</x:v>
      </x:c>
      <x:c r="B54" s="47">
        <x:f>IF($A54&lt;=Inputs!$C$6+Inputs!$C$11,Cashflow_Asset!$E37,0)</x:f>
      </x:c>
      <x:c r="C54" s="47">
        <x:f>IF($A54&lt;=Inputs!$C$6,Cashflow_Asset!$F37+Cashflow_Asset!$G37,0)</x:f>
      </x:c>
      <x:c r="D54" s="47">
        <x:f>IF($A54&lt;=Inputs!$C$6+Inputs!$C$11,Cashflow_Asset!$I37,0)</x:f>
      </x:c>
      <x:c r="E54" s="47">
        <x:f>$B54+$C54+$D54</x:f>
      </x:c>
      <x:c r="F54" s="47">
        <x:f>$AA53</x:f>
      </x:c>
      <x:c r="G54" s="47">
        <x:f>$E54+$F54</x:f>
      </x:c>
      <x:c r="H54" s="47">
        <x:f>IF($A54&lt;=Inputs!$C$6+Inputs!$C$11,Cashflow_Asset!$K37,0)</x:f>
      </x:c>
      <x:c r="I54" s="47">
        <x:f>MIN($H54,$B54+$F54)</x:f>
      </x:c>
      <x:c r="J54" s="47">
        <x:f>MAX(0,$B54-$I54)</x:f>
      </x:c>
      <x:c r="K54" s="47">
        <x:f>MAX(0,$F54-MAX(0,$I54-$B54))</x:f>
      </x:c>
      <x:c r="L54" s="47">
        <x:f>IF($A54&lt;=Inputs!$C$6,Cashflow_Asset!$H37*Inputs!$C$10,0)</x:f>
      </x:c>
      <x:c r="M54" s="47">
        <x:f>$O53</x:f>
      </x:c>
      <x:c r="N54" s="47">
        <x:f>MIN($L54,$M54)</x:f>
      </x:c>
      <x:c r="O54" s="47">
        <x:f>$M54-$N54</x:f>
      </x:c>
      <x:c r="P54" s="47">
        <x:f>$AF53</x:f>
      </x:c>
      <x:c r="Q54" s="47">
        <x:f>MIN(MAX(0,$L54-$N54-$V54),$P54)</x:f>
      </x:c>
      <x:c r="R54" s="47">
        <x:f>$P54-$Q54</x:f>
      </x:c>
      <x:c r="S54" s="47">
        <x:f>$R54*Inputs!$C$18/12</x:f>
      </x:c>
      <x:c r="T54" s="47">
        <x:f>MIN($S54,$J54+$K54)</x:f>
      </x:c>
      <x:c r="U54" s="47">
        <x:f>$AH53</x:f>
      </x:c>
      <x:c r="V54" s="47">
        <x:f>MIN(MAX(0,$L54-$N54),$U54)</x:f>
      </x:c>
      <x:c r="W54" s="47">
        <x:f>$U54-$V54</x:f>
      </x:c>
      <x:c r="X54" s="47">
        <x:f>$W54*Inputs!$C$19/12</x:f>
      </x:c>
      <x:c r="Y54" s="47">
        <x:f>MIN($X54,MAX(0,$J54-$T54) + ($K54-MAX(0,$T54-$J54)))</x:f>
      </x:c>
      <x:c r="Z54" s="47">
        <x:f>MIN(MAX(0,$B$17 - (($K54-MAX(0,$T54-$J54)) - MAX(0,$Y54-MAX(0,$J54-$T54)))), MAX(0, MAX(0,$J54-$T54) - $Y54))</x:f>
      </x:c>
      <x:c r="AA54" s="47">
        <x:f>(($K54-MAX(0,$T54-$J54)) - MAX(0,$Y54-MAX(0,$J54-$T54))) + $Z54</x:f>
      </x:c>
      <x:c r="AB54" s="47">
        <x:f>MAX(0,MAX(0,$J54-$T54)-$Y54)-$Z54</x:f>
      </x:c>
      <x:c r="AC54" s="47">
        <x:f>IF($B$18=1,$AB54,0)</x:f>
      </x:c>
      <x:c r="AD54" s="47">
        <x:f>$C54+$D54+$AC54</x:f>
      </x:c>
      <x:c r="AE54" s="47">
        <x:f>MIN($AD54,$R54)</x:f>
      </x:c>
      <x:c r="AF54" s="47">
        <x:f>$R54-$AE54</x:f>
      </x:c>
      <x:c r="AG54" s="47">
        <x:f>MIN(MAX(0,$AD54-$AE54),$W54)</x:f>
      </x:c>
      <x:c r="AH54" s="47">
        <x:f>$W54-$AG54</x:f>
      </x:c>
      <x:c r="AI54" s="47">
        <x:f>IF($B$18=1,0,$AB54) + MAX(0,$AD54-$AE54-$AG54)</x:f>
      </x:c>
      <x:c r="AJ54" s="47">
        <x:f>($E54+$F54)-($I54+$T54+$Y54+$AE54+$AG54+$AI54+$AA54)</x:f>
      </x:c>
    </x:row>
    <x:row r="55">
      <x:c r="A55" s="46" t="n">
        <x:v>35</x:v>
      </x:c>
      <x:c r="B55" s="47">
        <x:f>IF($A55&lt;=Inputs!$C$6+Inputs!$C$11,Cashflow_Asset!$E38,0)</x:f>
      </x:c>
      <x:c r="C55" s="47">
        <x:f>IF($A55&lt;=Inputs!$C$6,Cashflow_Asset!$F38+Cashflow_Asset!$G38,0)</x:f>
      </x:c>
      <x:c r="D55" s="47">
        <x:f>IF($A55&lt;=Inputs!$C$6+Inputs!$C$11,Cashflow_Asset!$I38,0)</x:f>
      </x:c>
      <x:c r="E55" s="47">
        <x:f>$B55+$C55+$D55</x:f>
      </x:c>
      <x:c r="F55" s="47">
        <x:f>$AA54</x:f>
      </x:c>
      <x:c r="G55" s="47">
        <x:f>$E55+$F55</x:f>
      </x:c>
      <x:c r="H55" s="47">
        <x:f>IF($A55&lt;=Inputs!$C$6+Inputs!$C$11,Cashflow_Asset!$K38,0)</x:f>
      </x:c>
      <x:c r="I55" s="47">
        <x:f>MIN($H55,$B55+$F55)</x:f>
      </x:c>
      <x:c r="J55" s="47">
        <x:f>MAX(0,$B55-$I55)</x:f>
      </x:c>
      <x:c r="K55" s="47">
        <x:f>MAX(0,$F55-MAX(0,$I55-$B55))</x:f>
      </x:c>
      <x:c r="L55" s="47">
        <x:f>IF($A55&lt;=Inputs!$C$6,Cashflow_Asset!$H38*Inputs!$C$10,0)</x:f>
      </x:c>
      <x:c r="M55" s="47">
        <x:f>$O54</x:f>
      </x:c>
      <x:c r="N55" s="47">
        <x:f>MIN($L55,$M55)</x:f>
      </x:c>
      <x:c r="O55" s="47">
        <x:f>$M55-$N55</x:f>
      </x:c>
      <x:c r="P55" s="47">
        <x:f>$AF54</x:f>
      </x:c>
      <x:c r="Q55" s="47">
        <x:f>MIN(MAX(0,$L55-$N55-$V55),$P55)</x:f>
      </x:c>
      <x:c r="R55" s="47">
        <x:f>$P55-$Q55</x:f>
      </x:c>
      <x:c r="S55" s="47">
        <x:f>$R55*Inputs!$C$18/12</x:f>
      </x:c>
      <x:c r="T55" s="47">
        <x:f>MIN($S55,$J55+$K55)</x:f>
      </x:c>
      <x:c r="U55" s="47">
        <x:f>$AH54</x:f>
      </x:c>
      <x:c r="V55" s="47">
        <x:f>MIN(MAX(0,$L55-$N55),$U55)</x:f>
      </x:c>
      <x:c r="W55" s="47">
        <x:f>$U55-$V55</x:f>
      </x:c>
      <x:c r="X55" s="47">
        <x:f>$W55*Inputs!$C$19/12</x:f>
      </x:c>
      <x:c r="Y55" s="47">
        <x:f>MIN($X55,MAX(0,$J55-$T55) + ($K55-MAX(0,$T55-$J55)))</x:f>
      </x:c>
      <x:c r="Z55" s="47">
        <x:f>MIN(MAX(0,$B$17 - (($K55-MAX(0,$T55-$J55)) - MAX(0,$Y55-MAX(0,$J55-$T55)))), MAX(0, MAX(0,$J55-$T55) - $Y55))</x:f>
      </x:c>
      <x:c r="AA55" s="47">
        <x:f>(($K55-MAX(0,$T55-$J55)) - MAX(0,$Y55-MAX(0,$J55-$T55))) + $Z55</x:f>
      </x:c>
      <x:c r="AB55" s="47">
        <x:f>MAX(0,MAX(0,$J55-$T55)-$Y55)-$Z55</x:f>
      </x:c>
      <x:c r="AC55" s="47">
        <x:f>IF($B$18=1,$AB55,0)</x:f>
      </x:c>
      <x:c r="AD55" s="47">
        <x:f>$C55+$D55+$AC55</x:f>
      </x:c>
      <x:c r="AE55" s="47">
        <x:f>MIN($AD55,$R55)</x:f>
      </x:c>
      <x:c r="AF55" s="47">
        <x:f>$R55-$AE55</x:f>
      </x:c>
      <x:c r="AG55" s="47">
        <x:f>MIN(MAX(0,$AD55-$AE55),$W55)</x:f>
      </x:c>
      <x:c r="AH55" s="47">
        <x:f>$W55-$AG55</x:f>
      </x:c>
      <x:c r="AI55" s="47">
        <x:f>IF($B$18=1,0,$AB55) + MAX(0,$AD55-$AE55-$AG55)</x:f>
      </x:c>
      <x:c r="AJ55" s="47">
        <x:f>($E55+$F55)-($I55+$T55+$Y55+$AE55+$AG55+$AI55+$AA55)</x:f>
      </x:c>
    </x:row>
    <x:row r="56">
      <x:c r="A56" s="46" t="n">
        <x:v>36</x:v>
      </x:c>
      <x:c r="B56" s="47">
        <x:f>IF($A56&lt;=Inputs!$C$6+Inputs!$C$11,Cashflow_Asset!$E39,0)</x:f>
      </x:c>
      <x:c r="C56" s="47">
        <x:f>IF($A56&lt;=Inputs!$C$6,Cashflow_Asset!$F39+Cashflow_Asset!$G39,0)</x:f>
      </x:c>
      <x:c r="D56" s="47">
        <x:f>IF($A56&lt;=Inputs!$C$6+Inputs!$C$11,Cashflow_Asset!$I39,0)</x:f>
      </x:c>
      <x:c r="E56" s="47">
        <x:f>$B56+$C56+$D56</x:f>
      </x:c>
      <x:c r="F56" s="47">
        <x:f>$AA55</x:f>
      </x:c>
      <x:c r="G56" s="47">
        <x:f>$E56+$F56</x:f>
      </x:c>
      <x:c r="H56" s="47">
        <x:f>IF($A56&lt;=Inputs!$C$6+Inputs!$C$11,Cashflow_Asset!$K39,0)</x:f>
      </x:c>
      <x:c r="I56" s="47">
        <x:f>MIN($H56,$B56+$F56)</x:f>
      </x:c>
      <x:c r="J56" s="47">
        <x:f>MAX(0,$B56-$I56)</x:f>
      </x:c>
      <x:c r="K56" s="47">
        <x:f>MAX(0,$F56-MAX(0,$I56-$B56))</x:f>
      </x:c>
      <x:c r="L56" s="47">
        <x:f>IF($A56&lt;=Inputs!$C$6,Cashflow_Asset!$H39*Inputs!$C$10,0)</x:f>
      </x:c>
      <x:c r="M56" s="47">
        <x:f>$O55</x:f>
      </x:c>
      <x:c r="N56" s="47">
        <x:f>MIN($L56,$M56)</x:f>
      </x:c>
      <x:c r="O56" s="47">
        <x:f>$M56-$N56</x:f>
      </x:c>
      <x:c r="P56" s="47">
        <x:f>$AF55</x:f>
      </x:c>
      <x:c r="Q56" s="47">
        <x:f>MIN(MAX(0,$L56-$N56-$V56),$P56)</x:f>
      </x:c>
      <x:c r="R56" s="47">
        <x:f>$P56-$Q56</x:f>
      </x:c>
      <x:c r="S56" s="47">
        <x:f>$R56*Inputs!$C$18/12</x:f>
      </x:c>
      <x:c r="T56" s="47">
        <x:f>MIN($S56,$J56+$K56)</x:f>
      </x:c>
      <x:c r="U56" s="47">
        <x:f>$AH55</x:f>
      </x:c>
      <x:c r="V56" s="47">
        <x:f>MIN(MAX(0,$L56-$N56),$U56)</x:f>
      </x:c>
      <x:c r="W56" s="47">
        <x:f>$U56-$V56</x:f>
      </x:c>
      <x:c r="X56" s="47">
        <x:f>$W56*Inputs!$C$19/12</x:f>
      </x:c>
      <x:c r="Y56" s="47">
        <x:f>MIN($X56,MAX(0,$J56-$T56) + ($K56-MAX(0,$T56-$J56)))</x:f>
      </x:c>
      <x:c r="Z56" s="47">
        <x:f>MIN(MAX(0,$B$17 - (($K56-MAX(0,$T56-$J56)) - MAX(0,$Y56-MAX(0,$J56-$T56)))), MAX(0, MAX(0,$J56-$T56) - $Y56))</x:f>
      </x:c>
      <x:c r="AA56" s="47">
        <x:f>(($K56-MAX(0,$T56-$J56)) - MAX(0,$Y56-MAX(0,$J56-$T56))) + $Z56</x:f>
      </x:c>
      <x:c r="AB56" s="47">
        <x:f>MAX(0,MAX(0,$J56-$T56)-$Y56)-$Z56</x:f>
      </x:c>
      <x:c r="AC56" s="47">
        <x:f>IF($B$18=1,$AB56,0)</x:f>
      </x:c>
      <x:c r="AD56" s="47">
        <x:f>$C56+$D56+$AC56</x:f>
      </x:c>
      <x:c r="AE56" s="47">
        <x:f>MIN($AD56,$R56)</x:f>
      </x:c>
      <x:c r="AF56" s="47">
        <x:f>$R56-$AE56</x:f>
      </x:c>
      <x:c r="AG56" s="47">
        <x:f>MIN(MAX(0,$AD56-$AE56),$W56)</x:f>
      </x:c>
      <x:c r="AH56" s="47">
        <x:f>$W56-$AG56</x:f>
      </x:c>
      <x:c r="AI56" s="47">
        <x:f>IF($B$18=1,0,$AB56) + MAX(0,$AD56-$AE56-$AG56)</x:f>
      </x:c>
      <x:c r="AJ56" s="47">
        <x:f>($E56+$F56)-($I56+$T56+$Y56+$AE56+$AG56+$AI56+$AA56)</x:f>
      </x:c>
    </x:row>
    <x:row r="57">
      <x:c r="A57" s="46" t="n">
        <x:v>37</x:v>
      </x:c>
      <x:c r="B57" s="47">
        <x:f>IF($A57&lt;=Inputs!$C$6+Inputs!$C$11,Cashflow_Asset!$E40,0)</x:f>
      </x:c>
      <x:c r="C57" s="47">
        <x:f>IF($A57&lt;=Inputs!$C$6,Cashflow_Asset!$F40+Cashflow_Asset!$G40,0)</x:f>
      </x:c>
      <x:c r="D57" s="47">
        <x:f>IF($A57&lt;=Inputs!$C$6+Inputs!$C$11,Cashflow_Asset!$I40,0)</x:f>
      </x:c>
      <x:c r="E57" s="47">
        <x:f>$B57+$C57+$D57</x:f>
      </x:c>
      <x:c r="F57" s="47">
        <x:f>$AA56</x:f>
      </x:c>
      <x:c r="G57" s="47">
        <x:f>$E57+$F57</x:f>
      </x:c>
      <x:c r="H57" s="47">
        <x:f>IF($A57&lt;=Inputs!$C$6+Inputs!$C$11,Cashflow_Asset!$K40,0)</x:f>
      </x:c>
      <x:c r="I57" s="47">
        <x:f>MIN($H57,$B57+$F57)</x:f>
      </x:c>
      <x:c r="J57" s="47">
        <x:f>MAX(0,$B57-$I57)</x:f>
      </x:c>
      <x:c r="K57" s="47">
        <x:f>MAX(0,$F57-MAX(0,$I57-$B57))</x:f>
      </x:c>
      <x:c r="L57" s="47">
        <x:f>IF($A57&lt;=Inputs!$C$6,Cashflow_Asset!$H40*Inputs!$C$10,0)</x:f>
      </x:c>
      <x:c r="M57" s="47">
        <x:f>$O56</x:f>
      </x:c>
      <x:c r="N57" s="47">
        <x:f>MIN($L57,$M57)</x:f>
      </x:c>
      <x:c r="O57" s="47">
        <x:f>$M57-$N57</x:f>
      </x:c>
      <x:c r="P57" s="47">
        <x:f>$AF56</x:f>
      </x:c>
      <x:c r="Q57" s="47">
        <x:f>MIN(MAX(0,$L57-$N57-$V57),$P57)</x:f>
      </x:c>
      <x:c r="R57" s="47">
        <x:f>$P57-$Q57</x:f>
      </x:c>
      <x:c r="S57" s="47">
        <x:f>$R57*Inputs!$C$18/12</x:f>
      </x:c>
      <x:c r="T57" s="47">
        <x:f>MIN($S57,$J57+$K57)</x:f>
      </x:c>
      <x:c r="U57" s="47">
        <x:f>$AH56</x:f>
      </x:c>
      <x:c r="V57" s="47">
        <x:f>MIN(MAX(0,$L57-$N57),$U57)</x:f>
      </x:c>
      <x:c r="W57" s="47">
        <x:f>$U57-$V57</x:f>
      </x:c>
      <x:c r="X57" s="47">
        <x:f>$W57*Inputs!$C$19/12</x:f>
      </x:c>
      <x:c r="Y57" s="47">
        <x:f>MIN($X57,MAX(0,$J57-$T57) + ($K57-MAX(0,$T57-$J57)))</x:f>
      </x:c>
      <x:c r="Z57" s="47">
        <x:f>MIN(MAX(0,$B$17 - (($K57-MAX(0,$T57-$J57)) - MAX(0,$Y57-MAX(0,$J57-$T57)))), MAX(0, MAX(0,$J57-$T57) - $Y57))</x:f>
      </x:c>
      <x:c r="AA57" s="47">
        <x:f>(($K57-MAX(0,$T57-$J57)) - MAX(0,$Y57-MAX(0,$J57-$T57))) + $Z57</x:f>
      </x:c>
      <x:c r="AB57" s="47">
        <x:f>MAX(0,MAX(0,$J57-$T57)-$Y57)-$Z57</x:f>
      </x:c>
      <x:c r="AC57" s="47">
        <x:f>IF($B$18=1,$AB57,0)</x:f>
      </x:c>
      <x:c r="AD57" s="47">
        <x:f>$C57+$D57+$AC57</x:f>
      </x:c>
      <x:c r="AE57" s="47">
        <x:f>MIN($AD57,$R57)</x:f>
      </x:c>
      <x:c r="AF57" s="47">
        <x:f>$R57-$AE57</x:f>
      </x:c>
      <x:c r="AG57" s="47">
        <x:f>MIN(MAX(0,$AD57-$AE57),$W57)</x:f>
      </x:c>
      <x:c r="AH57" s="47">
        <x:f>$W57-$AG57</x:f>
      </x:c>
      <x:c r="AI57" s="47">
        <x:f>IF($B$18=1,0,$AB57) + MAX(0,$AD57-$AE57-$AG57)</x:f>
      </x:c>
      <x:c r="AJ57" s="47">
        <x:f>($E57+$F57)-($I57+$T57+$Y57+$AE57+$AG57+$AI57+$AA57)</x:f>
      </x:c>
    </x:row>
    <x:row r="58">
      <x:c r="A58" s="46" t="n">
        <x:v>38</x:v>
      </x:c>
      <x:c r="B58" s="47">
        <x:f>IF($A58&lt;=Inputs!$C$6+Inputs!$C$11,Cashflow_Asset!$E41,0)</x:f>
      </x:c>
      <x:c r="C58" s="47">
        <x:f>IF($A58&lt;=Inputs!$C$6,Cashflow_Asset!$F41+Cashflow_Asset!$G41,0)</x:f>
      </x:c>
      <x:c r="D58" s="47">
        <x:f>IF($A58&lt;=Inputs!$C$6+Inputs!$C$11,Cashflow_Asset!$I41,0)</x:f>
      </x:c>
      <x:c r="E58" s="47">
        <x:f>$B58+$C58+$D58</x:f>
      </x:c>
      <x:c r="F58" s="47">
        <x:f>$AA57</x:f>
      </x:c>
      <x:c r="G58" s="47">
        <x:f>$E58+$F58</x:f>
      </x:c>
      <x:c r="H58" s="47">
        <x:f>IF($A58&lt;=Inputs!$C$6+Inputs!$C$11,Cashflow_Asset!$K41,0)</x:f>
      </x:c>
      <x:c r="I58" s="47">
        <x:f>MIN($H58,$B58+$F58)</x:f>
      </x:c>
      <x:c r="J58" s="47">
        <x:f>MAX(0,$B58-$I58)</x:f>
      </x:c>
      <x:c r="K58" s="47">
        <x:f>MAX(0,$F58-MAX(0,$I58-$B58))</x:f>
      </x:c>
      <x:c r="L58" s="47">
        <x:f>IF($A58&lt;=Inputs!$C$6,Cashflow_Asset!$H41*Inputs!$C$10,0)</x:f>
      </x:c>
      <x:c r="M58" s="47">
        <x:f>$O57</x:f>
      </x:c>
      <x:c r="N58" s="47">
        <x:f>MIN($L58,$M58)</x:f>
      </x:c>
      <x:c r="O58" s="47">
        <x:f>$M58-$N58</x:f>
      </x:c>
      <x:c r="P58" s="47">
        <x:f>$AF57</x:f>
      </x:c>
      <x:c r="Q58" s="47">
        <x:f>MIN(MAX(0,$L58-$N58-$V58),$P58)</x:f>
      </x:c>
      <x:c r="R58" s="47">
        <x:f>$P58-$Q58</x:f>
      </x:c>
      <x:c r="S58" s="47">
        <x:f>$R58*Inputs!$C$18/12</x:f>
      </x:c>
      <x:c r="T58" s="47">
        <x:f>MIN($S58,$J58+$K58)</x:f>
      </x:c>
      <x:c r="U58" s="47">
        <x:f>$AH57</x:f>
      </x:c>
      <x:c r="V58" s="47">
        <x:f>MIN(MAX(0,$L58-$N58),$U58)</x:f>
      </x:c>
      <x:c r="W58" s="47">
        <x:f>$U58-$V58</x:f>
      </x:c>
      <x:c r="X58" s="47">
        <x:f>$W58*Inputs!$C$19/12</x:f>
      </x:c>
      <x:c r="Y58" s="47">
        <x:f>MIN($X58,MAX(0,$J58-$T58) + ($K58-MAX(0,$T58-$J58)))</x:f>
      </x:c>
      <x:c r="Z58" s="47">
        <x:f>MIN(MAX(0,$B$17 - (($K58-MAX(0,$T58-$J58)) - MAX(0,$Y58-MAX(0,$J58-$T58)))), MAX(0, MAX(0,$J58-$T58) - $Y58))</x:f>
      </x:c>
      <x:c r="AA58" s="47">
        <x:f>(($K58-MAX(0,$T58-$J58)) - MAX(0,$Y58-MAX(0,$J58-$T58))) + $Z58</x:f>
      </x:c>
      <x:c r="AB58" s="47">
        <x:f>MAX(0,MAX(0,$J58-$T58)-$Y58)-$Z58</x:f>
      </x:c>
      <x:c r="AC58" s="47">
        <x:f>IF($B$18=1,$AB58,0)</x:f>
      </x:c>
      <x:c r="AD58" s="47">
        <x:f>$C58+$D58+$AC58</x:f>
      </x:c>
      <x:c r="AE58" s="47">
        <x:f>MIN($AD58,$R58)</x:f>
      </x:c>
      <x:c r="AF58" s="47">
        <x:f>$R58-$AE58</x:f>
      </x:c>
      <x:c r="AG58" s="47">
        <x:f>MIN(MAX(0,$AD58-$AE58),$W58)</x:f>
      </x:c>
      <x:c r="AH58" s="47">
        <x:f>$W58-$AG58</x:f>
      </x:c>
      <x:c r="AI58" s="47">
        <x:f>IF($B$18=1,0,$AB58) + MAX(0,$AD58-$AE58-$AG58)</x:f>
      </x:c>
      <x:c r="AJ58" s="47">
        <x:f>($E58+$F58)-($I58+$T58+$Y58+$AE58+$AG58+$AI58+$AA58)</x:f>
      </x:c>
    </x:row>
    <x:row r="59">
      <x:c r="A59" s="46" t="n">
        <x:v>39</x:v>
      </x:c>
      <x:c r="B59" s="47">
        <x:f>IF($A59&lt;=Inputs!$C$6+Inputs!$C$11,Cashflow_Asset!$E42,0)</x:f>
      </x:c>
      <x:c r="C59" s="47">
        <x:f>IF($A59&lt;=Inputs!$C$6,Cashflow_Asset!$F42+Cashflow_Asset!$G42,0)</x:f>
      </x:c>
      <x:c r="D59" s="47">
        <x:f>IF($A59&lt;=Inputs!$C$6+Inputs!$C$11,Cashflow_Asset!$I42,0)</x:f>
      </x:c>
      <x:c r="E59" s="47">
        <x:f>$B59+$C59+$D59</x:f>
      </x:c>
      <x:c r="F59" s="47">
        <x:f>$AA58</x:f>
      </x:c>
      <x:c r="G59" s="47">
        <x:f>$E59+$F59</x:f>
      </x:c>
      <x:c r="H59" s="47">
        <x:f>IF($A59&lt;=Inputs!$C$6+Inputs!$C$11,Cashflow_Asset!$K42,0)</x:f>
      </x:c>
      <x:c r="I59" s="47">
        <x:f>MIN($H59,$B59+$F59)</x:f>
      </x:c>
      <x:c r="J59" s="47">
        <x:f>MAX(0,$B59-$I59)</x:f>
      </x:c>
      <x:c r="K59" s="47">
        <x:f>MAX(0,$F59-MAX(0,$I59-$B59))</x:f>
      </x:c>
      <x:c r="L59" s="47">
        <x:f>IF($A59&lt;=Inputs!$C$6,Cashflow_Asset!$H42*Inputs!$C$10,0)</x:f>
      </x:c>
      <x:c r="M59" s="47">
        <x:f>$O58</x:f>
      </x:c>
      <x:c r="N59" s="47">
        <x:f>MIN($L59,$M59)</x:f>
      </x:c>
      <x:c r="O59" s="47">
        <x:f>$M59-$N59</x:f>
      </x:c>
      <x:c r="P59" s="47">
        <x:f>$AF58</x:f>
      </x:c>
      <x:c r="Q59" s="47">
        <x:f>MIN(MAX(0,$L59-$N59-$V59),$P59)</x:f>
      </x:c>
      <x:c r="R59" s="47">
        <x:f>$P59-$Q59</x:f>
      </x:c>
      <x:c r="S59" s="47">
        <x:f>$R59*Inputs!$C$18/12</x:f>
      </x:c>
      <x:c r="T59" s="47">
        <x:f>MIN($S59,$J59+$K59)</x:f>
      </x:c>
      <x:c r="U59" s="47">
        <x:f>$AH58</x:f>
      </x:c>
      <x:c r="V59" s="47">
        <x:f>MIN(MAX(0,$L59-$N59),$U59)</x:f>
      </x:c>
      <x:c r="W59" s="47">
        <x:f>$U59-$V59</x:f>
      </x:c>
      <x:c r="X59" s="47">
        <x:f>$W59*Inputs!$C$19/12</x:f>
      </x:c>
      <x:c r="Y59" s="47">
        <x:f>MIN($X59,MAX(0,$J59-$T59) + ($K59-MAX(0,$T59-$J59)))</x:f>
      </x:c>
      <x:c r="Z59" s="47">
        <x:f>MIN(MAX(0,$B$17 - (($K59-MAX(0,$T59-$J59)) - MAX(0,$Y59-MAX(0,$J59-$T59)))), MAX(0, MAX(0,$J59-$T59) - $Y59))</x:f>
      </x:c>
      <x:c r="AA59" s="47">
        <x:f>(($K59-MAX(0,$T59-$J59)) - MAX(0,$Y59-MAX(0,$J59-$T59))) + $Z59</x:f>
      </x:c>
      <x:c r="AB59" s="47">
        <x:f>MAX(0,MAX(0,$J59-$T59)-$Y59)-$Z59</x:f>
      </x:c>
      <x:c r="AC59" s="47">
        <x:f>IF($B$18=1,$AB59,0)</x:f>
      </x:c>
      <x:c r="AD59" s="47">
        <x:f>$C59+$D59+$AC59</x:f>
      </x:c>
      <x:c r="AE59" s="47">
        <x:f>MIN($AD59,$R59)</x:f>
      </x:c>
      <x:c r="AF59" s="47">
        <x:f>$R59-$AE59</x:f>
      </x:c>
      <x:c r="AG59" s="47">
        <x:f>MIN(MAX(0,$AD59-$AE59),$W59)</x:f>
      </x:c>
      <x:c r="AH59" s="47">
        <x:f>$W59-$AG59</x:f>
      </x:c>
      <x:c r="AI59" s="47">
        <x:f>IF($B$18=1,0,$AB59) + MAX(0,$AD59-$AE59-$AG59)</x:f>
      </x:c>
      <x:c r="AJ59" s="47">
        <x:f>($E59+$F59)-($I59+$T59+$Y59+$AE59+$AG59+$AI59+$AA59)</x:f>
      </x:c>
    </x:row>
    <x:row r="60">
      <x:c r="A60" s="46" t="n">
        <x:v>40</x:v>
      </x:c>
      <x:c r="B60" s="47">
        <x:f>IF($A60&lt;=Inputs!$C$6+Inputs!$C$11,Cashflow_Asset!$E43,0)</x:f>
      </x:c>
      <x:c r="C60" s="47">
        <x:f>IF($A60&lt;=Inputs!$C$6,Cashflow_Asset!$F43+Cashflow_Asset!$G43,0)</x:f>
      </x:c>
      <x:c r="D60" s="47">
        <x:f>IF($A60&lt;=Inputs!$C$6+Inputs!$C$11,Cashflow_Asset!$I43,0)</x:f>
      </x:c>
      <x:c r="E60" s="47">
        <x:f>$B60+$C60+$D60</x:f>
      </x:c>
      <x:c r="F60" s="47">
        <x:f>$AA59</x:f>
      </x:c>
      <x:c r="G60" s="47">
        <x:f>$E60+$F60</x:f>
      </x:c>
      <x:c r="H60" s="47">
        <x:f>IF($A60&lt;=Inputs!$C$6+Inputs!$C$11,Cashflow_Asset!$K43,0)</x:f>
      </x:c>
      <x:c r="I60" s="47">
        <x:f>MIN($H60,$B60+$F60)</x:f>
      </x:c>
      <x:c r="J60" s="47">
        <x:f>MAX(0,$B60-$I60)</x:f>
      </x:c>
      <x:c r="K60" s="47">
        <x:f>MAX(0,$F60-MAX(0,$I60-$B60))</x:f>
      </x:c>
      <x:c r="L60" s="47">
        <x:f>IF($A60&lt;=Inputs!$C$6,Cashflow_Asset!$H43*Inputs!$C$10,0)</x:f>
      </x:c>
      <x:c r="M60" s="47">
        <x:f>$O59</x:f>
      </x:c>
      <x:c r="N60" s="47">
        <x:f>MIN($L60,$M60)</x:f>
      </x:c>
      <x:c r="O60" s="47">
        <x:f>$M60-$N60</x:f>
      </x:c>
      <x:c r="P60" s="47">
        <x:f>$AF59</x:f>
      </x:c>
      <x:c r="Q60" s="47">
        <x:f>MIN(MAX(0,$L60-$N60-$V60),$P60)</x:f>
      </x:c>
      <x:c r="R60" s="47">
        <x:f>$P60-$Q60</x:f>
      </x:c>
      <x:c r="S60" s="47">
        <x:f>$R60*Inputs!$C$18/12</x:f>
      </x:c>
      <x:c r="T60" s="47">
        <x:f>MIN($S60,$J60+$K60)</x:f>
      </x:c>
      <x:c r="U60" s="47">
        <x:f>$AH59</x:f>
      </x:c>
      <x:c r="V60" s="47">
        <x:f>MIN(MAX(0,$L60-$N60),$U60)</x:f>
      </x:c>
      <x:c r="W60" s="47">
        <x:f>$U60-$V60</x:f>
      </x:c>
      <x:c r="X60" s="47">
        <x:f>$W60*Inputs!$C$19/12</x:f>
      </x:c>
      <x:c r="Y60" s="47">
        <x:f>MIN($X60,MAX(0,$J60-$T60) + ($K60-MAX(0,$T60-$J60)))</x:f>
      </x:c>
      <x:c r="Z60" s="47">
        <x:f>MIN(MAX(0,$B$17 - (($K60-MAX(0,$T60-$J60)) - MAX(0,$Y60-MAX(0,$J60-$T60)))), MAX(0, MAX(0,$J60-$T60) - $Y60))</x:f>
      </x:c>
      <x:c r="AA60" s="47">
        <x:f>(($K60-MAX(0,$T60-$J60)) - MAX(0,$Y60-MAX(0,$J60-$T60))) + $Z60</x:f>
      </x:c>
      <x:c r="AB60" s="47">
        <x:f>MAX(0,MAX(0,$J60-$T60)-$Y60)-$Z60</x:f>
      </x:c>
      <x:c r="AC60" s="47">
        <x:f>IF($B$18=1,$AB60,0)</x:f>
      </x:c>
      <x:c r="AD60" s="47">
        <x:f>$C60+$D60+$AC60</x:f>
      </x:c>
      <x:c r="AE60" s="47">
        <x:f>MIN($AD60,$R60)</x:f>
      </x:c>
      <x:c r="AF60" s="47">
        <x:f>$R60-$AE60</x:f>
      </x:c>
      <x:c r="AG60" s="47">
        <x:f>MIN(MAX(0,$AD60-$AE60),$W60)</x:f>
      </x:c>
      <x:c r="AH60" s="47">
        <x:f>$W60-$AG60</x:f>
      </x:c>
      <x:c r="AI60" s="47">
        <x:f>IF($B$18=1,0,$AB60) + MAX(0,$AD60-$AE60-$AG60)</x:f>
      </x:c>
      <x:c r="AJ60" s="47">
        <x:f>($E60+$F60)-($I60+$T60+$Y60+$AE60+$AG60+$AI60+$AA60)</x:f>
      </x:c>
    </x:row>
    <x:row r="61">
      <x:c r="A61" s="46" t="n">
        <x:v>41</x:v>
      </x:c>
      <x:c r="B61" s="47">
        <x:f>IF($A61&lt;=Inputs!$C$6+Inputs!$C$11,Cashflow_Asset!$E44,0)</x:f>
      </x:c>
      <x:c r="C61" s="47">
        <x:f>IF($A61&lt;=Inputs!$C$6,Cashflow_Asset!$F44+Cashflow_Asset!$G44,0)</x:f>
      </x:c>
      <x:c r="D61" s="47">
        <x:f>IF($A61&lt;=Inputs!$C$6+Inputs!$C$11,Cashflow_Asset!$I44,0)</x:f>
      </x:c>
      <x:c r="E61" s="47">
        <x:f>$B61+$C61+$D61</x:f>
      </x:c>
      <x:c r="F61" s="47">
        <x:f>$AA60</x:f>
      </x:c>
      <x:c r="G61" s="47">
        <x:f>$E61+$F61</x:f>
      </x:c>
      <x:c r="H61" s="47">
        <x:f>IF($A61&lt;=Inputs!$C$6+Inputs!$C$11,Cashflow_Asset!$K44,0)</x:f>
      </x:c>
      <x:c r="I61" s="47">
        <x:f>MIN($H61,$B61+$F61)</x:f>
      </x:c>
      <x:c r="J61" s="47">
        <x:f>MAX(0,$B61-$I61)</x:f>
      </x:c>
      <x:c r="K61" s="47">
        <x:f>MAX(0,$F61-MAX(0,$I61-$B61))</x:f>
      </x:c>
      <x:c r="L61" s="47">
        <x:f>IF($A61&lt;=Inputs!$C$6,Cashflow_Asset!$H44*Inputs!$C$10,0)</x:f>
      </x:c>
      <x:c r="M61" s="47">
        <x:f>$O60</x:f>
      </x:c>
      <x:c r="N61" s="47">
        <x:f>MIN($L61,$M61)</x:f>
      </x:c>
      <x:c r="O61" s="47">
        <x:f>$M61-$N61</x:f>
      </x:c>
      <x:c r="P61" s="47">
        <x:f>$AF60</x:f>
      </x:c>
      <x:c r="Q61" s="47">
        <x:f>MIN(MAX(0,$L61-$N61-$V61),$P61)</x:f>
      </x:c>
      <x:c r="R61" s="47">
        <x:f>$P61-$Q61</x:f>
      </x:c>
      <x:c r="S61" s="47">
        <x:f>$R61*Inputs!$C$18/12</x:f>
      </x:c>
      <x:c r="T61" s="47">
        <x:f>MIN($S61,$J61+$K61)</x:f>
      </x:c>
      <x:c r="U61" s="47">
        <x:f>$AH60</x:f>
      </x:c>
      <x:c r="V61" s="47">
        <x:f>MIN(MAX(0,$L61-$N61),$U61)</x:f>
      </x:c>
      <x:c r="W61" s="47">
        <x:f>$U61-$V61</x:f>
      </x:c>
      <x:c r="X61" s="47">
        <x:f>$W61*Inputs!$C$19/12</x:f>
      </x:c>
      <x:c r="Y61" s="47">
        <x:f>MIN($X61,MAX(0,$J61-$T61) + ($K61-MAX(0,$T61-$J61)))</x:f>
      </x:c>
      <x:c r="Z61" s="47">
        <x:f>MIN(MAX(0,$B$17 - (($K61-MAX(0,$T61-$J61)) - MAX(0,$Y61-MAX(0,$J61-$T61)))), MAX(0, MAX(0,$J61-$T61) - $Y61))</x:f>
      </x:c>
      <x:c r="AA61" s="47">
        <x:f>(($K61-MAX(0,$T61-$J61)) - MAX(0,$Y61-MAX(0,$J61-$T61))) + $Z61</x:f>
      </x:c>
      <x:c r="AB61" s="47">
        <x:f>MAX(0,MAX(0,$J61-$T61)-$Y61)-$Z61</x:f>
      </x:c>
      <x:c r="AC61" s="47">
        <x:f>IF($B$18=1,$AB61,0)</x:f>
      </x:c>
      <x:c r="AD61" s="47">
        <x:f>$C61+$D61+$AC61</x:f>
      </x:c>
      <x:c r="AE61" s="47">
        <x:f>MIN($AD61,$R61)</x:f>
      </x:c>
      <x:c r="AF61" s="47">
        <x:f>$R61-$AE61</x:f>
      </x:c>
      <x:c r="AG61" s="47">
        <x:f>MIN(MAX(0,$AD61-$AE61),$W61)</x:f>
      </x:c>
      <x:c r="AH61" s="47">
        <x:f>$W61-$AG61</x:f>
      </x:c>
      <x:c r="AI61" s="47">
        <x:f>IF($B$18=1,0,$AB61) + MAX(0,$AD61-$AE61-$AG61)</x:f>
      </x:c>
      <x:c r="AJ61" s="47">
        <x:f>($E61+$F61)-($I61+$T61+$Y61+$AE61+$AG61+$AI61+$AA61)</x:f>
      </x:c>
    </x:row>
    <x:row r="62">
      <x:c r="A62" s="46" t="n">
        <x:v>42</x:v>
      </x:c>
      <x:c r="B62" s="47">
        <x:f>IF($A62&lt;=Inputs!$C$6+Inputs!$C$11,Cashflow_Asset!$E45,0)</x:f>
      </x:c>
      <x:c r="C62" s="47">
        <x:f>IF($A62&lt;=Inputs!$C$6,Cashflow_Asset!$F45+Cashflow_Asset!$G45,0)</x:f>
      </x:c>
      <x:c r="D62" s="47">
        <x:f>IF($A62&lt;=Inputs!$C$6+Inputs!$C$11,Cashflow_Asset!$I45,0)</x:f>
      </x:c>
      <x:c r="E62" s="47">
        <x:f>$B62+$C62+$D62</x:f>
      </x:c>
      <x:c r="F62" s="47">
        <x:f>$AA61</x:f>
      </x:c>
      <x:c r="G62" s="47">
        <x:f>$E62+$F62</x:f>
      </x:c>
      <x:c r="H62" s="47">
        <x:f>IF($A62&lt;=Inputs!$C$6+Inputs!$C$11,Cashflow_Asset!$K45,0)</x:f>
      </x:c>
      <x:c r="I62" s="47">
        <x:f>MIN($H62,$B62+$F62)</x:f>
      </x:c>
      <x:c r="J62" s="47">
        <x:f>MAX(0,$B62-$I62)</x:f>
      </x:c>
      <x:c r="K62" s="47">
        <x:f>MAX(0,$F62-MAX(0,$I62-$B62))</x:f>
      </x:c>
      <x:c r="L62" s="47">
        <x:f>IF($A62&lt;=Inputs!$C$6,Cashflow_Asset!$H45*Inputs!$C$10,0)</x:f>
      </x:c>
      <x:c r="M62" s="47">
        <x:f>$O61</x:f>
      </x:c>
      <x:c r="N62" s="47">
        <x:f>MIN($L62,$M62)</x:f>
      </x:c>
      <x:c r="O62" s="47">
        <x:f>$M62-$N62</x:f>
      </x:c>
      <x:c r="P62" s="47">
        <x:f>$AF61</x:f>
      </x:c>
      <x:c r="Q62" s="47">
        <x:f>MIN(MAX(0,$L62-$N62-$V62),$P62)</x:f>
      </x:c>
      <x:c r="R62" s="47">
        <x:f>$P62-$Q62</x:f>
      </x:c>
      <x:c r="S62" s="47">
        <x:f>$R62*Inputs!$C$18/12</x:f>
      </x:c>
      <x:c r="T62" s="47">
        <x:f>MIN($S62,$J62+$K62)</x:f>
      </x:c>
      <x:c r="U62" s="47">
        <x:f>$AH61</x:f>
      </x:c>
      <x:c r="V62" s="47">
        <x:f>MIN(MAX(0,$L62-$N62),$U62)</x:f>
      </x:c>
      <x:c r="W62" s="47">
        <x:f>$U62-$V62</x:f>
      </x:c>
      <x:c r="X62" s="47">
        <x:f>$W62*Inputs!$C$19/12</x:f>
      </x:c>
      <x:c r="Y62" s="47">
        <x:f>MIN($X62,MAX(0,$J62-$T62) + ($K62-MAX(0,$T62-$J62)))</x:f>
      </x:c>
      <x:c r="Z62" s="47">
        <x:f>MIN(MAX(0,$B$17 - (($K62-MAX(0,$T62-$J62)) - MAX(0,$Y62-MAX(0,$J62-$T62)))), MAX(0, MAX(0,$J62-$T62) - $Y62))</x:f>
      </x:c>
      <x:c r="AA62" s="47">
        <x:f>(($K62-MAX(0,$T62-$J62)) - MAX(0,$Y62-MAX(0,$J62-$T62))) + $Z62</x:f>
      </x:c>
      <x:c r="AB62" s="47">
        <x:f>MAX(0,MAX(0,$J62-$T62)-$Y62)-$Z62</x:f>
      </x:c>
      <x:c r="AC62" s="47">
        <x:f>IF($B$18=1,$AB62,0)</x:f>
      </x:c>
      <x:c r="AD62" s="47">
        <x:f>$C62+$D62+$AC62</x:f>
      </x:c>
      <x:c r="AE62" s="47">
        <x:f>MIN($AD62,$R62)</x:f>
      </x:c>
      <x:c r="AF62" s="47">
        <x:f>$R62-$AE62</x:f>
      </x:c>
      <x:c r="AG62" s="47">
        <x:f>MIN(MAX(0,$AD62-$AE62),$W62)</x:f>
      </x:c>
      <x:c r="AH62" s="47">
        <x:f>$W62-$AG62</x:f>
      </x:c>
      <x:c r="AI62" s="47">
        <x:f>IF($B$18=1,0,$AB62) + MAX(0,$AD62-$AE62-$AG62)</x:f>
      </x:c>
      <x:c r="AJ62" s="47">
        <x:f>($E62+$F62)-($I62+$T62+$Y62+$AE62+$AG62+$AI62+$AA62)</x:f>
      </x:c>
    </x:row>
    <x:row r="63">
      <x:c r="A63" s="46" t="n">
        <x:v>43</x:v>
      </x:c>
      <x:c r="B63" s="47">
        <x:f>IF($A63&lt;=Inputs!$C$6+Inputs!$C$11,Cashflow_Asset!$E46,0)</x:f>
      </x:c>
      <x:c r="C63" s="47">
        <x:f>IF($A63&lt;=Inputs!$C$6,Cashflow_Asset!$F46+Cashflow_Asset!$G46,0)</x:f>
      </x:c>
      <x:c r="D63" s="47">
        <x:f>IF($A63&lt;=Inputs!$C$6+Inputs!$C$11,Cashflow_Asset!$I46,0)</x:f>
      </x:c>
      <x:c r="E63" s="47">
        <x:f>$B63+$C63+$D63</x:f>
      </x:c>
      <x:c r="F63" s="47">
        <x:f>$AA62</x:f>
      </x:c>
      <x:c r="G63" s="47">
        <x:f>$E63+$F63</x:f>
      </x:c>
      <x:c r="H63" s="47">
        <x:f>IF($A63&lt;=Inputs!$C$6+Inputs!$C$11,Cashflow_Asset!$K46,0)</x:f>
      </x:c>
      <x:c r="I63" s="47">
        <x:f>MIN($H63,$B63+$F63)</x:f>
      </x:c>
      <x:c r="J63" s="47">
        <x:f>MAX(0,$B63-$I63)</x:f>
      </x:c>
      <x:c r="K63" s="47">
        <x:f>MAX(0,$F63-MAX(0,$I63-$B63))</x:f>
      </x:c>
      <x:c r="L63" s="47">
        <x:f>IF($A63&lt;=Inputs!$C$6,Cashflow_Asset!$H46*Inputs!$C$10,0)</x:f>
      </x:c>
      <x:c r="M63" s="47">
        <x:f>$O62</x:f>
      </x:c>
      <x:c r="N63" s="47">
        <x:f>MIN($L63,$M63)</x:f>
      </x:c>
      <x:c r="O63" s="47">
        <x:f>$M63-$N63</x:f>
      </x:c>
      <x:c r="P63" s="47">
        <x:f>$AF62</x:f>
      </x:c>
      <x:c r="Q63" s="47">
        <x:f>MIN(MAX(0,$L63-$N63-$V63),$P63)</x:f>
      </x:c>
      <x:c r="R63" s="47">
        <x:f>$P63-$Q63</x:f>
      </x:c>
      <x:c r="S63" s="47">
        <x:f>$R63*Inputs!$C$18/12</x:f>
      </x:c>
      <x:c r="T63" s="47">
        <x:f>MIN($S63,$J63+$K63)</x:f>
      </x:c>
      <x:c r="U63" s="47">
        <x:f>$AH62</x:f>
      </x:c>
      <x:c r="V63" s="47">
        <x:f>MIN(MAX(0,$L63-$N63),$U63)</x:f>
      </x:c>
      <x:c r="W63" s="47">
        <x:f>$U63-$V63</x:f>
      </x:c>
      <x:c r="X63" s="47">
        <x:f>$W63*Inputs!$C$19/12</x:f>
      </x:c>
      <x:c r="Y63" s="47">
        <x:f>MIN($X63,MAX(0,$J63-$T63) + ($K63-MAX(0,$T63-$J63)))</x:f>
      </x:c>
      <x:c r="Z63" s="47">
        <x:f>MIN(MAX(0,$B$17 - (($K63-MAX(0,$T63-$J63)) - MAX(0,$Y63-MAX(0,$J63-$T63)))), MAX(0, MAX(0,$J63-$T63) - $Y63))</x:f>
      </x:c>
      <x:c r="AA63" s="47">
        <x:f>(($K63-MAX(0,$T63-$J63)) - MAX(0,$Y63-MAX(0,$J63-$T63))) + $Z63</x:f>
      </x:c>
      <x:c r="AB63" s="47">
        <x:f>MAX(0,MAX(0,$J63-$T63)-$Y63)-$Z63</x:f>
      </x:c>
      <x:c r="AC63" s="47">
        <x:f>IF($B$18=1,$AB63,0)</x:f>
      </x:c>
      <x:c r="AD63" s="47">
        <x:f>$C63+$D63+$AC63</x:f>
      </x:c>
      <x:c r="AE63" s="47">
        <x:f>MIN($AD63,$R63)</x:f>
      </x:c>
      <x:c r="AF63" s="47">
        <x:f>$R63-$AE63</x:f>
      </x:c>
      <x:c r="AG63" s="47">
        <x:f>MIN(MAX(0,$AD63-$AE63),$W63)</x:f>
      </x:c>
      <x:c r="AH63" s="47">
        <x:f>$W63-$AG63</x:f>
      </x:c>
      <x:c r="AI63" s="47">
        <x:f>IF($B$18=1,0,$AB63) + MAX(0,$AD63-$AE63-$AG63)</x:f>
      </x:c>
      <x:c r="AJ63" s="47">
        <x:f>($E63+$F63)-($I63+$T63+$Y63+$AE63+$AG63+$AI63+$AA63)</x:f>
      </x:c>
    </x:row>
    <x:row r="64">
      <x:c r="A64" s="46" t="n">
        <x:v>44</x:v>
      </x:c>
      <x:c r="B64" s="47">
        <x:f>IF($A64&lt;=Inputs!$C$6+Inputs!$C$11,Cashflow_Asset!$E47,0)</x:f>
      </x:c>
      <x:c r="C64" s="47">
        <x:f>IF($A64&lt;=Inputs!$C$6,Cashflow_Asset!$F47+Cashflow_Asset!$G47,0)</x:f>
      </x:c>
      <x:c r="D64" s="47">
        <x:f>IF($A64&lt;=Inputs!$C$6+Inputs!$C$11,Cashflow_Asset!$I47,0)</x:f>
      </x:c>
      <x:c r="E64" s="47">
        <x:f>$B64+$C64+$D64</x:f>
      </x:c>
      <x:c r="F64" s="47">
        <x:f>$AA63</x:f>
      </x:c>
      <x:c r="G64" s="47">
        <x:f>$E64+$F64</x:f>
      </x:c>
      <x:c r="H64" s="47">
        <x:f>IF($A64&lt;=Inputs!$C$6+Inputs!$C$11,Cashflow_Asset!$K47,0)</x:f>
      </x:c>
      <x:c r="I64" s="47">
        <x:f>MIN($H64,$B64+$F64)</x:f>
      </x:c>
      <x:c r="J64" s="47">
        <x:f>MAX(0,$B64-$I64)</x:f>
      </x:c>
      <x:c r="K64" s="47">
        <x:f>MAX(0,$F64-MAX(0,$I64-$B64))</x:f>
      </x:c>
      <x:c r="L64" s="47">
        <x:f>IF($A64&lt;=Inputs!$C$6,Cashflow_Asset!$H47*Inputs!$C$10,0)</x:f>
      </x:c>
      <x:c r="M64" s="47">
        <x:f>$O63</x:f>
      </x:c>
      <x:c r="N64" s="47">
        <x:f>MIN($L64,$M64)</x:f>
      </x:c>
      <x:c r="O64" s="47">
        <x:f>$M64-$N64</x:f>
      </x:c>
      <x:c r="P64" s="47">
        <x:f>$AF63</x:f>
      </x:c>
      <x:c r="Q64" s="47">
        <x:f>MIN(MAX(0,$L64-$N64-$V64),$P64)</x:f>
      </x:c>
      <x:c r="R64" s="47">
        <x:f>$P64-$Q64</x:f>
      </x:c>
      <x:c r="S64" s="47">
        <x:f>$R64*Inputs!$C$18/12</x:f>
      </x:c>
      <x:c r="T64" s="47">
        <x:f>MIN($S64,$J64+$K64)</x:f>
      </x:c>
      <x:c r="U64" s="47">
        <x:f>$AH63</x:f>
      </x:c>
      <x:c r="V64" s="47">
        <x:f>MIN(MAX(0,$L64-$N64),$U64)</x:f>
      </x:c>
      <x:c r="W64" s="47">
        <x:f>$U64-$V64</x:f>
      </x:c>
      <x:c r="X64" s="47">
        <x:f>$W64*Inputs!$C$19/12</x:f>
      </x:c>
      <x:c r="Y64" s="47">
        <x:f>MIN($X64,MAX(0,$J64-$T64) + ($K64-MAX(0,$T64-$J64)))</x:f>
      </x:c>
      <x:c r="Z64" s="47">
        <x:f>MIN(MAX(0,$B$17 - (($K64-MAX(0,$T64-$J64)) - MAX(0,$Y64-MAX(0,$J64-$T64)))), MAX(0, MAX(0,$J64-$T64) - $Y64))</x:f>
      </x:c>
      <x:c r="AA64" s="47">
        <x:f>(($K64-MAX(0,$T64-$J64)) - MAX(0,$Y64-MAX(0,$J64-$T64))) + $Z64</x:f>
      </x:c>
      <x:c r="AB64" s="47">
        <x:f>MAX(0,MAX(0,$J64-$T64)-$Y64)-$Z64</x:f>
      </x:c>
      <x:c r="AC64" s="47">
        <x:f>IF($B$18=1,$AB64,0)</x:f>
      </x:c>
      <x:c r="AD64" s="47">
        <x:f>$C64+$D64+$AC64</x:f>
      </x:c>
      <x:c r="AE64" s="47">
        <x:f>MIN($AD64,$R64)</x:f>
      </x:c>
      <x:c r="AF64" s="47">
        <x:f>$R64-$AE64</x:f>
      </x:c>
      <x:c r="AG64" s="47">
        <x:f>MIN(MAX(0,$AD64-$AE64),$W64)</x:f>
      </x:c>
      <x:c r="AH64" s="47">
        <x:f>$W64-$AG64</x:f>
      </x:c>
      <x:c r="AI64" s="47">
        <x:f>IF($B$18=1,0,$AB64) + MAX(0,$AD64-$AE64-$AG64)</x:f>
      </x:c>
      <x:c r="AJ64" s="47">
        <x:f>($E64+$F64)-($I64+$T64+$Y64+$AE64+$AG64+$AI64+$AA64)</x:f>
      </x:c>
    </x:row>
    <x:row r="65">
      <x:c r="A65" s="46" t="n">
        <x:v>45</x:v>
      </x:c>
      <x:c r="B65" s="47">
        <x:f>IF($A65&lt;=Inputs!$C$6+Inputs!$C$11,Cashflow_Asset!$E48,0)</x:f>
      </x:c>
      <x:c r="C65" s="47">
        <x:f>IF($A65&lt;=Inputs!$C$6,Cashflow_Asset!$F48+Cashflow_Asset!$G48,0)</x:f>
      </x:c>
      <x:c r="D65" s="47">
        <x:f>IF($A65&lt;=Inputs!$C$6+Inputs!$C$11,Cashflow_Asset!$I48,0)</x:f>
      </x:c>
      <x:c r="E65" s="47">
        <x:f>$B65+$C65+$D65</x:f>
      </x:c>
      <x:c r="F65" s="47">
        <x:f>$AA64</x:f>
      </x:c>
      <x:c r="G65" s="47">
        <x:f>$E65+$F65</x:f>
      </x:c>
      <x:c r="H65" s="47">
        <x:f>IF($A65&lt;=Inputs!$C$6+Inputs!$C$11,Cashflow_Asset!$K48,0)</x:f>
      </x:c>
      <x:c r="I65" s="47">
        <x:f>MIN($H65,$B65+$F65)</x:f>
      </x:c>
      <x:c r="J65" s="47">
        <x:f>MAX(0,$B65-$I65)</x:f>
      </x:c>
      <x:c r="K65" s="47">
        <x:f>MAX(0,$F65-MAX(0,$I65-$B65))</x:f>
      </x:c>
      <x:c r="L65" s="47">
        <x:f>IF($A65&lt;=Inputs!$C$6,Cashflow_Asset!$H48*Inputs!$C$10,0)</x:f>
      </x:c>
      <x:c r="M65" s="47">
        <x:f>$O64</x:f>
      </x:c>
      <x:c r="N65" s="47">
        <x:f>MIN($L65,$M65)</x:f>
      </x:c>
      <x:c r="O65" s="47">
        <x:f>$M65-$N65</x:f>
      </x:c>
      <x:c r="P65" s="47">
        <x:f>$AF64</x:f>
      </x:c>
      <x:c r="Q65" s="47">
        <x:f>MIN(MAX(0,$L65-$N65-$V65),$P65)</x:f>
      </x:c>
      <x:c r="R65" s="47">
        <x:f>$P65-$Q65</x:f>
      </x:c>
      <x:c r="S65" s="47">
        <x:f>$R65*Inputs!$C$18/12</x:f>
      </x:c>
      <x:c r="T65" s="47">
        <x:f>MIN($S65,$J65+$K65)</x:f>
      </x:c>
      <x:c r="U65" s="47">
        <x:f>$AH64</x:f>
      </x:c>
      <x:c r="V65" s="47">
        <x:f>MIN(MAX(0,$L65-$N65),$U65)</x:f>
      </x:c>
      <x:c r="W65" s="47">
        <x:f>$U65-$V65</x:f>
      </x:c>
      <x:c r="X65" s="47">
        <x:f>$W65*Inputs!$C$19/12</x:f>
      </x:c>
      <x:c r="Y65" s="47">
        <x:f>MIN($X65,MAX(0,$J65-$T65) + ($K65-MAX(0,$T65-$J65)))</x:f>
      </x:c>
      <x:c r="Z65" s="47">
        <x:f>MIN(MAX(0,$B$17 - (($K65-MAX(0,$T65-$J65)) - MAX(0,$Y65-MAX(0,$J65-$T65)))), MAX(0, MAX(0,$J65-$T65) - $Y65))</x:f>
      </x:c>
      <x:c r="AA65" s="47">
        <x:f>(($K65-MAX(0,$T65-$J65)) - MAX(0,$Y65-MAX(0,$J65-$T65))) + $Z65</x:f>
      </x:c>
      <x:c r="AB65" s="47">
        <x:f>MAX(0,MAX(0,$J65-$T65)-$Y65)-$Z65</x:f>
      </x:c>
      <x:c r="AC65" s="47">
        <x:f>IF($B$18=1,$AB65,0)</x:f>
      </x:c>
      <x:c r="AD65" s="47">
        <x:f>$C65+$D65+$AC65</x:f>
      </x:c>
      <x:c r="AE65" s="47">
        <x:f>MIN($AD65,$R65)</x:f>
      </x:c>
      <x:c r="AF65" s="47">
        <x:f>$R65-$AE65</x:f>
      </x:c>
      <x:c r="AG65" s="47">
        <x:f>MIN(MAX(0,$AD65-$AE65),$W65)</x:f>
      </x:c>
      <x:c r="AH65" s="47">
        <x:f>$W65-$AG65</x:f>
      </x:c>
      <x:c r="AI65" s="47">
        <x:f>IF($B$18=1,0,$AB65) + MAX(0,$AD65-$AE65-$AG65)</x:f>
      </x:c>
      <x:c r="AJ65" s="47">
        <x:f>($E65+$F65)-($I65+$T65+$Y65+$AE65+$AG65+$AI65+$AA65)</x:f>
      </x:c>
    </x:row>
    <x:row r="66">
      <x:c r="A66" s="46" t="n">
        <x:v>46</x:v>
      </x:c>
      <x:c r="B66" s="47">
        <x:f>IF($A66&lt;=Inputs!$C$6+Inputs!$C$11,Cashflow_Asset!$E49,0)</x:f>
      </x:c>
      <x:c r="C66" s="47">
        <x:f>IF($A66&lt;=Inputs!$C$6,Cashflow_Asset!$F49+Cashflow_Asset!$G49,0)</x:f>
      </x:c>
      <x:c r="D66" s="47">
        <x:f>IF($A66&lt;=Inputs!$C$6+Inputs!$C$11,Cashflow_Asset!$I49,0)</x:f>
      </x:c>
      <x:c r="E66" s="47">
        <x:f>$B66+$C66+$D66</x:f>
      </x:c>
      <x:c r="F66" s="47">
        <x:f>$AA65</x:f>
      </x:c>
      <x:c r="G66" s="47">
        <x:f>$E66+$F66</x:f>
      </x:c>
      <x:c r="H66" s="47">
        <x:f>IF($A66&lt;=Inputs!$C$6+Inputs!$C$11,Cashflow_Asset!$K49,0)</x:f>
      </x:c>
      <x:c r="I66" s="47">
        <x:f>MIN($H66,$B66+$F66)</x:f>
      </x:c>
      <x:c r="J66" s="47">
        <x:f>MAX(0,$B66-$I66)</x:f>
      </x:c>
      <x:c r="K66" s="47">
        <x:f>MAX(0,$F66-MAX(0,$I66-$B66))</x:f>
      </x:c>
      <x:c r="L66" s="47">
        <x:f>IF($A66&lt;=Inputs!$C$6,Cashflow_Asset!$H49*Inputs!$C$10,0)</x:f>
      </x:c>
      <x:c r="M66" s="47">
        <x:f>$O65</x:f>
      </x:c>
      <x:c r="N66" s="47">
        <x:f>MIN($L66,$M66)</x:f>
      </x:c>
      <x:c r="O66" s="47">
        <x:f>$M66-$N66</x:f>
      </x:c>
      <x:c r="P66" s="47">
        <x:f>$AF65</x:f>
      </x:c>
      <x:c r="Q66" s="47">
        <x:f>MIN(MAX(0,$L66-$N66-$V66),$P66)</x:f>
      </x:c>
      <x:c r="R66" s="47">
        <x:f>$P66-$Q66</x:f>
      </x:c>
      <x:c r="S66" s="47">
        <x:f>$R66*Inputs!$C$18/12</x:f>
      </x:c>
      <x:c r="T66" s="47">
        <x:f>MIN($S66,$J66+$K66)</x:f>
      </x:c>
      <x:c r="U66" s="47">
        <x:f>$AH65</x:f>
      </x:c>
      <x:c r="V66" s="47">
        <x:f>MIN(MAX(0,$L66-$N66),$U66)</x:f>
      </x:c>
      <x:c r="W66" s="47">
        <x:f>$U66-$V66</x:f>
      </x:c>
      <x:c r="X66" s="47">
        <x:f>$W66*Inputs!$C$19/12</x:f>
      </x:c>
      <x:c r="Y66" s="47">
        <x:f>MIN($X66,MAX(0,$J66-$T66) + ($K66-MAX(0,$T66-$J66)))</x:f>
      </x:c>
      <x:c r="Z66" s="47">
        <x:f>MIN(MAX(0,$B$17 - (($K66-MAX(0,$T66-$J66)) - MAX(0,$Y66-MAX(0,$J66-$T66)))), MAX(0, MAX(0,$J66-$T66) - $Y66))</x:f>
      </x:c>
      <x:c r="AA66" s="47">
        <x:f>(($K66-MAX(0,$T66-$J66)) - MAX(0,$Y66-MAX(0,$J66-$T66))) + $Z66</x:f>
      </x:c>
      <x:c r="AB66" s="47">
        <x:f>MAX(0,MAX(0,$J66-$T66)-$Y66)-$Z66</x:f>
      </x:c>
      <x:c r="AC66" s="47">
        <x:f>IF($B$18=1,$AB66,0)</x:f>
      </x:c>
      <x:c r="AD66" s="47">
        <x:f>$C66+$D66+$AC66</x:f>
      </x:c>
      <x:c r="AE66" s="47">
        <x:f>MIN($AD66,$R66)</x:f>
      </x:c>
      <x:c r="AF66" s="47">
        <x:f>$R66-$AE66</x:f>
      </x:c>
      <x:c r="AG66" s="47">
        <x:f>MIN(MAX(0,$AD66-$AE66),$W66)</x:f>
      </x:c>
      <x:c r="AH66" s="47">
        <x:f>$W66-$AG66</x:f>
      </x:c>
      <x:c r="AI66" s="47">
        <x:f>IF($B$18=1,0,$AB66) + MAX(0,$AD66-$AE66-$AG66)</x:f>
      </x:c>
      <x:c r="AJ66" s="47">
        <x:f>($E66+$F66)-($I66+$T66+$Y66+$AE66+$AG66+$AI66+$AA66)</x:f>
      </x:c>
    </x:row>
    <x:row r="67">
      <x:c r="A67" s="46" t="n">
        <x:v>47</x:v>
      </x:c>
      <x:c r="B67" s="47">
        <x:f>IF($A67&lt;=Inputs!$C$6+Inputs!$C$11,Cashflow_Asset!$E50,0)</x:f>
      </x:c>
      <x:c r="C67" s="47">
        <x:f>IF($A67&lt;=Inputs!$C$6,Cashflow_Asset!$F50+Cashflow_Asset!$G50,0)</x:f>
      </x:c>
      <x:c r="D67" s="47">
        <x:f>IF($A67&lt;=Inputs!$C$6+Inputs!$C$11,Cashflow_Asset!$I50,0)</x:f>
      </x:c>
      <x:c r="E67" s="47">
        <x:f>$B67+$C67+$D67</x:f>
      </x:c>
      <x:c r="F67" s="47">
        <x:f>$AA66</x:f>
      </x:c>
      <x:c r="G67" s="47">
        <x:f>$E67+$F67</x:f>
      </x:c>
      <x:c r="H67" s="47">
        <x:f>IF($A67&lt;=Inputs!$C$6+Inputs!$C$11,Cashflow_Asset!$K50,0)</x:f>
      </x:c>
      <x:c r="I67" s="47">
        <x:f>MIN($H67,$B67+$F67)</x:f>
      </x:c>
      <x:c r="J67" s="47">
        <x:f>MAX(0,$B67-$I67)</x:f>
      </x:c>
      <x:c r="K67" s="47">
        <x:f>MAX(0,$F67-MAX(0,$I67-$B67))</x:f>
      </x:c>
      <x:c r="L67" s="47">
        <x:f>IF($A67&lt;=Inputs!$C$6,Cashflow_Asset!$H50*Inputs!$C$10,0)</x:f>
      </x:c>
      <x:c r="M67" s="47">
        <x:f>$O66</x:f>
      </x:c>
      <x:c r="N67" s="47">
        <x:f>MIN($L67,$M67)</x:f>
      </x:c>
      <x:c r="O67" s="47">
        <x:f>$M67-$N67</x:f>
      </x:c>
      <x:c r="P67" s="47">
        <x:f>$AF66</x:f>
      </x:c>
      <x:c r="Q67" s="47">
        <x:f>MIN(MAX(0,$L67-$N67-$V67),$P67)</x:f>
      </x:c>
      <x:c r="R67" s="47">
        <x:f>$P67-$Q67</x:f>
      </x:c>
      <x:c r="S67" s="47">
        <x:f>$R67*Inputs!$C$18/12</x:f>
      </x:c>
      <x:c r="T67" s="47">
        <x:f>MIN($S67,$J67+$K67)</x:f>
      </x:c>
      <x:c r="U67" s="47">
        <x:f>$AH66</x:f>
      </x:c>
      <x:c r="V67" s="47">
        <x:f>MIN(MAX(0,$L67-$N67),$U67)</x:f>
      </x:c>
      <x:c r="W67" s="47">
        <x:f>$U67-$V67</x:f>
      </x:c>
      <x:c r="X67" s="47">
        <x:f>$W67*Inputs!$C$19/12</x:f>
      </x:c>
      <x:c r="Y67" s="47">
        <x:f>MIN($X67,MAX(0,$J67-$T67) + ($K67-MAX(0,$T67-$J67)))</x:f>
      </x:c>
      <x:c r="Z67" s="47">
        <x:f>MIN(MAX(0,$B$17 - (($K67-MAX(0,$T67-$J67)) - MAX(0,$Y67-MAX(0,$J67-$T67)))), MAX(0, MAX(0,$J67-$T67) - $Y67))</x:f>
      </x:c>
      <x:c r="AA67" s="47">
        <x:f>(($K67-MAX(0,$T67-$J67)) - MAX(0,$Y67-MAX(0,$J67-$T67))) + $Z67</x:f>
      </x:c>
      <x:c r="AB67" s="47">
        <x:f>MAX(0,MAX(0,$J67-$T67)-$Y67)-$Z67</x:f>
      </x:c>
      <x:c r="AC67" s="47">
        <x:f>IF($B$18=1,$AB67,0)</x:f>
      </x:c>
      <x:c r="AD67" s="47">
        <x:f>$C67+$D67+$AC67</x:f>
      </x:c>
      <x:c r="AE67" s="47">
        <x:f>MIN($AD67,$R67)</x:f>
      </x:c>
      <x:c r="AF67" s="47">
        <x:f>$R67-$AE67</x:f>
      </x:c>
      <x:c r="AG67" s="47">
        <x:f>MIN(MAX(0,$AD67-$AE67),$W67)</x:f>
      </x:c>
      <x:c r="AH67" s="47">
        <x:f>$W67-$AG67</x:f>
      </x:c>
      <x:c r="AI67" s="47">
        <x:f>IF($B$18=1,0,$AB67) + MAX(0,$AD67-$AE67-$AG67)</x:f>
      </x:c>
      <x:c r="AJ67" s="47">
        <x:f>($E67+$F67)-($I67+$T67+$Y67+$AE67+$AG67+$AI67+$AA67)</x:f>
      </x:c>
    </x:row>
    <x:row r="68">
      <x:c r="A68" s="46" t="n">
        <x:v>48</x:v>
      </x:c>
      <x:c r="B68" s="47">
        <x:f>IF($A68&lt;=Inputs!$C$6+Inputs!$C$11,Cashflow_Asset!$E51,0)</x:f>
      </x:c>
      <x:c r="C68" s="47">
        <x:f>IF($A68&lt;=Inputs!$C$6,Cashflow_Asset!$F51+Cashflow_Asset!$G51,0)</x:f>
      </x:c>
      <x:c r="D68" s="47">
        <x:f>IF($A68&lt;=Inputs!$C$6+Inputs!$C$11,Cashflow_Asset!$I51,0)</x:f>
      </x:c>
      <x:c r="E68" s="47">
        <x:f>$B68+$C68+$D68</x:f>
      </x:c>
      <x:c r="F68" s="47">
        <x:f>$AA67</x:f>
      </x:c>
      <x:c r="G68" s="47">
        <x:f>$E68+$F68</x:f>
      </x:c>
      <x:c r="H68" s="47">
        <x:f>IF($A68&lt;=Inputs!$C$6+Inputs!$C$11,Cashflow_Asset!$K51,0)</x:f>
      </x:c>
      <x:c r="I68" s="47">
        <x:f>MIN($H68,$B68+$F68)</x:f>
      </x:c>
      <x:c r="J68" s="47">
        <x:f>MAX(0,$B68-$I68)</x:f>
      </x:c>
      <x:c r="K68" s="47">
        <x:f>MAX(0,$F68-MAX(0,$I68-$B68))</x:f>
      </x:c>
      <x:c r="L68" s="47">
        <x:f>IF($A68&lt;=Inputs!$C$6,Cashflow_Asset!$H51*Inputs!$C$10,0)</x:f>
      </x:c>
      <x:c r="M68" s="47">
        <x:f>$O67</x:f>
      </x:c>
      <x:c r="N68" s="47">
        <x:f>MIN($L68,$M68)</x:f>
      </x:c>
      <x:c r="O68" s="47">
        <x:f>$M68-$N68</x:f>
      </x:c>
      <x:c r="P68" s="47">
        <x:f>$AF67</x:f>
      </x:c>
      <x:c r="Q68" s="47">
        <x:f>MIN(MAX(0,$L68-$N68-$V68),$P68)</x:f>
      </x:c>
      <x:c r="R68" s="47">
        <x:f>$P68-$Q68</x:f>
      </x:c>
      <x:c r="S68" s="47">
        <x:f>$R68*Inputs!$C$18/12</x:f>
      </x:c>
      <x:c r="T68" s="47">
        <x:f>MIN($S68,$J68+$K68)</x:f>
      </x:c>
      <x:c r="U68" s="47">
        <x:f>$AH67</x:f>
      </x:c>
      <x:c r="V68" s="47">
        <x:f>MIN(MAX(0,$L68-$N68),$U68)</x:f>
      </x:c>
      <x:c r="W68" s="47">
        <x:f>$U68-$V68</x:f>
      </x:c>
      <x:c r="X68" s="47">
        <x:f>$W68*Inputs!$C$19/12</x:f>
      </x:c>
      <x:c r="Y68" s="47">
        <x:f>MIN($X68,MAX(0,$J68-$T68) + ($K68-MAX(0,$T68-$J68)))</x:f>
      </x:c>
      <x:c r="Z68" s="47">
        <x:f>MIN(MAX(0,$B$17 - (($K68-MAX(0,$T68-$J68)) - MAX(0,$Y68-MAX(0,$J68-$T68)))), MAX(0, MAX(0,$J68-$T68) - $Y68))</x:f>
      </x:c>
      <x:c r="AA68" s="47">
        <x:f>(($K68-MAX(0,$T68-$J68)) - MAX(0,$Y68-MAX(0,$J68-$T68))) + $Z68</x:f>
      </x:c>
      <x:c r="AB68" s="47">
        <x:f>MAX(0,MAX(0,$J68-$T68)-$Y68)-$Z68</x:f>
      </x:c>
      <x:c r="AC68" s="47">
        <x:f>IF($B$18=1,$AB68,0)</x:f>
      </x:c>
      <x:c r="AD68" s="47">
        <x:f>$C68+$D68+$AC68</x:f>
      </x:c>
      <x:c r="AE68" s="47">
        <x:f>MIN($AD68,$R68)</x:f>
      </x:c>
      <x:c r="AF68" s="47">
        <x:f>$R68-$AE68</x:f>
      </x:c>
      <x:c r="AG68" s="47">
        <x:f>MIN(MAX(0,$AD68-$AE68),$W68)</x:f>
      </x:c>
      <x:c r="AH68" s="47">
        <x:f>$W68-$AG68</x:f>
      </x:c>
      <x:c r="AI68" s="47">
        <x:f>IF($B$18=1,0,$AB68) + MAX(0,$AD68-$AE68-$AG68)</x:f>
      </x:c>
      <x:c r="AJ68" s="47">
        <x:f>($E68+$F68)-($I68+$T68+$Y68+$AE68+$AG68+$AI68+$AA68)</x:f>
      </x:c>
    </x:row>
    <x:row r="69">
      <x:c r="A69" s="46" t="n">
        <x:v>49</x:v>
      </x:c>
      <x:c r="B69" s="47">
        <x:f>IF($A69&lt;=Inputs!$C$6+Inputs!$C$11,Cashflow_Asset!$E52,0)</x:f>
      </x:c>
      <x:c r="C69" s="47">
        <x:f>IF($A69&lt;=Inputs!$C$6,Cashflow_Asset!$F52+Cashflow_Asset!$G52,0)</x:f>
      </x:c>
      <x:c r="D69" s="47">
        <x:f>IF($A69&lt;=Inputs!$C$6+Inputs!$C$11,Cashflow_Asset!$I52,0)</x:f>
      </x:c>
      <x:c r="E69" s="47">
        <x:f>$B69+$C69+$D69</x:f>
      </x:c>
      <x:c r="F69" s="47">
        <x:f>$AA68</x:f>
      </x:c>
      <x:c r="G69" s="47">
        <x:f>$E69+$F69</x:f>
      </x:c>
      <x:c r="H69" s="47">
        <x:f>IF($A69&lt;=Inputs!$C$6+Inputs!$C$11,Cashflow_Asset!$K52,0)</x:f>
      </x:c>
      <x:c r="I69" s="47">
        <x:f>MIN($H69,$B69+$F69)</x:f>
      </x:c>
      <x:c r="J69" s="47">
        <x:f>MAX(0,$B69-$I69)</x:f>
      </x:c>
      <x:c r="K69" s="47">
        <x:f>MAX(0,$F69-MAX(0,$I69-$B69))</x:f>
      </x:c>
      <x:c r="L69" s="47">
        <x:f>IF($A69&lt;=Inputs!$C$6,Cashflow_Asset!$H52*Inputs!$C$10,0)</x:f>
      </x:c>
      <x:c r="M69" s="47">
        <x:f>$O68</x:f>
      </x:c>
      <x:c r="N69" s="47">
        <x:f>MIN($L69,$M69)</x:f>
      </x:c>
      <x:c r="O69" s="47">
        <x:f>$M69-$N69</x:f>
      </x:c>
      <x:c r="P69" s="47">
        <x:f>$AF68</x:f>
      </x:c>
      <x:c r="Q69" s="47">
        <x:f>MIN(MAX(0,$L69-$N69-$V69),$P69)</x:f>
      </x:c>
      <x:c r="R69" s="47">
        <x:f>$P69-$Q69</x:f>
      </x:c>
      <x:c r="S69" s="47">
        <x:f>$R69*Inputs!$C$18/12</x:f>
      </x:c>
      <x:c r="T69" s="47">
        <x:f>MIN($S69,$J69+$K69)</x:f>
      </x:c>
      <x:c r="U69" s="47">
        <x:f>$AH68</x:f>
      </x:c>
      <x:c r="V69" s="47">
        <x:f>MIN(MAX(0,$L69-$N69),$U69)</x:f>
      </x:c>
      <x:c r="W69" s="47">
        <x:f>$U69-$V69</x:f>
      </x:c>
      <x:c r="X69" s="47">
        <x:f>$W69*Inputs!$C$19/12</x:f>
      </x:c>
      <x:c r="Y69" s="47">
        <x:f>MIN($X69,MAX(0,$J69-$T69) + ($K69-MAX(0,$T69-$J69)))</x:f>
      </x:c>
      <x:c r="Z69" s="47">
        <x:f>MIN(MAX(0,$B$17 - (($K69-MAX(0,$T69-$J69)) - MAX(0,$Y69-MAX(0,$J69-$T69)))), MAX(0, MAX(0,$J69-$T69) - $Y69))</x:f>
      </x:c>
      <x:c r="AA69" s="47">
        <x:f>(($K69-MAX(0,$T69-$J69)) - MAX(0,$Y69-MAX(0,$J69-$T69))) + $Z69</x:f>
      </x:c>
      <x:c r="AB69" s="47">
        <x:f>MAX(0,MAX(0,$J69-$T69)-$Y69)-$Z69</x:f>
      </x:c>
      <x:c r="AC69" s="47">
        <x:f>IF($B$18=1,$AB69,0)</x:f>
      </x:c>
      <x:c r="AD69" s="47">
        <x:f>$C69+$D69+$AC69</x:f>
      </x:c>
      <x:c r="AE69" s="47">
        <x:f>MIN($AD69,$R69)</x:f>
      </x:c>
      <x:c r="AF69" s="47">
        <x:f>$R69-$AE69</x:f>
      </x:c>
      <x:c r="AG69" s="47">
        <x:f>MIN(MAX(0,$AD69-$AE69),$W69)</x:f>
      </x:c>
      <x:c r="AH69" s="47">
        <x:f>$W69-$AG69</x:f>
      </x:c>
      <x:c r="AI69" s="47">
        <x:f>IF($B$18=1,0,$AB69) + MAX(0,$AD69-$AE69-$AG69)</x:f>
      </x:c>
      <x:c r="AJ69" s="47">
        <x:f>($E69+$F69)-($I69+$T69+$Y69+$AE69+$AG69+$AI69+$AA69)</x:f>
      </x:c>
    </x:row>
    <x:row r="70">
      <x:c r="A70" s="46" t="n">
        <x:v>50</x:v>
      </x:c>
      <x:c r="B70" s="47">
        <x:f>IF($A70&lt;=Inputs!$C$6+Inputs!$C$11,Cashflow_Asset!$E53,0)</x:f>
      </x:c>
      <x:c r="C70" s="47">
        <x:f>IF($A70&lt;=Inputs!$C$6,Cashflow_Asset!$F53+Cashflow_Asset!$G53,0)</x:f>
      </x:c>
      <x:c r="D70" s="47">
        <x:f>IF($A70&lt;=Inputs!$C$6+Inputs!$C$11,Cashflow_Asset!$I53,0)</x:f>
      </x:c>
      <x:c r="E70" s="47">
        <x:f>$B70+$C70+$D70</x:f>
      </x:c>
      <x:c r="F70" s="47">
        <x:f>$AA69</x:f>
      </x:c>
      <x:c r="G70" s="47">
        <x:f>$E70+$F70</x:f>
      </x:c>
      <x:c r="H70" s="47">
        <x:f>IF($A70&lt;=Inputs!$C$6+Inputs!$C$11,Cashflow_Asset!$K53,0)</x:f>
      </x:c>
      <x:c r="I70" s="47">
        <x:f>MIN($H70,$B70+$F70)</x:f>
      </x:c>
      <x:c r="J70" s="47">
        <x:f>MAX(0,$B70-$I70)</x:f>
      </x:c>
      <x:c r="K70" s="47">
        <x:f>MAX(0,$F70-MAX(0,$I70-$B70))</x:f>
      </x:c>
      <x:c r="L70" s="47">
        <x:f>IF($A70&lt;=Inputs!$C$6,Cashflow_Asset!$H53*Inputs!$C$10,0)</x:f>
      </x:c>
      <x:c r="M70" s="47">
        <x:f>$O69</x:f>
      </x:c>
      <x:c r="N70" s="47">
        <x:f>MIN($L70,$M70)</x:f>
      </x:c>
      <x:c r="O70" s="47">
        <x:f>$M70-$N70</x:f>
      </x:c>
      <x:c r="P70" s="47">
        <x:f>$AF69</x:f>
      </x:c>
      <x:c r="Q70" s="47">
        <x:f>MIN(MAX(0,$L70-$N70-$V70),$P70)</x:f>
      </x:c>
      <x:c r="R70" s="47">
        <x:f>$P70-$Q70</x:f>
      </x:c>
      <x:c r="S70" s="47">
        <x:f>$R70*Inputs!$C$18/12</x:f>
      </x:c>
      <x:c r="T70" s="47">
        <x:f>MIN($S70,$J70+$K70)</x:f>
      </x:c>
      <x:c r="U70" s="47">
        <x:f>$AH69</x:f>
      </x:c>
      <x:c r="V70" s="47">
        <x:f>MIN(MAX(0,$L70-$N70),$U70)</x:f>
      </x:c>
      <x:c r="W70" s="47">
        <x:f>$U70-$V70</x:f>
      </x:c>
      <x:c r="X70" s="47">
        <x:f>$W70*Inputs!$C$19/12</x:f>
      </x:c>
      <x:c r="Y70" s="47">
        <x:f>MIN($X70,MAX(0,$J70-$T70) + ($K70-MAX(0,$T70-$J70)))</x:f>
      </x:c>
      <x:c r="Z70" s="47">
        <x:f>MIN(MAX(0,$B$17 - (($K70-MAX(0,$T70-$J70)) - MAX(0,$Y70-MAX(0,$J70-$T70)))), MAX(0, MAX(0,$J70-$T70) - $Y70))</x:f>
      </x:c>
      <x:c r="AA70" s="47">
        <x:f>(($K70-MAX(0,$T70-$J70)) - MAX(0,$Y70-MAX(0,$J70-$T70))) + $Z70</x:f>
      </x:c>
      <x:c r="AB70" s="47">
        <x:f>MAX(0,MAX(0,$J70-$T70)-$Y70)-$Z70</x:f>
      </x:c>
      <x:c r="AC70" s="47">
        <x:f>IF($B$18=1,$AB70,0)</x:f>
      </x:c>
      <x:c r="AD70" s="47">
        <x:f>$C70+$D70+$AC70</x:f>
      </x:c>
      <x:c r="AE70" s="47">
        <x:f>MIN($AD70,$R70)</x:f>
      </x:c>
      <x:c r="AF70" s="47">
        <x:f>$R70-$AE70</x:f>
      </x:c>
      <x:c r="AG70" s="47">
        <x:f>MIN(MAX(0,$AD70-$AE70),$W70)</x:f>
      </x:c>
      <x:c r="AH70" s="47">
        <x:f>$W70-$AG70</x:f>
      </x:c>
      <x:c r="AI70" s="47">
        <x:f>IF($B$18=1,0,$AB70) + MAX(0,$AD70-$AE70-$AG70)</x:f>
      </x:c>
      <x:c r="AJ70" s="47">
        <x:f>($E70+$F70)-($I70+$T70+$Y70+$AE70+$AG70+$AI70+$AA70)</x:f>
      </x:c>
    </x:row>
    <x:row r="71">
      <x:c r="A71" s="46" t="n">
        <x:v>51</x:v>
      </x:c>
      <x:c r="B71" s="47">
        <x:f>IF($A71&lt;=Inputs!$C$6+Inputs!$C$11,Cashflow_Asset!$E54,0)</x:f>
      </x:c>
      <x:c r="C71" s="47">
        <x:f>IF($A71&lt;=Inputs!$C$6,Cashflow_Asset!$F54+Cashflow_Asset!$G54,0)</x:f>
      </x:c>
      <x:c r="D71" s="47">
        <x:f>IF($A71&lt;=Inputs!$C$6+Inputs!$C$11,Cashflow_Asset!$I54,0)</x:f>
      </x:c>
      <x:c r="E71" s="47">
        <x:f>$B71+$C71+$D71</x:f>
      </x:c>
      <x:c r="F71" s="47">
        <x:f>$AA70</x:f>
      </x:c>
      <x:c r="G71" s="47">
        <x:f>$E71+$F71</x:f>
      </x:c>
      <x:c r="H71" s="47">
        <x:f>IF($A71&lt;=Inputs!$C$6+Inputs!$C$11,Cashflow_Asset!$K54,0)</x:f>
      </x:c>
      <x:c r="I71" s="47">
        <x:f>MIN($H71,$B71+$F71)</x:f>
      </x:c>
      <x:c r="J71" s="47">
        <x:f>MAX(0,$B71-$I71)</x:f>
      </x:c>
      <x:c r="K71" s="47">
        <x:f>MAX(0,$F71-MAX(0,$I71-$B71))</x:f>
      </x:c>
      <x:c r="L71" s="47">
        <x:f>IF($A71&lt;=Inputs!$C$6,Cashflow_Asset!$H54*Inputs!$C$10,0)</x:f>
      </x:c>
      <x:c r="M71" s="47">
        <x:f>$O70</x:f>
      </x:c>
      <x:c r="N71" s="47">
        <x:f>MIN($L71,$M71)</x:f>
      </x:c>
      <x:c r="O71" s="47">
        <x:f>$M71-$N71</x:f>
      </x:c>
      <x:c r="P71" s="47">
        <x:f>$AF70</x:f>
      </x:c>
      <x:c r="Q71" s="47">
        <x:f>MIN(MAX(0,$L71-$N71-$V71),$P71)</x:f>
      </x:c>
      <x:c r="R71" s="47">
        <x:f>$P71-$Q71</x:f>
      </x:c>
      <x:c r="S71" s="47">
        <x:f>$R71*Inputs!$C$18/12</x:f>
      </x:c>
      <x:c r="T71" s="47">
        <x:f>MIN($S71,$J71+$K71)</x:f>
      </x:c>
      <x:c r="U71" s="47">
        <x:f>$AH70</x:f>
      </x:c>
      <x:c r="V71" s="47">
        <x:f>MIN(MAX(0,$L71-$N71),$U71)</x:f>
      </x:c>
      <x:c r="W71" s="47">
        <x:f>$U71-$V71</x:f>
      </x:c>
      <x:c r="X71" s="47">
        <x:f>$W71*Inputs!$C$19/12</x:f>
      </x:c>
      <x:c r="Y71" s="47">
        <x:f>MIN($X71,MAX(0,$J71-$T71) + ($K71-MAX(0,$T71-$J71)))</x:f>
      </x:c>
      <x:c r="Z71" s="47">
        <x:f>MIN(MAX(0,$B$17 - (($K71-MAX(0,$T71-$J71)) - MAX(0,$Y71-MAX(0,$J71-$T71)))), MAX(0, MAX(0,$J71-$T71) - $Y71))</x:f>
      </x:c>
      <x:c r="AA71" s="47">
        <x:f>(($K71-MAX(0,$T71-$J71)) - MAX(0,$Y71-MAX(0,$J71-$T71))) + $Z71</x:f>
      </x:c>
      <x:c r="AB71" s="47">
        <x:f>MAX(0,MAX(0,$J71-$T71)-$Y71)-$Z71</x:f>
      </x:c>
      <x:c r="AC71" s="47">
        <x:f>IF($B$18=1,$AB71,0)</x:f>
      </x:c>
      <x:c r="AD71" s="47">
        <x:f>$C71+$D71+$AC71</x:f>
      </x:c>
      <x:c r="AE71" s="47">
        <x:f>MIN($AD71,$R71)</x:f>
      </x:c>
      <x:c r="AF71" s="47">
        <x:f>$R71-$AE71</x:f>
      </x:c>
      <x:c r="AG71" s="47">
        <x:f>MIN(MAX(0,$AD71-$AE71),$W71)</x:f>
      </x:c>
      <x:c r="AH71" s="47">
        <x:f>$W71-$AG71</x:f>
      </x:c>
      <x:c r="AI71" s="47">
        <x:f>IF($B$18=1,0,$AB71) + MAX(0,$AD71-$AE71-$AG71)</x:f>
      </x:c>
      <x:c r="AJ71" s="47">
        <x:f>($E71+$F71)-($I71+$T71+$Y71+$AE71+$AG71+$AI71+$AA71)</x:f>
      </x:c>
    </x:row>
    <x:row r="72">
      <x:c r="A72" s="46" t="n">
        <x:v>52</x:v>
      </x:c>
      <x:c r="B72" s="47">
        <x:f>IF($A72&lt;=Inputs!$C$6+Inputs!$C$11,Cashflow_Asset!$E55,0)</x:f>
      </x:c>
      <x:c r="C72" s="47">
        <x:f>IF($A72&lt;=Inputs!$C$6,Cashflow_Asset!$F55+Cashflow_Asset!$G55,0)</x:f>
      </x:c>
      <x:c r="D72" s="47">
        <x:f>IF($A72&lt;=Inputs!$C$6+Inputs!$C$11,Cashflow_Asset!$I55,0)</x:f>
      </x:c>
      <x:c r="E72" s="47">
        <x:f>$B72+$C72+$D72</x:f>
      </x:c>
      <x:c r="F72" s="47">
        <x:f>$AA71</x:f>
      </x:c>
      <x:c r="G72" s="47">
        <x:f>$E72+$F72</x:f>
      </x:c>
      <x:c r="H72" s="47">
        <x:f>IF($A72&lt;=Inputs!$C$6+Inputs!$C$11,Cashflow_Asset!$K55,0)</x:f>
      </x:c>
      <x:c r="I72" s="47">
        <x:f>MIN($H72,$B72+$F72)</x:f>
      </x:c>
      <x:c r="J72" s="47">
        <x:f>MAX(0,$B72-$I72)</x:f>
      </x:c>
      <x:c r="K72" s="47">
        <x:f>MAX(0,$F72-MAX(0,$I72-$B72))</x:f>
      </x:c>
      <x:c r="L72" s="47">
        <x:f>IF($A72&lt;=Inputs!$C$6,Cashflow_Asset!$H55*Inputs!$C$10,0)</x:f>
      </x:c>
      <x:c r="M72" s="47">
        <x:f>$O71</x:f>
      </x:c>
      <x:c r="N72" s="47">
        <x:f>MIN($L72,$M72)</x:f>
      </x:c>
      <x:c r="O72" s="47">
        <x:f>$M72-$N72</x:f>
      </x:c>
      <x:c r="P72" s="47">
        <x:f>$AF71</x:f>
      </x:c>
      <x:c r="Q72" s="47">
        <x:f>MIN(MAX(0,$L72-$N72-$V72),$P72)</x:f>
      </x:c>
      <x:c r="R72" s="47">
        <x:f>$P72-$Q72</x:f>
      </x:c>
      <x:c r="S72" s="47">
        <x:f>$R72*Inputs!$C$18/12</x:f>
      </x:c>
      <x:c r="T72" s="47">
        <x:f>MIN($S72,$J72+$K72)</x:f>
      </x:c>
      <x:c r="U72" s="47">
        <x:f>$AH71</x:f>
      </x:c>
      <x:c r="V72" s="47">
        <x:f>MIN(MAX(0,$L72-$N72),$U72)</x:f>
      </x:c>
      <x:c r="W72" s="47">
        <x:f>$U72-$V72</x:f>
      </x:c>
      <x:c r="X72" s="47">
        <x:f>$W72*Inputs!$C$19/12</x:f>
      </x:c>
      <x:c r="Y72" s="47">
        <x:f>MIN($X72,MAX(0,$J72-$T72) + ($K72-MAX(0,$T72-$J72)))</x:f>
      </x:c>
      <x:c r="Z72" s="47">
        <x:f>MIN(MAX(0,$B$17 - (($K72-MAX(0,$T72-$J72)) - MAX(0,$Y72-MAX(0,$J72-$T72)))), MAX(0, MAX(0,$J72-$T72) - $Y72))</x:f>
      </x:c>
      <x:c r="AA72" s="47">
        <x:f>(($K72-MAX(0,$T72-$J72)) - MAX(0,$Y72-MAX(0,$J72-$T72))) + $Z72</x:f>
      </x:c>
      <x:c r="AB72" s="47">
        <x:f>MAX(0,MAX(0,$J72-$T72)-$Y72)-$Z72</x:f>
      </x:c>
      <x:c r="AC72" s="47">
        <x:f>IF($B$18=1,$AB72,0)</x:f>
      </x:c>
      <x:c r="AD72" s="47">
        <x:f>$C72+$D72+$AC72</x:f>
      </x:c>
      <x:c r="AE72" s="47">
        <x:f>MIN($AD72,$R72)</x:f>
      </x:c>
      <x:c r="AF72" s="47">
        <x:f>$R72-$AE72</x:f>
      </x:c>
      <x:c r="AG72" s="47">
        <x:f>MIN(MAX(0,$AD72-$AE72),$W72)</x:f>
      </x:c>
      <x:c r="AH72" s="47">
        <x:f>$W72-$AG72</x:f>
      </x:c>
      <x:c r="AI72" s="47">
        <x:f>IF($B$18=1,0,$AB72) + MAX(0,$AD72-$AE72-$AG72)</x:f>
      </x:c>
      <x:c r="AJ72" s="47">
        <x:f>($E72+$F72)-($I72+$T72+$Y72+$AE72+$AG72+$AI72+$AA72)</x:f>
      </x:c>
    </x:row>
    <x:row r="73">
      <x:c r="A73" s="46" t="n">
        <x:v>53</x:v>
      </x:c>
      <x:c r="B73" s="47">
        <x:f>IF($A73&lt;=Inputs!$C$6+Inputs!$C$11,Cashflow_Asset!$E56,0)</x:f>
      </x:c>
      <x:c r="C73" s="47">
        <x:f>IF($A73&lt;=Inputs!$C$6,Cashflow_Asset!$F56+Cashflow_Asset!$G56,0)</x:f>
      </x:c>
      <x:c r="D73" s="47">
        <x:f>IF($A73&lt;=Inputs!$C$6+Inputs!$C$11,Cashflow_Asset!$I56,0)</x:f>
      </x:c>
      <x:c r="E73" s="47">
        <x:f>$B73+$C73+$D73</x:f>
      </x:c>
      <x:c r="F73" s="47">
        <x:f>$AA72</x:f>
      </x:c>
      <x:c r="G73" s="47">
        <x:f>$E73+$F73</x:f>
      </x:c>
      <x:c r="H73" s="47">
        <x:f>IF($A73&lt;=Inputs!$C$6+Inputs!$C$11,Cashflow_Asset!$K56,0)</x:f>
      </x:c>
      <x:c r="I73" s="47">
        <x:f>MIN($H73,$B73+$F73)</x:f>
      </x:c>
      <x:c r="J73" s="47">
        <x:f>MAX(0,$B73-$I73)</x:f>
      </x:c>
      <x:c r="K73" s="47">
        <x:f>MAX(0,$F73-MAX(0,$I73-$B73))</x:f>
      </x:c>
      <x:c r="L73" s="47">
        <x:f>IF($A73&lt;=Inputs!$C$6,Cashflow_Asset!$H56*Inputs!$C$10,0)</x:f>
      </x:c>
      <x:c r="M73" s="47">
        <x:f>$O72</x:f>
      </x:c>
      <x:c r="N73" s="47">
        <x:f>MIN($L73,$M73)</x:f>
      </x:c>
      <x:c r="O73" s="47">
        <x:f>$M73-$N73</x:f>
      </x:c>
      <x:c r="P73" s="47">
        <x:f>$AF72</x:f>
      </x:c>
      <x:c r="Q73" s="47">
        <x:f>MIN(MAX(0,$L73-$N73-$V73),$P73)</x:f>
      </x:c>
      <x:c r="R73" s="47">
        <x:f>$P73-$Q73</x:f>
      </x:c>
      <x:c r="S73" s="47">
        <x:f>$R73*Inputs!$C$18/12</x:f>
      </x:c>
      <x:c r="T73" s="47">
        <x:f>MIN($S73,$J73+$K73)</x:f>
      </x:c>
      <x:c r="U73" s="47">
        <x:f>$AH72</x:f>
      </x:c>
      <x:c r="V73" s="47">
        <x:f>MIN(MAX(0,$L73-$N73),$U73)</x:f>
      </x:c>
      <x:c r="W73" s="47">
        <x:f>$U73-$V73</x:f>
      </x:c>
      <x:c r="X73" s="47">
        <x:f>$W73*Inputs!$C$19/12</x:f>
      </x:c>
      <x:c r="Y73" s="47">
        <x:f>MIN($X73,MAX(0,$J73-$T73) + ($K73-MAX(0,$T73-$J73)))</x:f>
      </x:c>
      <x:c r="Z73" s="47">
        <x:f>MIN(MAX(0,$B$17 - (($K73-MAX(0,$T73-$J73)) - MAX(0,$Y73-MAX(0,$J73-$T73)))), MAX(0, MAX(0,$J73-$T73) - $Y73))</x:f>
      </x:c>
      <x:c r="AA73" s="47">
        <x:f>(($K73-MAX(0,$T73-$J73)) - MAX(0,$Y73-MAX(0,$J73-$T73))) + $Z73</x:f>
      </x:c>
      <x:c r="AB73" s="47">
        <x:f>MAX(0,MAX(0,$J73-$T73)-$Y73)-$Z73</x:f>
      </x:c>
      <x:c r="AC73" s="47">
        <x:f>IF($B$18=1,$AB73,0)</x:f>
      </x:c>
      <x:c r="AD73" s="47">
        <x:f>$C73+$D73+$AC73</x:f>
      </x:c>
      <x:c r="AE73" s="47">
        <x:f>MIN($AD73,$R73)</x:f>
      </x:c>
      <x:c r="AF73" s="47">
        <x:f>$R73-$AE73</x:f>
      </x:c>
      <x:c r="AG73" s="47">
        <x:f>MIN(MAX(0,$AD73-$AE73),$W73)</x:f>
      </x:c>
      <x:c r="AH73" s="47">
        <x:f>$W73-$AG73</x:f>
      </x:c>
      <x:c r="AI73" s="47">
        <x:f>IF($B$18=1,0,$AB73) + MAX(0,$AD73-$AE73-$AG73)</x:f>
      </x:c>
      <x:c r="AJ73" s="47">
        <x:f>($E73+$F73)-($I73+$T73+$Y73+$AE73+$AG73+$AI73+$AA73)</x:f>
      </x:c>
    </x:row>
    <x:row r="74">
      <x:c r="A74" s="46" t="n">
        <x:v>54</x:v>
      </x:c>
      <x:c r="B74" s="47">
        <x:f>IF($A74&lt;=Inputs!$C$6+Inputs!$C$11,Cashflow_Asset!$E57,0)</x:f>
      </x:c>
      <x:c r="C74" s="47">
        <x:f>IF($A74&lt;=Inputs!$C$6,Cashflow_Asset!$F57+Cashflow_Asset!$G57,0)</x:f>
      </x:c>
      <x:c r="D74" s="47">
        <x:f>IF($A74&lt;=Inputs!$C$6+Inputs!$C$11,Cashflow_Asset!$I57,0)</x:f>
      </x:c>
      <x:c r="E74" s="47">
        <x:f>$B74+$C74+$D74</x:f>
      </x:c>
      <x:c r="F74" s="47">
        <x:f>$AA73</x:f>
      </x:c>
      <x:c r="G74" s="47">
        <x:f>$E74+$F74</x:f>
      </x:c>
      <x:c r="H74" s="47">
        <x:f>IF($A74&lt;=Inputs!$C$6+Inputs!$C$11,Cashflow_Asset!$K57,0)</x:f>
      </x:c>
      <x:c r="I74" s="47">
        <x:f>MIN($H74,$B74+$F74)</x:f>
      </x:c>
      <x:c r="J74" s="47">
        <x:f>MAX(0,$B74-$I74)</x:f>
      </x:c>
      <x:c r="K74" s="47">
        <x:f>MAX(0,$F74-MAX(0,$I74-$B74))</x:f>
      </x:c>
      <x:c r="L74" s="47">
        <x:f>IF($A74&lt;=Inputs!$C$6,Cashflow_Asset!$H57*Inputs!$C$10,0)</x:f>
      </x:c>
      <x:c r="M74" s="47">
        <x:f>$O73</x:f>
      </x:c>
      <x:c r="N74" s="47">
        <x:f>MIN($L74,$M74)</x:f>
      </x:c>
      <x:c r="O74" s="47">
        <x:f>$M74-$N74</x:f>
      </x:c>
      <x:c r="P74" s="47">
        <x:f>$AF73</x:f>
      </x:c>
      <x:c r="Q74" s="47">
        <x:f>MIN(MAX(0,$L74-$N74-$V74),$P74)</x:f>
      </x:c>
      <x:c r="R74" s="47">
        <x:f>$P74-$Q74</x:f>
      </x:c>
      <x:c r="S74" s="47">
        <x:f>$R74*Inputs!$C$18/12</x:f>
      </x:c>
      <x:c r="T74" s="47">
        <x:f>MIN($S74,$J74+$K74)</x:f>
      </x:c>
      <x:c r="U74" s="47">
        <x:f>$AH73</x:f>
      </x:c>
      <x:c r="V74" s="47">
        <x:f>MIN(MAX(0,$L74-$N74),$U74)</x:f>
      </x:c>
      <x:c r="W74" s="47">
        <x:f>$U74-$V74</x:f>
      </x:c>
      <x:c r="X74" s="47">
        <x:f>$W74*Inputs!$C$19/12</x:f>
      </x:c>
      <x:c r="Y74" s="47">
        <x:f>MIN($X74,MAX(0,$J74-$T74) + ($K74-MAX(0,$T74-$J74)))</x:f>
      </x:c>
      <x:c r="Z74" s="47">
        <x:f>MIN(MAX(0,$B$17 - (($K74-MAX(0,$T74-$J74)) - MAX(0,$Y74-MAX(0,$J74-$T74)))), MAX(0, MAX(0,$J74-$T74) - $Y74))</x:f>
      </x:c>
      <x:c r="AA74" s="47">
        <x:f>(($K74-MAX(0,$T74-$J74)) - MAX(0,$Y74-MAX(0,$J74-$T74))) + $Z74</x:f>
      </x:c>
      <x:c r="AB74" s="47">
        <x:f>MAX(0,MAX(0,$J74-$T74)-$Y74)-$Z74</x:f>
      </x:c>
      <x:c r="AC74" s="47">
        <x:f>IF($B$18=1,$AB74,0)</x:f>
      </x:c>
      <x:c r="AD74" s="47">
        <x:f>$C74+$D74+$AC74</x:f>
      </x:c>
      <x:c r="AE74" s="47">
        <x:f>MIN($AD74,$R74)</x:f>
      </x:c>
      <x:c r="AF74" s="47">
        <x:f>$R74-$AE74</x:f>
      </x:c>
      <x:c r="AG74" s="47">
        <x:f>MIN(MAX(0,$AD74-$AE74),$W74)</x:f>
      </x:c>
      <x:c r="AH74" s="47">
        <x:f>$W74-$AG74</x:f>
      </x:c>
      <x:c r="AI74" s="47">
        <x:f>IF($B$18=1,0,$AB74) + MAX(0,$AD74-$AE74-$AG74)</x:f>
      </x:c>
      <x:c r="AJ74" s="47">
        <x:f>($E74+$F74)-($I74+$T74+$Y74+$AE74+$AG74+$AI74+$AA74)</x:f>
      </x:c>
    </x:row>
    <x:row r="75">
      <x:c r="A75" s="46" t="n">
        <x:v>55</x:v>
      </x:c>
      <x:c r="B75" s="47">
        <x:f>IF($A75&lt;=Inputs!$C$6+Inputs!$C$11,Cashflow_Asset!$E58,0)</x:f>
      </x:c>
      <x:c r="C75" s="47">
        <x:f>IF($A75&lt;=Inputs!$C$6,Cashflow_Asset!$F58+Cashflow_Asset!$G58,0)</x:f>
      </x:c>
      <x:c r="D75" s="47">
        <x:f>IF($A75&lt;=Inputs!$C$6+Inputs!$C$11,Cashflow_Asset!$I58,0)</x:f>
      </x:c>
      <x:c r="E75" s="47">
        <x:f>$B75+$C75+$D75</x:f>
      </x:c>
      <x:c r="F75" s="47">
        <x:f>$AA74</x:f>
      </x:c>
      <x:c r="G75" s="47">
        <x:f>$E75+$F75</x:f>
      </x:c>
      <x:c r="H75" s="47">
        <x:f>IF($A75&lt;=Inputs!$C$6+Inputs!$C$11,Cashflow_Asset!$K58,0)</x:f>
      </x:c>
      <x:c r="I75" s="47">
        <x:f>MIN($H75,$B75+$F75)</x:f>
      </x:c>
      <x:c r="J75" s="47">
        <x:f>MAX(0,$B75-$I75)</x:f>
      </x:c>
      <x:c r="K75" s="47">
        <x:f>MAX(0,$F75-MAX(0,$I75-$B75))</x:f>
      </x:c>
      <x:c r="L75" s="47">
        <x:f>IF($A75&lt;=Inputs!$C$6,Cashflow_Asset!$H58*Inputs!$C$10,0)</x:f>
      </x:c>
      <x:c r="M75" s="47">
        <x:f>$O74</x:f>
      </x:c>
      <x:c r="N75" s="47">
        <x:f>MIN($L75,$M75)</x:f>
      </x:c>
      <x:c r="O75" s="47">
        <x:f>$M75-$N75</x:f>
      </x:c>
      <x:c r="P75" s="47">
        <x:f>$AF74</x:f>
      </x:c>
      <x:c r="Q75" s="47">
        <x:f>MIN(MAX(0,$L75-$N75-$V75),$P75)</x:f>
      </x:c>
      <x:c r="R75" s="47">
        <x:f>$P75-$Q75</x:f>
      </x:c>
      <x:c r="S75" s="47">
        <x:f>$R75*Inputs!$C$18/12</x:f>
      </x:c>
      <x:c r="T75" s="47">
        <x:f>MIN($S75,$J75+$K75)</x:f>
      </x:c>
      <x:c r="U75" s="47">
        <x:f>$AH74</x:f>
      </x:c>
      <x:c r="V75" s="47">
        <x:f>MIN(MAX(0,$L75-$N75),$U75)</x:f>
      </x:c>
      <x:c r="W75" s="47">
        <x:f>$U75-$V75</x:f>
      </x:c>
      <x:c r="X75" s="47">
        <x:f>$W75*Inputs!$C$19/12</x:f>
      </x:c>
      <x:c r="Y75" s="47">
        <x:f>MIN($X75,MAX(0,$J75-$T75) + ($K75-MAX(0,$T75-$J75)))</x:f>
      </x:c>
      <x:c r="Z75" s="47">
        <x:f>MIN(MAX(0,$B$17 - (($K75-MAX(0,$T75-$J75)) - MAX(0,$Y75-MAX(0,$J75-$T75)))), MAX(0, MAX(0,$J75-$T75) - $Y75))</x:f>
      </x:c>
      <x:c r="AA75" s="47">
        <x:f>(($K75-MAX(0,$T75-$J75)) - MAX(0,$Y75-MAX(0,$J75-$T75))) + $Z75</x:f>
      </x:c>
      <x:c r="AB75" s="47">
        <x:f>MAX(0,MAX(0,$J75-$T75)-$Y75)-$Z75</x:f>
      </x:c>
      <x:c r="AC75" s="47">
        <x:f>IF($B$18=1,$AB75,0)</x:f>
      </x:c>
      <x:c r="AD75" s="47">
        <x:f>$C75+$D75+$AC75</x:f>
      </x:c>
      <x:c r="AE75" s="47">
        <x:f>MIN($AD75,$R75)</x:f>
      </x:c>
      <x:c r="AF75" s="47">
        <x:f>$R75-$AE75</x:f>
      </x:c>
      <x:c r="AG75" s="47">
        <x:f>MIN(MAX(0,$AD75-$AE75),$W75)</x:f>
      </x:c>
      <x:c r="AH75" s="47">
        <x:f>$W75-$AG75</x:f>
      </x:c>
      <x:c r="AI75" s="47">
        <x:f>IF($B$18=1,0,$AB75) + MAX(0,$AD75-$AE75-$AG75)</x:f>
      </x:c>
      <x:c r="AJ75" s="47">
        <x:f>($E75+$F75)-($I75+$T75+$Y75+$AE75+$AG75+$AI75+$AA75)</x:f>
      </x:c>
    </x:row>
    <x:row r="76">
      <x:c r="A76" s="46" t="n">
        <x:v>56</x:v>
      </x:c>
      <x:c r="B76" s="47">
        <x:f>IF($A76&lt;=Inputs!$C$6+Inputs!$C$11,Cashflow_Asset!$E59,0)</x:f>
      </x:c>
      <x:c r="C76" s="47">
        <x:f>IF($A76&lt;=Inputs!$C$6,Cashflow_Asset!$F59+Cashflow_Asset!$G59,0)</x:f>
      </x:c>
      <x:c r="D76" s="47">
        <x:f>IF($A76&lt;=Inputs!$C$6+Inputs!$C$11,Cashflow_Asset!$I59,0)</x:f>
      </x:c>
      <x:c r="E76" s="47">
        <x:f>$B76+$C76+$D76</x:f>
      </x:c>
      <x:c r="F76" s="47">
        <x:f>$AA75</x:f>
      </x:c>
      <x:c r="G76" s="47">
        <x:f>$E76+$F76</x:f>
      </x:c>
      <x:c r="H76" s="47">
        <x:f>IF($A76&lt;=Inputs!$C$6+Inputs!$C$11,Cashflow_Asset!$K59,0)</x:f>
      </x:c>
      <x:c r="I76" s="47">
        <x:f>MIN($H76,$B76+$F76)</x:f>
      </x:c>
      <x:c r="J76" s="47">
        <x:f>MAX(0,$B76-$I76)</x:f>
      </x:c>
      <x:c r="K76" s="47">
        <x:f>MAX(0,$F76-MAX(0,$I76-$B76))</x:f>
      </x:c>
      <x:c r="L76" s="47">
        <x:f>IF($A76&lt;=Inputs!$C$6,Cashflow_Asset!$H59*Inputs!$C$10,0)</x:f>
      </x:c>
      <x:c r="M76" s="47">
        <x:f>$O75</x:f>
      </x:c>
      <x:c r="N76" s="47">
        <x:f>MIN($L76,$M76)</x:f>
      </x:c>
      <x:c r="O76" s="47">
        <x:f>$M76-$N76</x:f>
      </x:c>
      <x:c r="P76" s="47">
        <x:f>$AF75</x:f>
      </x:c>
      <x:c r="Q76" s="47">
        <x:f>MIN(MAX(0,$L76-$N76-$V76),$P76)</x:f>
      </x:c>
      <x:c r="R76" s="47">
        <x:f>$P76-$Q76</x:f>
      </x:c>
      <x:c r="S76" s="47">
        <x:f>$R76*Inputs!$C$18/12</x:f>
      </x:c>
      <x:c r="T76" s="47">
        <x:f>MIN($S76,$J76+$K76)</x:f>
      </x:c>
      <x:c r="U76" s="47">
        <x:f>$AH75</x:f>
      </x:c>
      <x:c r="V76" s="47">
        <x:f>MIN(MAX(0,$L76-$N76),$U76)</x:f>
      </x:c>
      <x:c r="W76" s="47">
        <x:f>$U76-$V76</x:f>
      </x:c>
      <x:c r="X76" s="47">
        <x:f>$W76*Inputs!$C$19/12</x:f>
      </x:c>
      <x:c r="Y76" s="47">
        <x:f>MIN($X76,MAX(0,$J76-$T76) + ($K76-MAX(0,$T76-$J76)))</x:f>
      </x:c>
      <x:c r="Z76" s="47">
        <x:f>MIN(MAX(0,$B$17 - (($K76-MAX(0,$T76-$J76)) - MAX(0,$Y76-MAX(0,$J76-$T76)))), MAX(0, MAX(0,$J76-$T76) - $Y76))</x:f>
      </x:c>
      <x:c r="AA76" s="47">
        <x:f>(($K76-MAX(0,$T76-$J76)) - MAX(0,$Y76-MAX(0,$J76-$T76))) + $Z76</x:f>
      </x:c>
      <x:c r="AB76" s="47">
        <x:f>MAX(0,MAX(0,$J76-$T76)-$Y76)-$Z76</x:f>
      </x:c>
      <x:c r="AC76" s="47">
        <x:f>IF($B$18=1,$AB76,0)</x:f>
      </x:c>
      <x:c r="AD76" s="47">
        <x:f>$C76+$D76+$AC76</x:f>
      </x:c>
      <x:c r="AE76" s="47">
        <x:f>MIN($AD76,$R76)</x:f>
      </x:c>
      <x:c r="AF76" s="47">
        <x:f>$R76-$AE76</x:f>
      </x:c>
      <x:c r="AG76" s="47">
        <x:f>MIN(MAX(0,$AD76-$AE76),$W76)</x:f>
      </x:c>
      <x:c r="AH76" s="47">
        <x:f>$W76-$AG76</x:f>
      </x:c>
      <x:c r="AI76" s="47">
        <x:f>IF($B$18=1,0,$AB76) + MAX(0,$AD76-$AE76-$AG76)</x:f>
      </x:c>
      <x:c r="AJ76" s="47">
        <x:f>($E76+$F76)-($I76+$T76+$Y76+$AE76+$AG76+$AI76+$AA76)</x:f>
      </x:c>
    </x:row>
    <x:row r="77">
      <x:c r="A77" s="46" t="n">
        <x:v>57</x:v>
      </x:c>
      <x:c r="B77" s="47">
        <x:f>IF($A77&lt;=Inputs!$C$6+Inputs!$C$11,Cashflow_Asset!$E60,0)</x:f>
      </x:c>
      <x:c r="C77" s="47">
        <x:f>IF($A77&lt;=Inputs!$C$6,Cashflow_Asset!$F60+Cashflow_Asset!$G60,0)</x:f>
      </x:c>
      <x:c r="D77" s="47">
        <x:f>IF($A77&lt;=Inputs!$C$6+Inputs!$C$11,Cashflow_Asset!$I60,0)</x:f>
      </x:c>
      <x:c r="E77" s="47">
        <x:f>$B77+$C77+$D77</x:f>
      </x:c>
      <x:c r="F77" s="47">
        <x:f>$AA76</x:f>
      </x:c>
      <x:c r="G77" s="47">
        <x:f>$E77+$F77</x:f>
      </x:c>
      <x:c r="H77" s="47">
        <x:f>IF($A77&lt;=Inputs!$C$6+Inputs!$C$11,Cashflow_Asset!$K60,0)</x:f>
      </x:c>
      <x:c r="I77" s="47">
        <x:f>MIN($H77,$B77+$F77)</x:f>
      </x:c>
      <x:c r="J77" s="47">
        <x:f>MAX(0,$B77-$I77)</x:f>
      </x:c>
      <x:c r="K77" s="47">
        <x:f>MAX(0,$F77-MAX(0,$I77-$B77))</x:f>
      </x:c>
      <x:c r="L77" s="47">
        <x:f>IF($A77&lt;=Inputs!$C$6,Cashflow_Asset!$H60*Inputs!$C$10,0)</x:f>
      </x:c>
      <x:c r="M77" s="47">
        <x:f>$O76</x:f>
      </x:c>
      <x:c r="N77" s="47">
        <x:f>MIN($L77,$M77)</x:f>
      </x:c>
      <x:c r="O77" s="47">
        <x:f>$M77-$N77</x:f>
      </x:c>
      <x:c r="P77" s="47">
        <x:f>$AF76</x:f>
      </x:c>
      <x:c r="Q77" s="47">
        <x:f>MIN(MAX(0,$L77-$N77-$V77),$P77)</x:f>
      </x:c>
      <x:c r="R77" s="47">
        <x:f>$P77-$Q77</x:f>
      </x:c>
      <x:c r="S77" s="47">
        <x:f>$R77*Inputs!$C$18/12</x:f>
      </x:c>
      <x:c r="T77" s="47">
        <x:f>MIN($S77,$J77+$K77)</x:f>
      </x:c>
      <x:c r="U77" s="47">
        <x:f>$AH76</x:f>
      </x:c>
      <x:c r="V77" s="47">
        <x:f>MIN(MAX(0,$L77-$N77),$U77)</x:f>
      </x:c>
      <x:c r="W77" s="47">
        <x:f>$U77-$V77</x:f>
      </x:c>
      <x:c r="X77" s="47">
        <x:f>$W77*Inputs!$C$19/12</x:f>
      </x:c>
      <x:c r="Y77" s="47">
        <x:f>MIN($X77,MAX(0,$J77-$T77) + ($K77-MAX(0,$T77-$J77)))</x:f>
      </x:c>
      <x:c r="Z77" s="47">
        <x:f>MIN(MAX(0,$B$17 - (($K77-MAX(0,$T77-$J77)) - MAX(0,$Y77-MAX(0,$J77-$T77)))), MAX(0, MAX(0,$J77-$T77) - $Y77))</x:f>
      </x:c>
      <x:c r="AA77" s="47">
        <x:f>(($K77-MAX(0,$T77-$J77)) - MAX(0,$Y77-MAX(0,$J77-$T77))) + $Z77</x:f>
      </x:c>
      <x:c r="AB77" s="47">
        <x:f>MAX(0,MAX(0,$J77-$T77)-$Y77)-$Z77</x:f>
      </x:c>
      <x:c r="AC77" s="47">
        <x:f>IF($B$18=1,$AB77,0)</x:f>
      </x:c>
      <x:c r="AD77" s="47">
        <x:f>$C77+$D77+$AC77</x:f>
      </x:c>
      <x:c r="AE77" s="47">
        <x:f>MIN($AD77,$R77)</x:f>
      </x:c>
      <x:c r="AF77" s="47">
        <x:f>$R77-$AE77</x:f>
      </x:c>
      <x:c r="AG77" s="47">
        <x:f>MIN(MAX(0,$AD77-$AE77),$W77)</x:f>
      </x:c>
      <x:c r="AH77" s="47">
        <x:f>$W77-$AG77</x:f>
      </x:c>
      <x:c r="AI77" s="47">
        <x:f>IF($B$18=1,0,$AB77) + MAX(0,$AD77-$AE77-$AG77)</x:f>
      </x:c>
      <x:c r="AJ77" s="47">
        <x:f>($E77+$F77)-($I77+$T77+$Y77+$AE77+$AG77+$AI77+$AA77)</x:f>
      </x:c>
    </x:row>
    <x:row r="78">
      <x:c r="A78" s="46" t="n">
        <x:v>58</x:v>
      </x:c>
      <x:c r="B78" s="47">
        <x:f>IF($A78&lt;=Inputs!$C$6+Inputs!$C$11,Cashflow_Asset!$E61,0)</x:f>
      </x:c>
      <x:c r="C78" s="47">
        <x:f>IF($A78&lt;=Inputs!$C$6,Cashflow_Asset!$F61+Cashflow_Asset!$G61,0)</x:f>
      </x:c>
      <x:c r="D78" s="47">
        <x:f>IF($A78&lt;=Inputs!$C$6+Inputs!$C$11,Cashflow_Asset!$I61,0)</x:f>
      </x:c>
      <x:c r="E78" s="47">
        <x:f>$B78+$C78+$D78</x:f>
      </x:c>
      <x:c r="F78" s="47">
        <x:f>$AA77</x:f>
      </x:c>
      <x:c r="G78" s="47">
        <x:f>$E78+$F78</x:f>
      </x:c>
      <x:c r="H78" s="47">
        <x:f>IF($A78&lt;=Inputs!$C$6+Inputs!$C$11,Cashflow_Asset!$K61,0)</x:f>
      </x:c>
      <x:c r="I78" s="47">
        <x:f>MIN($H78,$B78+$F78)</x:f>
      </x:c>
      <x:c r="J78" s="47">
        <x:f>MAX(0,$B78-$I78)</x:f>
      </x:c>
      <x:c r="K78" s="47">
        <x:f>MAX(0,$F78-MAX(0,$I78-$B78))</x:f>
      </x:c>
      <x:c r="L78" s="47">
        <x:f>IF($A78&lt;=Inputs!$C$6,Cashflow_Asset!$H61*Inputs!$C$10,0)</x:f>
      </x:c>
      <x:c r="M78" s="47">
        <x:f>$O77</x:f>
      </x:c>
      <x:c r="N78" s="47">
        <x:f>MIN($L78,$M78)</x:f>
      </x:c>
      <x:c r="O78" s="47">
        <x:f>$M78-$N78</x:f>
      </x:c>
      <x:c r="P78" s="47">
        <x:f>$AF77</x:f>
      </x:c>
      <x:c r="Q78" s="47">
        <x:f>MIN(MAX(0,$L78-$N78-$V78),$P78)</x:f>
      </x:c>
      <x:c r="R78" s="47">
        <x:f>$P78-$Q78</x:f>
      </x:c>
      <x:c r="S78" s="47">
        <x:f>$R78*Inputs!$C$18/12</x:f>
      </x:c>
      <x:c r="T78" s="47">
        <x:f>MIN($S78,$J78+$K78)</x:f>
      </x:c>
      <x:c r="U78" s="47">
        <x:f>$AH77</x:f>
      </x:c>
      <x:c r="V78" s="47">
        <x:f>MIN(MAX(0,$L78-$N78),$U78)</x:f>
      </x:c>
      <x:c r="W78" s="47">
        <x:f>$U78-$V78</x:f>
      </x:c>
      <x:c r="X78" s="47">
        <x:f>$W78*Inputs!$C$19/12</x:f>
      </x:c>
      <x:c r="Y78" s="47">
        <x:f>MIN($X78,MAX(0,$J78-$T78) + ($K78-MAX(0,$T78-$J78)))</x:f>
      </x:c>
      <x:c r="Z78" s="47">
        <x:f>MIN(MAX(0,$B$17 - (($K78-MAX(0,$T78-$J78)) - MAX(0,$Y78-MAX(0,$J78-$T78)))), MAX(0, MAX(0,$J78-$T78) - $Y78))</x:f>
      </x:c>
      <x:c r="AA78" s="47">
        <x:f>(($K78-MAX(0,$T78-$J78)) - MAX(0,$Y78-MAX(0,$J78-$T78))) + $Z78</x:f>
      </x:c>
      <x:c r="AB78" s="47">
        <x:f>MAX(0,MAX(0,$J78-$T78)-$Y78)-$Z78</x:f>
      </x:c>
      <x:c r="AC78" s="47">
        <x:f>IF($B$18=1,$AB78,0)</x:f>
      </x:c>
      <x:c r="AD78" s="47">
        <x:f>$C78+$D78+$AC78</x:f>
      </x:c>
      <x:c r="AE78" s="47">
        <x:f>MIN($AD78,$R78)</x:f>
      </x:c>
      <x:c r="AF78" s="47">
        <x:f>$R78-$AE78</x:f>
      </x:c>
      <x:c r="AG78" s="47">
        <x:f>MIN(MAX(0,$AD78-$AE78),$W78)</x:f>
      </x:c>
      <x:c r="AH78" s="47">
        <x:f>$W78-$AG78</x:f>
      </x:c>
      <x:c r="AI78" s="47">
        <x:f>IF($B$18=1,0,$AB78) + MAX(0,$AD78-$AE78-$AG78)</x:f>
      </x:c>
      <x:c r="AJ78" s="47">
        <x:f>($E78+$F78)-($I78+$T78+$Y78+$AE78+$AG78+$AI78+$AA78)</x:f>
      </x:c>
    </x:row>
    <x:row r="79">
      <x:c r="A79" s="46" t="n">
        <x:v>59</x:v>
      </x:c>
      <x:c r="B79" s="47">
        <x:f>IF($A79&lt;=Inputs!$C$6+Inputs!$C$11,Cashflow_Asset!$E62,0)</x:f>
      </x:c>
      <x:c r="C79" s="47">
        <x:f>IF($A79&lt;=Inputs!$C$6,Cashflow_Asset!$F62+Cashflow_Asset!$G62,0)</x:f>
      </x:c>
      <x:c r="D79" s="47">
        <x:f>IF($A79&lt;=Inputs!$C$6+Inputs!$C$11,Cashflow_Asset!$I62,0)</x:f>
      </x:c>
      <x:c r="E79" s="47">
        <x:f>$B79+$C79+$D79</x:f>
      </x:c>
      <x:c r="F79" s="47">
        <x:f>$AA78</x:f>
      </x:c>
      <x:c r="G79" s="47">
        <x:f>$E79+$F79</x:f>
      </x:c>
      <x:c r="H79" s="47">
        <x:f>IF($A79&lt;=Inputs!$C$6+Inputs!$C$11,Cashflow_Asset!$K62,0)</x:f>
      </x:c>
      <x:c r="I79" s="47">
        <x:f>MIN($H79,$B79+$F79)</x:f>
      </x:c>
      <x:c r="J79" s="47">
        <x:f>MAX(0,$B79-$I79)</x:f>
      </x:c>
      <x:c r="K79" s="47">
        <x:f>MAX(0,$F79-MAX(0,$I79-$B79))</x:f>
      </x:c>
      <x:c r="L79" s="47">
        <x:f>IF($A79&lt;=Inputs!$C$6,Cashflow_Asset!$H62*Inputs!$C$10,0)</x:f>
      </x:c>
      <x:c r="M79" s="47">
        <x:f>$O78</x:f>
      </x:c>
      <x:c r="N79" s="47">
        <x:f>MIN($L79,$M79)</x:f>
      </x:c>
      <x:c r="O79" s="47">
        <x:f>$M79-$N79</x:f>
      </x:c>
      <x:c r="P79" s="47">
        <x:f>$AF78</x:f>
      </x:c>
      <x:c r="Q79" s="47">
        <x:f>MIN(MAX(0,$L79-$N79-$V79),$P79)</x:f>
      </x:c>
      <x:c r="R79" s="47">
        <x:f>$P79-$Q79</x:f>
      </x:c>
      <x:c r="S79" s="47">
        <x:f>$R79*Inputs!$C$18/12</x:f>
      </x:c>
      <x:c r="T79" s="47">
        <x:f>MIN($S79,$J79+$K79)</x:f>
      </x:c>
      <x:c r="U79" s="47">
        <x:f>$AH78</x:f>
      </x:c>
      <x:c r="V79" s="47">
        <x:f>MIN(MAX(0,$L79-$N79),$U79)</x:f>
      </x:c>
      <x:c r="W79" s="47">
        <x:f>$U79-$V79</x:f>
      </x:c>
      <x:c r="X79" s="47">
        <x:f>$W79*Inputs!$C$19/12</x:f>
      </x:c>
      <x:c r="Y79" s="47">
        <x:f>MIN($X79,MAX(0,$J79-$T79) + ($K79-MAX(0,$T79-$J79)))</x:f>
      </x:c>
      <x:c r="Z79" s="47">
        <x:f>MIN(MAX(0,$B$17 - (($K79-MAX(0,$T79-$J79)) - MAX(0,$Y79-MAX(0,$J79-$T79)))), MAX(0, MAX(0,$J79-$T79) - $Y79))</x:f>
      </x:c>
      <x:c r="AA79" s="47">
        <x:f>(($K79-MAX(0,$T79-$J79)) - MAX(0,$Y79-MAX(0,$J79-$T79))) + $Z79</x:f>
      </x:c>
      <x:c r="AB79" s="47">
        <x:f>MAX(0,MAX(0,$J79-$T79)-$Y79)-$Z79</x:f>
      </x:c>
      <x:c r="AC79" s="47">
        <x:f>IF($B$18=1,$AB79,0)</x:f>
      </x:c>
      <x:c r="AD79" s="47">
        <x:f>$C79+$D79+$AC79</x:f>
      </x:c>
      <x:c r="AE79" s="47">
        <x:f>MIN($AD79,$R79)</x:f>
      </x:c>
      <x:c r="AF79" s="47">
        <x:f>$R79-$AE79</x:f>
      </x:c>
      <x:c r="AG79" s="47">
        <x:f>MIN(MAX(0,$AD79-$AE79),$W79)</x:f>
      </x:c>
      <x:c r="AH79" s="47">
        <x:f>$W79-$AG79</x:f>
      </x:c>
      <x:c r="AI79" s="47">
        <x:f>IF($B$18=1,0,$AB79) + MAX(0,$AD79-$AE79-$AG79)</x:f>
      </x:c>
      <x:c r="AJ79" s="47">
        <x:f>($E79+$F79)-($I79+$T79+$Y79+$AE79+$AG79+$AI79+$AA79)</x:f>
      </x:c>
    </x:row>
    <x:row r="80">
      <x:c r="A80" s="46" t="n">
        <x:v>60</x:v>
      </x:c>
      <x:c r="B80" s="47">
        <x:f>IF($A80&lt;=Inputs!$C$6+Inputs!$C$11,Cashflow_Asset!$E63,0)</x:f>
      </x:c>
      <x:c r="C80" s="47">
        <x:f>IF($A80&lt;=Inputs!$C$6,Cashflow_Asset!$F63+Cashflow_Asset!$G63,0)</x:f>
      </x:c>
      <x:c r="D80" s="47">
        <x:f>IF($A80&lt;=Inputs!$C$6+Inputs!$C$11,Cashflow_Asset!$I63,0)</x:f>
      </x:c>
      <x:c r="E80" s="47">
        <x:f>$B80+$C80+$D80</x:f>
      </x:c>
      <x:c r="F80" s="47">
        <x:f>$AA79</x:f>
      </x:c>
      <x:c r="G80" s="47">
        <x:f>$E80+$F80</x:f>
      </x:c>
      <x:c r="H80" s="47">
        <x:f>IF($A80&lt;=Inputs!$C$6+Inputs!$C$11,Cashflow_Asset!$K63,0)</x:f>
      </x:c>
      <x:c r="I80" s="47">
        <x:f>MIN($H80,$B80+$F80)</x:f>
      </x:c>
      <x:c r="J80" s="47">
        <x:f>MAX(0,$B80-$I80)</x:f>
      </x:c>
      <x:c r="K80" s="47">
        <x:f>MAX(0,$F80-MAX(0,$I80-$B80))</x:f>
      </x:c>
      <x:c r="L80" s="47">
        <x:f>IF($A80&lt;=Inputs!$C$6,Cashflow_Asset!$H63*Inputs!$C$10,0)</x:f>
      </x:c>
      <x:c r="M80" s="47">
        <x:f>$O79</x:f>
      </x:c>
      <x:c r="N80" s="47">
        <x:f>MIN($L80,$M80)</x:f>
      </x:c>
      <x:c r="O80" s="47">
        <x:f>$M80-$N80</x:f>
      </x:c>
      <x:c r="P80" s="47">
        <x:f>$AF79</x:f>
      </x:c>
      <x:c r="Q80" s="47">
        <x:f>MIN(MAX(0,$L80-$N80-$V80),$P80)</x:f>
      </x:c>
      <x:c r="R80" s="47">
        <x:f>$P80-$Q80</x:f>
      </x:c>
      <x:c r="S80" s="47">
        <x:f>$R80*Inputs!$C$18/12</x:f>
      </x:c>
      <x:c r="T80" s="47">
        <x:f>MIN($S80,$J80+$K80)</x:f>
      </x:c>
      <x:c r="U80" s="47">
        <x:f>$AH79</x:f>
      </x:c>
      <x:c r="V80" s="47">
        <x:f>MIN(MAX(0,$L80-$N80),$U80)</x:f>
      </x:c>
      <x:c r="W80" s="47">
        <x:f>$U80-$V80</x:f>
      </x:c>
      <x:c r="X80" s="47">
        <x:f>$W80*Inputs!$C$19/12</x:f>
      </x:c>
      <x:c r="Y80" s="47">
        <x:f>MIN($X80,MAX(0,$J80-$T80) + ($K80-MAX(0,$T80-$J80)))</x:f>
      </x:c>
      <x:c r="Z80" s="47">
        <x:f>MIN(MAX(0,$B$17 - (($K80-MAX(0,$T80-$J80)) - MAX(0,$Y80-MAX(0,$J80-$T80)))), MAX(0, MAX(0,$J80-$T80) - $Y80))</x:f>
      </x:c>
      <x:c r="AA80" s="47">
        <x:f>(($K80-MAX(0,$T80-$J80)) - MAX(0,$Y80-MAX(0,$J80-$T80))) + $Z80</x:f>
      </x:c>
      <x:c r="AB80" s="47">
        <x:f>MAX(0,MAX(0,$J80-$T80)-$Y80)-$Z80</x:f>
      </x:c>
      <x:c r="AC80" s="47">
        <x:f>IF($B$18=1,$AB80,0)</x:f>
      </x:c>
      <x:c r="AD80" s="47">
        <x:f>$C80+$D80+$AC80</x:f>
      </x:c>
      <x:c r="AE80" s="47">
        <x:f>MIN($AD80,$R80)</x:f>
      </x:c>
      <x:c r="AF80" s="47">
        <x:f>$R80-$AE80</x:f>
      </x:c>
      <x:c r="AG80" s="47">
        <x:f>MIN(MAX(0,$AD80-$AE80),$W80)</x:f>
      </x:c>
      <x:c r="AH80" s="47">
        <x:f>$W80-$AG80</x:f>
      </x:c>
      <x:c r="AI80" s="47">
        <x:f>IF($B$18=1,0,$AB80) + MAX(0,$AD80-$AE80-$AG80)</x:f>
      </x:c>
      <x:c r="AJ80" s="47">
        <x:f>($E80+$F80)-($I80+$T80+$Y80+$AE80+$AG80+$AI80+$AA80)</x:f>
      </x:c>
    </x:row>
    <x:row r="81">
      <x:c r="A81" s="46" t="n">
        <x:v>61</x:v>
      </x:c>
      <x:c r="B81" s="47">
        <x:f>IF($A81&lt;=Inputs!$C$6+Inputs!$C$11,Cashflow_Asset!$E64,0)</x:f>
      </x:c>
      <x:c r="C81" s="47">
        <x:f>IF($A81&lt;=Inputs!$C$6,Cashflow_Asset!$F64+Cashflow_Asset!$G64,0)</x:f>
      </x:c>
      <x:c r="D81" s="47">
        <x:f>IF($A81&lt;=Inputs!$C$6+Inputs!$C$11,Cashflow_Asset!$I64,0)</x:f>
      </x:c>
      <x:c r="E81" s="47">
        <x:f>$B81+$C81+$D81</x:f>
      </x:c>
      <x:c r="F81" s="47">
        <x:f>$AA80</x:f>
      </x:c>
      <x:c r="G81" s="47">
        <x:f>$E81+$F81</x:f>
      </x:c>
      <x:c r="H81" s="47">
        <x:f>IF($A81&lt;=Inputs!$C$6+Inputs!$C$11,Cashflow_Asset!$K64,0)</x:f>
      </x:c>
      <x:c r="I81" s="47">
        <x:f>MIN($H81,$B81+$F81)</x:f>
      </x:c>
      <x:c r="J81" s="47">
        <x:f>MAX(0,$B81-$I81)</x:f>
      </x:c>
      <x:c r="K81" s="47">
        <x:f>MAX(0,$F81-MAX(0,$I81-$B81))</x:f>
      </x:c>
      <x:c r="L81" s="47">
        <x:f>IF($A81&lt;=Inputs!$C$6,Cashflow_Asset!$H64*Inputs!$C$10,0)</x:f>
      </x:c>
      <x:c r="M81" s="47">
        <x:f>$O80</x:f>
      </x:c>
      <x:c r="N81" s="47">
        <x:f>MIN($L81,$M81)</x:f>
      </x:c>
      <x:c r="O81" s="47">
        <x:f>$M81-$N81</x:f>
      </x:c>
      <x:c r="P81" s="47">
        <x:f>$AF80</x:f>
      </x:c>
      <x:c r="Q81" s="47">
        <x:f>MIN(MAX(0,$L81-$N81-$V81),$P81)</x:f>
      </x:c>
      <x:c r="R81" s="47">
        <x:f>$P81-$Q81</x:f>
      </x:c>
      <x:c r="S81" s="47">
        <x:f>$R81*Inputs!$C$18/12</x:f>
      </x:c>
      <x:c r="T81" s="47">
        <x:f>MIN($S81,$J81+$K81)</x:f>
      </x:c>
      <x:c r="U81" s="47">
        <x:f>$AH80</x:f>
      </x:c>
      <x:c r="V81" s="47">
        <x:f>MIN(MAX(0,$L81-$N81),$U81)</x:f>
      </x:c>
      <x:c r="W81" s="47">
        <x:f>$U81-$V81</x:f>
      </x:c>
      <x:c r="X81" s="47">
        <x:f>$W81*Inputs!$C$19/12</x:f>
      </x:c>
      <x:c r="Y81" s="47">
        <x:f>MIN($X81,MAX(0,$J81-$T81) + ($K81-MAX(0,$T81-$J81)))</x:f>
      </x:c>
      <x:c r="Z81" s="47">
        <x:f>MIN(MAX(0,$B$17 - (($K81-MAX(0,$T81-$J81)) - MAX(0,$Y81-MAX(0,$J81-$T81)))), MAX(0, MAX(0,$J81-$T81) - $Y81))</x:f>
      </x:c>
      <x:c r="AA81" s="47">
        <x:f>(($K81-MAX(0,$T81-$J81)) - MAX(0,$Y81-MAX(0,$J81-$T81))) + $Z81</x:f>
      </x:c>
      <x:c r="AB81" s="47">
        <x:f>MAX(0,MAX(0,$J81-$T81)-$Y81)-$Z81</x:f>
      </x:c>
      <x:c r="AC81" s="47">
        <x:f>IF($B$18=1,$AB81,0)</x:f>
      </x:c>
      <x:c r="AD81" s="47">
        <x:f>$C81+$D81+$AC81</x:f>
      </x:c>
      <x:c r="AE81" s="47">
        <x:f>MIN($AD81,$R81)</x:f>
      </x:c>
      <x:c r="AF81" s="47">
        <x:f>$R81-$AE81</x:f>
      </x:c>
      <x:c r="AG81" s="47">
        <x:f>MIN(MAX(0,$AD81-$AE81),$W81)</x:f>
      </x:c>
      <x:c r="AH81" s="47">
        <x:f>$W81-$AG81</x:f>
      </x:c>
      <x:c r="AI81" s="47">
        <x:f>IF($B$18=1,0,$AB81) + MAX(0,$AD81-$AE81-$AG81)</x:f>
      </x:c>
      <x:c r="AJ81" s="47">
        <x:f>($E81+$F81)-($I81+$T81+$Y81+$AE81+$AG81+$AI81+$AA81)</x:f>
      </x:c>
    </x:row>
    <x:row r="82">
      <x:c r="A82" s="46" t="n">
        <x:v>62</x:v>
      </x:c>
      <x:c r="B82" s="47">
        <x:f>IF($A82&lt;=Inputs!$C$6+Inputs!$C$11,Cashflow_Asset!$E65,0)</x:f>
      </x:c>
      <x:c r="C82" s="47">
        <x:f>IF($A82&lt;=Inputs!$C$6,Cashflow_Asset!$F65+Cashflow_Asset!$G65,0)</x:f>
      </x:c>
      <x:c r="D82" s="47">
        <x:f>IF($A82&lt;=Inputs!$C$6+Inputs!$C$11,Cashflow_Asset!$I65,0)</x:f>
      </x:c>
      <x:c r="E82" s="47">
        <x:f>$B82+$C82+$D82</x:f>
      </x:c>
      <x:c r="F82" s="47">
        <x:f>$AA81</x:f>
      </x:c>
      <x:c r="G82" s="47">
        <x:f>$E82+$F82</x:f>
      </x:c>
      <x:c r="H82" s="47">
        <x:f>IF($A82&lt;=Inputs!$C$6+Inputs!$C$11,Cashflow_Asset!$K65,0)</x:f>
      </x:c>
      <x:c r="I82" s="47">
        <x:f>MIN($H82,$B82+$F82)</x:f>
      </x:c>
      <x:c r="J82" s="47">
        <x:f>MAX(0,$B82-$I82)</x:f>
      </x:c>
      <x:c r="K82" s="47">
        <x:f>MAX(0,$F82-MAX(0,$I82-$B82))</x:f>
      </x:c>
      <x:c r="L82" s="47">
        <x:f>IF($A82&lt;=Inputs!$C$6,Cashflow_Asset!$H65*Inputs!$C$10,0)</x:f>
      </x:c>
      <x:c r="M82" s="47">
        <x:f>$O81</x:f>
      </x:c>
      <x:c r="N82" s="47">
        <x:f>MIN($L82,$M82)</x:f>
      </x:c>
      <x:c r="O82" s="47">
        <x:f>$M82-$N82</x:f>
      </x:c>
      <x:c r="P82" s="47">
        <x:f>$AF81</x:f>
      </x:c>
      <x:c r="Q82" s="47">
        <x:f>MIN(MAX(0,$L82-$N82-$V82),$P82)</x:f>
      </x:c>
      <x:c r="R82" s="47">
        <x:f>$P82-$Q82</x:f>
      </x:c>
      <x:c r="S82" s="47">
        <x:f>$R82*Inputs!$C$18/12</x:f>
      </x:c>
      <x:c r="T82" s="47">
        <x:f>MIN($S82,$J82+$K82)</x:f>
      </x:c>
      <x:c r="U82" s="47">
        <x:f>$AH81</x:f>
      </x:c>
      <x:c r="V82" s="47">
        <x:f>MIN(MAX(0,$L82-$N82),$U82)</x:f>
      </x:c>
      <x:c r="W82" s="47">
        <x:f>$U82-$V82</x:f>
      </x:c>
      <x:c r="X82" s="47">
        <x:f>$W82*Inputs!$C$19/12</x:f>
      </x:c>
      <x:c r="Y82" s="47">
        <x:f>MIN($X82,MAX(0,$J82-$T82) + ($K82-MAX(0,$T82-$J82)))</x:f>
      </x:c>
      <x:c r="Z82" s="47">
        <x:f>MIN(MAX(0,$B$17 - (($K82-MAX(0,$T82-$J82)) - MAX(0,$Y82-MAX(0,$J82-$T82)))), MAX(0, MAX(0,$J82-$T82) - $Y82))</x:f>
      </x:c>
      <x:c r="AA82" s="47">
        <x:f>(($K82-MAX(0,$T82-$J82)) - MAX(0,$Y82-MAX(0,$J82-$T82))) + $Z82</x:f>
      </x:c>
      <x:c r="AB82" s="47">
        <x:f>MAX(0,MAX(0,$J82-$T82)-$Y82)-$Z82</x:f>
      </x:c>
      <x:c r="AC82" s="47">
        <x:f>IF($B$18=1,$AB82,0)</x:f>
      </x:c>
      <x:c r="AD82" s="47">
        <x:f>$C82+$D82+$AC82</x:f>
      </x:c>
      <x:c r="AE82" s="47">
        <x:f>MIN($AD82,$R82)</x:f>
      </x:c>
      <x:c r="AF82" s="47">
        <x:f>$R82-$AE82</x:f>
      </x:c>
      <x:c r="AG82" s="47">
        <x:f>MIN(MAX(0,$AD82-$AE82),$W82)</x:f>
      </x:c>
      <x:c r="AH82" s="47">
        <x:f>$W82-$AG82</x:f>
      </x:c>
      <x:c r="AI82" s="47">
        <x:f>IF($B$18=1,0,$AB82) + MAX(0,$AD82-$AE82-$AG82)</x:f>
      </x:c>
      <x:c r="AJ82" s="47">
        <x:f>($E82+$F82)-($I82+$T82+$Y82+$AE82+$AG82+$AI82+$AA82)</x:f>
      </x:c>
    </x:row>
    <x:row r="83">
      <x:c r="A83" s="46" t="n">
        <x:v>63</x:v>
      </x:c>
      <x:c r="B83" s="47">
        <x:f>IF($A83&lt;=Inputs!$C$6+Inputs!$C$11,Cashflow_Asset!$E66,0)</x:f>
      </x:c>
      <x:c r="C83" s="47">
        <x:f>IF($A83&lt;=Inputs!$C$6,Cashflow_Asset!$F66+Cashflow_Asset!$G66,0)</x:f>
      </x:c>
      <x:c r="D83" s="47">
        <x:f>IF($A83&lt;=Inputs!$C$6+Inputs!$C$11,Cashflow_Asset!$I66,0)</x:f>
      </x:c>
      <x:c r="E83" s="47">
        <x:f>$B83+$C83+$D83</x:f>
      </x:c>
      <x:c r="F83" s="47">
        <x:f>$AA82</x:f>
      </x:c>
      <x:c r="G83" s="47">
        <x:f>$E83+$F83</x:f>
      </x:c>
      <x:c r="H83" s="47">
        <x:f>IF($A83&lt;=Inputs!$C$6+Inputs!$C$11,Cashflow_Asset!$K66,0)</x:f>
      </x:c>
      <x:c r="I83" s="47">
        <x:f>MIN($H83,$B83+$F83)</x:f>
      </x:c>
      <x:c r="J83" s="47">
        <x:f>MAX(0,$B83-$I83)</x:f>
      </x:c>
      <x:c r="K83" s="47">
        <x:f>MAX(0,$F83-MAX(0,$I83-$B83))</x:f>
      </x:c>
      <x:c r="L83" s="47">
        <x:f>IF($A83&lt;=Inputs!$C$6,Cashflow_Asset!$H66*Inputs!$C$10,0)</x:f>
      </x:c>
      <x:c r="M83" s="47">
        <x:f>$O82</x:f>
      </x:c>
      <x:c r="N83" s="47">
        <x:f>MIN($L83,$M83)</x:f>
      </x:c>
      <x:c r="O83" s="47">
        <x:f>$M83-$N83</x:f>
      </x:c>
      <x:c r="P83" s="47">
        <x:f>$AF82</x:f>
      </x:c>
      <x:c r="Q83" s="47">
        <x:f>MIN(MAX(0,$L83-$N83-$V83),$P83)</x:f>
      </x:c>
      <x:c r="R83" s="47">
        <x:f>$P83-$Q83</x:f>
      </x:c>
      <x:c r="S83" s="47">
        <x:f>$R83*Inputs!$C$18/12</x:f>
      </x:c>
      <x:c r="T83" s="47">
        <x:f>MIN($S83,$J83+$K83)</x:f>
      </x:c>
      <x:c r="U83" s="47">
        <x:f>$AH82</x:f>
      </x:c>
      <x:c r="V83" s="47">
        <x:f>MIN(MAX(0,$L83-$N83),$U83)</x:f>
      </x:c>
      <x:c r="W83" s="47">
        <x:f>$U83-$V83</x:f>
      </x:c>
      <x:c r="X83" s="47">
        <x:f>$W83*Inputs!$C$19/12</x:f>
      </x:c>
      <x:c r="Y83" s="47">
        <x:f>MIN($X83,MAX(0,$J83-$T83) + ($K83-MAX(0,$T83-$J83)))</x:f>
      </x:c>
      <x:c r="Z83" s="47">
        <x:f>MIN(MAX(0,$B$17 - (($K83-MAX(0,$T83-$J83)) - MAX(0,$Y83-MAX(0,$J83-$T83)))), MAX(0, MAX(0,$J83-$T83) - $Y83))</x:f>
      </x:c>
      <x:c r="AA83" s="47">
        <x:f>(($K83-MAX(0,$T83-$J83)) - MAX(0,$Y83-MAX(0,$J83-$T83))) + $Z83</x:f>
      </x:c>
      <x:c r="AB83" s="47">
        <x:f>MAX(0,MAX(0,$J83-$T83)-$Y83)-$Z83</x:f>
      </x:c>
      <x:c r="AC83" s="47">
        <x:f>IF($B$18=1,$AB83,0)</x:f>
      </x:c>
      <x:c r="AD83" s="47">
        <x:f>$C83+$D83+$AC83</x:f>
      </x:c>
      <x:c r="AE83" s="47">
        <x:f>MIN($AD83,$R83)</x:f>
      </x:c>
      <x:c r="AF83" s="47">
        <x:f>$R83-$AE83</x:f>
      </x:c>
      <x:c r="AG83" s="47">
        <x:f>MIN(MAX(0,$AD83-$AE83),$W83)</x:f>
      </x:c>
      <x:c r="AH83" s="47">
        <x:f>$W83-$AG83</x:f>
      </x:c>
      <x:c r="AI83" s="47">
        <x:f>IF($B$18=1,0,$AB83) + MAX(0,$AD83-$AE83-$AG83)</x:f>
      </x:c>
      <x:c r="AJ83" s="47">
        <x:f>($E83+$F83)-($I83+$T83+$Y83+$AE83+$AG83+$AI83+$AA83)</x:f>
      </x:c>
    </x:row>
    <x:row r="84">
      <x:c r="A84" s="46" t="n">
        <x:v>64</x:v>
      </x:c>
      <x:c r="B84" s="47">
        <x:f>IF($A84&lt;=Inputs!$C$6+Inputs!$C$11,Cashflow_Asset!$E67,0)</x:f>
      </x:c>
      <x:c r="C84" s="47">
        <x:f>IF($A84&lt;=Inputs!$C$6,Cashflow_Asset!$F67+Cashflow_Asset!$G67,0)</x:f>
      </x:c>
      <x:c r="D84" s="47">
        <x:f>IF($A84&lt;=Inputs!$C$6+Inputs!$C$11,Cashflow_Asset!$I67,0)</x:f>
      </x:c>
      <x:c r="E84" s="47">
        <x:f>$B84+$C84+$D84</x:f>
      </x:c>
      <x:c r="F84" s="47">
        <x:f>$AA83</x:f>
      </x:c>
      <x:c r="G84" s="47">
        <x:f>$E84+$F84</x:f>
      </x:c>
      <x:c r="H84" s="47">
        <x:f>IF($A84&lt;=Inputs!$C$6+Inputs!$C$11,Cashflow_Asset!$K67,0)</x:f>
      </x:c>
      <x:c r="I84" s="47">
        <x:f>MIN($H84,$B84+$F84)</x:f>
      </x:c>
      <x:c r="J84" s="47">
        <x:f>MAX(0,$B84-$I84)</x:f>
      </x:c>
      <x:c r="K84" s="47">
        <x:f>MAX(0,$F84-MAX(0,$I84-$B84))</x:f>
      </x:c>
      <x:c r="L84" s="47">
        <x:f>IF($A84&lt;=Inputs!$C$6,Cashflow_Asset!$H67*Inputs!$C$10,0)</x:f>
      </x:c>
      <x:c r="M84" s="47">
        <x:f>$O83</x:f>
      </x:c>
      <x:c r="N84" s="47">
        <x:f>MIN($L84,$M84)</x:f>
      </x:c>
      <x:c r="O84" s="47">
        <x:f>$M84-$N84</x:f>
      </x:c>
      <x:c r="P84" s="47">
        <x:f>$AF83</x:f>
      </x:c>
      <x:c r="Q84" s="47">
        <x:f>MIN(MAX(0,$L84-$N84-$V84),$P84)</x:f>
      </x:c>
      <x:c r="R84" s="47">
        <x:f>$P84-$Q84</x:f>
      </x:c>
      <x:c r="S84" s="47">
        <x:f>$R84*Inputs!$C$18/12</x:f>
      </x:c>
      <x:c r="T84" s="47">
        <x:f>MIN($S84,$J84+$K84)</x:f>
      </x:c>
      <x:c r="U84" s="47">
        <x:f>$AH83</x:f>
      </x:c>
      <x:c r="V84" s="47">
        <x:f>MIN(MAX(0,$L84-$N84),$U84)</x:f>
      </x:c>
      <x:c r="W84" s="47">
        <x:f>$U84-$V84</x:f>
      </x:c>
      <x:c r="X84" s="47">
        <x:f>$W84*Inputs!$C$19/12</x:f>
      </x:c>
      <x:c r="Y84" s="47">
        <x:f>MIN($X84,MAX(0,$J84-$T84) + ($K84-MAX(0,$T84-$J84)))</x:f>
      </x:c>
      <x:c r="Z84" s="47">
        <x:f>MIN(MAX(0,$B$17 - (($K84-MAX(0,$T84-$J84)) - MAX(0,$Y84-MAX(0,$J84-$T84)))), MAX(0, MAX(0,$J84-$T84) - $Y84))</x:f>
      </x:c>
      <x:c r="AA84" s="47">
        <x:f>(($K84-MAX(0,$T84-$J84)) - MAX(0,$Y84-MAX(0,$J84-$T84))) + $Z84</x:f>
      </x:c>
      <x:c r="AB84" s="47">
        <x:f>MAX(0,MAX(0,$J84-$T84)-$Y84)-$Z84</x:f>
      </x:c>
      <x:c r="AC84" s="47">
        <x:f>IF($B$18=1,$AB84,0)</x:f>
      </x:c>
      <x:c r="AD84" s="47">
        <x:f>$C84+$D84+$AC84</x:f>
      </x:c>
      <x:c r="AE84" s="47">
        <x:f>MIN($AD84,$R84)</x:f>
      </x:c>
      <x:c r="AF84" s="47">
        <x:f>$R84-$AE84</x:f>
      </x:c>
      <x:c r="AG84" s="47">
        <x:f>MIN(MAX(0,$AD84-$AE84),$W84)</x:f>
      </x:c>
      <x:c r="AH84" s="47">
        <x:f>$W84-$AG84</x:f>
      </x:c>
      <x:c r="AI84" s="47">
        <x:f>IF($B$18=1,0,$AB84) + MAX(0,$AD84-$AE84-$AG84)</x:f>
      </x:c>
      <x:c r="AJ84" s="47">
        <x:f>($E84+$F84)-($I84+$T84+$Y84+$AE84+$AG84+$AI84+$AA84)</x:f>
      </x:c>
    </x:row>
    <x:row r="85">
      <x:c r="A85" s="46" t="n">
        <x:v>65</x:v>
      </x:c>
      <x:c r="B85" s="47">
        <x:f>IF($A85&lt;=Inputs!$C$6+Inputs!$C$11,Cashflow_Asset!$E68,0)</x:f>
      </x:c>
      <x:c r="C85" s="47">
        <x:f>IF($A85&lt;=Inputs!$C$6,Cashflow_Asset!$F68+Cashflow_Asset!$G68,0)</x:f>
      </x:c>
      <x:c r="D85" s="47">
        <x:f>IF($A85&lt;=Inputs!$C$6+Inputs!$C$11,Cashflow_Asset!$I68,0)</x:f>
      </x:c>
      <x:c r="E85" s="47">
        <x:f>$B85+$C85+$D85</x:f>
      </x:c>
      <x:c r="F85" s="47">
        <x:f>$AA84</x:f>
      </x:c>
      <x:c r="G85" s="47">
        <x:f>$E85+$F85</x:f>
      </x:c>
      <x:c r="H85" s="47">
        <x:f>IF($A85&lt;=Inputs!$C$6+Inputs!$C$11,Cashflow_Asset!$K68,0)</x:f>
      </x:c>
      <x:c r="I85" s="47">
        <x:f>MIN($H85,$B85+$F85)</x:f>
      </x:c>
      <x:c r="J85" s="47">
        <x:f>MAX(0,$B85-$I85)</x:f>
      </x:c>
      <x:c r="K85" s="47">
        <x:f>MAX(0,$F85-MAX(0,$I85-$B85))</x:f>
      </x:c>
      <x:c r="L85" s="47">
        <x:f>IF($A85&lt;=Inputs!$C$6,Cashflow_Asset!$H68*Inputs!$C$10,0)</x:f>
      </x:c>
      <x:c r="M85" s="47">
        <x:f>$O84</x:f>
      </x:c>
      <x:c r="N85" s="47">
        <x:f>MIN($L85,$M85)</x:f>
      </x:c>
      <x:c r="O85" s="47">
        <x:f>$M85-$N85</x:f>
      </x:c>
      <x:c r="P85" s="47">
        <x:f>$AF84</x:f>
      </x:c>
      <x:c r="Q85" s="47">
        <x:f>MIN(MAX(0,$L85-$N85-$V85),$P85)</x:f>
      </x:c>
      <x:c r="R85" s="47">
        <x:f>$P85-$Q85</x:f>
      </x:c>
      <x:c r="S85" s="47">
        <x:f>$R85*Inputs!$C$18/12</x:f>
      </x:c>
      <x:c r="T85" s="47">
        <x:f>MIN($S85,$J85+$K85)</x:f>
      </x:c>
      <x:c r="U85" s="47">
        <x:f>$AH84</x:f>
      </x:c>
      <x:c r="V85" s="47">
        <x:f>MIN(MAX(0,$L85-$N85),$U85)</x:f>
      </x:c>
      <x:c r="W85" s="47">
        <x:f>$U85-$V85</x:f>
      </x:c>
      <x:c r="X85" s="47">
        <x:f>$W85*Inputs!$C$19/12</x:f>
      </x:c>
      <x:c r="Y85" s="47">
        <x:f>MIN($X85,MAX(0,$J85-$T85) + ($K85-MAX(0,$T85-$J85)))</x:f>
      </x:c>
      <x:c r="Z85" s="47">
        <x:f>MIN(MAX(0,$B$17 - (($K85-MAX(0,$T85-$J85)) - MAX(0,$Y85-MAX(0,$J85-$T85)))), MAX(0, MAX(0,$J85-$T85) - $Y85))</x:f>
      </x:c>
      <x:c r="AA85" s="47">
        <x:f>(($K85-MAX(0,$T85-$J85)) - MAX(0,$Y85-MAX(0,$J85-$T85))) + $Z85</x:f>
      </x:c>
      <x:c r="AB85" s="47">
        <x:f>MAX(0,MAX(0,$J85-$T85)-$Y85)-$Z85</x:f>
      </x:c>
      <x:c r="AC85" s="47">
        <x:f>IF($B$18=1,$AB85,0)</x:f>
      </x:c>
      <x:c r="AD85" s="47">
        <x:f>$C85+$D85+$AC85</x:f>
      </x:c>
      <x:c r="AE85" s="47">
        <x:f>MIN($AD85,$R85)</x:f>
      </x:c>
      <x:c r="AF85" s="47">
        <x:f>$R85-$AE85</x:f>
      </x:c>
      <x:c r="AG85" s="47">
        <x:f>MIN(MAX(0,$AD85-$AE85),$W85)</x:f>
      </x:c>
      <x:c r="AH85" s="47">
        <x:f>$W85-$AG85</x:f>
      </x:c>
      <x:c r="AI85" s="47">
        <x:f>IF($B$18=1,0,$AB85) + MAX(0,$AD85-$AE85-$AG85)</x:f>
      </x:c>
      <x:c r="AJ85" s="47">
        <x:f>($E85+$F85)-($I85+$T85+$Y85+$AE85+$AG85+$AI85+$AA85)</x:f>
      </x:c>
    </x:row>
    <x:row r="86">
      <x:c r="A86" s="46" t="n">
        <x:v>66</x:v>
      </x:c>
      <x:c r="B86" s="47">
        <x:f>IF($A86&lt;=Inputs!$C$6+Inputs!$C$11,Cashflow_Asset!$E69,0)</x:f>
      </x:c>
      <x:c r="C86" s="47">
        <x:f>IF($A86&lt;=Inputs!$C$6,Cashflow_Asset!$F69+Cashflow_Asset!$G69,0)</x:f>
      </x:c>
      <x:c r="D86" s="47">
        <x:f>IF($A86&lt;=Inputs!$C$6+Inputs!$C$11,Cashflow_Asset!$I69,0)</x:f>
      </x:c>
      <x:c r="E86" s="47">
        <x:f>$B86+$C86+$D86</x:f>
      </x:c>
      <x:c r="F86" s="47">
        <x:f>$AA85</x:f>
      </x:c>
      <x:c r="G86" s="47">
        <x:f>$E86+$F86</x:f>
      </x:c>
      <x:c r="H86" s="47">
        <x:f>IF($A86&lt;=Inputs!$C$6+Inputs!$C$11,Cashflow_Asset!$K69,0)</x:f>
      </x:c>
      <x:c r="I86" s="47">
        <x:f>MIN($H86,$B86+$F86)</x:f>
      </x:c>
      <x:c r="J86" s="47">
        <x:f>MAX(0,$B86-$I86)</x:f>
      </x:c>
      <x:c r="K86" s="47">
        <x:f>MAX(0,$F86-MAX(0,$I86-$B86))</x:f>
      </x:c>
      <x:c r="L86" s="47">
        <x:f>IF($A86&lt;=Inputs!$C$6,Cashflow_Asset!$H69*Inputs!$C$10,0)</x:f>
      </x:c>
      <x:c r="M86" s="47">
        <x:f>$O85</x:f>
      </x:c>
      <x:c r="N86" s="47">
        <x:f>MIN($L86,$M86)</x:f>
      </x:c>
      <x:c r="O86" s="47">
        <x:f>$M86-$N86</x:f>
      </x:c>
      <x:c r="P86" s="47">
        <x:f>$AF85</x:f>
      </x:c>
      <x:c r="Q86" s="47">
        <x:f>MIN(MAX(0,$L86-$N86-$V86),$P86)</x:f>
      </x:c>
      <x:c r="R86" s="47">
        <x:f>$P86-$Q86</x:f>
      </x:c>
      <x:c r="S86" s="47">
        <x:f>$R86*Inputs!$C$18/12</x:f>
      </x:c>
      <x:c r="T86" s="47">
        <x:f>MIN($S86,$J86+$K86)</x:f>
      </x:c>
      <x:c r="U86" s="47">
        <x:f>$AH85</x:f>
      </x:c>
      <x:c r="V86" s="47">
        <x:f>MIN(MAX(0,$L86-$N86),$U86)</x:f>
      </x:c>
      <x:c r="W86" s="47">
        <x:f>$U86-$V86</x:f>
      </x:c>
      <x:c r="X86" s="47">
        <x:f>$W86*Inputs!$C$19/12</x:f>
      </x:c>
      <x:c r="Y86" s="47">
        <x:f>MIN($X86,MAX(0,$J86-$T86) + ($K86-MAX(0,$T86-$J86)))</x:f>
      </x:c>
      <x:c r="Z86" s="47">
        <x:f>MIN(MAX(0,$B$17 - (($K86-MAX(0,$T86-$J86)) - MAX(0,$Y86-MAX(0,$J86-$T86)))), MAX(0, MAX(0,$J86-$T86) - $Y86))</x:f>
      </x:c>
      <x:c r="AA86" s="47">
        <x:f>(($K86-MAX(0,$T86-$J86)) - MAX(0,$Y86-MAX(0,$J86-$T86))) + $Z86</x:f>
      </x:c>
      <x:c r="AB86" s="47">
        <x:f>MAX(0,MAX(0,$J86-$T86)-$Y86)-$Z86</x:f>
      </x:c>
      <x:c r="AC86" s="47">
        <x:f>IF($B$18=1,$AB86,0)</x:f>
      </x:c>
      <x:c r="AD86" s="47">
        <x:f>$C86+$D86+$AC86</x:f>
      </x:c>
      <x:c r="AE86" s="47">
        <x:f>MIN($AD86,$R86)</x:f>
      </x:c>
      <x:c r="AF86" s="47">
        <x:f>$R86-$AE86</x:f>
      </x:c>
      <x:c r="AG86" s="47">
        <x:f>MIN(MAX(0,$AD86-$AE86),$W86)</x:f>
      </x:c>
      <x:c r="AH86" s="47">
        <x:f>$W86-$AG86</x:f>
      </x:c>
      <x:c r="AI86" s="47">
        <x:f>IF($B$18=1,0,$AB86) + MAX(0,$AD86-$AE86-$AG86)</x:f>
      </x:c>
      <x:c r="AJ86" s="47">
        <x:f>($E86+$F86)-($I86+$T86+$Y86+$AE86+$AG86+$AI86+$AA86)</x:f>
      </x:c>
    </x:row>
  </x:sheetData>
  <x:mergeCells>
    <x:mergeCell ref="A1:P1"/>
    <x:mergeCell ref="A3:D3"/>
    <x:mergeCell ref="A19:P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36" customWidth="1"/>
    <x:col min="3" max="3" width="26" customWidth="1"/>
    <x:col min="4" max="4" width="26" customWidth="1"/>
    <x:col min="5" max="5" width="6" customWidth="1"/>
    <x:col min="6" max="6" width="6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 ht="22" customHeight="1">
      <x:c r="B1" s="1" t="inlineStr">
        <x:is>
          <x:t xml:space="preserve">Tranche metrics, credit enhancement &amp; rating tests</x:t>
        </x:is>
      </x:c>
      <x:c r="C1" s="38" t="n"/>
      <x:c r="D1" s="38" t="n"/>
      <x:c r="E1" s="38" t="n"/>
      <x:c r="F1" s="38" t="n"/>
      <x:c r="G1" s="38" t="n"/>
      <x:c r="H1" s="38" t="n"/>
      <x:c r="I1" s="38" t="n"/>
      <x:c r="J1" s="37" t="n"/>
    </x:row>
    <x:row r="3" ht="18" customHeight="1">
      <x:c r="B3" s="7" t="inlineStr">
        <x:is>
          <x:t xml:space="preserve">Key deal-level outputs</x:t>
        </x:is>
      </x:c>
      <x:c r="H3" s="18" t="inlineStr">
        <x:is>
          <x:t xml:space="preserve">Equity cashflows (for IRR)</x:t>
        </x:is>
      </x:c>
    </x:row>
    <x:row r="4">
      <x:c r="B4" t="inlineStr">
        <x:is>
          <x:t xml:space="preserve">Pool balance</x:t>
        </x:is>
      </x:c>
      <x:c r="C4" s="26">
        <x:f>Inputs!$C$4</x:f>
        <x:v>100000000</x:v>
      </x:c>
      <x:c r="H4" s="6" t="inlineStr">
        <x:is>
          <x:t xml:space="preserve">t=0</x:t>
        </x:is>
      </x:c>
      <x:c r="I4" s="26">
        <x:f>-Cashflow_Waterfall!$N$3</x:f>
        <x:v>-81000000</x:v>
      </x:c>
    </x:row>
    <x:row r="5">
      <x:c r="B5" t="inlineStr">
        <x:is>
          <x:t xml:space="preserve">Reserve cash (t0)</x:t>
        </x:is>
      </x:c>
      <x:c r="C5" s="26">
        <x:f>Liability_Book!$B$7</x:f>
        <x:v>1000000</x:v>
      </x:c>
      <x:c r="H5" s="30" t="n">
        <x:v>1</x:v>
      </x:c>
      <x:c r="I5" s="26">
        <x:f>Cashflow_Waterfall!$Y$6</x:f>
        <x:v>0</x:v>
      </x:c>
    </x:row>
    <x:row r="6">
      <x:c r="B6" t="inlineStr">
        <x:is>
          <x:t xml:space="preserve">Total assets (t0)</x:t>
        </x:is>
      </x:c>
      <x:c r="C6" s="26">
        <x:f>Inputs!$C$4+Liability_Book!$B$7</x:f>
        <x:v>101000000</x:v>
      </x:c>
      <x:c r="H6" s="30" t="n">
        <x:v>2</x:v>
      </x:c>
      <x:c r="I6" s="26">
        <x:f>Cashflow_Waterfall!$Y$7</x:f>
        <x:v>0</x:v>
      </x:c>
    </x:row>
    <x:row r="7">
      <x:c r="B7" t="inlineStr">
        <x:is>
          <x:t xml:space="preserve">E(L) % (from asset engine)</x:t>
        </x:is>
      </x:c>
      <x:c r="C7" s="13">
        <x:f>Cashflow_Asset!$P$8</x:f>
        <x:v>0.036374725732222946</x:v>
      </x:c>
      <x:c r="H7" s="30" t="n">
        <x:v>3</x:v>
      </x:c>
      <x:c r="I7" s="26">
        <x:f>Cashflow_Waterfall!$Y$8</x:f>
        <x:v>0</x:v>
      </x:c>
    </x:row>
    <x:row r="8">
      <x:c r="B8" t="inlineStr">
        <x:is>
          <x:t xml:space="preserve">Expected loss amount</x:t>
        </x:is>
      </x:c>
      <x:c r="C8" s="26">
        <x:f>SUM(Cashflow_Asset!$J$4:$J$364)</x:f>
        <x:v>3637472.5732222944</x:v>
      </x:c>
      <x:c r="H8" s="30" t="n">
        <x:v>4</x:v>
      </x:c>
      <x:c r="I8" s="26">
        <x:f>Cashflow_Waterfall!$Y$9</x:f>
        <x:v>0</x:v>
      </x:c>
    </x:row>
    <x:row r="9">
      <x:c r="H9" s="30" t="n">
        <x:v>5</x:v>
      </x:c>
      <x:c r="I9" s="26">
        <x:f>Cashflow_Waterfall!$Y$10</x:f>
        <x:v>0</x:v>
      </x:c>
    </x:row>
    <x:row r="10" ht="18" customHeight="1">
      <x:c r="B10" s="7" t="inlineStr">
        <x:is>
          <x:t xml:space="preserve">Capital stack @ closing (from waterfall setup)</x:t>
        </x:is>
      </x:c>
      <x:c r="H10" s="30" t="n">
        <x:v>6</x:v>
      </x:c>
      <x:c r="I10" s="26">
        <x:f>Cashflow_Waterfall!$Y$11</x:f>
        <x:v>1368065.9032724882</x:v>
      </x:c>
    </x:row>
    <x:row r="11">
      <x:c r="B11" s="6" t="inlineStr">
        <x:is>
          <x:t xml:space="preserve">Class A initial</x:t>
        </x:is>
      </x:c>
      <x:c r="C11" s="26">
        <x:f>Liability_Book!$B$12</x:f>
        <x:v>80000000</x:v>
      </x:c>
      <x:c r="H11" s="30" t="n">
        <x:v>7</x:v>
      </x:c>
      <x:c r="I11" s="26">
        <x:f>Cashflow_Waterfall!$Y$12</x:f>
        <x:v>3696616.1199938497</x:v>
      </x:c>
    </x:row>
    <x:row r="12">
      <x:c r="B12" s="6" t="inlineStr">
        <x:is>
          <x:t xml:space="preserve">Class B initial</x:t>
        </x:is>
      </x:c>
      <x:c r="C12" s="26">
        <x:f>Liability_Book!$B$13</x:f>
        <x:v>15000000</x:v>
      </x:c>
      <x:c r="H12" s="30" t="n">
        <x:v>8</x:v>
      </x:c>
      <x:c r="I12" s="26">
        <x:f>Cashflow_Waterfall!$Y$13</x:f>
        <x:v>3685837.5546685876</x:v>
      </x:c>
    </x:row>
    <x:row r="13">
      <x:c r="B13" s="6" t="inlineStr">
        <x:is>
          <x:t xml:space="preserve">Equity cushion initial</x:t>
        </x:is>
      </x:c>
      <x:c r="C13" s="26">
        <x:f>Liability_Book!$B$14</x:f>
        <x:v>5999999.999999996</x:v>
      </x:c>
      <x:c r="H13" s="30" t="n">
        <x:v>9</x:v>
      </x:c>
      <x:c r="I13" s="26">
        <x:f>Cashflow_Waterfall!$Y$14</x:f>
        <x:v>3675034.6478278744</x:v>
      </x:c>
    </x:row>
    <x:row r="14">
      <x:c r="B14" s="6" t="inlineStr">
        <x:is>
          <x:t xml:space="preserve">Check: assets - (A+B+equity)</x:t>
        </x:is>
      </x:c>
      <x:c r="C14" s="26">
        <x:f>Inputs!$C$4+Liability_Book!$B$7-($C$11+$C$12+$C$13)</x:f>
        <x:v>0</x:v>
      </x:c>
      <x:c r="H14" s="30" t="n">
        <x:v>10</x:v>
      </x:c>
      <x:c r="I14" s="26">
        <x:f>Cashflow_Waterfall!$Y$15</x:f>
        <x:v>3664207.344500629</x:v>
      </x:c>
    </x:row>
    <x:row r="15">
      <x:c r="H15" s="30" t="n">
        <x:v>11</x:v>
      </x:c>
      <x:c r="I15" s="26">
        <x:f>Cashflow_Waterfall!$Y$16</x:f>
        <x:v>3653355.58959163</x:v>
      </x:c>
    </x:row>
    <x:row r="16" ht="18" customHeight="1">
      <x:c r="B16" s="7" t="inlineStr">
        <x:is>
          <x:t xml:space="preserve">Credit enhancement (CE) ratios (BOTE-style)</x:t>
        </x:is>
      </x:c>
      <x:c r="H16" s="30" t="n">
        <x:v>12</x:v>
      </x:c>
      <x:c r="I16" s="26">
        <x:f>Cashflow_Waterfall!$Y$17</x:f>
        <x:v>3642479.327881231</x:v>
      </x:c>
    </x:row>
    <x:row r="17">
      <x:c r="B17" s="6" t="inlineStr">
        <x:is>
          <x:t xml:space="preserve">CE for Class A (t0): (Total assets - Class A) / Pool</x:t>
        </x:is>
      </x:c>
      <x:c r="C17" s="13">
        <x:f>($C$6-$C$11)/Inputs!$C$4</x:f>
        <x:v>0.21</x:v>
      </x:c>
      <x:c r="H17" s="30" t="n">
        <x:v>13</x:v>
      </x:c>
      <x:c r="I17" s="26">
        <x:f>Cashflow_Waterfall!$Y$18</x:f>
        <x:v>3631578.504025084</x:v>
      </x:c>
    </x:row>
    <x:row r="18">
      <x:c r="B18" s="6" t="inlineStr">
        <x:is>
          <x:t xml:space="preserve">CE for Class B (t0): (Total assets - A - B) / Pool</x:t>
        </x:is>
      </x:c>
      <x:c r="C18" s="13">
        <x:f>($C$6-$C$11-$C$12)/Inputs!$C$4</x:f>
        <x:v>0.06</x:v>
      </x:c>
      <x:c r="H18" s="30" t="n">
        <x:v>14</x:v>
      </x:c>
      <x:c r="I18" s="26">
        <x:f>Cashflow_Waterfall!$Y$19</x:f>
        <x:v>3620653.062553853</x:v>
      </x:c>
    </x:row>
    <x:row r="19">
      <x:c r="B19" s="6" t="inlineStr">
        <x:is>
          <x:t xml:space="preserve">CE/E(L) for Class A</x:t>
        </x:is>
      </x:c>
      <x:c r="C19" s="31">
        <x:f>$C$17/$C$7</x:f>
        <x:v>5.7732394065577575</x:v>
      </x:c>
      <x:c r="H19" s="30" t="n">
        <x:v>15</x:v>
      </x:c>
      <x:c r="I19" s="26">
        <x:f>Cashflow_Waterfall!$Y$20</x:f>
        <x:v>3609702.947872935</x:v>
      </x:c>
    </x:row>
    <x:row r="20">
      <x:c r="B20" s="6" t="inlineStr">
        <x:is>
          <x:t xml:space="preserve">CE/E(L) for Class B</x:t>
        </x:is>
      </x:c>
      <x:c r="C20" s="31">
        <x:f>$C$18/$C$7</x:f>
        <x:v>1.6494969733022165</x:v>
      </x:c>
      <x:c r="H20" s="30" t="n">
        <x:v>16</x:v>
      </x:c>
      <x:c r="I20" s="26">
        <x:f>Cashflow_Waterfall!$Y$21</x:f>
        <x:v>3598728.1042621774</x:v>
      </x:c>
    </x:row>
    <x:row r="21">
      <x:c r="H21" s="30" t="n">
        <x:v>17</x:v>
      </x:c>
      <x:c r="I21" s="26">
        <x:f>Cashflow_Waterfall!$Y$22</x:f>
        <x:v>3587728.475875592</x:v>
      </x:c>
    </x:row>
    <x:row r="22">
      <x:c r="B22" s="6" t="inlineStr">
        <x:is>
          <x:t xml:space="preserve">Target factor for Class A (from Inputs)</x:t>
        </x:is>
      </x:c>
      <x:c r="C22" s="32" t="str">
        <x:f>Inputs!$C$34</x:f>
        <x:v>5</x:v>
      </x:c>
      <x:c r="H22" s="30" t="n">
        <x:v>18</x:v>
      </x:c>
      <x:c r="I22" s="26">
        <x:f>Cashflow_Waterfall!$Y$23</x:f>
        <x:v>3576704.006741072</x:v>
      </x:c>
    </x:row>
    <x:row r="23">
      <x:c r="B23" s="6" t="inlineStr">
        <x:is>
          <x:t xml:space="preserve">Pass? (Class A)</x:t>
        </x:is>
      </x:c>
      <x:c r="C23" s="33" t="str">
        <x:f>IF($C$19&gt;=$C$22,"PASS","FAIL")</x:f>
        <x:v>PASS</x:v>
      </x:c>
      <x:c r="H23" s="30" t="n">
        <x:v>19</x:v>
      </x:c>
      <x:c r="I23" s="26">
        <x:f>Cashflow_Waterfall!$Y$24</x:f>
        <x:v>3565654.6407601084</x:v>
      </x:c>
    </x:row>
    <x:row r="24">
      <x:c r="B24" s="6" t="inlineStr">
        <x:is>
          <x:t xml:space="preserve">Target factor for Class B (from Inputs)</x:t>
        </x:is>
      </x:c>
      <x:c r="C24" s="32" t="str">
        <x:f>Inputs!$C$35</x:f>
        <x:v>1.75</x:v>
      </x:c>
      <x:c r="H24" s="30" t="n">
        <x:v>20</x:v>
      </x:c>
      <x:c r="I24" s="26">
        <x:f>Cashflow_Waterfall!$Y$25</x:f>
        <x:v>3554580.3217075034</x:v>
      </x:c>
    </x:row>
    <x:row r="25">
      <x:c r="B25" s="6" t="inlineStr">
        <x:is>
          <x:t xml:space="preserve">Pass? (Class B)</x:t>
        </x:is>
      </x:c>
      <x:c r="C25" s="33" t="str">
        <x:f>IF($C$20&gt;=$C$24,"PASS","FAIL")</x:f>
        <x:v>FAIL</x:v>
      </x:c>
      <x:c r="H25" s="30" t="n">
        <x:v>21</x:v>
      </x:c>
      <x:c r="I25" s="26">
        <x:f>Cashflow_Waterfall!$Y$26</x:f>
        <x:v>3543480.9932310833</x:v>
      </x:c>
    </x:row>
    <x:row r="26">
      <x:c r="H26" s="30" t="n">
        <x:v>22</x:v>
      </x:c>
      <x:c r="I26" s="26">
        <x:f>Cashflow_Waterfall!$Y$27</x:f>
        <x:v>3532356.598851413</x:v>
      </x:c>
    </x:row>
    <x:row r="27" ht="18" customHeight="1">
      <x:c r="B27" s="7" t="inlineStr">
        <x:is>
          <x:t xml:space="preserve">Economics</x:t>
        </x:is>
      </x:c>
      <x:c r="H27" s="30" t="n">
        <x:v>23</x:v>
      </x:c>
      <x:c r="I27" s="26">
        <x:f>Cashflow_Waterfall!$Y$28</x:f>
        <x:v>3521207.08196151</x:v>
      </x:c>
    </x:row>
    <x:row r="28">
      <x:c r="B28" s="6" t="inlineStr">
        <x:is>
          <x:t xml:space="preserve">WA note coupon (A,B)</x:t>
        </x:is>
      </x:c>
      <x:c r="C28" s="13">
        <x:f>($C$11*Inputs!$C$18+$C$12*Inputs!$C$19)/($C$11+$C$12)</x:f>
        <x:v>0.06131578947368421</x:v>
      </x:c>
      <x:c r="H28" s="30" t="n">
        <x:v>24</x:v>
      </x:c>
      <x:c r="I28" s="26">
        <x:f>Cashflow_Waterfall!$Y$29</x:f>
        <x:v>3510032.3858265523</x:v>
      </x:c>
    </x:row>
    <x:row r="29">
      <x:c r="B29" s="6" t="inlineStr">
        <x:is>
          <x:t xml:space="preserve">Equity initial investment (assumed = equity cushion)</x:t>
        </x:is>
      </x:c>
      <x:c r="C29" s="26">
        <x:f>$C$13</x:f>
        <x:v>5999999.999999996</x:v>
      </x:c>
      <x:c r="H29" s="30" t="n">
        <x:v>25</x:v>
      </x:c>
      <x:c r="I29" s="26">
        <x:f>Cashflow_Waterfall!$Y$30</x:f>
        <x:v>3498832.4535835944</x:v>
      </x:c>
    </x:row>
    <x:row r="30">
      <x:c r="H30" s="30" t="n">
        <x:v>26</x:v>
      </x:c>
      <x:c r="I30" s="26">
        <x:f>Cashflow_Waterfall!$Y$31</x:f>
        <x:v>3487607.228241274</x:v>
      </x:c>
    </x:row>
    <x:row r="31">
      <x:c r="B31" s="6" t="inlineStr">
        <x:is>
          <x:t xml:space="preserve">Scenario metrics from Liability_Book (deterministic path)</x:t>
        </x:is>
      </x:c>
      <x:c r="H31" s="30" t="n">
        <x:v>27</x:v>
      </x:c>
      <x:c r="I31" s="26">
        <x:f>Cashflow_Waterfall!$Y$32</x:f>
        <x:v>3476356.652679526</x:v>
      </x:c>
    </x:row>
    <x:row r="32">
      <x:c r="H32" s="30" t="n">
        <x:v>28</x:v>
      </x:c>
      <x:c r="I32" s="26">
        <x:f>Cashflow_Waterfall!$Y$33</x:f>
        <x:v>3465080.669649286</x:v>
      </x:c>
    </x:row>
    <x:row r="33">
      <x:c r="B33" s="48" t="inlineStr">
        <x:is>
          <x:t xml:space="preserve">Metric</x:t>
        </x:is>
      </x:c>
      <x:c r="C33" s="48" t="inlineStr">
        <x:is>
          <x:t xml:space="preserve">Class A</x:t>
        </x:is>
      </x:c>
      <x:c r="D33" s="48" t="inlineStr">
        <x:is>
          <x:t xml:space="preserve">Class B</x:t>
        </x:is>
      </x:c>
      <x:c r="E33" s="48" t="inlineStr">
        <x:is>
          <x:t xml:space="preserve">Equity</x:t>
        </x:is>
      </x:c>
      <x:c r="H33" s="30" t="n">
        <x:v>29</x:v>
      </x:c>
      <x:c r="I33" s="26">
        <x:f>Cashflow_Waterfall!$Y$34</x:f>
        <x:v>3453779.221772207</x:v>
      </x:c>
    </x:row>
    <x:row r="34">
      <x:c r="B34" s="49" t="inlineStr">
        <x:is>
          <x:t xml:space="preserve">IRR (annualized)</x:t>
        </x:is>
      </x:c>
      <x:c r="C34" s="50">
        <x:f>IFERROR(IRR($C$39:$C$105)*12,"")</x:f>
        <x:v>-1.7312551039936679</x:v>
      </x:c>
      <x:c r="D34" s="50">
        <x:f>IFERROR(IRR($D$39:$D$105)*12,"")</x:f>
        <x:v>-3.339779496702235</x:v>
      </x:c>
      <x:c r="E34" s="50">
        <x:f>IFERROR(IRR($E$39:$E$105)*12,"")</x:f>
        <x:v>-24</x:v>
      </x:c>
      <x:c r="H34" s="30" t="n">
        <x:v>30</x:v>
      </x:c>
      <x:c r="I34" s="26">
        <x:f>Cashflow_Waterfall!$Y$35</x:f>
        <x:v>3442452.251540359</x:v>
      </x:c>
    </x:row>
    <x:row r="35">
      <x:c r="B35" s="49" t="inlineStr">
        <x:is>
          <x:t xml:space="preserve">Avg life (years)</x:t>
        </x:is>
      </x:c>
      <x:c r="C35" s="51">
        <x:f>IF($C$11=0,"",SUMPRODUCT($B$40:$B$105,Liability_Book!$AE$21:$AE$86)/$C$11/12)</x:f>
        <x:v>0.15382406963477346</x:v>
      </x:c>
      <x:c r="D35" s="51">
        <x:f>IF($C$12=0,"",SUMPRODUCT($B$40:$B$105,Liability_Book!$AG$21:$AG$86)/$C$12/12)</x:f>
        <x:v>0</x:v>
      </x:c>
      <x:c r="E35" s="50" t="inlineStr">
        <x:is>
          <x:t xml:space="preserve"/>
        </x:is>
      </x:c>
      <x:c r="H35" s="30" t="n">
        <x:v>31</x:v>
      </x:c>
      <x:c r="I35" s="26">
        <x:f>Cashflow_Waterfall!$Y$36</x:f>
        <x:v>3431099.701315942</x:v>
      </x:c>
    </x:row>
    <x:row r="36">
      <x:c r="B36" s="49" t="inlineStr">
        <x:is>
          <x:t xml:space="preserve">PV @ discount rate (Inputs!C12)</x:t>
        </x:is>
      </x:c>
      <x:c r="C36" s="52">
        <x:f>SUMPRODUCT($C$39:$C$105,1/(1+Inputs!$C$12/12)^$B$39:$B$105)</x:f>
        <x:v>-53251323.85870648</x:v>
      </x:c>
      <x:c r="D36" s="52">
        <x:f>SUMPRODUCT($D$39:$D$105,1/(1+Inputs!$C$12/12)^$B$39:$B$105)</x:f>
        <x:v>-13744525.083841564</x:v>
      </x:c>
      <x:c r="E36" s="52">
        <x:f>SUMPRODUCT($E$39:$E$105,1/(1+Inputs!$C$12/12)^$B$39:$B$105)</x:f>
        <x:v>-5999999.999999996</x:v>
      </x:c>
      <x:c r="H36" s="30" t="n">
        <x:v>32</x:v>
      </x:c>
      <x:c r="I36" s="26">
        <x:f>Cashflow_Waterfall!$Y$37</x:f>
        <x:v>3419721.513330992</x:v>
      </x:c>
    </x:row>
    <x:row r="37">
      <x:c r="H37" s="30" t="n">
        <x:v>33</x:v>
      </x:c>
      <x:c r="I37" s="26">
        <x:f>Cashflow_Waterfall!$Y$38</x:f>
        <x:v>3408317.629687084</x:v>
      </x:c>
    </x:row>
    <x:row r="38">
      <x:c r="B38" s="48" t="inlineStr">
        <x:is>
          <x:t xml:space="preserve">Period (months)</x:t>
        </x:is>
      </x:c>
      <x:c r="C38" s="48" t="inlineStr">
        <x:is>
          <x:t xml:space="preserve">A cashflow</x:t>
        </x:is>
      </x:c>
      <x:c r="D38" s="48" t="inlineStr">
        <x:is>
          <x:t xml:space="preserve">B cashflow</x:t>
        </x:is>
      </x:c>
      <x:c r="E38" s="48" t="inlineStr">
        <x:is>
          <x:t xml:space="preserve">Equity cashflow</x:t>
        </x:is>
      </x:c>
      <x:c r="H38" s="30" t="n">
        <x:v>34</x:v>
      </x:c>
      <x:c r="I38" s="26">
        <x:f>Cashflow_Waterfall!$Y$39</x:f>
        <x:v>3396887.9923550403</x:v>
      </x:c>
    </x:row>
    <x:row r="39">
      <x:c r="B39" s="53" t="n">
        <x:v>0</x:v>
      </x:c>
      <x:c r="C39" s="52">
        <x:f>-$C$11</x:f>
        <x:v>-80000000</x:v>
      </x:c>
      <x:c r="D39" s="52">
        <x:f>-$C$12</x:f>
        <x:v>-15000000</x:v>
      </x:c>
      <x:c r="E39" s="52">
        <x:f>-$C$13</x:f>
        <x:v>-5999999.999999996</x:v>
      </x:c>
      <x:c r="H39" s="30" t="n">
        <x:v>35</x:v>
      </x:c>
      <x:c r="I39" s="26">
        <x:f>Cashflow_Waterfall!$Y$40</x:f>
        <x:v>3385432.5431746366</x:v>
      </x:c>
    </x:row>
    <x:row r="40">
      <x:c r="B40" s="53" t="n">
        <x:v>1</x:v>
      </x:c>
      <x:c r="C40" s="52">
        <x:f>Liability_Book!$T21+Liability_Book!$AE21</x:f>
        <x:v>2530365.383182934</x:v>
      </x:c>
      <x:c r="D40" s="52">
        <x:f>Liability_Book!$Y21+Liability_Book!$AG21</x:f>
        <x:v>118750.00000000001</x:v>
      </x:c>
      <x:c r="E40" s="52">
        <x:f>Liability_Book!$AI21</x:f>
        <x:v>0</x:v>
      </x:c>
      <x:c r="H40" s="30" t="n">
        <x:v>36</x:v>
      </x:c>
      <x:c r="I40" s="26">
        <x:f>Cashflow_Waterfall!$Y$41</x:f>
        <x:v>3373951.2238543006</x:v>
      </x:c>
    </x:row>
    <x:row r="41">
      <x:c r="B41" s="53" t="n">
        <x:v>2</x:v>
      </x:c>
      <x:c r="C41" s="52">
        <x:f>Liability_Book!$T22+Liability_Book!$AE22</x:f>
        <x:v>2521723.5752191544</x:v>
      </x:c>
      <x:c r="D41" s="52">
        <x:f>Liability_Book!$Y22+Liability_Book!$AG22</x:f>
        <x:v>118750.00000000001</x:v>
      </x:c>
      <x:c r="E41" s="52">
        <x:f>Liability_Book!$AI22</x:f>
        <x:v>0</x:v>
      </x:c>
      <x:c r="H41" s="30" t="n">
        <x:v>37</x:v>
      </x:c>
      <x:c r="I41" s="26">
        <x:f>Cashflow_Waterfall!$Y$42</x:f>
        <x:v>3362443.9759708196</x:v>
      </x:c>
    </x:row>
    <x:row r="42">
      <x:c r="B42" s="53" t="n">
        <x:v>3</x:v>
      </x:c>
      <x:c r="C42" s="52">
        <x:f>Liability_Book!$T23+Liability_Book!$AE23</x:f>
        <x:v>2513062.2512348522</x:v>
      </x:c>
      <x:c r="D42" s="52">
        <x:f>Liability_Book!$Y23+Liability_Book!$AG23</x:f>
        <x:v>118750.00000000001</x:v>
      </x:c>
      <x:c r="E42" s="52">
        <x:f>Liability_Book!$AI23</x:f>
        <x:v>0</x:v>
      </x:c>
      <x:c r="H42" s="30" t="n">
        <x:v>38</x:v>
      </x:c>
      <x:c r="I42" s="26">
        <x:f>Cashflow_Waterfall!$Y$43</x:f>
        <x:v>3350910.7409690437</x:v>
      </x:c>
    </x:row>
    <x:row r="43">
      <x:c r="B43" s="53" t="n">
        <x:v>4</x:v>
      </x:c>
      <x:c r="C43" s="52">
        <x:f>Liability_Book!$T24+Liability_Book!$AE24</x:f>
        <x:v>2504381.3671564907</x:v>
      </x:c>
      <x:c r="D43" s="52">
        <x:f>Liability_Book!$Y24+Liability_Book!$AG24</x:f>
        <x:v>118750.00000000001</x:v>
      </x:c>
      <x:c r="E43" s="52">
        <x:f>Liability_Book!$AI24</x:f>
        <x:v>0</x:v>
      </x:c>
      <x:c r="H43" s="30" t="n">
        <x:v>39</x:v>
      </x:c>
      <x:c r="I43" s="26">
        <x:f>Cashflow_Waterfall!$Y$44</x:f>
        <x:v>3339351.4601615844</x:v>
      </x:c>
    </x:row>
    <x:row r="44">
      <x:c r="B44" s="53" t="n">
        <x:v>5</x:v>
      </x:c>
      <x:c r="C44" s="52">
        <x:f>Liability_Book!$T25+Liability_Book!$AE25</x:f>
        <x:v>2495680.878810997</x:v>
      </x:c>
      <x:c r="D44" s="52">
        <x:f>Liability_Book!$Y25+Liability_Book!$AG25</x:f>
        <x:v>118750.00000000001</x:v>
      </x:c>
      <x:c r="E44" s="52">
        <x:f>Liability_Book!$AI25</x:f>
        <x:v>0</x:v>
      </x:c>
      <x:c r="H44" s="30" t="n">
        <x:v>40</x:v>
      </x:c>
      <x:c r="I44" s="26">
        <x:f>Cashflow_Waterfall!$Y$45</x:f>
        <x:v>3327766.0747285187</x:v>
      </x:c>
    </x:row>
    <x:row r="45">
      <x:c r="B45" s="53" t="n">
        <x:v>6</x:v>
      </x:c>
      <x:c r="C45" s="52">
        <x:f>Liability_Book!$T26+Liability_Book!$AE26</x:f>
        <x:v>2486960.741925544</x:v>
      </x:c>
      <x:c r="D45" s="52">
        <x:f>Liability_Book!$Y26+Liability_Book!$AG26</x:f>
        <x:v>118750.00000000001</x:v>
      </x:c>
      <x:c r="E45" s="52">
        <x:f>Liability_Book!$AI26</x:f>
        <x:v>0</x:v>
      </x:c>
      <x:c r="H45" s="30" t="n">
        <x:v>41</x:v>
      </x:c>
      <x:c r="I45" s="26">
        <x:f>Cashflow_Waterfall!$Y$46</x:f>
        <x:v>3316154.52571709</x:v>
      </x:c>
    </x:row>
    <x:row r="46">
      <x:c r="B46" s="53" t="n">
        <x:v>7</x:v>
      </x:c>
      <x:c r="C46" s="52">
        <x:f>Liability_Book!$T27+Liability_Book!$AE27</x:f>
        <x:v>2577866.1199938497</x:v>
      </x:c>
      <x:c r="D46" s="52">
        <x:f>Liability_Book!$Y27+Liability_Book!$AG27</x:f>
        <x:v>118750.00000000001</x:v>
      </x:c>
      <x:c r="E46" s="52">
        <x:f>Liability_Book!$AI27</x:f>
        <x:v>0</x:v>
      </x:c>
      <x:c r="H46" s="30" t="n">
        <x:v>42</x:v>
      </x:c>
      <x:c r="I46" s="26">
        <x:f>Cashflow_Waterfall!$Y$47</x:f>
        <x:v>3304516.7540414045</x:v>
      </x:c>
    </x:row>
    <x:row r="47">
      <x:c r="B47" s="53" t="n">
        <x:v>8</x:v>
      </x:c>
      <x:c r="C47" s="52">
        <x:f>Liability_Book!$T28+Liability_Book!$AE28</x:f>
        <x:v>2567087.5546685876</x:v>
      </x:c>
      <x:c r="D47" s="52">
        <x:f>Liability_Book!$Y28+Liability_Book!$AG28</x:f>
        <x:v>118750.00000000001</x:v>
      </x:c>
      <x:c r="E47" s="52">
        <x:f>Liability_Book!$AI28</x:f>
        <x:v>0</x:v>
      </x:c>
      <x:c r="H47" s="30" t="n">
        <x:v>43</x:v>
      </x:c>
      <x:c r="I47" s="26">
        <x:f>Cashflow_Waterfall!$Y$48</x:f>
        <x:v>3292852.7004821375</x:v>
      </x:c>
    </x:row>
    <x:row r="48">
      <x:c r="B48" s="53" t="n">
        <x:v>9</x:v>
      </x:c>
      <x:c r="C48" s="52">
        <x:f>Liability_Book!$T29+Liability_Book!$AE29</x:f>
        <x:v>2556284.6478278744</x:v>
      </x:c>
      <x:c r="D48" s="52">
        <x:f>Liability_Book!$Y29+Liability_Book!$AG29</x:f>
        <x:v>118750.00000000001</x:v>
      </x:c>
      <x:c r="E48" s="52">
        <x:f>Liability_Book!$AI29</x:f>
        <x:v>0</x:v>
      </x:c>
      <x:c r="H48" s="30" t="n">
        <x:v>44</x:v>
      </x:c>
      <x:c r="I48" s="26">
        <x:f>Cashflow_Waterfall!$Y$49</x:f>
        <x:v>3281162.3056862233</x:v>
      </x:c>
    </x:row>
    <x:row r="49">
      <x:c r="B49" s="53" t="n">
        <x:v>10</x:v>
      </x:c>
      <x:c r="C49" s="52">
        <x:f>Liability_Book!$T30+Liability_Book!$AE30</x:f>
        <x:v>2545457.3445006288</x:v>
      </x:c>
      <x:c r="D49" s="52">
        <x:f>Liability_Book!$Y30+Liability_Book!$AG30</x:f>
        <x:v>118750.00000000001</x:v>
      </x:c>
      <x:c r="E49" s="52">
        <x:f>Liability_Book!$AI30</x:f>
        <x:v>0</x:v>
      </x:c>
      <x:c r="H49" s="30" t="n">
        <x:v>45</x:v>
      </x:c>
      <x:c r="I49" s="26">
        <x:f>Cashflow_Waterfall!$Y$50</x:f>
        <x:v>3269445.51016656</x:v>
      </x:c>
    </x:row>
    <x:row r="50">
      <x:c r="B50" s="53" t="n">
        <x:v>11</x:v>
      </x:c>
      <x:c r="C50" s="52">
        <x:f>Liability_Book!$T31+Liability_Book!$AE31</x:f>
        <x:v>2534605.58959163</x:v>
      </x:c>
      <x:c r="D50" s="52">
        <x:f>Liability_Book!$Y31+Liability_Book!$AG31</x:f>
        <x:v>118750.00000000001</x:v>
      </x:c>
      <x:c r="E50" s="52">
        <x:f>Liability_Book!$AI31</x:f>
        <x:v>0</x:v>
      </x:c>
      <x:c r="H50" s="30" t="n">
        <x:v>46</x:v>
      </x:c>
      <x:c r="I50" s="26" t="str">
        <x:f>Cashflow_Waterfall!$Y$51</x:f>
        <x:v>null</x:v>
      </x:c>
    </x:row>
    <x:row r="51">
      <x:c r="B51" s="53" t="n">
        <x:v>12</x:v>
      </x:c>
      <x:c r="C51" s="52">
        <x:f>Liability_Book!$T32+Liability_Book!$AE32</x:f>
      </x:c>
      <x:c r="D51" s="52">
        <x:f>Liability_Book!$Y32+Liability_Book!$AG32</x:f>
      </x:c>
      <x:c r="E51" s="52">
        <x:f>Liability_Book!$AI32</x:f>
      </x:c>
      <x:c r="H51" s="30" t="n">
        <x:v>47</x:v>
      </x:c>
      <x:c r="I51" s="26">
        <x:f>Cashflow_Waterfall!$Y$52</x:f>
      </x:c>
    </x:row>
    <x:row r="52">
      <x:c r="B52" s="53" t="n">
        <x:v>13</x:v>
      </x:c>
      <x:c r="C52" s="52">
        <x:f>Liability_Book!$T33+Liability_Book!$AE33</x:f>
      </x:c>
      <x:c r="D52" s="52">
        <x:f>Liability_Book!$Y33+Liability_Book!$AG33</x:f>
      </x:c>
      <x:c r="E52" s="52">
        <x:f>Liability_Book!$AI33</x:f>
      </x:c>
      <x:c r="H52" s="30" t="n">
        <x:v>48</x:v>
      </x:c>
      <x:c r="I52" s="26">
        <x:f>Cashflow_Waterfall!$Y$53</x:f>
      </x:c>
    </x:row>
    <x:row r="53">
      <x:c r="B53" s="53" t="n">
        <x:v>14</x:v>
      </x:c>
      <x:c r="C53" s="52">
        <x:f>Liability_Book!$T34+Liability_Book!$AE34</x:f>
      </x:c>
      <x:c r="D53" s="52">
        <x:f>Liability_Book!$Y34+Liability_Book!$AG34</x:f>
      </x:c>
      <x:c r="E53" s="52">
        <x:f>Liability_Book!$AI34</x:f>
      </x:c>
      <x:c r="H53" s="30" t="n">
        <x:v>49</x:v>
      </x:c>
      <x:c r="I53" s="26">
        <x:f>Cashflow_Waterfall!$Y$54</x:f>
      </x:c>
    </x:row>
    <x:row r="54">
      <x:c r="B54" s="53" t="n">
        <x:v>15</x:v>
      </x:c>
      <x:c r="C54" s="52">
        <x:f>Liability_Book!$T35+Liability_Book!$AE35</x:f>
      </x:c>
      <x:c r="D54" s="52">
        <x:f>Liability_Book!$Y35+Liability_Book!$AG35</x:f>
      </x:c>
      <x:c r="E54" s="52">
        <x:f>Liability_Book!$AI35</x:f>
      </x:c>
      <x:c r="H54" s="30" t="n">
        <x:v>50</x:v>
      </x:c>
      <x:c r="I54" s="26">
        <x:f>Cashflow_Waterfall!$Y$55</x:f>
      </x:c>
    </x:row>
    <x:row r="55">
      <x:c r="B55" s="53" t="n">
        <x:v>16</x:v>
      </x:c>
      <x:c r="C55" s="52">
        <x:f>Liability_Book!$T36+Liability_Book!$AE36</x:f>
      </x:c>
      <x:c r="D55" s="52">
        <x:f>Liability_Book!$Y36+Liability_Book!$AG36</x:f>
      </x:c>
      <x:c r="E55" s="52">
        <x:f>Liability_Book!$AI36</x:f>
      </x:c>
      <x:c r="H55" s="30" t="n">
        <x:v>51</x:v>
      </x:c>
      <x:c r="I55" s="26">
        <x:f>Cashflow_Waterfall!$Y$56</x:f>
      </x:c>
    </x:row>
    <x:row r="56">
      <x:c r="B56" s="53" t="n">
        <x:v>17</x:v>
      </x:c>
      <x:c r="C56" s="52">
        <x:f>Liability_Book!$T37+Liability_Book!$AE37</x:f>
      </x:c>
      <x:c r="D56" s="52">
        <x:f>Liability_Book!$Y37+Liability_Book!$AG37</x:f>
      </x:c>
      <x:c r="E56" s="52">
        <x:f>Liability_Book!$AI37</x:f>
      </x:c>
      <x:c r="H56" s="30" t="n">
        <x:v>52</x:v>
      </x:c>
      <x:c r="I56" s="26">
        <x:f>Cashflow_Waterfall!$Y$57</x:f>
      </x:c>
    </x:row>
    <x:row r="57">
      <x:c r="B57" s="53" t="n">
        <x:v>18</x:v>
      </x:c>
      <x:c r="C57" s="52">
        <x:f>Liability_Book!$T38+Liability_Book!$AE38</x:f>
      </x:c>
      <x:c r="D57" s="52">
        <x:f>Liability_Book!$Y38+Liability_Book!$AG38</x:f>
      </x:c>
      <x:c r="E57" s="52">
        <x:f>Liability_Book!$AI38</x:f>
      </x:c>
      <x:c r="H57" s="30" t="n">
        <x:v>53</x:v>
      </x:c>
      <x:c r="I57" s="26">
        <x:f>Cashflow_Waterfall!$Y$58</x:f>
      </x:c>
    </x:row>
    <x:row r="58">
      <x:c r="B58" s="53" t="n">
        <x:v>19</x:v>
      </x:c>
      <x:c r="C58" s="52">
        <x:f>Liability_Book!$T39+Liability_Book!$AE39</x:f>
      </x:c>
      <x:c r="D58" s="52">
        <x:f>Liability_Book!$Y39+Liability_Book!$AG39</x:f>
      </x:c>
      <x:c r="E58" s="52">
        <x:f>Liability_Book!$AI39</x:f>
      </x:c>
      <x:c r="H58" s="30" t="n">
        <x:v>54</x:v>
      </x:c>
      <x:c r="I58" s="26">
        <x:f>Cashflow_Waterfall!$Y$59</x:f>
      </x:c>
    </x:row>
    <x:row r="59">
      <x:c r="B59" s="53" t="n">
        <x:v>20</x:v>
      </x:c>
      <x:c r="C59" s="52">
        <x:f>Liability_Book!$T40+Liability_Book!$AE40</x:f>
      </x:c>
      <x:c r="D59" s="52">
        <x:f>Liability_Book!$Y40+Liability_Book!$AG40</x:f>
      </x:c>
      <x:c r="E59" s="52">
        <x:f>Liability_Book!$AI40</x:f>
      </x:c>
      <x:c r="H59" s="30" t="n">
        <x:v>55</x:v>
      </x:c>
      <x:c r="I59" s="26">
        <x:f>Cashflow_Waterfall!$Y$60</x:f>
      </x:c>
    </x:row>
    <x:row r="60">
      <x:c r="B60" s="53" t="n">
        <x:v>21</x:v>
      </x:c>
      <x:c r="C60" s="52">
        <x:f>Liability_Book!$T41+Liability_Book!$AE41</x:f>
      </x:c>
      <x:c r="D60" s="52">
        <x:f>Liability_Book!$Y41+Liability_Book!$AG41</x:f>
      </x:c>
      <x:c r="E60" s="52">
        <x:f>Liability_Book!$AI41</x:f>
      </x:c>
      <x:c r="H60" s="30" t="n">
        <x:v>56</x:v>
      </x:c>
      <x:c r="I60" s="26">
        <x:f>Cashflow_Waterfall!$Y$61</x:f>
      </x:c>
    </x:row>
    <x:row r="61">
      <x:c r="B61" s="53" t="n">
        <x:v>22</x:v>
      </x:c>
      <x:c r="C61" s="52">
        <x:f>Liability_Book!$T42+Liability_Book!$AE42</x:f>
      </x:c>
      <x:c r="D61" s="52">
        <x:f>Liability_Book!$Y42+Liability_Book!$AG42</x:f>
      </x:c>
      <x:c r="E61" s="52">
        <x:f>Liability_Book!$AI42</x:f>
      </x:c>
      <x:c r="H61" s="30" t="n">
        <x:v>57</x:v>
      </x:c>
      <x:c r="I61" s="26">
        <x:f>Cashflow_Waterfall!$Y$62</x:f>
      </x:c>
    </x:row>
    <x:row r="62">
      <x:c r="B62" s="53" t="n">
        <x:v>23</x:v>
      </x:c>
      <x:c r="C62" s="52">
        <x:f>Liability_Book!$T43+Liability_Book!$AE43</x:f>
      </x:c>
      <x:c r="D62" s="52">
        <x:f>Liability_Book!$Y43+Liability_Book!$AG43</x:f>
      </x:c>
      <x:c r="E62" s="52">
        <x:f>Liability_Book!$AI43</x:f>
      </x:c>
      <x:c r="H62" s="30" t="n">
        <x:v>58</x:v>
      </x:c>
      <x:c r="I62" s="26">
        <x:f>Cashflow_Waterfall!$Y$63</x:f>
      </x:c>
    </x:row>
    <x:row r="63">
      <x:c r="B63" s="53" t="n">
        <x:v>24</x:v>
      </x:c>
      <x:c r="C63" s="52">
        <x:f>Liability_Book!$T44+Liability_Book!$AE44</x:f>
      </x:c>
      <x:c r="D63" s="52">
        <x:f>Liability_Book!$Y44+Liability_Book!$AG44</x:f>
      </x:c>
      <x:c r="E63" s="52">
        <x:f>Liability_Book!$AI44</x:f>
      </x:c>
      <x:c r="H63" s="30" t="n">
        <x:v>59</x:v>
      </x:c>
      <x:c r="I63" s="26">
        <x:f>Cashflow_Waterfall!$Y$64</x:f>
      </x:c>
    </x:row>
    <x:row r="64">
      <x:c r="B64" s="53" t="n">
        <x:v>25</x:v>
      </x:c>
      <x:c r="C64" s="52">
        <x:f>Liability_Book!$T45+Liability_Book!$AE45</x:f>
      </x:c>
      <x:c r="D64" s="52">
        <x:f>Liability_Book!$Y45+Liability_Book!$AG45</x:f>
      </x:c>
      <x:c r="E64" s="52">
        <x:f>Liability_Book!$AI45</x:f>
      </x:c>
      <x:c r="H64" s="30" t="n">
        <x:v>60</x:v>
      </x:c>
      <x:c r="I64" s="26">
        <x:f>Cashflow_Waterfall!$Y$65</x:f>
      </x:c>
    </x:row>
    <x:row r="65">
      <x:c r="B65" s="53" t="n">
        <x:v>26</x:v>
      </x:c>
      <x:c r="C65" s="52">
        <x:f>Liability_Book!$T46+Liability_Book!$AE46</x:f>
      </x:c>
      <x:c r="D65" s="52">
        <x:f>Liability_Book!$Y46+Liability_Book!$AG46</x:f>
      </x:c>
      <x:c r="E65" s="52">
        <x:f>Liability_Book!$AI46</x:f>
      </x:c>
      <x:c r="H65" s="30" t="n">
        <x:v>61</x:v>
      </x:c>
      <x:c r="I65" s="26">
        <x:f>Cashflow_Waterfall!$Y$66</x:f>
      </x:c>
    </x:row>
    <x:row r="66">
      <x:c r="B66" s="53" t="n">
        <x:v>27</x:v>
      </x:c>
      <x:c r="C66" s="52">
        <x:f>Liability_Book!$T47+Liability_Book!$AE47</x:f>
      </x:c>
      <x:c r="D66" s="52">
        <x:f>Liability_Book!$Y47+Liability_Book!$AG47</x:f>
      </x:c>
      <x:c r="E66" s="52">
        <x:f>Liability_Book!$AI47</x:f>
      </x:c>
      <x:c r="H66" s="30" t="n">
        <x:v>62</x:v>
      </x:c>
      <x:c r="I66" s="26">
        <x:f>Cashflow_Waterfall!$Y$67</x:f>
      </x:c>
    </x:row>
    <x:row r="67">
      <x:c r="B67" s="53" t="n">
        <x:v>28</x:v>
      </x:c>
      <x:c r="C67" s="52">
        <x:f>Liability_Book!$T48+Liability_Book!$AE48</x:f>
      </x:c>
      <x:c r="D67" s="52">
        <x:f>Liability_Book!$Y48+Liability_Book!$AG48</x:f>
      </x:c>
      <x:c r="E67" s="52">
        <x:f>Liability_Book!$AI48</x:f>
      </x:c>
      <x:c r="H67" s="30" t="n">
        <x:v>63</x:v>
      </x:c>
      <x:c r="I67" s="26">
        <x:f>Cashflow_Waterfall!$Y$68</x:f>
      </x:c>
    </x:row>
    <x:row r="68">
      <x:c r="B68" s="53" t="n">
        <x:v>29</x:v>
      </x:c>
      <x:c r="C68" s="52">
        <x:f>Liability_Book!$T49+Liability_Book!$AE49</x:f>
      </x:c>
      <x:c r="D68" s="52">
        <x:f>Liability_Book!$Y49+Liability_Book!$AG49</x:f>
      </x:c>
      <x:c r="E68" s="52">
        <x:f>Liability_Book!$AI49</x:f>
      </x:c>
      <x:c r="H68" s="30" t="n">
        <x:v>64</x:v>
      </x:c>
      <x:c r="I68" s="26">
        <x:f>Cashflow_Waterfall!$Y$69</x:f>
      </x:c>
    </x:row>
    <x:row r="69">
      <x:c r="B69" s="53" t="n">
        <x:v>30</x:v>
      </x:c>
      <x:c r="C69" s="52">
        <x:f>Liability_Book!$T50+Liability_Book!$AE50</x:f>
      </x:c>
      <x:c r="D69" s="52">
        <x:f>Liability_Book!$Y50+Liability_Book!$AG50</x:f>
      </x:c>
      <x:c r="E69" s="52">
        <x:f>Liability_Book!$AI50</x:f>
      </x:c>
      <x:c r="H69" s="30" t="n">
        <x:v>65</x:v>
      </x:c>
      <x:c r="I69" s="26">
        <x:f>Cashflow_Waterfall!$Y$70</x:f>
      </x:c>
    </x:row>
    <x:row r="70">
      <x:c r="B70" s="53" t="n">
        <x:v>31</x:v>
      </x:c>
      <x:c r="C70" s="52">
        <x:f>Liability_Book!$T51+Liability_Book!$AE51</x:f>
      </x:c>
      <x:c r="D70" s="52">
        <x:f>Liability_Book!$Y51+Liability_Book!$AG51</x:f>
      </x:c>
      <x:c r="E70" s="52">
        <x:f>Liability_Book!$AI51</x:f>
      </x:c>
      <x:c r="H70" s="30" t="n">
        <x:v>66</x:v>
      </x:c>
      <x:c r="I70" s="26">
        <x:f>Cashflow_Waterfall!$Y$71</x:f>
      </x:c>
    </x:row>
    <x:row r="71">
      <x:c r="B71" s="53" t="n">
        <x:v>32</x:v>
      </x:c>
      <x:c r="C71" s="52">
        <x:f>Liability_Book!$T52+Liability_Book!$AE52</x:f>
      </x:c>
      <x:c r="D71" s="52">
        <x:f>Liability_Book!$Y52+Liability_Book!$AG52</x:f>
      </x:c>
      <x:c r="E71" s="52">
        <x:f>Liability_Book!$AI52</x:f>
      </x:c>
      <x:c r="H71" s="30" t="n">
        <x:v>67</x:v>
      </x:c>
      <x:c r="I71" s="26">
        <x:f>Cashflow_Waterfall!$Y$72</x:f>
      </x:c>
    </x:row>
    <x:row r="72">
      <x:c r="B72" s="53" t="n">
        <x:v>33</x:v>
      </x:c>
      <x:c r="C72" s="52">
        <x:f>Liability_Book!$T53+Liability_Book!$AE53</x:f>
      </x:c>
      <x:c r="D72" s="52">
        <x:f>Liability_Book!$Y53+Liability_Book!$AG53</x:f>
      </x:c>
      <x:c r="E72" s="52">
        <x:f>Liability_Book!$AI53</x:f>
      </x:c>
      <x:c r="H72" s="30" t="n">
        <x:v>68</x:v>
      </x:c>
      <x:c r="I72" s="26">
        <x:f>Cashflow_Waterfall!$Y$73</x:f>
      </x:c>
    </x:row>
    <x:row r="73">
      <x:c r="B73" s="53" t="n">
        <x:v>34</x:v>
      </x:c>
      <x:c r="C73" s="52">
        <x:f>Liability_Book!$T54+Liability_Book!$AE54</x:f>
      </x:c>
      <x:c r="D73" s="52">
        <x:f>Liability_Book!$Y54+Liability_Book!$AG54</x:f>
      </x:c>
      <x:c r="E73" s="52">
        <x:f>Liability_Book!$AI54</x:f>
      </x:c>
      <x:c r="H73" s="30" t="n">
        <x:v>69</x:v>
      </x:c>
      <x:c r="I73" s="26">
        <x:f>Cashflow_Waterfall!$Y$74</x:f>
      </x:c>
    </x:row>
    <x:row r="74">
      <x:c r="B74" s="53" t="n">
        <x:v>35</x:v>
      </x:c>
      <x:c r="C74" s="52">
        <x:f>Liability_Book!$T55+Liability_Book!$AE55</x:f>
      </x:c>
      <x:c r="D74" s="52">
        <x:f>Liability_Book!$Y55+Liability_Book!$AG55</x:f>
      </x:c>
      <x:c r="E74" s="52">
        <x:f>Liability_Book!$AI55</x:f>
      </x:c>
      <x:c r="H74" s="30" t="n">
        <x:v>70</x:v>
      </x:c>
      <x:c r="I74" s="26">
        <x:f>Cashflow_Waterfall!$Y$75</x:f>
      </x:c>
    </x:row>
    <x:row r="75">
      <x:c r="B75" s="53" t="n">
        <x:v>36</x:v>
      </x:c>
      <x:c r="C75" s="52">
        <x:f>Liability_Book!$T56+Liability_Book!$AE56</x:f>
      </x:c>
      <x:c r="D75" s="52">
        <x:f>Liability_Book!$Y56+Liability_Book!$AG56</x:f>
      </x:c>
      <x:c r="E75" s="52">
        <x:f>Liability_Book!$AI56</x:f>
      </x:c>
      <x:c r="H75" s="30" t="n">
        <x:v>71</x:v>
      </x:c>
      <x:c r="I75" s="26">
        <x:f>Cashflow_Waterfall!$Y$76</x:f>
      </x:c>
    </x:row>
    <x:row r="76">
      <x:c r="B76" s="53" t="n">
        <x:v>37</x:v>
      </x:c>
      <x:c r="C76" s="52">
        <x:f>Liability_Book!$T57+Liability_Book!$AE57</x:f>
      </x:c>
      <x:c r="D76" s="52">
        <x:f>Liability_Book!$Y57+Liability_Book!$AG57</x:f>
      </x:c>
      <x:c r="E76" s="52">
        <x:f>Liability_Book!$AI57</x:f>
      </x:c>
      <x:c r="H76" s="30" t="n">
        <x:v>72</x:v>
      </x:c>
      <x:c r="I76" s="26">
        <x:f>Cashflow_Waterfall!$Y$77</x:f>
      </x:c>
    </x:row>
    <x:row r="77">
      <x:c r="B77" s="53" t="n">
        <x:v>38</x:v>
      </x:c>
      <x:c r="C77" s="52">
        <x:f>Liability_Book!$T58+Liability_Book!$AE58</x:f>
      </x:c>
      <x:c r="D77" s="52">
        <x:f>Liability_Book!$Y58+Liability_Book!$AG58</x:f>
      </x:c>
      <x:c r="E77" s="52">
        <x:f>Liability_Book!$AI58</x:f>
      </x:c>
      <x:c r="H77" s="30" t="n">
        <x:v>73</x:v>
      </x:c>
      <x:c r="I77" s="26">
        <x:f>Cashflow_Waterfall!$Y$78</x:f>
      </x:c>
    </x:row>
    <x:row r="78">
      <x:c r="B78" s="53" t="n">
        <x:v>39</x:v>
      </x:c>
      <x:c r="C78" s="52">
        <x:f>Liability_Book!$T59+Liability_Book!$AE59</x:f>
      </x:c>
      <x:c r="D78" s="52">
        <x:f>Liability_Book!$Y59+Liability_Book!$AG59</x:f>
      </x:c>
      <x:c r="E78" s="52">
        <x:f>Liability_Book!$AI59</x:f>
      </x:c>
      <x:c r="H78" s="30" t="n">
        <x:v>74</x:v>
      </x:c>
      <x:c r="I78" s="26">
        <x:f>Cashflow_Waterfall!$Y$79</x:f>
      </x:c>
    </x:row>
    <x:row r="79">
      <x:c r="B79" s="53" t="n">
        <x:v>40</x:v>
      </x:c>
      <x:c r="C79" s="52">
        <x:f>Liability_Book!$T60+Liability_Book!$AE60</x:f>
      </x:c>
      <x:c r="D79" s="52">
        <x:f>Liability_Book!$Y60+Liability_Book!$AG60</x:f>
      </x:c>
      <x:c r="E79" s="52">
        <x:f>Liability_Book!$AI60</x:f>
      </x:c>
      <x:c r="H79" s="30" t="n">
        <x:v>75</x:v>
      </x:c>
      <x:c r="I79" s="26">
        <x:f>Cashflow_Waterfall!$Y$80</x:f>
      </x:c>
    </x:row>
    <x:row r="80">
      <x:c r="B80" s="53" t="n">
        <x:v>41</x:v>
      </x:c>
      <x:c r="C80" s="52">
        <x:f>Liability_Book!$T61+Liability_Book!$AE61</x:f>
      </x:c>
      <x:c r="D80" s="52">
        <x:f>Liability_Book!$Y61+Liability_Book!$AG61</x:f>
      </x:c>
      <x:c r="E80" s="52">
        <x:f>Liability_Book!$AI61</x:f>
      </x:c>
      <x:c r="H80" s="30" t="n">
        <x:v>76</x:v>
      </x:c>
      <x:c r="I80" s="26">
        <x:f>Cashflow_Waterfall!$Y$81</x:f>
      </x:c>
    </x:row>
    <x:row r="81">
      <x:c r="B81" s="53" t="n">
        <x:v>42</x:v>
      </x:c>
      <x:c r="C81" s="52">
        <x:f>Liability_Book!$T62+Liability_Book!$AE62</x:f>
      </x:c>
      <x:c r="D81" s="52">
        <x:f>Liability_Book!$Y62+Liability_Book!$AG62</x:f>
      </x:c>
      <x:c r="E81" s="52">
        <x:f>Liability_Book!$AI62</x:f>
      </x:c>
      <x:c r="H81" s="30" t="n">
        <x:v>77</x:v>
      </x:c>
      <x:c r="I81" s="26">
        <x:f>Cashflow_Waterfall!$Y$82</x:f>
      </x:c>
    </x:row>
    <x:row r="82">
      <x:c r="B82" s="53" t="n">
        <x:v>43</x:v>
      </x:c>
      <x:c r="C82" s="52">
        <x:f>Liability_Book!$T63+Liability_Book!$AE63</x:f>
      </x:c>
      <x:c r="D82" s="52">
        <x:f>Liability_Book!$Y63+Liability_Book!$AG63</x:f>
      </x:c>
      <x:c r="E82" s="52">
        <x:f>Liability_Book!$AI63</x:f>
      </x:c>
      <x:c r="H82" s="30" t="n">
        <x:v>78</x:v>
      </x:c>
      <x:c r="I82" s="26">
        <x:f>Cashflow_Waterfall!$Y$83</x:f>
      </x:c>
    </x:row>
    <x:row r="83">
      <x:c r="B83" s="53" t="n">
        <x:v>44</x:v>
      </x:c>
      <x:c r="C83" s="52">
        <x:f>Liability_Book!$T64+Liability_Book!$AE64</x:f>
      </x:c>
      <x:c r="D83" s="52">
        <x:f>Liability_Book!$Y64+Liability_Book!$AG64</x:f>
      </x:c>
      <x:c r="E83" s="52">
        <x:f>Liability_Book!$AI64</x:f>
      </x:c>
      <x:c r="H83" s="30" t="n">
        <x:v>79</x:v>
      </x:c>
      <x:c r="I83" s="26">
        <x:f>Cashflow_Waterfall!$Y$84</x:f>
      </x:c>
    </x:row>
    <x:row r="84">
      <x:c r="B84" s="53" t="n">
        <x:v>45</x:v>
      </x:c>
      <x:c r="C84" s="52">
        <x:f>Liability_Book!$T65+Liability_Book!$AE65</x:f>
      </x:c>
      <x:c r="D84" s="52">
        <x:f>Liability_Book!$Y65+Liability_Book!$AG65</x:f>
      </x:c>
      <x:c r="E84" s="52">
        <x:f>Liability_Book!$AI65</x:f>
      </x:c>
      <x:c r="H84" s="30" t="n">
        <x:v>80</x:v>
      </x:c>
      <x:c r="I84" s="26">
        <x:f>Cashflow_Waterfall!$Y$85</x:f>
      </x:c>
    </x:row>
    <x:row r="85">
      <x:c r="B85" s="53" t="n">
        <x:v>46</x:v>
      </x:c>
      <x:c r="C85" s="52">
        <x:f>Liability_Book!$T66+Liability_Book!$AE66</x:f>
      </x:c>
      <x:c r="D85" s="52">
        <x:f>Liability_Book!$Y66+Liability_Book!$AG66</x:f>
      </x:c>
      <x:c r="E85" s="52">
        <x:f>Liability_Book!$AI66</x:f>
      </x:c>
      <x:c r="H85" s="30" t="n">
        <x:v>81</x:v>
      </x:c>
      <x:c r="I85" s="26">
        <x:f>Cashflow_Waterfall!$Y$86</x:f>
      </x:c>
    </x:row>
    <x:row r="86">
      <x:c r="B86" s="53" t="n">
        <x:v>47</x:v>
      </x:c>
      <x:c r="C86" s="52">
        <x:f>Liability_Book!$T67+Liability_Book!$AE67</x:f>
      </x:c>
      <x:c r="D86" s="52">
        <x:f>Liability_Book!$Y67+Liability_Book!$AG67</x:f>
      </x:c>
      <x:c r="E86" s="52">
        <x:f>Liability_Book!$AI67</x:f>
      </x:c>
      <x:c r="H86" s="30" t="n">
        <x:v>82</x:v>
      </x:c>
      <x:c r="I86" s="26">
        <x:f>Cashflow_Waterfall!$Y$87</x:f>
      </x:c>
    </x:row>
    <x:row r="87">
      <x:c r="B87" s="53" t="n">
        <x:v>48</x:v>
      </x:c>
      <x:c r="C87" s="52">
        <x:f>Liability_Book!$T68+Liability_Book!$AE68</x:f>
      </x:c>
      <x:c r="D87" s="52">
        <x:f>Liability_Book!$Y68+Liability_Book!$AG68</x:f>
      </x:c>
      <x:c r="E87" s="52">
        <x:f>Liability_Book!$AI68</x:f>
      </x:c>
      <x:c r="H87" s="30" t="n">
        <x:v>83</x:v>
      </x:c>
      <x:c r="I87" s="26">
        <x:f>Cashflow_Waterfall!$Y$88</x:f>
      </x:c>
    </x:row>
    <x:row r="88">
      <x:c r="B88" s="53" t="n">
        <x:v>49</x:v>
      </x:c>
      <x:c r="C88" s="52">
        <x:f>Liability_Book!$T69+Liability_Book!$AE69</x:f>
      </x:c>
      <x:c r="D88" s="52">
        <x:f>Liability_Book!$Y69+Liability_Book!$AG69</x:f>
      </x:c>
      <x:c r="E88" s="52">
        <x:f>Liability_Book!$AI69</x:f>
      </x:c>
      <x:c r="H88" s="30" t="n">
        <x:v>84</x:v>
      </x:c>
      <x:c r="I88" s="26">
        <x:f>Cashflow_Waterfall!$Y$89</x:f>
      </x:c>
    </x:row>
    <x:row r="89">
      <x:c r="B89" s="53" t="n">
        <x:v>50</x:v>
      </x:c>
      <x:c r="C89" s="52">
        <x:f>Liability_Book!$T70+Liability_Book!$AE70</x:f>
      </x:c>
      <x:c r="D89" s="52">
        <x:f>Liability_Book!$Y70+Liability_Book!$AG70</x:f>
      </x:c>
      <x:c r="E89" s="52">
        <x:f>Liability_Book!$AI70</x:f>
      </x:c>
      <x:c r="H89" s="30" t="n">
        <x:v>85</x:v>
      </x:c>
      <x:c r="I89" s="26">
        <x:f>Cashflow_Waterfall!$Y$90</x:f>
      </x:c>
    </x:row>
    <x:row r="90">
      <x:c r="B90" s="53" t="n">
        <x:v>51</x:v>
      </x:c>
      <x:c r="C90" s="52">
        <x:f>Liability_Book!$T71+Liability_Book!$AE71</x:f>
      </x:c>
      <x:c r="D90" s="52">
        <x:f>Liability_Book!$Y71+Liability_Book!$AG71</x:f>
      </x:c>
      <x:c r="E90" s="52">
        <x:f>Liability_Book!$AI71</x:f>
      </x:c>
      <x:c r="H90" s="30" t="n">
        <x:v>86</x:v>
      </x:c>
      <x:c r="I90" s="26">
        <x:f>Cashflow_Waterfall!$Y$91</x:f>
      </x:c>
    </x:row>
    <x:row r="91">
      <x:c r="B91" s="53" t="n">
        <x:v>52</x:v>
      </x:c>
      <x:c r="C91" s="52">
        <x:f>Liability_Book!$T72+Liability_Book!$AE72</x:f>
      </x:c>
      <x:c r="D91" s="52">
        <x:f>Liability_Book!$Y72+Liability_Book!$AG72</x:f>
      </x:c>
      <x:c r="E91" s="52">
        <x:f>Liability_Book!$AI72</x:f>
      </x:c>
      <x:c r="H91" s="30" t="n">
        <x:v>87</x:v>
      </x:c>
      <x:c r="I91" s="26">
        <x:f>Cashflow_Waterfall!$Y$92</x:f>
      </x:c>
    </x:row>
    <x:row r="92">
      <x:c r="B92" s="53" t="n">
        <x:v>53</x:v>
      </x:c>
      <x:c r="C92" s="52">
        <x:f>Liability_Book!$T73+Liability_Book!$AE73</x:f>
      </x:c>
      <x:c r="D92" s="52">
        <x:f>Liability_Book!$Y73+Liability_Book!$AG73</x:f>
      </x:c>
      <x:c r="E92" s="52">
        <x:f>Liability_Book!$AI73</x:f>
      </x:c>
      <x:c r="H92" s="30" t="n">
        <x:v>88</x:v>
      </x:c>
      <x:c r="I92" s="26">
        <x:f>Cashflow_Waterfall!$Y$93</x:f>
      </x:c>
    </x:row>
    <x:row r="93">
      <x:c r="B93" s="53" t="n">
        <x:v>54</x:v>
      </x:c>
      <x:c r="C93" s="52">
        <x:f>Liability_Book!$T74+Liability_Book!$AE74</x:f>
      </x:c>
      <x:c r="D93" s="52">
        <x:f>Liability_Book!$Y74+Liability_Book!$AG74</x:f>
      </x:c>
      <x:c r="E93" s="52">
        <x:f>Liability_Book!$AI74</x:f>
      </x:c>
      <x:c r="H93" s="30" t="n">
        <x:v>89</x:v>
      </x:c>
      <x:c r="I93" s="26">
        <x:f>Cashflow_Waterfall!$Y$94</x:f>
      </x:c>
    </x:row>
    <x:row r="94">
      <x:c r="B94" s="53" t="n">
        <x:v>55</x:v>
      </x:c>
      <x:c r="C94" s="52">
        <x:f>Liability_Book!$T75+Liability_Book!$AE75</x:f>
      </x:c>
      <x:c r="D94" s="52">
        <x:f>Liability_Book!$Y75+Liability_Book!$AG75</x:f>
      </x:c>
      <x:c r="E94" s="52">
        <x:f>Liability_Book!$AI75</x:f>
      </x:c>
      <x:c r="H94" s="30" t="n">
        <x:v>90</x:v>
      </x:c>
      <x:c r="I94" s="26">
        <x:f>Cashflow_Waterfall!$Y$95</x:f>
      </x:c>
    </x:row>
    <x:row r="95">
      <x:c r="B95" s="53" t="n">
        <x:v>56</x:v>
      </x:c>
      <x:c r="C95" s="52">
        <x:f>Liability_Book!$T76+Liability_Book!$AE76</x:f>
      </x:c>
      <x:c r="D95" s="52">
        <x:f>Liability_Book!$Y76+Liability_Book!$AG76</x:f>
      </x:c>
      <x:c r="E95" s="52">
        <x:f>Liability_Book!$AI76</x:f>
      </x:c>
      <x:c r="H95" s="30" t="n">
        <x:v>91</x:v>
      </x:c>
      <x:c r="I95" s="26">
        <x:f>Cashflow_Waterfall!$Y$96</x:f>
      </x:c>
    </x:row>
    <x:row r="96">
      <x:c r="B96" s="53" t="n">
        <x:v>57</x:v>
      </x:c>
      <x:c r="C96" s="52">
        <x:f>Liability_Book!$T77+Liability_Book!$AE77</x:f>
      </x:c>
      <x:c r="D96" s="52">
        <x:f>Liability_Book!$Y77+Liability_Book!$AG77</x:f>
      </x:c>
      <x:c r="E96" s="52">
        <x:f>Liability_Book!$AI77</x:f>
      </x:c>
      <x:c r="H96" s="30" t="n">
        <x:v>92</x:v>
      </x:c>
      <x:c r="I96" s="26">
        <x:f>Cashflow_Waterfall!$Y$97</x:f>
      </x:c>
    </x:row>
    <x:row r="97">
      <x:c r="B97" s="53" t="n">
        <x:v>58</x:v>
      </x:c>
      <x:c r="C97" s="52">
        <x:f>Liability_Book!$T78+Liability_Book!$AE78</x:f>
      </x:c>
      <x:c r="D97" s="52">
        <x:f>Liability_Book!$Y78+Liability_Book!$AG78</x:f>
      </x:c>
      <x:c r="E97" s="52">
        <x:f>Liability_Book!$AI78</x:f>
      </x:c>
      <x:c r="H97" s="30" t="n">
        <x:v>93</x:v>
      </x:c>
      <x:c r="I97" s="26">
        <x:f>Cashflow_Waterfall!$Y$98</x:f>
      </x:c>
    </x:row>
    <x:row r="98">
      <x:c r="B98" s="53" t="n">
        <x:v>59</x:v>
      </x:c>
      <x:c r="C98" s="52">
        <x:f>Liability_Book!$T79+Liability_Book!$AE79</x:f>
      </x:c>
      <x:c r="D98" s="52">
        <x:f>Liability_Book!$Y79+Liability_Book!$AG79</x:f>
      </x:c>
      <x:c r="E98" s="52">
        <x:f>Liability_Book!$AI79</x:f>
      </x:c>
      <x:c r="H98" s="30" t="n">
        <x:v>94</x:v>
      </x:c>
      <x:c r="I98" s="26">
        <x:f>Cashflow_Waterfall!$Y$99</x:f>
      </x:c>
    </x:row>
    <x:row r="99">
      <x:c r="B99" s="53" t="n">
        <x:v>60</x:v>
      </x:c>
      <x:c r="C99" s="52">
        <x:f>Liability_Book!$T80+Liability_Book!$AE80</x:f>
      </x:c>
      <x:c r="D99" s="52">
        <x:f>Liability_Book!$Y80+Liability_Book!$AG80</x:f>
      </x:c>
      <x:c r="E99" s="52">
        <x:f>Liability_Book!$AI80</x:f>
      </x:c>
      <x:c r="H99" s="30" t="n">
        <x:v>95</x:v>
      </x:c>
      <x:c r="I99" s="26">
        <x:f>Cashflow_Waterfall!$Y$100</x:f>
      </x:c>
    </x:row>
    <x:row r="100">
      <x:c r="B100" s="53" t="n">
        <x:v>61</x:v>
      </x:c>
      <x:c r="C100" s="52">
        <x:f>Liability_Book!$T81+Liability_Book!$AE81</x:f>
      </x:c>
      <x:c r="D100" s="52">
        <x:f>Liability_Book!$Y81+Liability_Book!$AG81</x:f>
      </x:c>
      <x:c r="E100" s="52">
        <x:f>Liability_Book!$AI81</x:f>
      </x:c>
      <x:c r="H100" s="30" t="n">
        <x:v>96</x:v>
      </x:c>
      <x:c r="I100" s="26">
        <x:f>Cashflow_Waterfall!$Y$101</x:f>
      </x:c>
    </x:row>
    <x:row r="101">
      <x:c r="B101" s="53" t="n">
        <x:v>62</x:v>
      </x:c>
      <x:c r="C101" s="52">
        <x:f>Liability_Book!$T82+Liability_Book!$AE82</x:f>
      </x:c>
      <x:c r="D101" s="52">
        <x:f>Liability_Book!$Y82+Liability_Book!$AG82</x:f>
      </x:c>
      <x:c r="E101" s="52">
        <x:f>Liability_Book!$AI82</x:f>
      </x:c>
      <x:c r="H101" s="30" t="n">
        <x:v>97</x:v>
      </x:c>
      <x:c r="I101" s="26">
        <x:f>Cashflow_Waterfall!$Y$102</x:f>
      </x:c>
    </x:row>
    <x:row r="102">
      <x:c r="B102" s="53" t="n">
        <x:v>63</x:v>
      </x:c>
      <x:c r="C102" s="52">
        <x:f>Liability_Book!$T83+Liability_Book!$AE83</x:f>
      </x:c>
      <x:c r="D102" s="52">
        <x:f>Liability_Book!$Y83+Liability_Book!$AG83</x:f>
      </x:c>
      <x:c r="E102" s="52">
        <x:f>Liability_Book!$AI83</x:f>
      </x:c>
      <x:c r="H102" s="30" t="n">
        <x:v>98</x:v>
      </x:c>
      <x:c r="I102" s="26">
        <x:f>Cashflow_Waterfall!$Y$103</x:f>
      </x:c>
    </x:row>
    <x:row r="103">
      <x:c r="B103" s="53" t="n">
        <x:v>64</x:v>
      </x:c>
      <x:c r="C103" s="52">
        <x:f>Liability_Book!$T84+Liability_Book!$AE84</x:f>
      </x:c>
      <x:c r="D103" s="52">
        <x:f>Liability_Book!$Y84+Liability_Book!$AG84</x:f>
      </x:c>
      <x:c r="E103" s="52">
        <x:f>Liability_Book!$AI84</x:f>
      </x:c>
      <x:c r="H103" s="30" t="n">
        <x:v>99</x:v>
      </x:c>
      <x:c r="I103" s="26">
        <x:f>Cashflow_Waterfall!$Y$104</x:f>
      </x:c>
    </x:row>
    <x:row r="104">
      <x:c r="B104" s="53" t="n">
        <x:v>65</x:v>
      </x:c>
      <x:c r="C104" s="52">
        <x:f>Liability_Book!$T85+Liability_Book!$AE85</x:f>
      </x:c>
      <x:c r="D104" s="52">
        <x:f>Liability_Book!$Y85+Liability_Book!$AG85</x:f>
      </x:c>
      <x:c r="E104" s="52">
        <x:f>Liability_Book!$AI85</x:f>
      </x:c>
      <x:c r="H104" s="30" t="n">
        <x:v>100</x:v>
      </x:c>
      <x:c r="I104" s="26">
        <x:f>Cashflow_Waterfall!$Y$105</x:f>
      </x:c>
    </x:row>
    <x:row r="105">
      <x:c r="B105" s="53" t="n">
        <x:v>66</x:v>
      </x:c>
      <x:c r="C105" s="52">
        <x:f>Liability_Book!$T86+Liability_Book!$AE86</x:f>
      </x:c>
      <x:c r="D105" s="52">
        <x:f>Liability_Book!$Y86+Liability_Book!$AG86</x:f>
      </x:c>
      <x:c r="E105" s="52">
        <x:f>Liability_Book!$AI86</x:f>
      </x:c>
      <x:c r="H105" s="30" t="n">
        <x:v>101</x:v>
      </x:c>
      <x:c r="I105" s="26">
        <x:f>Cashflow_Waterfall!$Y$106</x:f>
      </x:c>
    </x:row>
    <x:row r="106">
      <x:c r="H106" s="30" t="n">
        <x:v>102</x:v>
      </x:c>
      <x:c r="I106" s="26">
        <x:f>Cashflow_Waterfall!$Y$107</x:f>
      </x:c>
    </x:row>
    <x:row r="107">
      <x:c r="H107" s="30" t="n">
        <x:v>103</x:v>
      </x:c>
      <x:c r="I107" s="26">
        <x:f>Cashflow_Waterfall!$Y$108</x:f>
      </x:c>
    </x:row>
    <x:row r="108">
      <x:c r="H108" s="30" t="n">
        <x:v>104</x:v>
      </x:c>
      <x:c r="I108" s="26">
        <x:f>Cashflow_Waterfall!$Y$109</x:f>
      </x:c>
    </x:row>
    <x:row r="109">
      <x:c r="H109" s="30" t="n">
        <x:v>105</x:v>
      </x:c>
      <x:c r="I109" s="26">
        <x:f>Cashflow_Waterfall!$Y$110</x:f>
      </x:c>
    </x:row>
    <x:row r="110">
      <x:c r="H110" s="30" t="n">
        <x:v>106</x:v>
      </x:c>
      <x:c r="I110" s="26">
        <x:f>Cashflow_Waterfall!$Y$111</x:f>
      </x:c>
    </x:row>
    <x:row r="111">
      <x:c r="H111" s="30" t="n">
        <x:v>107</x:v>
      </x:c>
      <x:c r="I111" s="26">
        <x:f>Cashflow_Waterfall!$Y$112</x:f>
      </x:c>
    </x:row>
    <x:row r="112">
      <x:c r="H112" s="30" t="n">
        <x:v>108</x:v>
      </x:c>
      <x:c r="I112" s="26">
        <x:f>Cashflow_Waterfall!$Y$113</x:f>
      </x:c>
    </x:row>
    <x:row r="113">
      <x:c r="H113" s="30" t="n">
        <x:v>109</x:v>
      </x:c>
      <x:c r="I113" s="26">
        <x:f>Cashflow_Waterfall!$Y$114</x:f>
      </x:c>
    </x:row>
    <x:row r="114">
      <x:c r="H114" s="30" t="n">
        <x:v>110</x:v>
      </x:c>
      <x:c r="I114" s="26">
        <x:f>Cashflow_Waterfall!$Y$115</x:f>
      </x:c>
    </x:row>
    <x:row r="115">
      <x:c r="H115" s="30" t="n">
        <x:v>111</x:v>
      </x:c>
      <x:c r="I115" s="26">
        <x:f>Cashflow_Waterfall!$Y$116</x:f>
      </x:c>
    </x:row>
    <x:row r="116">
      <x:c r="H116" s="30" t="n">
        <x:v>112</x:v>
      </x:c>
      <x:c r="I116" s="26">
        <x:f>Cashflow_Waterfall!$Y$117</x:f>
      </x:c>
    </x:row>
    <x:row r="117">
      <x:c r="H117" s="30" t="n">
        <x:v>113</x:v>
      </x:c>
      <x:c r="I117" s="26">
        <x:f>Cashflow_Waterfall!$Y$118</x:f>
      </x:c>
    </x:row>
    <x:row r="118">
      <x:c r="H118" s="30" t="n">
        <x:v>114</x:v>
      </x:c>
      <x:c r="I118" s="26">
        <x:f>Cashflow_Waterfall!$Y$119</x:f>
      </x:c>
    </x:row>
    <x:row r="119">
      <x:c r="H119" s="30" t="n">
        <x:v>115</x:v>
      </x:c>
      <x:c r="I119" s="26">
        <x:f>Cashflow_Waterfall!$Y$120</x:f>
      </x:c>
    </x:row>
    <x:row r="120">
      <x:c r="H120" s="30" t="n">
        <x:v>116</x:v>
      </x:c>
      <x:c r="I120" s="26">
        <x:f>Cashflow_Waterfall!$Y$121</x:f>
      </x:c>
    </x:row>
    <x:row r="121">
      <x:c r="H121" s="30" t="n">
        <x:v>117</x:v>
      </x:c>
      <x:c r="I121" s="26">
        <x:f>Cashflow_Waterfall!$Y$122</x:f>
      </x:c>
    </x:row>
    <x:row r="122">
      <x:c r="H122" s="30" t="n">
        <x:v>118</x:v>
      </x:c>
      <x:c r="I122" s="26">
        <x:f>Cashflow_Waterfall!$Y$123</x:f>
      </x:c>
    </x:row>
    <x:row r="123">
      <x:c r="H123" s="30" t="n">
        <x:v>119</x:v>
      </x:c>
      <x:c r="I123" s="26">
        <x:f>Cashflow_Waterfall!$Y$124</x:f>
      </x:c>
    </x:row>
    <x:row r="124">
      <x:c r="H124" s="30" t="n">
        <x:v>120</x:v>
      </x:c>
      <x:c r="I124" s="26">
        <x:f>Cashflow_Waterfall!$Y$125</x:f>
      </x:c>
    </x:row>
    <x:row r="126">
      <x:c r="H126" s="6" t="inlineStr">
        <x:is>
          <x:t xml:space="preserve">Monthly IRR</x:t>
        </x:is>
      </x:c>
      <x:c r="I126" s="34">
        <x:f>IRR($I$4:$I$124)</x:f>
      </x:c>
    </x:row>
    <x:row r="127">
      <x:c r="H127" s="6" t="inlineStr">
        <x:is>
          <x:t xml:space="preserve">Annualised IRR</x:t>
        </x:is>
      </x:c>
      <x:c r="I127" s="35">
        <x:f>(1+$I$126)^12-1</x:f>
      </x:c>
    </x:row>
  </x:sheetData>
  <x:mergeCells>
    <x:mergeCell ref="B10:D10"/>
    <x:mergeCell ref="B3:D3"/>
    <x:mergeCell ref="B27:D27"/>
    <x:mergeCell ref="B1:J1"/>
    <x:mergeCell ref="B31:F31"/>
    <x:mergeCell ref="B16:D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customWidth="1"/>
    <x:col min="2" max="2" width="34" customWidth="1"/>
    <x:col min="3" max="3" width="34" customWidth="1"/>
    <x:col min="4" max="4" width="34" customWidth="1"/>
    <x:col min="5" max="5" width="34" customWidth="1"/>
    <x:col min="6" max="6" width="34" customWidth="1"/>
  </x:cols>
  <x:sheetData>
    <x:row r="1" ht="22" customHeight="1">
      <x:c r="B1" s="1" t="inlineStr">
        <x:is>
          <x:t xml:space="preserve">Optimisation (use Excel Solver)</x:t>
        </x:is>
      </x:c>
      <x:c r="C1" s="38" t="n"/>
      <x:c r="D1" s="38" t="n"/>
      <x:c r="E1" s="38" t="n"/>
      <x:c r="F1" s="37" t="n"/>
    </x:row>
    <x:row r="3">
      <x:c r="B3" s="6" t="inlineStr">
        <x:is>
          <x:t xml:space="preserve">What is optimised here?</x:t>
        </x:is>
      </x:c>
      <x:c r="C3" s="36" t="inlineStr">
        <x:is>
          <x:t xml:space="preserve">You choose an objective and run Solver to change the BLUE decision variables on the Inputs sheet.</x:t>
        </x:is>
      </x:c>
    </x:row>
    <x:row r="5" ht="18" customHeight="1">
      <x:c r="B5" s="7" t="inlineStr">
        <x:is>
          <x:t xml:space="preserve">Objective candidates (pick ONE for Solver)</x:t>
        </x:is>
      </x:c>
    </x:row>
    <x:row r="6">
      <x:c r="B6" s="6" t="inlineStr">
        <x:is>
          <x:t xml:space="preserve">1) Minimise WA note coupon (A,B)</x:t>
        </x:is>
      </x:c>
      <x:c r="C6" s="13">
        <x:f>Tranche_Metrics!$C$28</x:f>
        <x:v>0.06131578947368421</x:v>
      </x:c>
    </x:row>
    <x:row r="7">
      <x:c r="B7" s="6" t="inlineStr">
        <x:is>
          <x:t xml:space="preserve">2) Maximise Equity PV @ discount rate</x:t>
        </x:is>
      </x:c>
      <x:c r="C7" s="43">
        <x:f>Tranche_Metrics!$E$36</x:f>
        <x:v>-5999999.999999996</x:v>
      </x:c>
    </x:row>
    <x:row r="9" ht="18" customHeight="1">
      <x:c r="B9" s="7" t="inlineStr">
        <x:is>
          <x:t xml:space="preserve">Decision variables (edit on Inputs sheet)</x:t>
        </x:is>
      </x:c>
    </x:row>
    <x:row r="10">
      <x:c r="B10" t="inlineStr">
        <x:is>
          <x:t xml:space="preserve">Class A % of NoteBase</x:t>
        </x:is>
      </x:c>
      <x:c r="C10" s="13">
        <x:f>Inputs!$C$15</x:f>
        <x:v>0.8</x:v>
      </x:c>
    </x:row>
    <x:row r="11">
      <x:c r="B11" t="inlineStr">
        <x:is>
          <x:t xml:space="preserve">Class B % of NoteBase</x:t>
        </x:is>
      </x:c>
      <x:c r="C11" s="13">
        <x:f>Inputs!$C$16</x:f>
        <x:v>0.15</x:v>
      </x:c>
    </x:row>
    <x:row r="12">
      <x:c r="B12" t="inlineStr">
        <x:is>
          <x:t xml:space="preserve">Class A coupon</x:t>
        </x:is>
      </x:c>
      <x:c r="C12" s="13">
        <x:f>Inputs!$C$18</x:f>
        <x:v>0.055</x:v>
      </x:c>
    </x:row>
    <x:row r="13">
      <x:c r="B13" t="inlineStr">
        <x:is>
          <x:t xml:space="preserve">Class B coupon</x:t>
        </x:is>
      </x:c>
      <x:c r="C13" s="13">
        <x:f>Inputs!$C$19</x:f>
        <x:v>0.095</x:v>
      </x:c>
    </x:row>
    <x:row r="14">
      <x:c r="B14" t="inlineStr">
        <x:is>
          <x:t xml:space="preserve">Reserve %</x:t>
        </x:is>
      </x:c>
      <x:c r="C14" s="13">
        <x:f>Inputs!$C$20</x:f>
        <x:v>0.01</x:v>
      </x:c>
    </x:row>
    <x:row r="15">
      <x:c r="B15" t="inlineStr">
        <x:is>
          <x:t xml:space="preserve">OC %</x:t>
        </x:is>
      </x:c>
      <x:c r="C15" s="13">
        <x:f>Inputs!$C$21</x:f>
        <x:v>0</x:v>
      </x:c>
    </x:row>
    <x:row r="16">
      <x:c r="B16" t="inlineStr">
        <x:is>
          <x:t xml:space="preserve">Turbo (0/1)</x:t>
        </x:is>
      </x:c>
      <x:c r="C16" s="27">
        <x:f>Inputs!$C$22</x:f>
        <x:v>1</x:v>
      </x:c>
    </x:row>
    <x:row r="18" ht="18" customHeight="1">
      <x:c r="B18" s="7" t="inlineStr">
        <x:is>
          <x:t xml:space="preserve">Constraint checks (Solver constraints reference these)</x:t>
        </x:is>
      </x:c>
    </x:row>
    <x:row r="19">
      <x:c r="B19" s="6" t="inlineStr">
        <x:is>
          <x:t xml:space="preserve">A% + B%</x:t>
        </x:is>
      </x:c>
      <x:c r="C19" s="17">
        <x:f>Inputs!$C$15+Inputs!$C$16</x:f>
        <x:v>0.9500000000000001</x:v>
      </x:c>
      <x:c r="D19" s="9" t="inlineStr">
        <x:is>
          <x:t xml:space="preserve">&lt;= 1.00</x:t>
        </x:is>
      </x:c>
      <x:c r="E19" s="33" t="str">
        <x:f>IF($C19&lt;=1,"OK","FAIL")</x:f>
        <x:v>OK</x:v>
      </x:c>
    </x:row>
    <x:row r="20">
      <x:c r="B20" s="6" t="inlineStr">
        <x:is>
          <x:t xml:space="preserve">Equity cushion (must be &gt;= 0)</x:t>
        </x:is>
      </x:c>
      <x:c r="C20" s="17">
        <x:f>Cashflow_Waterfall!$N$3</x:f>
        <x:v>81000000</x:v>
      </x:c>
      <x:c r="D20" s="9" t="inlineStr">
        <x:is>
          <x:t xml:space="preserve">&gt;= 0</x:t>
        </x:is>
      </x:c>
      <x:c r="E20" s="33" t="str">
        <x:f>IF($C20&gt;=0,"OK","FAIL")</x:f>
        <x:v>OK</x:v>
      </x:c>
    </x:row>
    <x:row r="21">
      <x:c r="B21" s="6" t="inlineStr">
        <x:is>
          <x:t xml:space="preserve">Class A CE/E(L) &gt;= target</x:t>
        </x:is>
      </x:c>
      <x:c r="C21" s="17">
        <x:f>Tranche_Metrics!$C$19</x:f>
        <x:v>5.7732394065577575</x:v>
      </x:c>
      <x:c r="D21" s="9" t="inlineStr">
        <x:is>
          <x:t xml:space="preserve">&gt;= Tranche_Metrics target</x:t>
        </x:is>
      </x:c>
      <x:c r="E21" s="17" t="b">
        <x:f>Tranche_Metrics!$C$19&gt;=Tranche_Metrics!$C$22</x:f>
        <x:v>1</x:v>
      </x:c>
    </x:row>
    <x:row r="22">
      <x:c r="B22" s="6" t="inlineStr">
        <x:is>
          <x:t xml:space="preserve">Class B CE/E(L) &gt;= target</x:t>
        </x:is>
      </x:c>
      <x:c r="C22" s="17">
        <x:f>Tranche_Metrics!$C$20</x:f>
        <x:v>1.6494969733022165</x:v>
      </x:c>
      <x:c r="D22" s="9" t="inlineStr">
        <x:is>
          <x:t xml:space="preserve">&gt;= Tranche_Metrics target</x:t>
        </x:is>
      </x:c>
      <x:c r="E22" s="17" t="b">
        <x:f>Tranche_Metrics!$C$20&gt;=Tranche_Metrics!$C$24</x:f>
        <x:v>0</x:v>
      </x:c>
    </x:row>
    <x:row r="23">
      <x:c r="B23" s="6" t="inlineStr">
        <x:is>
          <x:t xml:space="preserve">Excess spread (annual) = WAC - servicing - WA coupons</x:t>
        </x:is>
      </x:c>
      <x:c r="C23" s="13">
        <x:f>Inputs!$C$5-Inputs!$C$7-(Tranche_Metrics!$C$28)</x:f>
        <x:v>0.04868421052631579</x:v>
      </x:c>
      <x:c r="D23" s="9" t="inlineStr">
        <x:is>
          <x:t xml:space="preserve">&gt;= 0</x:t>
        </x:is>
      </x:c>
      <x:c r="E23" s="33" t="str">
        <x:f>IF($C23&gt;=0,"OK","FAIL")</x:f>
        <x:v>OK</x:v>
      </x:c>
    </x:row>
    <x:row r="25" ht="18" customHeight="1">
      <x:c r="B25" s="7" t="inlineStr">
        <x:is>
          <x:t xml:space="preserve">Solver setup (example)</x:t>
        </x:is>
      </x:c>
    </x:row>
    <x:row r="26">
      <x:c r="B26" s="36" t="inlineStr">
        <x:is>
          <x:t xml:space="preserve">Open Excel → Data → Solver.</x:t>
        </x:is>
      </x:c>
    </x:row>
    <x:row r="27">
      <x:c r="B27" s="36" t="inlineStr">
        <x:is>
          <x:t xml:space="preserve">Set Objective: choose either cell C6 (minimise WA note coupon) or C7 (maximise Equity IRR).</x:t>
        </x:is>
      </x:c>
    </x:row>
    <x:row r="28">
      <x:c r="B28" s="36" t="inlineStr">
        <x:is>
          <x:t xml:space="preserve">To minimise WA coupon: set 'Min'. To maximise IRR: set 'Max'.</x:t>
        </x:is>
      </x:c>
    </x:row>
    <x:row r="29">
      <x:c r="B29" s="36" t="inlineStr">
        <x:is>
          <x:t xml:space="preserve">By Changing Variable Cells: Inputs!C16:C21 (and Inputs!C18:C19). Optional: Inputs!C39 for turbo.</x:t>
        </x:is>
      </x:c>
    </x:row>
    <x:row r="30">
      <x:c r="B30" s="36" t="inlineStr">
        <x:is>
          <x:t xml:space="preserve">Add Constraints (minimum set):</x:t>
        </x:is>
      </x:c>
    </x:row>
    <x:row r="31">
      <x:c r="B31" s="36" t="inlineStr">
        <x:is>
          <x:t xml:space="preserve">  • Inputs!C16 + Inputs!C17 &lt;= 1</x:t>
        </x:is>
      </x:c>
    </x:row>
    <x:row r="32">
      <x:c r="B32" s="36" t="inlineStr">
        <x:is>
          <x:t xml:space="preserve">  • Cashflow_Waterfall!N3 &gt;= 0</x:t>
        </x:is>
      </x:c>
    </x:row>
    <x:row r="33">
      <x:c r="B33" s="36" t="inlineStr">
        <x:is>
          <x:t xml:space="preserve">  • Tranche_Metrics CE/E(L) for A &gt;= factor target (Inputs provides the factor via rating lookup)</x:t>
        </x:is>
      </x:c>
    </x:row>
    <x:row r="34">
      <x:c r="B34" s="36" t="inlineStr">
        <x:is>
          <x:t xml:space="preserve">  • Tranche_Metrics CE/E(L) for B &gt;= factor target</x:t>
        </x:is>
      </x:c>
    </x:row>
    <x:row r="35">
      <x:c r="B35" s="36" t="inlineStr">
        <x:is>
          <x:t xml:space="preserve">  • (Optional) Excess spread &gt;= 0</x:t>
        </x:is>
      </x:c>
    </x:row>
    <x:row r="36">
      <x:c r="B36" s="36" t="inlineStr">
        <x:is>
          <x:t xml:space="preserve">Choose a solving method (GRG Nonlinear is usually fine here) and click Solve.</x:t>
        </x:is>
      </x:c>
    </x:row>
  </x:sheetData>
  <x:mergeCells>
    <x:mergeCell ref="B25:F25"/>
    <x:mergeCell ref="B18:F18"/>
    <x:mergeCell ref="B5:F5"/>
    <x:mergeCell ref="B1:F1"/>
    <x:mergeCell ref="B9:F9"/>
  </x:mergeCells>
  <x:pageMargins left="0.7" right="0.7" top="0.75" bottom="0.75" header="0.3" footer="0.3"/>
</x:worksheet>
</file>