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Data" sheetId="1" state="visible" r:id="rId3"/>
    <sheet name="Calculations" sheetId="2" state="visible" r:id="rId4"/>
    <sheet name="Summary" sheetId="3" state="visible" r:id="rId5"/>
    <sheet name="Sensitiv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<sst xmlns="http://schemas.openxmlformats.org/spreadsheetml/2006/main" count="179" uniqueCount="113">
  <si>
    <t xml:space="preserve">RMBS Structural Efficiency Analysis</t>
  </si>
  <si>
    <t xml:space="preserve">Interactive Effects Decomposition: Credit Quality × Market Pricing × Structure</t>
  </si>
  <si>
    <t xml:space="preserve">OLD STRUCTURE</t>
  </si>
  <si>
    <t xml:space="preserve">Class</t>
  </si>
  <si>
    <t xml:space="preserve">Target Rating</t>
  </si>
  <si>
    <t xml:space="preserve">% of Collateral</t>
  </si>
  <si>
    <t xml:space="preserve">CE %</t>
  </si>
  <si>
    <t xml:space="preserve">£ Balance</t>
  </si>
  <si>
    <t xml:space="preserve">CE Multiple</t>
  </si>
  <si>
    <t xml:space="preserve">Margin</t>
  </si>
  <si>
    <t xml:space="preserve">WAFF x WAL</t>
  </si>
  <si>
    <t xml:space="preserve">A</t>
  </si>
  <si>
    <t xml:space="preserve">AAA</t>
  </si>
  <si>
    <t xml:space="preserve">B</t>
  </si>
  <si>
    <t xml:space="preserve">AA</t>
  </si>
  <si>
    <t xml:space="preserve">C</t>
  </si>
  <si>
    <t xml:space="preserve">D</t>
  </si>
  <si>
    <t xml:space="preserve">BBB</t>
  </si>
  <si>
    <t xml:space="preserve">E</t>
  </si>
  <si>
    <t xml:space="preserve">BB</t>
  </si>
  <si>
    <t xml:space="preserve">F</t>
  </si>
  <si>
    <t xml:space="preserve">G</t>
  </si>
  <si>
    <t xml:space="preserve">CCC</t>
  </si>
  <si>
    <t xml:space="preserve">-</t>
  </si>
  <si>
    <t xml:space="preserve">Total / Weighted Avg</t>
  </si>
  <si>
    <t xml:space="preserve">NEW STRUCTURE</t>
  </si>
  <si>
    <t xml:space="preserve">INTERACTIVE EFFECTS CALCULATIONS</t>
  </si>
  <si>
    <t xml:space="preserve">1. WEIGHTED AVERAGE COST OF DEBT (WACD)</t>
  </si>
  <si>
    <t xml:space="preserve">Structure</t>
  </si>
  <si>
    <t xml:space="preserve">WACD (bps)</t>
  </si>
  <si>
    <t xml:space="preserve">Formula</t>
  </si>
  <si>
    <t xml:space="preserve">Old Structure</t>
  </si>
  <si>
    <t xml:space="preserve">Sum(% of Collateral × Margin) × 10000</t>
  </si>
  <si>
    <t xml:space="preserve">New Structure</t>
  </si>
  <si>
    <t xml:space="preserve">Raw Difference</t>
  </si>
  <si>
    <t xml:space="preserve">2. PORTFOLIO RISK METRIC (WAFF × WAL)</t>
  </si>
  <si>
    <t xml:space="preserve">Portfolio Risk</t>
  </si>
  <si>
    <t xml:space="preserve">Risk Ratio</t>
  </si>
  <si>
    <t xml:space="preserve">3. SCENARIO CASCADE ANALYSIS</t>
  </si>
  <si>
    <t xml:space="preserve">Scenario</t>
  </si>
  <si>
    <t xml:space="preserve">Description</t>
  </si>
  <si>
    <t xml:space="preserve">Credit Quality</t>
  </si>
  <si>
    <t xml:space="preserve">Pricing</t>
  </si>
  <si>
    <t xml:space="preserve">Δ from Prior</t>
  </si>
  <si>
    <t xml:space="preserve">Cumulative Δ</t>
  </si>
  <si>
    <t xml:space="preserve">0: Baseline</t>
  </si>
  <si>
    <t xml:space="preserve">Old structure, old credit, old pricing</t>
  </si>
  <si>
    <t xml:space="preserve">Old</t>
  </si>
  <si>
    <t xml:space="preserve">Old (7 classes)</t>
  </si>
  <si>
    <t xml:space="preserve">1: Credit Δ</t>
  </si>
  <si>
    <t xml:space="preserve">Old structure scaled for new credit risk</t>
  </si>
  <si>
    <t xml:space="preserve">New</t>
  </si>
  <si>
    <t xml:space="preserve">Old (scaled)</t>
  </si>
  <si>
    <t xml:space="preserve">2: Credit + Pricing Δ</t>
  </si>
  <si>
    <t xml:space="preserve">Old structure scaled, new pricing applied</t>
  </si>
  <si>
    <t xml:space="preserve">3: Actual New</t>
  </si>
  <si>
    <t xml:space="preserve">Actual new structure (optimized)</t>
  </si>
  <si>
    <t xml:space="preserve">New (6 classes)</t>
  </si>
  <si>
    <t xml:space="preserve">SCENARIO 1 DETAIL: Old Structure Scaled for New Credit</t>
  </si>
  <si>
    <t xml:space="preserve">Old % Collateral</t>
  </si>
  <si>
    <t xml:space="preserve">Risk Scaling Factor</t>
  </si>
  <si>
    <t xml:space="preserve">Scaled % Collateral</t>
  </si>
  <si>
    <t xml:space="preserve">Old Margin</t>
  </si>
  <si>
    <t xml:space="preserve">Contribution (bps)</t>
  </si>
  <si>
    <t xml:space="preserve">TOTAL</t>
  </si>
  <si>
    <t xml:space="preserve">SCENARIO 2 DETAIL: Scaled Structure with New Pricing</t>
  </si>
  <si>
    <t xml:space="preserve">New Margin</t>
  </si>
  <si>
    <t xml:space="preserve">4. INTERACTION EFFECTS</t>
  </si>
  <si>
    <t xml:space="preserve">Interaction</t>
  </si>
  <si>
    <t xml:space="preserve">Calculation</t>
  </si>
  <si>
    <t xml:space="preserve">Impact (bps)</t>
  </si>
  <si>
    <t xml:space="preserve">Credit × Pricing</t>
  </si>
  <si>
    <t xml:space="preserve">Actual Scenario 2 - (Baseline + Pure Credit + Pure Pricing)</t>
  </si>
  <si>
    <t xml:space="preserve">EXECUTIVE SUMMARY</t>
  </si>
  <si>
    <t xml:space="preserve">Key Metrics Comparison</t>
  </si>
  <si>
    <t xml:space="preserve">Metric</t>
  </si>
  <si>
    <t xml:space="preserve">Change</t>
  </si>
  <si>
    <t xml:space="preserve">% Change</t>
  </si>
  <si>
    <t xml:space="preserve">Total Collateral (£m)</t>
  </si>
  <si>
    <t xml:space="preserve">AAA % of Collateral</t>
  </si>
  <si>
    <t xml:space="preserve">CE to AAA (%)</t>
  </si>
  <si>
    <t xml:space="preserve">Portfolio WAFF×WAL</t>
  </si>
  <si>
    <t xml:space="preserve">Number of Classes</t>
  </si>
  <si>
    <t xml:space="preserve">7</t>
  </si>
  <si>
    <t xml:space="preserve">6</t>
  </si>
  <si>
    <t xml:space="preserve">Cost Change Decomposition</t>
  </si>
  <si>
    <t xml:space="preserve">Component</t>
  </si>
  <si>
    <t xml:space="preserve">% of Total Change</t>
  </si>
  <si>
    <t xml:space="preserve">Cumulative (bps)</t>
  </si>
  <si>
    <t xml:space="preserve">Baseline (Old Structure)</t>
  </si>
  <si>
    <t xml:space="preserve">Credit Quality Deterioration</t>
  </si>
  <si>
    <t xml:space="preserve">Market Pricing Widening</t>
  </si>
  <si>
    <t xml:space="preserve">Credit × Pricing Interaction</t>
  </si>
  <si>
    <t xml:space="preserve">Structural Optimization</t>
  </si>
  <si>
    <t xml:space="preserve">Total Change</t>
  </si>
  <si>
    <t xml:space="preserve">100.0%</t>
  </si>
  <si>
    <t xml:space="preserve">Monetary Value of Structural Optimization</t>
  </si>
  <si>
    <t xml:space="preserve">Value</t>
  </si>
  <si>
    <t xml:space="preserve">Structural Saving (bps)</t>
  </si>
  <si>
    <t xml:space="preserve">New Structure Collateral (£)</t>
  </si>
  <si>
    <t xml:space="preserve">Annual Saving (£)</t>
  </si>
  <si>
    <t xml:space="preserve">Note: Structural optimization delivered £{26} in annual savings</t>
  </si>
  <si>
    <t xml:space="preserve">SENSITIVITY ANALYSIS</t>
  </si>
  <si>
    <t xml:space="preserve">Impact of Credit Quality Changes on Required CE</t>
  </si>
  <si>
    <t xml:space="preserve">Credit Quality Factor</t>
  </si>
  <si>
    <t xml:space="preserve">Implied WAFF×WAL</t>
  </si>
  <si>
    <t xml:space="preserve">Required CE to AAA</t>
  </si>
  <si>
    <t xml:space="preserve">Estimated WACD (bps)</t>
  </si>
  <si>
    <t xml:space="preserve">Impact of Market Pricing Changes</t>
  </si>
  <si>
    <t xml:space="preserve">AAA Spread Change (bps)</t>
  </si>
  <si>
    <t xml:space="preserve">Mezz Spread Multiplier</t>
  </si>
  <si>
    <t xml:space="preserve">Estimated New WACD (bps)</t>
  </si>
  <si>
    <t xml:space="preserve">Δ from Baseline (bps)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</si>
</sst>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#,##0"/>
    <numFmt numFmtId="167" formatCode="0.00"/>
    <numFmt numFmtId="168" formatCode="0.0000"/>
    <numFmt numFmtId="169" formatCode="#,##0.0"/>
    <numFmt numFmtId="170" formatCode="0.0%"/>
    <numFmt numFmtId="171" formatCode="0"/>
    <numFmt numFmtId="172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70C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true" outlineLevel="0" collapsed="false">
      <c r="A6" s="6" t="s">
        <v>11</v>
      </c>
      <c r="B6" s="6" t="s">
        <v>12</v>
      </c>
      <c r="C6" s="7" t="n">
        <v>0.8775</v>
      </c>
      <c r="D6" s="7" t="n">
        <v>0.1225</v>
      </c>
      <c r="E6" s="8" t="n">
        <v>342225000</v>
      </c>
      <c r="F6" s="7" t="n">
        <v>0.0113</v>
      </c>
      <c r="G6" s="7" t="n">
        <v>0.0082</v>
      </c>
      <c r="H6" s="9" t="n">
        <v>10.88</v>
      </c>
    </row>
    <row r="7" customFormat="false" ht="15" hidden="false" customHeight="true" outlineLevel="0" collapsed="false">
      <c r="A7" s="6" t="s">
        <v>13</v>
      </c>
      <c r="B7" s="6" t="s">
        <v>14</v>
      </c>
      <c r="C7" s="7" t="n">
        <v>0.055</v>
      </c>
      <c r="D7" s="7" t="n">
        <v>0.0675</v>
      </c>
      <c r="E7" s="8" t="n">
        <v>21450000</v>
      </c>
      <c r="F7" s="7" t="n">
        <v>0.0108</v>
      </c>
      <c r="G7" s="7" t="n">
        <v>0.011</v>
      </c>
      <c r="H7" s="9" t="n">
        <v>6.23</v>
      </c>
    </row>
    <row r="8" customFormat="false" ht="15" hidden="false" customHeight="true" outlineLevel="0" collapsed="false">
      <c r="A8" s="6" t="s">
        <v>15</v>
      </c>
      <c r="B8" s="6" t="s">
        <v>11</v>
      </c>
      <c r="C8" s="7" t="n">
        <v>0.0325</v>
      </c>
      <c r="D8" s="7" t="n">
        <v>0.035</v>
      </c>
      <c r="E8" s="8" t="n">
        <v>12675000</v>
      </c>
      <c r="F8" s="7" t="n">
        <v>0.0104</v>
      </c>
      <c r="G8" s="7" t="n">
        <v>0.014</v>
      </c>
      <c r="H8" s="9" t="n">
        <v>3.38</v>
      </c>
    </row>
    <row r="9" customFormat="false" ht="15" hidden="false" customHeight="true" outlineLevel="0" collapsed="false">
      <c r="A9" s="6" t="s">
        <v>16</v>
      </c>
      <c r="B9" s="6" t="s">
        <v>17</v>
      </c>
      <c r="C9" s="7" t="n">
        <v>0.0175</v>
      </c>
      <c r="D9" s="7" t="n">
        <v>0.0175</v>
      </c>
      <c r="E9" s="8" t="n">
        <v>6825000</v>
      </c>
      <c r="F9" s="7" t="n">
        <v>0.0098</v>
      </c>
      <c r="G9" s="7" t="n">
        <v>0.0165</v>
      </c>
      <c r="H9" s="9" t="n">
        <v>1.78</v>
      </c>
    </row>
    <row r="10" customFormat="false" ht="15" hidden="false" customHeight="true" outlineLevel="0" collapsed="false">
      <c r="A10" s="6" t="s">
        <v>18</v>
      </c>
      <c r="B10" s="6" t="s">
        <v>19</v>
      </c>
      <c r="C10" s="7" t="n">
        <v>0.0075</v>
      </c>
      <c r="D10" s="7" t="n">
        <v>0.01</v>
      </c>
      <c r="E10" s="8" t="n">
        <v>2925000</v>
      </c>
      <c r="F10" s="7" t="n">
        <v>0.0137</v>
      </c>
      <c r="G10" s="7" t="n">
        <v>0.0248</v>
      </c>
      <c r="H10" s="9" t="n">
        <v>0.73</v>
      </c>
    </row>
    <row r="11" customFormat="false" ht="15" hidden="false" customHeight="true" outlineLevel="0" collapsed="false">
      <c r="A11" s="6" t="s">
        <v>20</v>
      </c>
      <c r="B11" s="6" t="s">
        <v>13</v>
      </c>
      <c r="C11" s="7" t="n">
        <v>0.008</v>
      </c>
      <c r="D11" s="7" t="n">
        <v>0.002</v>
      </c>
      <c r="E11" s="8" t="n">
        <v>3120000</v>
      </c>
      <c r="F11" s="7" t="n">
        <v>0.0045</v>
      </c>
      <c r="G11" s="7" t="n">
        <v>0.0398</v>
      </c>
      <c r="H11" s="9" t="n">
        <v>0.44</v>
      </c>
    </row>
    <row r="12" customFormat="false" ht="15" hidden="false" customHeight="true" outlineLevel="0" collapsed="false">
      <c r="A12" s="6" t="s">
        <v>21</v>
      </c>
      <c r="B12" s="6" t="s">
        <v>22</v>
      </c>
      <c r="C12" s="7" t="n">
        <v>0.002</v>
      </c>
      <c r="D12" s="7" t="n">
        <v>0</v>
      </c>
      <c r="E12" s="8" t="n">
        <v>780000</v>
      </c>
      <c r="F12" s="6" t="s">
        <v>23</v>
      </c>
      <c r="G12" s="7" t="n">
        <v>0.0548</v>
      </c>
      <c r="H12" s="6" t="s">
        <v>23</v>
      </c>
    </row>
    <row r="13" customFormat="false" ht="15" hidden="false" customHeight="true" outlineLevel="0" collapsed="false">
      <c r="A13" s="10" t="s">
        <v>24</v>
      </c>
      <c r="C13" s="11" t="n">
        <f aca="false">SUM(C6:C12)</f>
        <v>1</v>
      </c>
      <c r="E13" s="12" t="n">
        <f aca="false">SUM(E6:E12)</f>
        <v>390000000</v>
      </c>
    </row>
    <row r="15" customFormat="false" ht="15" hidden="false" customHeight="true" outlineLevel="0" collapsed="false">
      <c r="A15" s="4" t="s">
        <v>25</v>
      </c>
      <c r="B15" s="4"/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5" t="s">
        <v>3</v>
      </c>
      <c r="B16" s="5" t="s">
        <v>4</v>
      </c>
      <c r="C16" s="5" t="s">
        <v>5</v>
      </c>
      <c r="D16" s="5" t="s">
        <v>6</v>
      </c>
      <c r="E16" s="5" t="s">
        <v>7</v>
      </c>
      <c r="F16" s="5" t="s">
        <v>8</v>
      </c>
      <c r="G16" s="5" t="s">
        <v>9</v>
      </c>
      <c r="H16" s="5" t="s">
        <v>10</v>
      </c>
    </row>
    <row r="17" customFormat="false" ht="15" hidden="false" customHeight="true" outlineLevel="0" collapsed="false">
      <c r="A17" s="6" t="s">
        <v>11</v>
      </c>
      <c r="B17" s="6" t="s">
        <v>12</v>
      </c>
      <c r="C17" s="7" t="n">
        <v>0.8665</v>
      </c>
      <c r="D17" s="7" t="n">
        <v>0.1335</v>
      </c>
      <c r="E17" s="8" t="n">
        <v>338930000</v>
      </c>
      <c r="F17" s="7" t="n">
        <v>0.0107</v>
      </c>
      <c r="G17" s="7" t="n">
        <v>0.0085</v>
      </c>
      <c r="H17" s="9" t="n">
        <v>12.44</v>
      </c>
    </row>
    <row r="18" customFormat="false" ht="15" hidden="false" customHeight="true" outlineLevel="0" collapsed="false">
      <c r="A18" s="6" t="s">
        <v>13</v>
      </c>
      <c r="B18" s="6" t="s">
        <v>14</v>
      </c>
      <c r="C18" s="7" t="n">
        <v>0.0535</v>
      </c>
      <c r="D18" s="7" t="n">
        <v>0.08</v>
      </c>
      <c r="E18" s="8" t="n">
        <v>20926000</v>
      </c>
      <c r="F18" s="7" t="n">
        <v>0.0111</v>
      </c>
      <c r="G18" s="7" t="n">
        <v>0.012</v>
      </c>
      <c r="H18" s="9" t="n">
        <v>7.21</v>
      </c>
    </row>
    <row r="19" customFormat="false" ht="15" hidden="false" customHeight="true" outlineLevel="0" collapsed="false">
      <c r="A19" s="6" t="s">
        <v>15</v>
      </c>
      <c r="B19" s="6" t="s">
        <v>11</v>
      </c>
      <c r="C19" s="7" t="n">
        <v>0.044</v>
      </c>
      <c r="D19" s="7" t="n">
        <v>0.036</v>
      </c>
      <c r="E19" s="8" t="n">
        <v>17211000</v>
      </c>
      <c r="F19" s="7" t="n">
        <v>0.009</v>
      </c>
      <c r="G19" s="7" t="n">
        <v>0.015</v>
      </c>
      <c r="H19" s="9" t="n">
        <v>3.99</v>
      </c>
    </row>
    <row r="20" customFormat="false" ht="15" hidden="false" customHeight="true" outlineLevel="0" collapsed="false">
      <c r="A20" s="6" t="s">
        <v>16</v>
      </c>
      <c r="B20" s="6" t="s">
        <v>17</v>
      </c>
      <c r="C20" s="7" t="n">
        <v>0.018</v>
      </c>
      <c r="D20" s="7" t="n">
        <v>0.018</v>
      </c>
      <c r="E20" s="8" t="n">
        <v>7041000</v>
      </c>
      <c r="F20" s="7" t="n">
        <v>0.0085</v>
      </c>
      <c r="G20" s="7" t="n">
        <v>0.018</v>
      </c>
      <c r="H20" s="9" t="n">
        <v>2.13</v>
      </c>
    </row>
    <row r="21" customFormat="false" ht="15" hidden="false" customHeight="true" outlineLevel="0" collapsed="false">
      <c r="A21" s="6" t="s">
        <v>18</v>
      </c>
      <c r="B21" s="6" t="s">
        <v>19</v>
      </c>
      <c r="C21" s="7" t="n">
        <v>0.012</v>
      </c>
      <c r="D21" s="7" t="n">
        <v>0.006</v>
      </c>
      <c r="E21" s="8" t="n">
        <v>4694000</v>
      </c>
      <c r="F21" s="7" t="n">
        <v>0.0068</v>
      </c>
      <c r="G21" s="7" t="n">
        <v>0.0275</v>
      </c>
      <c r="H21" s="9" t="n">
        <v>0.88</v>
      </c>
    </row>
    <row r="22" customFormat="false" ht="15" hidden="false" customHeight="true" outlineLevel="0" collapsed="false">
      <c r="A22" s="6" t="s">
        <v>20</v>
      </c>
      <c r="B22" s="6" t="s">
        <v>13</v>
      </c>
      <c r="C22" s="7" t="n">
        <v>0.006</v>
      </c>
      <c r="D22" s="7" t="n">
        <v>0</v>
      </c>
      <c r="E22" s="8" t="n">
        <v>2347000</v>
      </c>
      <c r="F22" s="6" t="s">
        <v>23</v>
      </c>
      <c r="G22" s="7" t="n">
        <v>0.05</v>
      </c>
      <c r="H22" s="9" t="n">
        <v>0.54</v>
      </c>
    </row>
    <row r="23" customFormat="false" ht="15" hidden="false" customHeight="true" outlineLevel="0" collapsed="false">
      <c r="A23" s="10" t="s">
        <v>24</v>
      </c>
      <c r="C23" s="11" t="n">
        <f aca="false">SUM(C17:C22)</f>
        <v>1</v>
      </c>
      <c r="E23" s="12" t="n">
        <f aca="false">SUM(E17:E22)</f>
        <v>391149000</v>
      </c>
    </row>
  </sheetData>
  <mergeCells count="4">
    <mergeCell ref="A1:H1"/>
    <mergeCell ref="A2:H2"/>
    <mergeCell ref="A4:H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4" t="s">
        <v>27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13" t="s">
        <v>28</v>
      </c>
      <c r="B4" s="13" t="s">
        <v>29</v>
      </c>
      <c r="C4" s="13" t="s">
        <v>30</v>
      </c>
    </row>
    <row r="5" customFormat="false" ht="15" hidden="false" customHeight="true" outlineLevel="0" collapsed="false">
      <c r="A5" s="6" t="s">
        <v>31</v>
      </c>
      <c r="B5" s="14" t="n">
        <f aca="false">SUMPRODUCT('Input Data'!C6:C12,'Input Data'!G6:G12)*10000</f>
        <v>91.5825</v>
      </c>
      <c r="C5" s="15" t="s">
        <v>32</v>
      </c>
    </row>
    <row r="6" customFormat="false" ht="15" hidden="false" customHeight="true" outlineLevel="0" collapsed="false">
      <c r="A6" s="6" t="s">
        <v>33</v>
      </c>
      <c r="B6" s="14" t="n">
        <f aca="false">SUMPRODUCT('Input Data'!C17:C22,'Input Data'!G17:G22)*10000</f>
        <v>96.2125</v>
      </c>
      <c r="C6" s="15" t="s">
        <v>32</v>
      </c>
    </row>
    <row r="7" customFormat="false" ht="15" hidden="false" customHeight="true" outlineLevel="0" collapsed="false">
      <c r="A7" s="10" t="s">
        <v>34</v>
      </c>
      <c r="B7" s="16" t="n">
        <f aca="false">B6-B5</f>
        <v>4.63000000000002</v>
      </c>
    </row>
    <row r="9" customFormat="false" ht="15" hidden="false" customHeight="true" outlineLevel="0" collapsed="false">
      <c r="A9" s="4" t="s">
        <v>35</v>
      </c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13" t="s">
        <v>28</v>
      </c>
      <c r="B10" s="13" t="s">
        <v>36</v>
      </c>
      <c r="C10" s="13" t="s">
        <v>37</v>
      </c>
    </row>
    <row r="11" customFormat="false" ht="15" hidden="false" customHeight="true" outlineLevel="0" collapsed="false">
      <c r="A11" s="17" t="s">
        <v>31</v>
      </c>
      <c r="B11" s="18" t="n">
        <f aca="false">SUMPRODUCT('Input Data'!C6:C11,'Input Data'!H6:H11)</f>
        <v>10.039845</v>
      </c>
      <c r="C11" s="19"/>
    </row>
    <row r="12" customFormat="false" ht="15" hidden="false" customHeight="true" outlineLevel="0" collapsed="false">
      <c r="A12" s="6" t="s">
        <v>33</v>
      </c>
      <c r="B12" s="14" t="n">
        <f aca="false">SUMPRODUCT('Input Data'!C17:C22,'Input Data'!H17:H22)</f>
        <v>11.392695</v>
      </c>
      <c r="C12" s="20" t="n">
        <f aca="false">B12/B11</f>
        <v>1.13474809621065</v>
      </c>
    </row>
    <row r="14" customFormat="false" ht="15" hidden="false" customHeight="true" outlineLevel="0" collapsed="false">
      <c r="A14" s="4" t="s">
        <v>38</v>
      </c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21" t="s">
        <v>39</v>
      </c>
      <c r="B15" s="21" t="s">
        <v>40</v>
      </c>
      <c r="C15" s="21" t="s">
        <v>41</v>
      </c>
      <c r="D15" s="21" t="s">
        <v>42</v>
      </c>
      <c r="E15" s="21" t="s">
        <v>28</v>
      </c>
      <c r="F15" s="21" t="s">
        <v>29</v>
      </c>
      <c r="G15" s="21" t="s">
        <v>43</v>
      </c>
      <c r="H15" s="21" t="s">
        <v>44</v>
      </c>
    </row>
    <row r="16" customFormat="false" ht="15" hidden="false" customHeight="true" outlineLevel="0" collapsed="false">
      <c r="A16" s="6" t="s">
        <v>45</v>
      </c>
      <c r="B16" s="6" t="s">
        <v>46</v>
      </c>
      <c r="C16" s="6" t="s">
        <v>47</v>
      </c>
      <c r="D16" s="6" t="s">
        <v>47</v>
      </c>
      <c r="E16" s="6" t="s">
        <v>48</v>
      </c>
      <c r="F16" s="14" t="n">
        <f aca="false">B5</f>
        <v>91.5825</v>
      </c>
      <c r="G16" s="19" t="s">
        <v>23</v>
      </c>
      <c r="H16" s="19" t="s">
        <v>23</v>
      </c>
    </row>
    <row r="17" customFormat="false" ht="15" hidden="false" customHeight="true" outlineLevel="0" collapsed="false">
      <c r="A17" s="6" t="s">
        <v>49</v>
      </c>
      <c r="B17" s="6" t="s">
        <v>50</v>
      </c>
      <c r="C17" s="6" t="s">
        <v>51</v>
      </c>
      <c r="D17" s="6" t="s">
        <v>47</v>
      </c>
      <c r="E17" s="6" t="s">
        <v>52</v>
      </c>
      <c r="F17" s="14" t="n">
        <f aca="false">F30</f>
        <v>100.492169262679</v>
      </c>
      <c r="G17" s="14" t="n">
        <f aca="false">F17-F16</f>
        <v>8.90966926267926</v>
      </c>
      <c r="H17" s="14" t="n">
        <f aca="false">F17-F16</f>
        <v>8.90966926267926</v>
      </c>
    </row>
    <row r="18" customFormat="false" ht="15" hidden="false" customHeight="true" outlineLevel="0" collapsed="false">
      <c r="A18" s="6" t="s">
        <v>53</v>
      </c>
      <c r="B18" s="6" t="s">
        <v>54</v>
      </c>
      <c r="C18" s="6" t="s">
        <v>51</v>
      </c>
      <c r="D18" s="6" t="s">
        <v>51</v>
      </c>
      <c r="E18" s="6" t="s">
        <v>52</v>
      </c>
      <c r="F18" s="14" t="n">
        <f aca="false">D41</f>
        <v>105.810632772289</v>
      </c>
      <c r="G18" s="14" t="n">
        <f aca="false">F18-F17</f>
        <v>5.31846350961023</v>
      </c>
      <c r="H18" s="14" t="n">
        <f aca="false">F18-F16</f>
        <v>14.2281327722895</v>
      </c>
    </row>
    <row r="19" customFormat="false" ht="15" hidden="false" customHeight="true" outlineLevel="0" collapsed="false">
      <c r="A19" s="6" t="s">
        <v>55</v>
      </c>
      <c r="B19" s="6" t="s">
        <v>56</v>
      </c>
      <c r="C19" s="6" t="s">
        <v>51</v>
      </c>
      <c r="D19" s="6" t="s">
        <v>51</v>
      </c>
      <c r="E19" s="6" t="s">
        <v>57</v>
      </c>
      <c r="F19" s="14" t="n">
        <f aca="false">B6</f>
        <v>96.2125</v>
      </c>
      <c r="G19" s="14" t="n">
        <f aca="false">F19-F18</f>
        <v>-9.59813277228946</v>
      </c>
      <c r="H19" s="14" t="n">
        <f aca="false">F19-F16</f>
        <v>4.63000000000002</v>
      </c>
    </row>
    <row r="21" customFormat="false" ht="15" hidden="false" customHeight="true" outlineLevel="0" collapsed="false">
      <c r="A21" s="22" t="s">
        <v>58</v>
      </c>
      <c r="B21" s="22"/>
      <c r="C21" s="22"/>
      <c r="D21" s="22"/>
      <c r="E21" s="22"/>
      <c r="F21" s="22"/>
      <c r="G21" s="22"/>
      <c r="H21" s="22"/>
    </row>
    <row r="22" customFormat="false" ht="15" hidden="false" customHeight="true" outlineLevel="0" collapsed="false">
      <c r="A22" s="13" t="s">
        <v>3</v>
      </c>
      <c r="B22" s="13" t="s">
        <v>59</v>
      </c>
      <c r="C22" s="13" t="s">
        <v>60</v>
      </c>
      <c r="D22" s="13" t="s">
        <v>61</v>
      </c>
      <c r="E22" s="13" t="s">
        <v>62</v>
      </c>
      <c r="F22" s="13" t="s">
        <v>63</v>
      </c>
    </row>
    <row r="23" customFormat="false" ht="15" hidden="false" customHeight="true" outlineLevel="0" collapsed="false">
      <c r="A23" s="6" t="s">
        <v>11</v>
      </c>
      <c r="B23" s="20" t="n">
        <f aca="false">'Input Data'!C6</f>
        <v>0.8775</v>
      </c>
      <c r="C23" s="23" t="n">
        <f aca="false">$C$12/$B$11</f>
        <v>0.113024463645669</v>
      </c>
      <c r="D23" s="20" t="n">
        <f aca="false">1-('Input Data'!D6*C23)</f>
        <v>0.986154503203406</v>
      </c>
      <c r="E23" s="20" t="n">
        <f aca="false">'Input Data'!G6</f>
        <v>0.0082</v>
      </c>
      <c r="F23" s="14" t="n">
        <f aca="false">D23*E23*10000</f>
        <v>80.8646692626793</v>
      </c>
    </row>
    <row r="24" customFormat="false" ht="15" hidden="false" customHeight="true" outlineLevel="0" collapsed="false">
      <c r="A24" s="6" t="s">
        <v>13</v>
      </c>
      <c r="B24" s="20" t="n">
        <f aca="false">'Input Data'!C7</f>
        <v>0.055</v>
      </c>
      <c r="C24" s="23" t="n">
        <f aca="false">$C$12/$B$11</f>
        <v>0.113024463645669</v>
      </c>
      <c r="D24" s="20" t="n">
        <f aca="false">'Input Data'!C7</f>
        <v>0.055</v>
      </c>
      <c r="E24" s="20" t="n">
        <f aca="false">'Input Data'!G7</f>
        <v>0.011</v>
      </c>
      <c r="F24" s="14" t="n">
        <f aca="false">D24*E24*10000</f>
        <v>6.05</v>
      </c>
    </row>
    <row r="25" customFormat="false" ht="15" hidden="false" customHeight="true" outlineLevel="0" collapsed="false">
      <c r="A25" s="6" t="s">
        <v>15</v>
      </c>
      <c r="B25" s="20" t="n">
        <f aca="false">'Input Data'!C8</f>
        <v>0.0325</v>
      </c>
      <c r="C25" s="23" t="n">
        <f aca="false">$C$12/$B$11</f>
        <v>0.113024463645669</v>
      </c>
      <c r="D25" s="20" t="n">
        <f aca="false">'Input Data'!C8</f>
        <v>0.0325</v>
      </c>
      <c r="E25" s="20" t="n">
        <f aca="false">'Input Data'!G8</f>
        <v>0.014</v>
      </c>
      <c r="F25" s="14" t="n">
        <f aca="false">D25*E25*10000</f>
        <v>4.55</v>
      </c>
    </row>
    <row r="26" customFormat="false" ht="15" hidden="false" customHeight="true" outlineLevel="0" collapsed="false">
      <c r="A26" s="6" t="s">
        <v>16</v>
      </c>
      <c r="B26" s="20" t="n">
        <f aca="false">'Input Data'!C9</f>
        <v>0.0175</v>
      </c>
      <c r="C26" s="23" t="n">
        <f aca="false">$C$12/$B$11</f>
        <v>0.113024463645669</v>
      </c>
      <c r="D26" s="20" t="n">
        <f aca="false">'Input Data'!C9</f>
        <v>0.0175</v>
      </c>
      <c r="E26" s="20" t="n">
        <f aca="false">'Input Data'!G9</f>
        <v>0.0165</v>
      </c>
      <c r="F26" s="14" t="n">
        <f aca="false">D26*E26*10000</f>
        <v>2.8875</v>
      </c>
    </row>
    <row r="27" customFormat="false" ht="15" hidden="false" customHeight="true" outlineLevel="0" collapsed="false">
      <c r="A27" s="6" t="s">
        <v>18</v>
      </c>
      <c r="B27" s="20" t="n">
        <f aca="false">'Input Data'!C10</f>
        <v>0.0075</v>
      </c>
      <c r="C27" s="23" t="n">
        <f aca="false">$C$12/$B$11</f>
        <v>0.113024463645669</v>
      </c>
      <c r="D27" s="20" t="n">
        <f aca="false">'Input Data'!C10</f>
        <v>0.0075</v>
      </c>
      <c r="E27" s="20" t="n">
        <f aca="false">'Input Data'!G10</f>
        <v>0.0248</v>
      </c>
      <c r="F27" s="14" t="n">
        <f aca="false">D27*E27*10000</f>
        <v>1.86</v>
      </c>
    </row>
    <row r="28" customFormat="false" ht="15" hidden="false" customHeight="true" outlineLevel="0" collapsed="false">
      <c r="A28" s="6" t="s">
        <v>20</v>
      </c>
      <c r="B28" s="20" t="n">
        <f aca="false">'Input Data'!C11</f>
        <v>0.008</v>
      </c>
      <c r="C28" s="23" t="n">
        <f aca="false">$C$12/$B$11</f>
        <v>0.113024463645669</v>
      </c>
      <c r="D28" s="20" t="n">
        <f aca="false">'Input Data'!C11</f>
        <v>0.008</v>
      </c>
      <c r="E28" s="20" t="n">
        <f aca="false">'Input Data'!G11</f>
        <v>0.0398</v>
      </c>
      <c r="F28" s="14" t="n">
        <f aca="false">D28*E28*10000</f>
        <v>3.184</v>
      </c>
    </row>
    <row r="29" customFormat="false" ht="15" hidden="false" customHeight="true" outlineLevel="0" collapsed="false">
      <c r="A29" s="6" t="s">
        <v>21</v>
      </c>
      <c r="B29" s="20" t="n">
        <f aca="false">'Input Data'!C12</f>
        <v>0.002</v>
      </c>
      <c r="C29" s="23" t="n">
        <f aca="false">$C$12/$B$11</f>
        <v>0.113024463645669</v>
      </c>
      <c r="D29" s="20" t="n">
        <f aca="false">'Input Data'!C12</f>
        <v>0.002</v>
      </c>
      <c r="E29" s="20" t="n">
        <f aca="false">'Input Data'!G12</f>
        <v>0.0548</v>
      </c>
      <c r="F29" s="14" t="n">
        <f aca="false">D29*E29*10000</f>
        <v>1.096</v>
      </c>
    </row>
    <row r="30" customFormat="false" ht="15" hidden="false" customHeight="true" outlineLevel="0" collapsed="false">
      <c r="A30" s="10" t="s">
        <v>64</v>
      </c>
      <c r="D30" s="11" t="n">
        <f aca="false">SUM(D23:D29)</f>
        <v>1.10865450320341</v>
      </c>
      <c r="F30" s="16" t="n">
        <f aca="false">SUM(F23:F29)</f>
        <v>100.492169262679</v>
      </c>
    </row>
    <row r="32" customFormat="false" ht="15" hidden="false" customHeight="true" outlineLevel="0" collapsed="false">
      <c r="A32" s="22" t="s">
        <v>65</v>
      </c>
      <c r="B32" s="22"/>
      <c r="C32" s="22"/>
      <c r="D32" s="22"/>
      <c r="E32" s="22"/>
      <c r="F32" s="22"/>
      <c r="G32" s="22"/>
      <c r="H32" s="22"/>
    </row>
    <row r="33" customFormat="false" ht="15" hidden="false" customHeight="true" outlineLevel="0" collapsed="false">
      <c r="A33" s="13" t="s">
        <v>3</v>
      </c>
      <c r="B33" s="13" t="s">
        <v>61</v>
      </c>
      <c r="C33" s="13" t="s">
        <v>66</v>
      </c>
      <c r="D33" s="13" t="s">
        <v>63</v>
      </c>
    </row>
    <row r="34" customFormat="false" ht="15" hidden="false" customHeight="true" outlineLevel="0" collapsed="false">
      <c r="A34" s="6" t="s">
        <v>11</v>
      </c>
      <c r="B34" s="20" t="n">
        <f aca="false">D23</f>
        <v>0.986154503203406</v>
      </c>
      <c r="C34" s="20" t="n">
        <f aca="false">'Input Data'!G17</f>
        <v>0.0085</v>
      </c>
      <c r="D34" s="14" t="n">
        <f aca="false">B34*C34*10000</f>
        <v>83.8231327722895</v>
      </c>
    </row>
    <row r="35" customFormat="false" ht="15" hidden="false" customHeight="true" outlineLevel="0" collapsed="false">
      <c r="A35" s="6" t="s">
        <v>13</v>
      </c>
      <c r="B35" s="20" t="n">
        <f aca="false">D24</f>
        <v>0.055</v>
      </c>
      <c r="C35" s="20" t="n">
        <f aca="false">'Input Data'!G18</f>
        <v>0.012</v>
      </c>
      <c r="D35" s="14" t="n">
        <f aca="false">B35*C35*10000</f>
        <v>6.6</v>
      </c>
    </row>
    <row r="36" customFormat="false" ht="15" hidden="false" customHeight="true" outlineLevel="0" collapsed="false">
      <c r="A36" s="6" t="s">
        <v>15</v>
      </c>
      <c r="B36" s="20" t="n">
        <f aca="false">D25</f>
        <v>0.0325</v>
      </c>
      <c r="C36" s="20" t="n">
        <f aca="false">'Input Data'!G19</f>
        <v>0.015</v>
      </c>
      <c r="D36" s="14" t="n">
        <f aca="false">B36*C36*10000</f>
        <v>4.875</v>
      </c>
    </row>
    <row r="37" customFormat="false" ht="15" hidden="false" customHeight="true" outlineLevel="0" collapsed="false">
      <c r="A37" s="6" t="s">
        <v>16</v>
      </c>
      <c r="B37" s="20" t="n">
        <f aca="false">D26</f>
        <v>0.0175</v>
      </c>
      <c r="C37" s="20" t="n">
        <f aca="false">'Input Data'!G20</f>
        <v>0.018</v>
      </c>
      <c r="D37" s="14" t="n">
        <f aca="false">B37*C37*10000</f>
        <v>3.15</v>
      </c>
    </row>
    <row r="38" customFormat="false" ht="15" hidden="false" customHeight="true" outlineLevel="0" collapsed="false">
      <c r="A38" s="6" t="s">
        <v>18</v>
      </c>
      <c r="B38" s="20" t="n">
        <f aca="false">D27</f>
        <v>0.0075</v>
      </c>
      <c r="C38" s="20" t="n">
        <f aca="false">'Input Data'!G21</f>
        <v>0.0275</v>
      </c>
      <c r="D38" s="14" t="n">
        <f aca="false">B38*C38*10000</f>
        <v>2.0625</v>
      </c>
    </row>
    <row r="39" customFormat="false" ht="15" hidden="false" customHeight="true" outlineLevel="0" collapsed="false">
      <c r="A39" s="6" t="s">
        <v>20</v>
      </c>
      <c r="B39" s="20" t="n">
        <f aca="false">D28</f>
        <v>0.008</v>
      </c>
      <c r="C39" s="20" t="n">
        <f aca="false">'Input Data'!G22</f>
        <v>0.05</v>
      </c>
      <c r="D39" s="14" t="n">
        <f aca="false">B39*C39*10000</f>
        <v>4</v>
      </c>
    </row>
    <row r="40" customFormat="false" ht="15" hidden="false" customHeight="true" outlineLevel="0" collapsed="false">
      <c r="A40" s="6" t="s">
        <v>21</v>
      </c>
      <c r="B40" s="20" t="n">
        <f aca="false">D29</f>
        <v>0.002</v>
      </c>
      <c r="C40" s="7" t="n">
        <v>0.065</v>
      </c>
      <c r="D40" s="14" t="n">
        <f aca="false">B40*C40*10000</f>
        <v>1.3</v>
      </c>
    </row>
    <row r="41" customFormat="false" ht="15" hidden="false" customHeight="true" outlineLevel="0" collapsed="false">
      <c r="A41" s="10" t="s">
        <v>64</v>
      </c>
      <c r="B41" s="11" t="n">
        <f aca="false">SUM(B34:B40)</f>
        <v>1.10865450320341</v>
      </c>
      <c r="D41" s="16" t="n">
        <f aca="false">SUM(D34:D40)</f>
        <v>105.810632772289</v>
      </c>
    </row>
    <row r="43" customFormat="false" ht="15" hidden="false" customHeight="true" outlineLevel="0" collapsed="false">
      <c r="A43" s="4" t="s">
        <v>67</v>
      </c>
      <c r="B43" s="4"/>
      <c r="C43" s="4"/>
      <c r="D43" s="4"/>
      <c r="E43" s="4"/>
      <c r="F43" s="4"/>
      <c r="G43" s="4"/>
      <c r="H43" s="4"/>
    </row>
    <row r="44" customFormat="false" ht="15" hidden="false" customHeight="true" outlineLevel="0" collapsed="false">
      <c r="A44" s="13" t="s">
        <v>68</v>
      </c>
      <c r="B44" s="13" t="s">
        <v>69</v>
      </c>
      <c r="C44" s="13" t="s">
        <v>70</v>
      </c>
    </row>
    <row r="45" customFormat="false" ht="15" hidden="false" customHeight="true" outlineLevel="0" collapsed="false">
      <c r="A45" s="6" t="s">
        <v>71</v>
      </c>
      <c r="B45" s="15" t="s">
        <v>72</v>
      </c>
      <c r="C45" s="14" t="n">
        <f aca="false">H18-(G17+G18-G17)</f>
        <v>8.90966926267926</v>
      </c>
    </row>
  </sheetData>
  <mergeCells count="7">
    <mergeCell ref="A1:H1"/>
    <mergeCell ref="A3:H3"/>
    <mergeCell ref="A9:H9"/>
    <mergeCell ref="A14:H14"/>
    <mergeCell ref="A21:H21"/>
    <mergeCell ref="A32:H3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18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" t="s">
        <v>73</v>
      </c>
      <c r="B1" s="2"/>
      <c r="C1" s="2"/>
      <c r="D1" s="2"/>
      <c r="E1" s="2"/>
    </row>
    <row r="3" customFormat="false" ht="15" hidden="false" customHeight="true" outlineLevel="0" collapsed="false">
      <c r="A3" s="4" t="s">
        <v>74</v>
      </c>
      <c r="B3" s="4"/>
      <c r="C3" s="4"/>
      <c r="D3" s="4"/>
      <c r="E3" s="4"/>
    </row>
    <row r="4" customFormat="false" ht="15" hidden="false" customHeight="true" outlineLevel="0" collapsed="false">
      <c r="A4" s="13" t="s">
        <v>75</v>
      </c>
      <c r="B4" s="13" t="s">
        <v>31</v>
      </c>
      <c r="C4" s="13" t="s">
        <v>33</v>
      </c>
      <c r="D4" s="13" t="s">
        <v>76</v>
      </c>
      <c r="E4" s="13" t="s">
        <v>77</v>
      </c>
    </row>
    <row r="5" customFormat="false" ht="15" hidden="false" customHeight="true" outlineLevel="0" collapsed="false">
      <c r="A5" s="6" t="s">
        <v>78</v>
      </c>
      <c r="B5" s="24" t="n">
        <f aca="false">'Input Data'!E13/1000000</f>
        <v>390</v>
      </c>
      <c r="C5" s="24" t="n">
        <f aca="false">'Input Data'!E24/1000000</f>
        <v>0</v>
      </c>
      <c r="D5" s="24" t="n">
        <f aca="false">C5-B5</f>
        <v>-390</v>
      </c>
      <c r="E5" s="25" t="n">
        <f aca="false">(C5-B5)/B5</f>
        <v>-1</v>
      </c>
    </row>
    <row r="6" customFormat="false" ht="15" hidden="false" customHeight="true" outlineLevel="0" collapsed="false">
      <c r="A6" s="6" t="s">
        <v>29</v>
      </c>
      <c r="B6" s="14" t="n">
        <f aca="false">Calculations!B5</f>
        <v>91.5825</v>
      </c>
      <c r="C6" s="14" t="n">
        <f aca="false">Calculations!B6</f>
        <v>96.2125</v>
      </c>
      <c r="D6" s="14" t="n">
        <f aca="false">C6-B6</f>
        <v>4.63000000000002</v>
      </c>
      <c r="E6" s="25" t="n">
        <f aca="false">(C6-B6)/B6</f>
        <v>0.0505555100592365</v>
      </c>
    </row>
    <row r="7" customFormat="false" ht="15" hidden="false" customHeight="true" outlineLevel="0" collapsed="false">
      <c r="A7" s="6" t="s">
        <v>79</v>
      </c>
      <c r="B7" s="20" t="n">
        <f aca="false">'Input Data'!C6</f>
        <v>0.8775</v>
      </c>
      <c r="C7" s="20" t="n">
        <f aca="false">'Input Data'!C17</f>
        <v>0.8665</v>
      </c>
      <c r="D7" s="20" t="n">
        <f aca="false">C7-B7</f>
        <v>-0.0109999999999999</v>
      </c>
      <c r="E7" s="25" t="n">
        <f aca="false">(C7-B7)/B7</f>
        <v>-0.0125356125356124</v>
      </c>
    </row>
    <row r="8" customFormat="false" ht="15" hidden="false" customHeight="true" outlineLevel="0" collapsed="false">
      <c r="A8" s="6" t="s">
        <v>80</v>
      </c>
      <c r="B8" s="20" t="n">
        <f aca="false">'Input Data'!D6</f>
        <v>0.1225</v>
      </c>
      <c r="C8" s="20" t="n">
        <f aca="false">'Input Data'!D17</f>
        <v>0.1335</v>
      </c>
      <c r="D8" s="20" t="n">
        <f aca="false">C8-B8</f>
        <v>0.011</v>
      </c>
      <c r="E8" s="25" t="n">
        <f aca="false">(C8-B8)/B8</f>
        <v>0.089795918367347</v>
      </c>
    </row>
    <row r="9" customFormat="false" ht="15" hidden="false" customHeight="true" outlineLevel="0" collapsed="false">
      <c r="A9" s="6" t="s">
        <v>81</v>
      </c>
      <c r="B9" s="14" t="n">
        <f aca="false">Calculations!B11</f>
        <v>10.039845</v>
      </c>
      <c r="C9" s="14" t="n">
        <f aca="false">Calculations!B12</f>
        <v>11.392695</v>
      </c>
      <c r="D9" s="14" t="n">
        <f aca="false">C9-B9</f>
        <v>1.35285</v>
      </c>
      <c r="E9" s="25" t="n">
        <f aca="false">(C9-B9)/B9</f>
        <v>0.134748096210649</v>
      </c>
    </row>
    <row r="10" customFormat="false" ht="15" hidden="false" customHeight="true" outlineLevel="0" collapsed="false">
      <c r="A10" s="6" t="s">
        <v>82</v>
      </c>
      <c r="B10" s="26" t="s">
        <v>83</v>
      </c>
      <c r="C10" s="26" t="s">
        <v>84</v>
      </c>
      <c r="D10" s="26" t="n">
        <f aca="false">C10-B10</f>
        <v>-1</v>
      </c>
      <c r="E10" s="25" t="n">
        <f aca="false">(C10-B10)/B10</f>
        <v>-0.142857142857143</v>
      </c>
    </row>
    <row r="12" customFormat="false" ht="15" hidden="false" customHeight="true" outlineLevel="0" collapsed="false">
      <c r="A12" s="4" t="s">
        <v>85</v>
      </c>
      <c r="B12" s="4"/>
      <c r="C12" s="4"/>
      <c r="D12" s="4"/>
      <c r="E12" s="4"/>
    </row>
    <row r="13" customFormat="false" ht="15" hidden="false" customHeight="true" outlineLevel="0" collapsed="false">
      <c r="A13" s="13" t="s">
        <v>86</v>
      </c>
      <c r="B13" s="13" t="s">
        <v>70</v>
      </c>
      <c r="C13" s="13" t="s">
        <v>87</v>
      </c>
      <c r="D13" s="13" t="s">
        <v>88</v>
      </c>
    </row>
    <row r="14" customFormat="false" ht="15" hidden="false" customHeight="true" outlineLevel="0" collapsed="false">
      <c r="A14" s="10" t="s">
        <v>89</v>
      </c>
      <c r="B14" s="16" t="n">
        <f aca="false">Calculations!F16</f>
        <v>91.5825</v>
      </c>
      <c r="C14" s="10" t="s">
        <v>23</v>
      </c>
      <c r="D14" s="16" t="n">
        <f aca="false">Calculations!F16</f>
        <v>91.5825</v>
      </c>
    </row>
    <row r="15" customFormat="false" ht="15" hidden="false" customHeight="true" outlineLevel="0" collapsed="false">
      <c r="A15" s="6" t="s">
        <v>90</v>
      </c>
      <c r="B15" s="14" t="n">
        <f aca="false">Calculations!G17</f>
        <v>8.90966926267926</v>
      </c>
      <c r="C15" s="25" t="n">
        <f aca="false">ABS(B15/B19)</f>
        <v>1.92433461396959</v>
      </c>
      <c r="D15" s="14" t="n">
        <f aca="false">Calculations!H17+B14</f>
        <v>100.492169262679</v>
      </c>
    </row>
    <row r="16" customFormat="false" ht="15" hidden="false" customHeight="true" outlineLevel="0" collapsed="false">
      <c r="A16" s="6" t="s">
        <v>91</v>
      </c>
      <c r="B16" s="14" t="n">
        <f aca="false">Calculations!G18</f>
        <v>5.31846350961023</v>
      </c>
      <c r="C16" s="25" t="n">
        <f aca="false">ABS(B16/B19)</f>
        <v>1.14869622237801</v>
      </c>
      <c r="D16" s="14" t="n">
        <f aca="false">Calculations!H18+B14</f>
        <v>105.810632772289</v>
      </c>
    </row>
    <row r="17" customFormat="false" ht="15" hidden="false" customHeight="true" outlineLevel="0" collapsed="false">
      <c r="A17" s="6" t="s">
        <v>92</v>
      </c>
      <c r="B17" s="14" t="n">
        <f aca="false">0</f>
        <v>0</v>
      </c>
      <c r="C17" s="25" t="n">
        <f aca="false">0%</f>
        <v>0</v>
      </c>
      <c r="D17" s="14" t="n">
        <f aca="false">B16+B17</f>
        <v>5.31846350961023</v>
      </c>
    </row>
    <row r="18" customFormat="false" ht="15" hidden="false" customHeight="true" outlineLevel="0" collapsed="false">
      <c r="A18" s="6" t="s">
        <v>93</v>
      </c>
      <c r="B18" s="14" t="n">
        <f aca="false">Calculations!G19</f>
        <v>-9.59813277228946</v>
      </c>
      <c r="C18" s="25" t="n">
        <f aca="false">ABS(B18/B19)</f>
        <v>2.07303083634761</v>
      </c>
      <c r="D18" s="14" t="n">
        <f aca="false">Calculations!H19+B14</f>
        <v>96.2125</v>
      </c>
    </row>
    <row r="19" customFormat="false" ht="15" hidden="false" customHeight="true" outlineLevel="0" collapsed="false">
      <c r="A19" s="10" t="s">
        <v>94</v>
      </c>
      <c r="B19" s="16" t="n">
        <f aca="false">Calculations!H19</f>
        <v>4.63000000000002</v>
      </c>
      <c r="C19" s="10" t="s">
        <v>95</v>
      </c>
      <c r="D19" s="16" t="n">
        <f aca="false">Calculations!F19</f>
        <v>96.2125</v>
      </c>
    </row>
    <row r="21" customFormat="false" ht="15" hidden="false" customHeight="true" outlineLevel="0" collapsed="false">
      <c r="A21" s="4" t="s">
        <v>96</v>
      </c>
      <c r="B21" s="4"/>
      <c r="C21" s="4"/>
      <c r="D21" s="4"/>
      <c r="E21" s="4"/>
    </row>
    <row r="22" customFormat="false" ht="15" hidden="false" customHeight="true" outlineLevel="0" collapsed="false">
      <c r="A22" s="13" t="s">
        <v>75</v>
      </c>
      <c r="B22" s="13" t="s">
        <v>97</v>
      </c>
    </row>
    <row r="23" customFormat="false" ht="15" hidden="false" customHeight="true" outlineLevel="0" collapsed="false">
      <c r="A23" s="6" t="s">
        <v>98</v>
      </c>
      <c r="B23" s="14" t="n">
        <f aca="false">ABS(B18)</f>
        <v>9.59813277228946</v>
      </c>
    </row>
    <row r="24" customFormat="false" ht="15" hidden="false" customHeight="true" outlineLevel="0" collapsed="false">
      <c r="A24" s="6" t="s">
        <v>99</v>
      </c>
      <c r="B24" s="27" t="n">
        <f aca="false">'Input Data'!E24</f>
        <v>0</v>
      </c>
    </row>
    <row r="25" customFormat="false" ht="15" hidden="false" customHeight="true" outlineLevel="0" collapsed="false">
      <c r="A25" s="10" t="s">
        <v>100</v>
      </c>
      <c r="B25" s="12" t="n">
        <f aca="false">B24*(B23/10000)</f>
        <v>0</v>
      </c>
    </row>
    <row r="27" customFormat="false" ht="15" hidden="false" customHeight="true" outlineLevel="0" collapsed="false">
      <c r="A27" s="28" t="s">
        <v>101</v>
      </c>
      <c r="B27" s="28"/>
      <c r="C27" s="28"/>
      <c r="D27" s="28"/>
      <c r="E27" s="28"/>
    </row>
  </sheetData>
  <mergeCells count="5">
    <mergeCell ref="A1:E1"/>
    <mergeCell ref="A3:E3"/>
    <mergeCell ref="A12:E12"/>
    <mergeCell ref="A21:E21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20"/>
  </cols>
  <sheetData>
    <row r="1" customFormat="false" ht="17.25" hidden="false" customHeight="true" outlineLevel="0" collapsed="false">
      <c r="A1" s="2" t="s">
        <v>102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4" t="s">
        <v>103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13" t="s">
        <v>104</v>
      </c>
      <c r="B4" s="13" t="s">
        <v>105</v>
      </c>
      <c r="C4" s="13" t="s">
        <v>106</v>
      </c>
      <c r="D4" s="13" t="s">
        <v>79</v>
      </c>
      <c r="E4" s="13" t="s">
        <v>107</v>
      </c>
    </row>
    <row r="5" customFormat="false" ht="15" hidden="false" customHeight="true" outlineLevel="0" collapsed="false">
      <c r="A5" s="29" t="n">
        <v>0.8</v>
      </c>
      <c r="B5" s="14" t="n">
        <f aca="false">A5*Calculations!$B$11</f>
        <v>8.031876</v>
      </c>
      <c r="C5" s="20" t="n">
        <f aca="false">'Input Data'!$D$6*A5</f>
        <v>0.098</v>
      </c>
      <c r="D5" s="20" t="n">
        <f aca="false">1-C5</f>
        <v>0.902</v>
      </c>
      <c r="E5" s="14" t="n">
        <f aca="false">(D5*'Input Data'!$G$17 + (1-D5)*0.025)*10000</f>
        <v>101.17</v>
      </c>
    </row>
    <row r="6" customFormat="false" ht="15" hidden="false" customHeight="true" outlineLevel="0" collapsed="false">
      <c r="A6" s="29" t="n">
        <v>0.9</v>
      </c>
      <c r="B6" s="14" t="n">
        <f aca="false">A6*Calculations!$B$11</f>
        <v>9.0358605</v>
      </c>
      <c r="C6" s="20" t="n">
        <f aca="false">'Input Data'!$D$6*A6</f>
        <v>0.11025</v>
      </c>
      <c r="D6" s="20" t="n">
        <f aca="false">1-C6</f>
        <v>0.88975</v>
      </c>
      <c r="E6" s="14" t="n">
        <f aca="false">(D6*'Input Data'!$G$17 + (1-D6)*0.025)*10000</f>
        <v>103.19125</v>
      </c>
    </row>
    <row r="7" customFormat="false" ht="15" hidden="false" customHeight="true" outlineLevel="0" collapsed="false">
      <c r="A7" s="29" t="n">
        <v>1</v>
      </c>
      <c r="B7" s="14" t="n">
        <f aca="false">A7*Calculations!$B$11</f>
        <v>10.039845</v>
      </c>
      <c r="C7" s="20" t="n">
        <f aca="false">'Input Data'!$D$6*A7</f>
        <v>0.1225</v>
      </c>
      <c r="D7" s="20" t="n">
        <f aca="false">1-C7</f>
        <v>0.8775</v>
      </c>
      <c r="E7" s="14" t="n">
        <f aca="false">(D7*'Input Data'!$G$17 + (1-D7)*0.025)*10000</f>
        <v>105.2125</v>
      </c>
    </row>
    <row r="8" customFormat="false" ht="15" hidden="false" customHeight="true" outlineLevel="0" collapsed="false">
      <c r="A8" s="29" t="n">
        <v>1.1</v>
      </c>
      <c r="B8" s="14" t="n">
        <f aca="false">A8*Calculations!$B$11</f>
        <v>11.0438295</v>
      </c>
      <c r="C8" s="20" t="n">
        <f aca="false">'Input Data'!$D$6*A8</f>
        <v>0.13475</v>
      </c>
      <c r="D8" s="20" t="n">
        <f aca="false">1-C8</f>
        <v>0.86525</v>
      </c>
      <c r="E8" s="14" t="n">
        <f aca="false">(D8*'Input Data'!$G$17 + (1-D8)*0.025)*10000</f>
        <v>107.23375</v>
      </c>
    </row>
    <row r="9" customFormat="false" ht="15" hidden="false" customHeight="true" outlineLevel="0" collapsed="false">
      <c r="A9" s="30" t="n">
        <v>1.13</v>
      </c>
      <c r="B9" s="31" t="n">
        <f aca="false">A9*Calculations!$B$11</f>
        <v>11.34502485</v>
      </c>
      <c r="C9" s="32" t="n">
        <f aca="false">'Input Data'!$D$6*A9</f>
        <v>0.138425</v>
      </c>
      <c r="D9" s="32" t="n">
        <f aca="false">1-C9</f>
        <v>0.861575</v>
      </c>
      <c r="E9" s="31" t="n">
        <f aca="false">(D9*'Input Data'!$G$17 + (1-D9)*0.025)*10000</f>
        <v>107.840125</v>
      </c>
    </row>
    <row r="10" customFormat="false" ht="15" hidden="false" customHeight="true" outlineLevel="0" collapsed="false">
      <c r="A10" s="29" t="n">
        <v>1.2</v>
      </c>
      <c r="B10" s="14" t="n">
        <f aca="false">A10*Calculations!$B$11</f>
        <v>12.047814</v>
      </c>
      <c r="C10" s="20" t="n">
        <f aca="false">'Input Data'!$D$6*A10</f>
        <v>0.147</v>
      </c>
      <c r="D10" s="20" t="n">
        <f aca="false">1-C10</f>
        <v>0.853</v>
      </c>
      <c r="E10" s="14" t="n">
        <f aca="false">(D10*'Input Data'!$G$17 + (1-D10)*0.025)*10000</f>
        <v>109.255</v>
      </c>
    </row>
    <row r="11" customFormat="false" ht="15" hidden="false" customHeight="true" outlineLevel="0" collapsed="false">
      <c r="A11" s="29" t="n">
        <v>1.3</v>
      </c>
      <c r="B11" s="14" t="n">
        <f aca="false">A11*Calculations!$B$11</f>
        <v>13.0517985</v>
      </c>
      <c r="C11" s="20" t="n">
        <f aca="false">'Input Data'!$D$6*A11</f>
        <v>0.15925</v>
      </c>
      <c r="D11" s="20" t="n">
        <f aca="false">1-C11</f>
        <v>0.84075</v>
      </c>
      <c r="E11" s="14" t="n">
        <f aca="false">(D11*'Input Data'!$G$17 + (1-D11)*0.025)*10000</f>
        <v>111.27625</v>
      </c>
    </row>
    <row r="12" customFormat="false" ht="15" hidden="false" customHeight="true" outlineLevel="0" collapsed="false">
      <c r="A12" s="29" t="n">
        <v>1.4</v>
      </c>
      <c r="B12" s="14" t="n">
        <f aca="false">A12*Calculations!$B$11</f>
        <v>14.055783</v>
      </c>
      <c r="C12" s="20" t="n">
        <f aca="false">'Input Data'!$D$6*A12</f>
        <v>0.1715</v>
      </c>
      <c r="D12" s="20" t="n">
        <f aca="false">1-C12</f>
        <v>0.8285</v>
      </c>
      <c r="E12" s="14" t="n">
        <f aca="false">(D12*'Input Data'!$G$17 + (1-D12)*0.025)*10000</f>
        <v>113.2975</v>
      </c>
    </row>
    <row r="14" customFormat="false" ht="15" hidden="false" customHeight="true" outlineLevel="0" collapsed="false">
      <c r="A14" s="4" t="s">
        <v>108</v>
      </c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13" t="s">
        <v>109</v>
      </c>
      <c r="B15" s="13" t="s">
        <v>110</v>
      </c>
      <c r="C15" s="13" t="s">
        <v>111</v>
      </c>
      <c r="D15" s="13" t="s">
        <v>112</v>
      </c>
    </row>
    <row r="16" customFormat="false" ht="15" hidden="false" customHeight="true" outlineLevel="0" collapsed="false">
      <c r="A16" s="33" t="n">
        <v>-10</v>
      </c>
      <c r="B16" s="29" t="n">
        <v>0.8</v>
      </c>
      <c r="C16" s="14" t="n">
        <f aca="false">('Input Data'!$C$17*('Input Data'!$G$6+A16/10000) + SUMPRODUCT('Input Data'!$C$18:$C$22,'Input Data'!$G$7:$G$11)*B16)*10000</f>
        <v>78.6912</v>
      </c>
      <c r="D16" s="14" t="n">
        <f aca="false">C16-Calculations!$B$5</f>
        <v>-12.8913</v>
      </c>
    </row>
    <row r="17" customFormat="false" ht="15" hidden="false" customHeight="true" outlineLevel="0" collapsed="false">
      <c r="A17" s="33" t="n">
        <v>-5</v>
      </c>
      <c r="B17" s="29" t="n">
        <v>0.9</v>
      </c>
      <c r="C17" s="14" t="n">
        <f aca="false">('Input Data'!$C$17*('Input Data'!$G$6+A17/10000) + SUMPRODUCT('Input Data'!$C$18:$C$22,'Input Data'!$G$7:$G$11)*B17)*10000</f>
        <v>85.0616</v>
      </c>
      <c r="D17" s="14" t="n">
        <f aca="false">C17-Calculations!$B$5</f>
        <v>-6.5209</v>
      </c>
    </row>
    <row r="18" customFormat="false" ht="15" hidden="false" customHeight="true" outlineLevel="0" collapsed="false">
      <c r="A18" s="33" t="n">
        <v>0</v>
      </c>
      <c r="B18" s="29" t="n">
        <v>1</v>
      </c>
      <c r="C18" s="14" t="n">
        <f aca="false">('Input Data'!$C$17*('Input Data'!$G$6+A18/10000) + SUMPRODUCT('Input Data'!$C$18:$C$22,'Input Data'!$G$7:$G$11)*B18)*10000</f>
        <v>91.432</v>
      </c>
      <c r="D18" s="14" t="n">
        <f aca="false">C18-Calculations!$B$5</f>
        <v>-0.150499999999994</v>
      </c>
    </row>
    <row r="19" customFormat="false" ht="15" hidden="false" customHeight="true" outlineLevel="0" collapsed="false">
      <c r="A19" s="34" t="n">
        <v>3</v>
      </c>
      <c r="B19" s="30" t="n">
        <v>1.15</v>
      </c>
      <c r="C19" s="31" t="n">
        <f aca="false">('Input Data'!$C$17*('Input Data'!$G$6+A19/10000) + SUMPRODUCT('Input Data'!$C$18:$C$22,'Input Data'!$G$7:$G$11)*B19)*10000</f>
        <v>97.08835</v>
      </c>
      <c r="D19" s="31" t="n">
        <f aca="false">C19-Calculations!$B$5</f>
        <v>5.50585000000001</v>
      </c>
    </row>
    <row r="20" customFormat="false" ht="15" hidden="false" customHeight="true" outlineLevel="0" collapsed="false">
      <c r="A20" s="33" t="n">
        <v>5</v>
      </c>
      <c r="B20" s="29" t="n">
        <v>1.2</v>
      </c>
      <c r="C20" s="14" t="n">
        <f aca="false">('Input Data'!$C$17*('Input Data'!$G$6+A20/10000) + SUMPRODUCT('Input Data'!$C$18:$C$22,'Input Data'!$G$7:$G$11)*B20)*10000</f>
        <v>99.8403</v>
      </c>
      <c r="D20" s="14" t="n">
        <f aca="false">C20-Calculations!$B$5</f>
        <v>8.25780000000002</v>
      </c>
    </row>
    <row r="21" customFormat="false" ht="15" hidden="false" customHeight="true" outlineLevel="0" collapsed="false">
      <c r="A21" s="33" t="n">
        <v>10</v>
      </c>
      <c r="B21" s="29" t="n">
        <v>1.4</v>
      </c>
      <c r="C21" s="14" t="n">
        <f aca="false">('Input Data'!$C$17*('Input Data'!$G$6+A21/10000) + SUMPRODUCT('Input Data'!$C$18:$C$22,'Input Data'!$G$7:$G$11)*B21)*10000</f>
        <v>108.2486</v>
      </c>
      <c r="D21" s="14" t="n">
        <f aca="false">C21-Calculations!$B$5</f>
        <v>16.6661</v>
      </c>
    </row>
    <row r="22" customFormat="false" ht="15" hidden="false" customHeight="true" outlineLevel="0" collapsed="false">
      <c r="A22" s="33" t="n">
        <v>15</v>
      </c>
      <c r="B22" s="29" t="n">
        <v>1.6</v>
      </c>
      <c r="C22" s="14" t="n">
        <f aca="false">('Input Data'!$C$17*('Input Data'!$G$6+A22/10000) + SUMPRODUCT('Input Data'!$C$18:$C$22,'Input Data'!$G$7:$G$11)*B22)*10000</f>
        <v>116.6569</v>
      </c>
      <c r="D22" s="14" t="n">
        <f aca="false">C22-Calculations!$B$5</f>
        <v>25.0744</v>
      </c>
    </row>
  </sheetData>
  <mergeCells count="3">
    <mergeCell ref="A1:H1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2026-01-27T10:23:03Z</dcterms:created>
  <dc:creator>openpyxl</dc:creator>
  <dc:description/>
  <dc:language>en-US</dc:language>
  <cp:lastModifiedBy/>
  <dcterms:modified xsi:type="dcterms:W3CDTF">2026-01-27T10:24:11Z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